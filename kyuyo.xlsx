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Yh-23-00000178\業務運用\1000.プロジェクト運営\1100.Meeting\02_センター稼動後（200804以降）\2026年度\2026年04月\20260422_週次報告会議\元ネタ\扶養\"/>
    </mc:Choice>
  </mc:AlternateContent>
  <xr:revisionPtr revIDLastSave="0" documentId="13_ncr:1_{89F1AE1C-8DE8-42D8-8A01-CB3BF9FA5D15}" xr6:coauthVersionLast="47" xr6:coauthVersionMax="47" xr10:uidLastSave="{00000000-0000-0000-0000-000000000000}"/>
  <bookViews>
    <workbookView xWindow="-120" yWindow="-120" windowWidth="20730" windowHeight="11040" activeTab="3" xr2:uid="{8CDD811D-1E7F-4A05-B487-E9BF9F06ACC4}"/>
  </bookViews>
  <sheets>
    <sheet name="使い方" sheetId="11" r:id="rId1"/>
    <sheet name="SQLデータ" sheetId="3" r:id="rId2"/>
    <sheet name="届出事由・区分・届出年月日ごと集計" sheetId="5" r:id="rId3"/>
    <sheet name="週次報告用" sheetId="8" r:id="rId4"/>
    <sheet name="責任職　企業局→市長部局" sheetId="10" r:id="rId5"/>
    <sheet name="一般職員　企業局→市長部局" sheetId="9" r:id="rId6"/>
  </sheets>
  <definedNames>
    <definedName name="_xlnm._FilterDatabase" localSheetId="1" hidden="1">SQLデータ!$A$1:$R$4031</definedName>
    <definedName name="_xlnm._FilterDatabase" localSheetId="4" hidden="1">'責任職　企業局→市長部局'!$A$4:$N$93</definedName>
    <definedName name="_xlnm.Print_Area" localSheetId="4">'責任職　企業局→市長部局'!$A$1:$K$104</definedName>
    <definedName name="_xlnm.Print_Titles" localSheetId="4">'責任職　企業局→市長部局'!$3:$4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42" i="3" l="1"/>
  <c r="P3042" i="3"/>
  <c r="Q3042" i="3"/>
  <c r="R3042" i="3"/>
  <c r="L3043" i="3"/>
  <c r="P3043" i="3"/>
  <c r="Q3043" i="3"/>
  <c r="R3043" i="3"/>
  <c r="L3044" i="3"/>
  <c r="M3044" i="3" s="1"/>
  <c r="P3044" i="3"/>
  <c r="Q3044" i="3"/>
  <c r="R3044" i="3"/>
  <c r="L3045" i="3"/>
  <c r="M3045" i="3" s="1"/>
  <c r="N3045" i="3" s="1"/>
  <c r="P3045" i="3"/>
  <c r="Q3045" i="3"/>
  <c r="R3045" i="3"/>
  <c r="L3046" i="3"/>
  <c r="M3046" i="3" s="1"/>
  <c r="P3046" i="3"/>
  <c r="Q3046" i="3"/>
  <c r="R3046" i="3"/>
  <c r="L3047" i="3"/>
  <c r="M3047" i="3" s="1"/>
  <c r="N3047" i="3" s="1"/>
  <c r="P3047" i="3"/>
  <c r="Q3047" i="3"/>
  <c r="R3047" i="3"/>
  <c r="L3048" i="3"/>
  <c r="M3048" i="3" s="1"/>
  <c r="N3048" i="3" s="1"/>
  <c r="O3048" i="3" s="1"/>
  <c r="P3048" i="3"/>
  <c r="Q3048" i="3"/>
  <c r="R3048" i="3"/>
  <c r="L3049" i="3"/>
  <c r="M3049" i="3" s="1"/>
  <c r="P3049" i="3"/>
  <c r="Q3049" i="3"/>
  <c r="R3049" i="3"/>
  <c r="L3050" i="3"/>
  <c r="M3050" i="3" s="1"/>
  <c r="P3050" i="3"/>
  <c r="Q3050" i="3"/>
  <c r="R3050" i="3"/>
  <c r="L3051" i="3"/>
  <c r="P3051" i="3"/>
  <c r="Q3051" i="3"/>
  <c r="R3051" i="3"/>
  <c r="L3052" i="3"/>
  <c r="M3052" i="3" s="1"/>
  <c r="P3052" i="3"/>
  <c r="Q3052" i="3"/>
  <c r="R3052" i="3"/>
  <c r="L3053" i="3"/>
  <c r="M3053" i="3" s="1"/>
  <c r="P3053" i="3"/>
  <c r="Q3053" i="3"/>
  <c r="R3053" i="3"/>
  <c r="L3054" i="3"/>
  <c r="M3054" i="3" s="1"/>
  <c r="P3054" i="3"/>
  <c r="Q3054" i="3"/>
  <c r="R3054" i="3"/>
  <c r="L3055" i="3"/>
  <c r="M3055" i="3" s="1"/>
  <c r="N3055" i="3" s="1"/>
  <c r="O3055" i="3" s="1"/>
  <c r="P3055" i="3"/>
  <c r="Q3055" i="3"/>
  <c r="R3055" i="3"/>
  <c r="L3056" i="3"/>
  <c r="P3056" i="3"/>
  <c r="Q3056" i="3"/>
  <c r="R3056" i="3"/>
  <c r="L3057" i="3"/>
  <c r="M3057" i="3" s="1"/>
  <c r="P3057" i="3"/>
  <c r="Q3057" i="3"/>
  <c r="R3057" i="3"/>
  <c r="L3058" i="3"/>
  <c r="M3058" i="3" s="1"/>
  <c r="P3058" i="3"/>
  <c r="Q3058" i="3"/>
  <c r="R3058" i="3"/>
  <c r="L3059" i="3"/>
  <c r="P3059" i="3"/>
  <c r="Q3059" i="3"/>
  <c r="R3059" i="3"/>
  <c r="L3060" i="3"/>
  <c r="M3060" i="3" s="1"/>
  <c r="P3060" i="3"/>
  <c r="Q3060" i="3"/>
  <c r="R3060" i="3"/>
  <c r="L3061" i="3"/>
  <c r="M3061" i="3" s="1"/>
  <c r="N3061" i="3" s="1"/>
  <c r="P3061" i="3"/>
  <c r="Q3061" i="3"/>
  <c r="R3061" i="3"/>
  <c r="L3062" i="3"/>
  <c r="P3062" i="3"/>
  <c r="Q3062" i="3"/>
  <c r="R3062" i="3"/>
  <c r="L3063" i="3"/>
  <c r="M3063" i="3" s="1"/>
  <c r="P3063" i="3"/>
  <c r="Q3063" i="3"/>
  <c r="R3063" i="3"/>
  <c r="L3064" i="3"/>
  <c r="M3064" i="3" s="1"/>
  <c r="P3064" i="3"/>
  <c r="Q3064" i="3"/>
  <c r="R3064" i="3"/>
  <c r="L3065" i="3"/>
  <c r="M3065" i="3" s="1"/>
  <c r="P3065" i="3"/>
  <c r="Q3065" i="3"/>
  <c r="R3065" i="3"/>
  <c r="L3066" i="3"/>
  <c r="M3066" i="3" s="1"/>
  <c r="P3066" i="3"/>
  <c r="Q3066" i="3"/>
  <c r="R3066" i="3"/>
  <c r="L3067" i="3"/>
  <c r="P3067" i="3"/>
  <c r="Q3067" i="3"/>
  <c r="R3067" i="3"/>
  <c r="L3068" i="3"/>
  <c r="M3068" i="3" s="1"/>
  <c r="P3068" i="3"/>
  <c r="Q3068" i="3"/>
  <c r="R3068" i="3"/>
  <c r="L3069" i="3"/>
  <c r="P3069" i="3"/>
  <c r="Q3069" i="3"/>
  <c r="R3069" i="3"/>
  <c r="L3070" i="3"/>
  <c r="M3070" i="3" s="1"/>
  <c r="N3070" i="3" s="1"/>
  <c r="P3070" i="3"/>
  <c r="Q3070" i="3"/>
  <c r="R3070" i="3"/>
  <c r="L3071" i="3"/>
  <c r="M3071" i="3" s="1"/>
  <c r="N3071" i="3" s="1"/>
  <c r="O3071" i="3" s="1"/>
  <c r="P3071" i="3"/>
  <c r="Q3071" i="3"/>
  <c r="R3071" i="3"/>
  <c r="L3072" i="3"/>
  <c r="M3072" i="3" s="1"/>
  <c r="P3072" i="3"/>
  <c r="Q3072" i="3"/>
  <c r="R3072" i="3"/>
  <c r="L3073" i="3"/>
  <c r="M3073" i="3" s="1"/>
  <c r="P3073" i="3"/>
  <c r="Q3073" i="3"/>
  <c r="R3073" i="3"/>
  <c r="L3074" i="3"/>
  <c r="M3074" i="3" s="1"/>
  <c r="P3074" i="3"/>
  <c r="Q3074" i="3"/>
  <c r="R3074" i="3"/>
  <c r="L3075" i="3"/>
  <c r="P3075" i="3"/>
  <c r="Q3075" i="3"/>
  <c r="R3075" i="3"/>
  <c r="L3076" i="3"/>
  <c r="M3076" i="3" s="1"/>
  <c r="P3076" i="3"/>
  <c r="Q3076" i="3"/>
  <c r="R3076" i="3"/>
  <c r="L3077" i="3"/>
  <c r="M3077" i="3" s="1"/>
  <c r="N3077" i="3" s="1"/>
  <c r="P3077" i="3"/>
  <c r="Q3077" i="3"/>
  <c r="R3077" i="3"/>
  <c r="L3078" i="3"/>
  <c r="M3078" i="3" s="1"/>
  <c r="P3078" i="3"/>
  <c r="Q3078" i="3"/>
  <c r="R3078" i="3"/>
  <c r="L3079" i="3"/>
  <c r="M3079" i="3" s="1"/>
  <c r="N3079" i="3" s="1"/>
  <c r="P3079" i="3"/>
  <c r="Q3079" i="3"/>
  <c r="R3079" i="3"/>
  <c r="L3080" i="3"/>
  <c r="M3080" i="3" s="1"/>
  <c r="P3080" i="3"/>
  <c r="Q3080" i="3"/>
  <c r="R3080" i="3"/>
  <c r="L3081" i="3"/>
  <c r="P3081" i="3"/>
  <c r="Q3081" i="3"/>
  <c r="R3081" i="3"/>
  <c r="L3082" i="3"/>
  <c r="M3082" i="3" s="1"/>
  <c r="P3082" i="3"/>
  <c r="Q3082" i="3"/>
  <c r="R3082" i="3"/>
  <c r="L3083" i="3"/>
  <c r="M3083" i="3" s="1"/>
  <c r="N3083" i="3" s="1"/>
  <c r="P3083" i="3"/>
  <c r="Q3083" i="3"/>
  <c r="R3083" i="3"/>
  <c r="L3084" i="3"/>
  <c r="M3084" i="3" s="1"/>
  <c r="P3084" i="3"/>
  <c r="Q3084" i="3"/>
  <c r="R3084" i="3"/>
  <c r="L3085" i="3"/>
  <c r="P3085" i="3"/>
  <c r="Q3085" i="3"/>
  <c r="R3085" i="3"/>
  <c r="L3086" i="3"/>
  <c r="M3086" i="3" s="1"/>
  <c r="P3086" i="3"/>
  <c r="Q3086" i="3"/>
  <c r="R3086" i="3"/>
  <c r="L3087" i="3"/>
  <c r="P3087" i="3"/>
  <c r="Q3087" i="3"/>
  <c r="R3087" i="3"/>
  <c r="L3088" i="3"/>
  <c r="M3088" i="3" s="1"/>
  <c r="N3088" i="3" s="1"/>
  <c r="P3088" i="3"/>
  <c r="Q3088" i="3"/>
  <c r="R3088" i="3"/>
  <c r="L3089" i="3"/>
  <c r="P3089" i="3"/>
  <c r="Q3089" i="3"/>
  <c r="R3089" i="3"/>
  <c r="L3090" i="3"/>
  <c r="P3090" i="3"/>
  <c r="Q3090" i="3"/>
  <c r="R3090" i="3"/>
  <c r="L3091" i="3"/>
  <c r="M3091" i="3" s="1"/>
  <c r="P3091" i="3"/>
  <c r="Q3091" i="3"/>
  <c r="R3091" i="3"/>
  <c r="L3092" i="3"/>
  <c r="M3092" i="3" s="1"/>
  <c r="N3092" i="3" s="1"/>
  <c r="P3092" i="3"/>
  <c r="Q3092" i="3"/>
  <c r="R3092" i="3"/>
  <c r="L3093" i="3"/>
  <c r="M3093" i="3" s="1"/>
  <c r="N3093" i="3" s="1"/>
  <c r="P3093" i="3"/>
  <c r="Q3093" i="3"/>
  <c r="R3093" i="3"/>
  <c r="L3094" i="3"/>
  <c r="M3094" i="3" s="1"/>
  <c r="P3094" i="3"/>
  <c r="Q3094" i="3"/>
  <c r="R3094" i="3"/>
  <c r="L3095" i="3"/>
  <c r="M3095" i="3" s="1"/>
  <c r="N3095" i="3" s="1"/>
  <c r="P3095" i="3"/>
  <c r="Q3095" i="3"/>
  <c r="R3095" i="3"/>
  <c r="L3096" i="3"/>
  <c r="P3096" i="3"/>
  <c r="Q3096" i="3"/>
  <c r="R3096" i="3"/>
  <c r="L3097" i="3"/>
  <c r="P3097" i="3"/>
  <c r="Q3097" i="3"/>
  <c r="R3097" i="3"/>
  <c r="L3098" i="3"/>
  <c r="M3098" i="3" s="1"/>
  <c r="P3098" i="3"/>
  <c r="Q3098" i="3"/>
  <c r="R3098" i="3"/>
  <c r="L3099" i="3"/>
  <c r="M3099" i="3" s="1"/>
  <c r="N3099" i="3" s="1"/>
  <c r="P3099" i="3"/>
  <c r="Q3099" i="3"/>
  <c r="R3099" i="3"/>
  <c r="L3100" i="3"/>
  <c r="M3100" i="3" s="1"/>
  <c r="P3100" i="3"/>
  <c r="Q3100" i="3"/>
  <c r="R3100" i="3"/>
  <c r="L3101" i="3"/>
  <c r="M3101" i="3" s="1"/>
  <c r="P3101" i="3"/>
  <c r="Q3101" i="3"/>
  <c r="R3101" i="3"/>
  <c r="L3102" i="3"/>
  <c r="M3102" i="3" s="1"/>
  <c r="N3102" i="3" s="1"/>
  <c r="P3102" i="3"/>
  <c r="Q3102" i="3"/>
  <c r="R3102" i="3"/>
  <c r="L3103" i="3"/>
  <c r="P3103" i="3"/>
  <c r="Q3103" i="3"/>
  <c r="R3103" i="3"/>
  <c r="L3104" i="3"/>
  <c r="M3104" i="3" s="1"/>
  <c r="N3104" i="3" s="1"/>
  <c r="P3104" i="3"/>
  <c r="Q3104" i="3"/>
  <c r="R3104" i="3"/>
  <c r="L3105" i="3"/>
  <c r="P3105" i="3"/>
  <c r="Q3105" i="3"/>
  <c r="R3105" i="3"/>
  <c r="L3106" i="3"/>
  <c r="M3106" i="3" s="1"/>
  <c r="P3106" i="3"/>
  <c r="Q3106" i="3"/>
  <c r="R3106" i="3"/>
  <c r="L3107" i="3"/>
  <c r="M3107" i="3" s="1"/>
  <c r="P3107" i="3"/>
  <c r="Q3107" i="3"/>
  <c r="R3107" i="3"/>
  <c r="L3108" i="3"/>
  <c r="M3108" i="3" s="1"/>
  <c r="P3108" i="3"/>
  <c r="Q3108" i="3"/>
  <c r="R3108" i="3"/>
  <c r="L3109" i="3"/>
  <c r="M3109" i="3" s="1"/>
  <c r="P3109" i="3"/>
  <c r="Q3109" i="3"/>
  <c r="R3109" i="3"/>
  <c r="L3110" i="3"/>
  <c r="M3110" i="3" s="1"/>
  <c r="P3110" i="3"/>
  <c r="Q3110" i="3"/>
  <c r="R3110" i="3"/>
  <c r="L3111" i="3"/>
  <c r="M3111" i="3" s="1"/>
  <c r="P3111" i="3"/>
  <c r="Q3111" i="3"/>
  <c r="R3111" i="3"/>
  <c r="L3112" i="3"/>
  <c r="M3112" i="3" s="1"/>
  <c r="N3112" i="3" s="1"/>
  <c r="P3112" i="3"/>
  <c r="Q3112" i="3"/>
  <c r="R3112" i="3"/>
  <c r="L3113" i="3"/>
  <c r="M3113" i="3" s="1"/>
  <c r="P3113" i="3"/>
  <c r="Q3113" i="3"/>
  <c r="R3113" i="3"/>
  <c r="L3114" i="3"/>
  <c r="P3114" i="3"/>
  <c r="Q3114" i="3"/>
  <c r="R3114" i="3"/>
  <c r="L3115" i="3"/>
  <c r="M3115" i="3" s="1"/>
  <c r="P3115" i="3"/>
  <c r="Q3115" i="3"/>
  <c r="R3115" i="3"/>
  <c r="L3116" i="3"/>
  <c r="M3116" i="3" s="1"/>
  <c r="P3116" i="3"/>
  <c r="Q3116" i="3"/>
  <c r="R3116" i="3"/>
  <c r="L3117" i="3"/>
  <c r="M3117" i="3" s="1"/>
  <c r="N3117" i="3" s="1"/>
  <c r="P3117" i="3"/>
  <c r="Q3117" i="3"/>
  <c r="R3117" i="3"/>
  <c r="L3118" i="3"/>
  <c r="M3118" i="3" s="1"/>
  <c r="P3118" i="3"/>
  <c r="Q3118" i="3"/>
  <c r="R3118" i="3"/>
  <c r="L3119" i="3"/>
  <c r="M3119" i="3" s="1"/>
  <c r="P3119" i="3"/>
  <c r="Q3119" i="3"/>
  <c r="R3119" i="3"/>
  <c r="L3120" i="3"/>
  <c r="M3120" i="3" s="1"/>
  <c r="N3120" i="3" s="1"/>
  <c r="P3120" i="3"/>
  <c r="Q3120" i="3"/>
  <c r="R3120" i="3"/>
  <c r="L3121" i="3"/>
  <c r="P3121" i="3"/>
  <c r="Q3121" i="3"/>
  <c r="R3121" i="3"/>
  <c r="L3122" i="3"/>
  <c r="M3122" i="3" s="1"/>
  <c r="P3122" i="3"/>
  <c r="Q3122" i="3"/>
  <c r="R3122" i="3"/>
  <c r="L3123" i="3"/>
  <c r="M3123" i="3" s="1"/>
  <c r="N3123" i="3" s="1"/>
  <c r="P3123" i="3"/>
  <c r="Q3123" i="3"/>
  <c r="R3123" i="3"/>
  <c r="L3124" i="3"/>
  <c r="M3124" i="3" s="1"/>
  <c r="P3124" i="3"/>
  <c r="Q3124" i="3"/>
  <c r="R3124" i="3"/>
  <c r="L3125" i="3"/>
  <c r="P3125" i="3"/>
  <c r="Q3125" i="3"/>
  <c r="R3125" i="3"/>
  <c r="L3126" i="3"/>
  <c r="M3126" i="3" s="1"/>
  <c r="P3126" i="3"/>
  <c r="Q3126" i="3"/>
  <c r="R3126" i="3"/>
  <c r="L3127" i="3"/>
  <c r="M3127" i="3" s="1"/>
  <c r="N3127" i="3" s="1"/>
  <c r="P3127" i="3"/>
  <c r="Q3127" i="3"/>
  <c r="R3127" i="3"/>
  <c r="L3128" i="3"/>
  <c r="P3128" i="3"/>
  <c r="Q3128" i="3"/>
  <c r="R3128" i="3"/>
  <c r="L3129" i="3"/>
  <c r="M3129" i="3" s="1"/>
  <c r="P3129" i="3"/>
  <c r="Q3129" i="3"/>
  <c r="R3129" i="3"/>
  <c r="L3130" i="3"/>
  <c r="M3130" i="3" s="1"/>
  <c r="P3130" i="3"/>
  <c r="Q3130" i="3"/>
  <c r="R3130" i="3"/>
  <c r="L3131" i="3"/>
  <c r="P3131" i="3"/>
  <c r="Q3131" i="3"/>
  <c r="R3131" i="3"/>
  <c r="L3132" i="3"/>
  <c r="M3132" i="3" s="1"/>
  <c r="N3132" i="3" s="1"/>
  <c r="P3132" i="3"/>
  <c r="Q3132" i="3"/>
  <c r="R3132" i="3"/>
  <c r="L3133" i="3"/>
  <c r="M3133" i="3" s="1"/>
  <c r="P3133" i="3"/>
  <c r="Q3133" i="3"/>
  <c r="R3133" i="3"/>
  <c r="L3134" i="3"/>
  <c r="M3134" i="3" s="1"/>
  <c r="P3134" i="3"/>
  <c r="Q3134" i="3"/>
  <c r="R3134" i="3"/>
  <c r="L3135" i="3"/>
  <c r="M3135" i="3" s="1"/>
  <c r="N3135" i="3" s="1"/>
  <c r="P3135" i="3"/>
  <c r="Q3135" i="3"/>
  <c r="R3135" i="3"/>
  <c r="L3136" i="3"/>
  <c r="M3136" i="3" s="1"/>
  <c r="P3136" i="3"/>
  <c r="Q3136" i="3"/>
  <c r="R3136" i="3"/>
  <c r="L3137" i="3"/>
  <c r="M3137" i="3" s="1"/>
  <c r="P3137" i="3"/>
  <c r="Q3137" i="3"/>
  <c r="R3137" i="3"/>
  <c r="L3138" i="3"/>
  <c r="M3138" i="3" s="1"/>
  <c r="P3138" i="3"/>
  <c r="Q3138" i="3"/>
  <c r="R3138" i="3"/>
  <c r="L3139" i="3"/>
  <c r="M3139" i="3" s="1"/>
  <c r="P3139" i="3"/>
  <c r="Q3139" i="3"/>
  <c r="R3139" i="3"/>
  <c r="L3140" i="3"/>
  <c r="M3140" i="3" s="1"/>
  <c r="N3140" i="3" s="1"/>
  <c r="P3140" i="3"/>
  <c r="Q3140" i="3"/>
  <c r="R3140" i="3"/>
  <c r="L3141" i="3"/>
  <c r="M3141" i="3" s="1"/>
  <c r="N3141" i="3" s="1"/>
  <c r="P3141" i="3"/>
  <c r="Q3141" i="3"/>
  <c r="R3141" i="3"/>
  <c r="L3142" i="3"/>
  <c r="M3142" i="3" s="1"/>
  <c r="P3142" i="3"/>
  <c r="Q3142" i="3"/>
  <c r="R3142" i="3"/>
  <c r="L3143" i="3"/>
  <c r="P3143" i="3"/>
  <c r="Q3143" i="3"/>
  <c r="R3143" i="3"/>
  <c r="L3144" i="3"/>
  <c r="M3144" i="3" s="1"/>
  <c r="P3144" i="3"/>
  <c r="Q3144" i="3"/>
  <c r="R3144" i="3"/>
  <c r="L3145" i="3"/>
  <c r="M3145" i="3" s="1"/>
  <c r="P3145" i="3"/>
  <c r="Q3145" i="3"/>
  <c r="R3145" i="3"/>
  <c r="L3146" i="3"/>
  <c r="M3146" i="3" s="1"/>
  <c r="P3146" i="3"/>
  <c r="Q3146" i="3"/>
  <c r="R3146" i="3"/>
  <c r="L3147" i="3"/>
  <c r="M3147" i="3" s="1"/>
  <c r="N3147" i="3" s="1"/>
  <c r="P3147" i="3"/>
  <c r="Q3147" i="3"/>
  <c r="R3147" i="3"/>
  <c r="L3148" i="3"/>
  <c r="P3148" i="3"/>
  <c r="Q3148" i="3"/>
  <c r="R3148" i="3"/>
  <c r="L3149" i="3"/>
  <c r="M3149" i="3" s="1"/>
  <c r="P3149" i="3"/>
  <c r="Q3149" i="3"/>
  <c r="R3149" i="3"/>
  <c r="L3150" i="3"/>
  <c r="M3150" i="3" s="1"/>
  <c r="P3150" i="3"/>
  <c r="Q3150" i="3"/>
  <c r="R3150" i="3"/>
  <c r="L3151" i="3"/>
  <c r="M3151" i="3" s="1"/>
  <c r="P3151" i="3"/>
  <c r="Q3151" i="3"/>
  <c r="R3151" i="3"/>
  <c r="L3152" i="3"/>
  <c r="M3152" i="3" s="1"/>
  <c r="P3152" i="3"/>
  <c r="Q3152" i="3"/>
  <c r="R3152" i="3"/>
  <c r="L3153" i="3"/>
  <c r="M3153" i="3" s="1"/>
  <c r="P3153" i="3"/>
  <c r="Q3153" i="3"/>
  <c r="R3153" i="3"/>
  <c r="L3154" i="3"/>
  <c r="M3154" i="3" s="1"/>
  <c r="P3154" i="3"/>
  <c r="Q3154" i="3"/>
  <c r="R3154" i="3"/>
  <c r="L3155" i="3"/>
  <c r="M3155" i="3" s="1"/>
  <c r="N3155" i="3" s="1"/>
  <c r="P3155" i="3"/>
  <c r="Q3155" i="3"/>
  <c r="R3155" i="3"/>
  <c r="L3156" i="3"/>
  <c r="M3156" i="3" s="1"/>
  <c r="P3156" i="3"/>
  <c r="Q3156" i="3"/>
  <c r="R3156" i="3"/>
  <c r="L3157" i="3"/>
  <c r="M3157" i="3" s="1"/>
  <c r="P3157" i="3"/>
  <c r="Q3157" i="3"/>
  <c r="R3157" i="3"/>
  <c r="L3158" i="3"/>
  <c r="M3158" i="3" s="1"/>
  <c r="N3158" i="3" s="1"/>
  <c r="P3158" i="3"/>
  <c r="Q3158" i="3"/>
  <c r="R3158" i="3"/>
  <c r="L3159" i="3"/>
  <c r="M3159" i="3" s="1"/>
  <c r="N3159" i="3" s="1"/>
  <c r="P3159" i="3"/>
  <c r="Q3159" i="3"/>
  <c r="R3159" i="3"/>
  <c r="L3160" i="3"/>
  <c r="M3160" i="3" s="1"/>
  <c r="N3160" i="3" s="1"/>
  <c r="O3160" i="3" s="1"/>
  <c r="P3160" i="3"/>
  <c r="Q3160" i="3"/>
  <c r="R3160" i="3"/>
  <c r="L3161" i="3"/>
  <c r="P3161" i="3"/>
  <c r="Q3161" i="3"/>
  <c r="R3161" i="3"/>
  <c r="L3162" i="3"/>
  <c r="M3162" i="3" s="1"/>
  <c r="P3162" i="3"/>
  <c r="Q3162" i="3"/>
  <c r="R3162" i="3"/>
  <c r="L3163" i="3"/>
  <c r="M3163" i="3" s="1"/>
  <c r="P3163" i="3"/>
  <c r="Q3163" i="3"/>
  <c r="R3163" i="3"/>
  <c r="L3164" i="3"/>
  <c r="M3164" i="3" s="1"/>
  <c r="N3164" i="3" s="1"/>
  <c r="P3164" i="3"/>
  <c r="Q3164" i="3"/>
  <c r="R3164" i="3"/>
  <c r="L3165" i="3"/>
  <c r="M3165" i="3" s="1"/>
  <c r="P3165" i="3"/>
  <c r="Q3165" i="3"/>
  <c r="R3165" i="3"/>
  <c r="L3166" i="3"/>
  <c r="P3166" i="3"/>
  <c r="Q3166" i="3"/>
  <c r="R3166" i="3"/>
  <c r="L3167" i="3"/>
  <c r="M3167" i="3" s="1"/>
  <c r="P3167" i="3"/>
  <c r="Q3167" i="3"/>
  <c r="R3167" i="3"/>
  <c r="L3168" i="3"/>
  <c r="M3168" i="3" s="1"/>
  <c r="P3168" i="3"/>
  <c r="Q3168" i="3"/>
  <c r="R3168" i="3"/>
  <c r="L3169" i="3"/>
  <c r="M3169" i="3" s="1"/>
  <c r="P3169" i="3"/>
  <c r="Q3169" i="3"/>
  <c r="R3169" i="3"/>
  <c r="L3170" i="3"/>
  <c r="M3170" i="3" s="1"/>
  <c r="P3170" i="3"/>
  <c r="Q3170" i="3"/>
  <c r="R3170" i="3"/>
  <c r="L3171" i="3"/>
  <c r="M3171" i="3" s="1"/>
  <c r="P3171" i="3"/>
  <c r="Q3171" i="3"/>
  <c r="R3171" i="3"/>
  <c r="L3172" i="3"/>
  <c r="M3172" i="3" s="1"/>
  <c r="P3172" i="3"/>
  <c r="Q3172" i="3"/>
  <c r="R3172" i="3"/>
  <c r="L3173" i="3"/>
  <c r="M3173" i="3" s="1"/>
  <c r="P3173" i="3"/>
  <c r="Q3173" i="3"/>
  <c r="R3173" i="3"/>
  <c r="L3174" i="3"/>
  <c r="M3174" i="3" s="1"/>
  <c r="P3174" i="3"/>
  <c r="Q3174" i="3"/>
  <c r="R3174" i="3"/>
  <c r="L3175" i="3"/>
  <c r="M3175" i="3" s="1"/>
  <c r="P3175" i="3"/>
  <c r="Q3175" i="3"/>
  <c r="R3175" i="3"/>
  <c r="L3176" i="3"/>
  <c r="M3176" i="3" s="1"/>
  <c r="N3176" i="3" s="1"/>
  <c r="P3176" i="3"/>
  <c r="Q3176" i="3"/>
  <c r="R3176" i="3"/>
  <c r="L3177" i="3"/>
  <c r="M3177" i="3" s="1"/>
  <c r="P3177" i="3"/>
  <c r="Q3177" i="3"/>
  <c r="R3177" i="3"/>
  <c r="L3178" i="3"/>
  <c r="P3178" i="3"/>
  <c r="Q3178" i="3"/>
  <c r="R3178" i="3"/>
  <c r="L3179" i="3"/>
  <c r="M3179" i="3" s="1"/>
  <c r="N3179" i="3" s="1"/>
  <c r="P3179" i="3"/>
  <c r="Q3179" i="3"/>
  <c r="R3179" i="3"/>
  <c r="L3180" i="3"/>
  <c r="M3180" i="3" s="1"/>
  <c r="P3180" i="3"/>
  <c r="Q3180" i="3"/>
  <c r="R3180" i="3"/>
  <c r="L3181" i="3"/>
  <c r="M3181" i="3" s="1"/>
  <c r="N3181" i="3" s="1"/>
  <c r="P3181" i="3"/>
  <c r="Q3181" i="3"/>
  <c r="R3181" i="3"/>
  <c r="L3182" i="3"/>
  <c r="M3182" i="3" s="1"/>
  <c r="N3182" i="3" s="1"/>
  <c r="P3182" i="3"/>
  <c r="Q3182" i="3"/>
  <c r="R3182" i="3"/>
  <c r="L3183" i="3"/>
  <c r="M3183" i="3" s="1"/>
  <c r="P3183" i="3"/>
  <c r="Q3183" i="3"/>
  <c r="R3183" i="3"/>
  <c r="L3184" i="3"/>
  <c r="M3184" i="3" s="1"/>
  <c r="N3184" i="3" s="1"/>
  <c r="P3184" i="3"/>
  <c r="Q3184" i="3"/>
  <c r="R3184" i="3"/>
  <c r="L3185" i="3"/>
  <c r="M3185" i="3" s="1"/>
  <c r="P3185" i="3"/>
  <c r="Q3185" i="3"/>
  <c r="R3185" i="3"/>
  <c r="L3186" i="3"/>
  <c r="M3186" i="3" s="1"/>
  <c r="P3186" i="3"/>
  <c r="Q3186" i="3"/>
  <c r="R3186" i="3"/>
  <c r="L3187" i="3"/>
  <c r="M3187" i="3" s="1"/>
  <c r="N3187" i="3" s="1"/>
  <c r="P3187" i="3"/>
  <c r="Q3187" i="3"/>
  <c r="R3187" i="3"/>
  <c r="L3188" i="3"/>
  <c r="M3188" i="3" s="1"/>
  <c r="P3188" i="3"/>
  <c r="Q3188" i="3"/>
  <c r="R3188" i="3"/>
  <c r="L3189" i="3"/>
  <c r="P3189" i="3"/>
  <c r="Q3189" i="3"/>
  <c r="R3189" i="3"/>
  <c r="L3190" i="3"/>
  <c r="M3190" i="3" s="1"/>
  <c r="P3190" i="3"/>
  <c r="Q3190" i="3"/>
  <c r="R3190" i="3"/>
  <c r="L3191" i="3"/>
  <c r="M3191" i="3" s="1"/>
  <c r="P3191" i="3"/>
  <c r="Q3191" i="3"/>
  <c r="R3191" i="3"/>
  <c r="L3192" i="3"/>
  <c r="M3192" i="3" s="1"/>
  <c r="N3192" i="3" s="1"/>
  <c r="O3192" i="3" s="1"/>
  <c r="P3192" i="3"/>
  <c r="Q3192" i="3"/>
  <c r="R3192" i="3"/>
  <c r="L3193" i="3"/>
  <c r="M3193" i="3" s="1"/>
  <c r="P3193" i="3"/>
  <c r="Q3193" i="3"/>
  <c r="R3193" i="3"/>
  <c r="L3194" i="3"/>
  <c r="M3194" i="3" s="1"/>
  <c r="P3194" i="3"/>
  <c r="Q3194" i="3"/>
  <c r="R3194" i="3"/>
  <c r="L3195" i="3"/>
  <c r="P3195" i="3"/>
  <c r="Q3195" i="3"/>
  <c r="R3195" i="3"/>
  <c r="L3196" i="3"/>
  <c r="M3196" i="3" s="1"/>
  <c r="P3196" i="3"/>
  <c r="Q3196" i="3"/>
  <c r="R3196" i="3"/>
  <c r="L3197" i="3"/>
  <c r="P3197" i="3"/>
  <c r="Q3197" i="3"/>
  <c r="R3197" i="3"/>
  <c r="L3198" i="3"/>
  <c r="M3198" i="3" s="1"/>
  <c r="P3198" i="3"/>
  <c r="Q3198" i="3"/>
  <c r="R3198" i="3"/>
  <c r="L3199" i="3"/>
  <c r="M3199" i="3" s="1"/>
  <c r="N3199" i="3" s="1"/>
  <c r="P3199" i="3"/>
  <c r="Q3199" i="3"/>
  <c r="R3199" i="3"/>
  <c r="L3200" i="3"/>
  <c r="M3200" i="3" s="1"/>
  <c r="N3200" i="3" s="1"/>
  <c r="O3200" i="3" s="1"/>
  <c r="P3200" i="3"/>
  <c r="Q3200" i="3"/>
  <c r="R3200" i="3"/>
  <c r="L3201" i="3"/>
  <c r="M3201" i="3" s="1"/>
  <c r="P3201" i="3"/>
  <c r="Q3201" i="3"/>
  <c r="R3201" i="3"/>
  <c r="L3202" i="3"/>
  <c r="M3202" i="3" s="1"/>
  <c r="P3202" i="3"/>
  <c r="Q3202" i="3"/>
  <c r="R3202" i="3"/>
  <c r="L3203" i="3"/>
  <c r="M3203" i="3" s="1"/>
  <c r="P3203" i="3"/>
  <c r="Q3203" i="3"/>
  <c r="R3203" i="3"/>
  <c r="L3204" i="3"/>
  <c r="M3204" i="3" s="1"/>
  <c r="N3204" i="3" s="1"/>
  <c r="P3204" i="3"/>
  <c r="Q3204" i="3"/>
  <c r="R3204" i="3"/>
  <c r="L3205" i="3"/>
  <c r="M3205" i="3" s="1"/>
  <c r="N3205" i="3" s="1"/>
  <c r="P3205" i="3"/>
  <c r="Q3205" i="3"/>
  <c r="R3205" i="3"/>
  <c r="L3206" i="3"/>
  <c r="M3206" i="3" s="1"/>
  <c r="P3206" i="3"/>
  <c r="Q3206" i="3"/>
  <c r="R3206" i="3"/>
  <c r="L3207" i="3"/>
  <c r="P3207" i="3"/>
  <c r="Q3207" i="3"/>
  <c r="R3207" i="3"/>
  <c r="L3208" i="3"/>
  <c r="M3208" i="3" s="1"/>
  <c r="P3208" i="3"/>
  <c r="Q3208" i="3"/>
  <c r="R3208" i="3"/>
  <c r="L3209" i="3"/>
  <c r="M3209" i="3" s="1"/>
  <c r="P3209" i="3"/>
  <c r="Q3209" i="3"/>
  <c r="R3209" i="3"/>
  <c r="L3210" i="3"/>
  <c r="M3210" i="3" s="1"/>
  <c r="P3210" i="3"/>
  <c r="Q3210" i="3"/>
  <c r="R3210" i="3"/>
  <c r="L3211" i="3"/>
  <c r="M3211" i="3" s="1"/>
  <c r="N3211" i="3" s="1"/>
  <c r="P3211" i="3"/>
  <c r="Q3211" i="3"/>
  <c r="R3211" i="3"/>
  <c r="L3212" i="3"/>
  <c r="P3212" i="3"/>
  <c r="Q3212" i="3"/>
  <c r="R3212" i="3"/>
  <c r="L3213" i="3"/>
  <c r="M3213" i="3" s="1"/>
  <c r="P3213" i="3"/>
  <c r="Q3213" i="3"/>
  <c r="R3213" i="3"/>
  <c r="L3214" i="3"/>
  <c r="M3214" i="3" s="1"/>
  <c r="N3214" i="3" s="1"/>
  <c r="P3214" i="3"/>
  <c r="Q3214" i="3"/>
  <c r="R3214" i="3"/>
  <c r="L3215" i="3"/>
  <c r="M3215" i="3" s="1"/>
  <c r="P3215" i="3"/>
  <c r="Q3215" i="3"/>
  <c r="R3215" i="3"/>
  <c r="L3216" i="3"/>
  <c r="M3216" i="3" s="1"/>
  <c r="P3216" i="3"/>
  <c r="Q3216" i="3"/>
  <c r="R3216" i="3"/>
  <c r="L3217" i="3"/>
  <c r="M3217" i="3" s="1"/>
  <c r="P3217" i="3"/>
  <c r="Q3217" i="3"/>
  <c r="R3217" i="3"/>
  <c r="L3218" i="3"/>
  <c r="M3218" i="3" s="1"/>
  <c r="P3218" i="3"/>
  <c r="Q3218" i="3"/>
  <c r="R3218" i="3"/>
  <c r="L3219" i="3"/>
  <c r="M3219" i="3" s="1"/>
  <c r="N3219" i="3" s="1"/>
  <c r="P3219" i="3"/>
  <c r="Q3219" i="3"/>
  <c r="R3219" i="3"/>
  <c r="L3220" i="3"/>
  <c r="M3220" i="3" s="1"/>
  <c r="P3220" i="3"/>
  <c r="Q3220" i="3"/>
  <c r="R3220" i="3"/>
  <c r="L3221" i="3"/>
  <c r="M3221" i="3" s="1"/>
  <c r="P3221" i="3"/>
  <c r="Q3221" i="3"/>
  <c r="R3221" i="3"/>
  <c r="L3222" i="3"/>
  <c r="M3222" i="3" s="1"/>
  <c r="N3222" i="3" s="1"/>
  <c r="P3222" i="3"/>
  <c r="Q3222" i="3"/>
  <c r="R3222" i="3"/>
  <c r="L3223" i="3"/>
  <c r="M3223" i="3" s="1"/>
  <c r="N3223" i="3" s="1"/>
  <c r="P3223" i="3"/>
  <c r="Q3223" i="3"/>
  <c r="R3223" i="3"/>
  <c r="L3224" i="3"/>
  <c r="M3224" i="3" s="1"/>
  <c r="N3224" i="3" s="1"/>
  <c r="O3224" i="3" s="1"/>
  <c r="P3224" i="3"/>
  <c r="Q3224" i="3"/>
  <c r="R3224" i="3"/>
  <c r="L3225" i="3"/>
  <c r="P3225" i="3"/>
  <c r="Q3225" i="3"/>
  <c r="R3225" i="3"/>
  <c r="L3226" i="3"/>
  <c r="M3226" i="3" s="1"/>
  <c r="P3226" i="3"/>
  <c r="Q3226" i="3"/>
  <c r="R3226" i="3"/>
  <c r="L3227" i="3"/>
  <c r="M3227" i="3" s="1"/>
  <c r="P3227" i="3"/>
  <c r="Q3227" i="3"/>
  <c r="R3227" i="3"/>
  <c r="L3228" i="3"/>
  <c r="M3228" i="3" s="1"/>
  <c r="N3228" i="3" s="1"/>
  <c r="P3228" i="3"/>
  <c r="Q3228" i="3"/>
  <c r="R3228" i="3"/>
  <c r="L3229" i="3"/>
  <c r="M3229" i="3" s="1"/>
  <c r="P3229" i="3"/>
  <c r="Q3229" i="3"/>
  <c r="R3229" i="3"/>
  <c r="L3230" i="3"/>
  <c r="P3230" i="3"/>
  <c r="Q3230" i="3"/>
  <c r="R3230" i="3"/>
  <c r="L3231" i="3"/>
  <c r="M3231" i="3" s="1"/>
  <c r="P3231" i="3"/>
  <c r="Q3231" i="3"/>
  <c r="R3231" i="3"/>
  <c r="L3232" i="3"/>
  <c r="M3232" i="3" s="1"/>
  <c r="N3232" i="3" s="1"/>
  <c r="O3232" i="3" s="1"/>
  <c r="P3232" i="3"/>
  <c r="Q3232" i="3"/>
  <c r="R3232" i="3"/>
  <c r="L3233" i="3"/>
  <c r="M3233" i="3" s="1"/>
  <c r="P3233" i="3"/>
  <c r="Q3233" i="3"/>
  <c r="R3233" i="3"/>
  <c r="L3234" i="3"/>
  <c r="M3234" i="3" s="1"/>
  <c r="P3234" i="3"/>
  <c r="Q3234" i="3"/>
  <c r="R3234" i="3"/>
  <c r="L3235" i="3"/>
  <c r="M3235" i="3" s="1"/>
  <c r="P3235" i="3"/>
  <c r="Q3235" i="3"/>
  <c r="R3235" i="3"/>
  <c r="L3236" i="3"/>
  <c r="M3236" i="3" s="1"/>
  <c r="P3236" i="3"/>
  <c r="Q3236" i="3"/>
  <c r="R3236" i="3"/>
  <c r="L3237" i="3"/>
  <c r="M3237" i="3" s="1"/>
  <c r="P3237" i="3"/>
  <c r="Q3237" i="3"/>
  <c r="R3237" i="3"/>
  <c r="L3238" i="3"/>
  <c r="M3238" i="3" s="1"/>
  <c r="P3238" i="3"/>
  <c r="Q3238" i="3"/>
  <c r="R3238" i="3"/>
  <c r="L3239" i="3"/>
  <c r="M3239" i="3" s="1"/>
  <c r="P3239" i="3"/>
  <c r="Q3239" i="3"/>
  <c r="R3239" i="3"/>
  <c r="L3240" i="3"/>
  <c r="M3240" i="3" s="1"/>
  <c r="N3240" i="3" s="1"/>
  <c r="P3240" i="3"/>
  <c r="Q3240" i="3"/>
  <c r="R3240" i="3"/>
  <c r="L3241" i="3"/>
  <c r="M3241" i="3" s="1"/>
  <c r="P3241" i="3"/>
  <c r="Q3241" i="3"/>
  <c r="R3241" i="3"/>
  <c r="L3242" i="3"/>
  <c r="P3242" i="3"/>
  <c r="Q3242" i="3"/>
  <c r="R3242" i="3"/>
  <c r="L3243" i="3"/>
  <c r="P3243" i="3"/>
  <c r="Q3243" i="3"/>
  <c r="R3243" i="3"/>
  <c r="L3244" i="3"/>
  <c r="M3244" i="3" s="1"/>
  <c r="P3244" i="3"/>
  <c r="Q3244" i="3"/>
  <c r="R3244" i="3"/>
  <c r="L3245" i="3"/>
  <c r="M3245" i="3" s="1"/>
  <c r="N3245" i="3" s="1"/>
  <c r="P3245" i="3"/>
  <c r="Q3245" i="3"/>
  <c r="R3245" i="3"/>
  <c r="L3246" i="3"/>
  <c r="M3246" i="3" s="1"/>
  <c r="N3246" i="3" s="1"/>
  <c r="P3246" i="3"/>
  <c r="Q3246" i="3"/>
  <c r="R3246" i="3"/>
  <c r="L3247" i="3"/>
  <c r="M3247" i="3" s="1"/>
  <c r="P3247" i="3"/>
  <c r="Q3247" i="3"/>
  <c r="R3247" i="3"/>
  <c r="L3248" i="3"/>
  <c r="M3248" i="3" s="1"/>
  <c r="N3248" i="3" s="1"/>
  <c r="P3248" i="3"/>
  <c r="Q3248" i="3"/>
  <c r="R3248" i="3"/>
  <c r="L3249" i="3"/>
  <c r="M3249" i="3" s="1"/>
  <c r="P3249" i="3"/>
  <c r="Q3249" i="3"/>
  <c r="R3249" i="3"/>
  <c r="L3250" i="3"/>
  <c r="M3250" i="3" s="1"/>
  <c r="P3250" i="3"/>
  <c r="Q3250" i="3"/>
  <c r="R3250" i="3"/>
  <c r="L3251" i="3"/>
  <c r="M3251" i="3" s="1"/>
  <c r="N3251" i="3" s="1"/>
  <c r="P3251" i="3"/>
  <c r="Q3251" i="3"/>
  <c r="R3251" i="3"/>
  <c r="L3252" i="3"/>
  <c r="M3252" i="3" s="1"/>
  <c r="P3252" i="3"/>
  <c r="Q3252" i="3"/>
  <c r="R3252" i="3"/>
  <c r="L3253" i="3"/>
  <c r="P3253" i="3"/>
  <c r="Q3253" i="3"/>
  <c r="R3253" i="3"/>
  <c r="L3254" i="3"/>
  <c r="M3254" i="3" s="1"/>
  <c r="P3254" i="3"/>
  <c r="Q3254" i="3"/>
  <c r="R3254" i="3"/>
  <c r="L3255" i="3"/>
  <c r="M3255" i="3" s="1"/>
  <c r="P3255" i="3"/>
  <c r="Q3255" i="3"/>
  <c r="R3255" i="3"/>
  <c r="L3256" i="3"/>
  <c r="M3256" i="3" s="1"/>
  <c r="N3256" i="3" s="1"/>
  <c r="P3256" i="3"/>
  <c r="Q3256" i="3"/>
  <c r="R3256" i="3"/>
  <c r="L3257" i="3"/>
  <c r="M3257" i="3" s="1"/>
  <c r="P3257" i="3"/>
  <c r="Q3257" i="3"/>
  <c r="R3257" i="3"/>
  <c r="L3258" i="3"/>
  <c r="M3258" i="3" s="1"/>
  <c r="P3258" i="3"/>
  <c r="Q3258" i="3"/>
  <c r="R3258" i="3"/>
  <c r="L3259" i="3"/>
  <c r="M3259" i="3" s="1"/>
  <c r="P3259" i="3"/>
  <c r="Q3259" i="3"/>
  <c r="R3259" i="3"/>
  <c r="L3260" i="3"/>
  <c r="M3260" i="3" s="1"/>
  <c r="P3260" i="3"/>
  <c r="Q3260" i="3"/>
  <c r="R3260" i="3"/>
  <c r="L3261" i="3"/>
  <c r="M3261" i="3" s="1"/>
  <c r="P3261" i="3"/>
  <c r="Q3261" i="3"/>
  <c r="R3261" i="3"/>
  <c r="L3262" i="3"/>
  <c r="P3262" i="3"/>
  <c r="Q3262" i="3"/>
  <c r="R3262" i="3"/>
  <c r="L3263" i="3"/>
  <c r="M3263" i="3" s="1"/>
  <c r="P3263" i="3"/>
  <c r="Q3263" i="3"/>
  <c r="R3263" i="3"/>
  <c r="L3264" i="3"/>
  <c r="M3264" i="3" s="1"/>
  <c r="N3264" i="3" s="1"/>
  <c r="O3264" i="3" s="1"/>
  <c r="P3264" i="3"/>
  <c r="Q3264" i="3"/>
  <c r="R3264" i="3"/>
  <c r="L3265" i="3"/>
  <c r="P3265" i="3"/>
  <c r="Q3265" i="3"/>
  <c r="R3265" i="3"/>
  <c r="L3266" i="3"/>
  <c r="M3266" i="3" s="1"/>
  <c r="P3266" i="3"/>
  <c r="Q3266" i="3"/>
  <c r="R3266" i="3"/>
  <c r="L3267" i="3"/>
  <c r="M3267" i="3" s="1"/>
  <c r="P3267" i="3"/>
  <c r="Q3267" i="3"/>
  <c r="R3267" i="3"/>
  <c r="L3268" i="3"/>
  <c r="M3268" i="3" s="1"/>
  <c r="P3268" i="3"/>
  <c r="Q3268" i="3"/>
  <c r="R3268" i="3"/>
  <c r="L3269" i="3"/>
  <c r="M3269" i="3" s="1"/>
  <c r="P3269" i="3"/>
  <c r="Q3269" i="3"/>
  <c r="R3269" i="3"/>
  <c r="L3270" i="3"/>
  <c r="P3270" i="3"/>
  <c r="Q3270" i="3"/>
  <c r="R3270" i="3"/>
  <c r="L3271" i="3"/>
  <c r="M3271" i="3" s="1"/>
  <c r="P3271" i="3"/>
  <c r="Q3271" i="3"/>
  <c r="R3271" i="3"/>
  <c r="L3272" i="3"/>
  <c r="M3272" i="3" s="1"/>
  <c r="P3272" i="3"/>
  <c r="Q3272" i="3"/>
  <c r="R3272" i="3"/>
  <c r="L3273" i="3"/>
  <c r="M3273" i="3" s="1"/>
  <c r="P3273" i="3"/>
  <c r="Q3273" i="3"/>
  <c r="R3273" i="3"/>
  <c r="L3274" i="3"/>
  <c r="M3274" i="3" s="1"/>
  <c r="P3274" i="3"/>
  <c r="Q3274" i="3"/>
  <c r="R3274" i="3"/>
  <c r="L3275" i="3"/>
  <c r="M3275" i="3" s="1"/>
  <c r="N3275" i="3" s="1"/>
  <c r="P3275" i="3"/>
  <c r="Q3275" i="3"/>
  <c r="R3275" i="3"/>
  <c r="L3276" i="3"/>
  <c r="M3276" i="3" s="1"/>
  <c r="P3276" i="3"/>
  <c r="Q3276" i="3"/>
  <c r="R3276" i="3"/>
  <c r="L3277" i="3"/>
  <c r="P3277" i="3"/>
  <c r="Q3277" i="3"/>
  <c r="R3277" i="3"/>
  <c r="L3278" i="3"/>
  <c r="M3278" i="3" s="1"/>
  <c r="P3278" i="3"/>
  <c r="Q3278" i="3"/>
  <c r="R3278" i="3"/>
  <c r="L3279" i="3"/>
  <c r="M3279" i="3" s="1"/>
  <c r="P3279" i="3"/>
  <c r="Q3279" i="3"/>
  <c r="R3279" i="3"/>
  <c r="L3280" i="3"/>
  <c r="M3280" i="3" s="1"/>
  <c r="P3280" i="3"/>
  <c r="Q3280" i="3"/>
  <c r="R3280" i="3"/>
  <c r="L3281" i="3"/>
  <c r="M3281" i="3" s="1"/>
  <c r="P3281" i="3"/>
  <c r="Q3281" i="3"/>
  <c r="R3281" i="3"/>
  <c r="L3282" i="3"/>
  <c r="M3282" i="3" s="1"/>
  <c r="P3282" i="3"/>
  <c r="Q3282" i="3"/>
  <c r="R3282" i="3"/>
  <c r="L3283" i="3"/>
  <c r="M3283" i="3" s="1"/>
  <c r="P3283" i="3"/>
  <c r="Q3283" i="3"/>
  <c r="R3283" i="3"/>
  <c r="L3284" i="3"/>
  <c r="M3284" i="3" s="1"/>
  <c r="P3284" i="3"/>
  <c r="Q3284" i="3"/>
  <c r="R3284" i="3"/>
  <c r="L3285" i="3"/>
  <c r="M3285" i="3" s="1"/>
  <c r="P3285" i="3"/>
  <c r="Q3285" i="3"/>
  <c r="R3285" i="3"/>
  <c r="L3286" i="3"/>
  <c r="P3286" i="3"/>
  <c r="Q3286" i="3"/>
  <c r="R3286" i="3"/>
  <c r="L3287" i="3"/>
  <c r="P3287" i="3"/>
  <c r="Q3287" i="3"/>
  <c r="R3287" i="3"/>
  <c r="L3288" i="3"/>
  <c r="M3288" i="3" s="1"/>
  <c r="P3288" i="3"/>
  <c r="Q3288" i="3"/>
  <c r="R3288" i="3"/>
  <c r="L3289" i="3"/>
  <c r="M3289" i="3" s="1"/>
  <c r="P3289" i="3"/>
  <c r="Q3289" i="3"/>
  <c r="R3289" i="3"/>
  <c r="L3290" i="3"/>
  <c r="M3290" i="3" s="1"/>
  <c r="N3290" i="3" s="1"/>
  <c r="P3290" i="3"/>
  <c r="Q3290" i="3"/>
  <c r="R3290" i="3"/>
  <c r="L3291" i="3"/>
  <c r="M3291" i="3" s="1"/>
  <c r="P3291" i="3"/>
  <c r="Q3291" i="3"/>
  <c r="R3291" i="3"/>
  <c r="L3292" i="3"/>
  <c r="M3292" i="3" s="1"/>
  <c r="P3292" i="3"/>
  <c r="Q3292" i="3"/>
  <c r="R3292" i="3"/>
  <c r="L3293" i="3"/>
  <c r="M3293" i="3" s="1"/>
  <c r="P3293" i="3"/>
  <c r="Q3293" i="3"/>
  <c r="R3293" i="3"/>
  <c r="L3294" i="3"/>
  <c r="M3294" i="3" s="1"/>
  <c r="P3294" i="3"/>
  <c r="Q3294" i="3"/>
  <c r="R3294" i="3"/>
  <c r="L3295" i="3"/>
  <c r="P3295" i="3"/>
  <c r="Q3295" i="3"/>
  <c r="R3295" i="3"/>
  <c r="L3296" i="3"/>
  <c r="P3296" i="3"/>
  <c r="Q3296" i="3"/>
  <c r="R3296" i="3"/>
  <c r="L3297" i="3"/>
  <c r="M3297" i="3" s="1"/>
  <c r="P3297" i="3"/>
  <c r="Q3297" i="3"/>
  <c r="R3297" i="3"/>
  <c r="L3298" i="3"/>
  <c r="P3298" i="3"/>
  <c r="Q3298" i="3"/>
  <c r="R3298" i="3"/>
  <c r="L3299" i="3"/>
  <c r="M3299" i="3" s="1"/>
  <c r="P3299" i="3"/>
  <c r="Q3299" i="3"/>
  <c r="R3299" i="3"/>
  <c r="L3300" i="3"/>
  <c r="P3300" i="3"/>
  <c r="Q3300" i="3"/>
  <c r="R3300" i="3"/>
  <c r="L3301" i="3"/>
  <c r="M3301" i="3" s="1"/>
  <c r="P3301" i="3"/>
  <c r="Q3301" i="3"/>
  <c r="R3301" i="3"/>
  <c r="L3302" i="3"/>
  <c r="M3302" i="3" s="1"/>
  <c r="P3302" i="3"/>
  <c r="Q3302" i="3"/>
  <c r="R3302" i="3"/>
  <c r="L3303" i="3"/>
  <c r="M3303" i="3" s="1"/>
  <c r="P3303" i="3"/>
  <c r="Q3303" i="3"/>
  <c r="R3303" i="3"/>
  <c r="L3304" i="3"/>
  <c r="M3304" i="3" s="1"/>
  <c r="P3304" i="3"/>
  <c r="Q3304" i="3"/>
  <c r="R3304" i="3"/>
  <c r="L3305" i="3"/>
  <c r="M3305" i="3" s="1"/>
  <c r="P3305" i="3"/>
  <c r="Q3305" i="3"/>
  <c r="R3305" i="3"/>
  <c r="L3306" i="3"/>
  <c r="M3306" i="3" s="1"/>
  <c r="P3306" i="3"/>
  <c r="Q3306" i="3"/>
  <c r="R3306" i="3"/>
  <c r="L3307" i="3"/>
  <c r="P3307" i="3"/>
  <c r="Q3307" i="3"/>
  <c r="R3307" i="3"/>
  <c r="L3308" i="3"/>
  <c r="M3308" i="3" s="1"/>
  <c r="P3308" i="3"/>
  <c r="Q3308" i="3"/>
  <c r="R3308" i="3"/>
  <c r="L3309" i="3"/>
  <c r="M3309" i="3" s="1"/>
  <c r="P3309" i="3"/>
  <c r="Q3309" i="3"/>
  <c r="R3309" i="3"/>
  <c r="L3310" i="3"/>
  <c r="M3310" i="3" s="1"/>
  <c r="P3310" i="3"/>
  <c r="Q3310" i="3"/>
  <c r="R3310" i="3"/>
  <c r="L3311" i="3"/>
  <c r="M3311" i="3" s="1"/>
  <c r="P3311" i="3"/>
  <c r="Q3311" i="3"/>
  <c r="R3311" i="3"/>
  <c r="L3312" i="3"/>
  <c r="M3312" i="3" s="1"/>
  <c r="P3312" i="3"/>
  <c r="Q3312" i="3"/>
  <c r="R3312" i="3"/>
  <c r="L3313" i="3"/>
  <c r="P3313" i="3"/>
  <c r="Q3313" i="3"/>
  <c r="R3313" i="3"/>
  <c r="L3314" i="3"/>
  <c r="M3314" i="3" s="1"/>
  <c r="N3314" i="3" s="1"/>
  <c r="P3314" i="3"/>
  <c r="Q3314" i="3"/>
  <c r="R3314" i="3"/>
  <c r="L3315" i="3"/>
  <c r="M3315" i="3" s="1"/>
  <c r="N3315" i="3" s="1"/>
  <c r="O3315" i="3" s="1"/>
  <c r="P3315" i="3"/>
  <c r="Q3315" i="3"/>
  <c r="R3315" i="3"/>
  <c r="L3316" i="3"/>
  <c r="P3316" i="3"/>
  <c r="Q3316" i="3"/>
  <c r="R3316" i="3"/>
  <c r="L3317" i="3"/>
  <c r="M3317" i="3" s="1"/>
  <c r="P3317" i="3"/>
  <c r="Q3317" i="3"/>
  <c r="R3317" i="3"/>
  <c r="L3318" i="3"/>
  <c r="M3318" i="3" s="1"/>
  <c r="P3318" i="3"/>
  <c r="Q3318" i="3"/>
  <c r="R3318" i="3"/>
  <c r="L3319" i="3"/>
  <c r="M3319" i="3" s="1"/>
  <c r="N3319" i="3" s="1"/>
  <c r="P3319" i="3"/>
  <c r="Q3319" i="3"/>
  <c r="R3319" i="3"/>
  <c r="L3320" i="3"/>
  <c r="P3320" i="3"/>
  <c r="Q3320" i="3"/>
  <c r="R3320" i="3"/>
  <c r="L3321" i="3"/>
  <c r="P3321" i="3"/>
  <c r="Q3321" i="3"/>
  <c r="R3321" i="3"/>
  <c r="L3322" i="3"/>
  <c r="M3322" i="3" s="1"/>
  <c r="P3322" i="3"/>
  <c r="Q3322" i="3"/>
  <c r="R3322" i="3"/>
  <c r="L3323" i="3"/>
  <c r="M3323" i="3" s="1"/>
  <c r="N3323" i="3" s="1"/>
  <c r="P3323" i="3"/>
  <c r="Q3323" i="3"/>
  <c r="R3323" i="3"/>
  <c r="L3324" i="3"/>
  <c r="M3324" i="3" s="1"/>
  <c r="P3324" i="3"/>
  <c r="Q3324" i="3"/>
  <c r="R3324" i="3"/>
  <c r="L3325" i="3"/>
  <c r="M3325" i="3" s="1"/>
  <c r="P3325" i="3"/>
  <c r="Q3325" i="3"/>
  <c r="R3325" i="3"/>
  <c r="L3326" i="3"/>
  <c r="M3326" i="3" s="1"/>
  <c r="N3326" i="3" s="1"/>
  <c r="P3326" i="3"/>
  <c r="Q3326" i="3"/>
  <c r="R3326" i="3"/>
  <c r="L3327" i="3"/>
  <c r="M3327" i="3" s="1"/>
  <c r="P3327" i="3"/>
  <c r="Q3327" i="3"/>
  <c r="R3327" i="3"/>
  <c r="L3328" i="3"/>
  <c r="M3328" i="3" s="1"/>
  <c r="N3328" i="3" s="1"/>
  <c r="P3328" i="3"/>
  <c r="Q3328" i="3"/>
  <c r="R3328" i="3"/>
  <c r="L3329" i="3"/>
  <c r="M3329" i="3" s="1"/>
  <c r="N3329" i="3" s="1"/>
  <c r="O3329" i="3" s="1"/>
  <c r="P3329" i="3"/>
  <c r="Q3329" i="3"/>
  <c r="R3329" i="3"/>
  <c r="L3330" i="3"/>
  <c r="M3330" i="3" s="1"/>
  <c r="P3330" i="3"/>
  <c r="Q3330" i="3"/>
  <c r="R3330" i="3"/>
  <c r="L3331" i="3"/>
  <c r="M3331" i="3" s="1"/>
  <c r="N3331" i="3" s="1"/>
  <c r="P3331" i="3"/>
  <c r="Q3331" i="3"/>
  <c r="R3331" i="3"/>
  <c r="L3332" i="3"/>
  <c r="M3332" i="3" s="1"/>
  <c r="P3332" i="3"/>
  <c r="Q3332" i="3"/>
  <c r="R3332" i="3"/>
  <c r="L3333" i="3"/>
  <c r="P3333" i="3"/>
  <c r="Q3333" i="3"/>
  <c r="R3333" i="3"/>
  <c r="L3334" i="3"/>
  <c r="M3334" i="3" s="1"/>
  <c r="N3334" i="3" s="1"/>
  <c r="P3334" i="3"/>
  <c r="Q3334" i="3"/>
  <c r="R3334" i="3"/>
  <c r="L3335" i="3"/>
  <c r="M3335" i="3" s="1"/>
  <c r="P3335" i="3"/>
  <c r="Q3335" i="3"/>
  <c r="R3335" i="3"/>
  <c r="L3336" i="3"/>
  <c r="M3336" i="3" s="1"/>
  <c r="P3336" i="3"/>
  <c r="Q3336" i="3"/>
  <c r="R3336" i="3"/>
  <c r="L3337" i="3"/>
  <c r="M3337" i="3" s="1"/>
  <c r="P3337" i="3"/>
  <c r="Q3337" i="3"/>
  <c r="R3337" i="3"/>
  <c r="L3338" i="3"/>
  <c r="M3338" i="3" s="1"/>
  <c r="N3338" i="3" s="1"/>
  <c r="P3338" i="3"/>
  <c r="Q3338" i="3"/>
  <c r="R3338" i="3"/>
  <c r="L3339" i="3"/>
  <c r="M3339" i="3" s="1"/>
  <c r="P3339" i="3"/>
  <c r="Q3339" i="3"/>
  <c r="R3339" i="3"/>
  <c r="L3340" i="3"/>
  <c r="P3340" i="3"/>
  <c r="Q3340" i="3"/>
  <c r="R3340" i="3"/>
  <c r="L3341" i="3"/>
  <c r="M3341" i="3" s="1"/>
  <c r="P3341" i="3"/>
  <c r="Q3341" i="3"/>
  <c r="R3341" i="3"/>
  <c r="L3342" i="3"/>
  <c r="M3342" i="3" s="1"/>
  <c r="P3342" i="3"/>
  <c r="Q3342" i="3"/>
  <c r="R3342" i="3"/>
  <c r="L3343" i="3"/>
  <c r="M3343" i="3" s="1"/>
  <c r="N3343" i="3" s="1"/>
  <c r="P3343" i="3"/>
  <c r="Q3343" i="3"/>
  <c r="R3343" i="3"/>
  <c r="L3344" i="3"/>
  <c r="P3344" i="3"/>
  <c r="Q3344" i="3"/>
  <c r="R3344" i="3"/>
  <c r="L3345" i="3"/>
  <c r="M3345" i="3" s="1"/>
  <c r="P3345" i="3"/>
  <c r="Q3345" i="3"/>
  <c r="R3345" i="3"/>
  <c r="L3346" i="3"/>
  <c r="M3346" i="3" s="1"/>
  <c r="N3346" i="3" s="1"/>
  <c r="P3346" i="3"/>
  <c r="Q3346" i="3"/>
  <c r="R3346" i="3"/>
  <c r="L3347" i="3"/>
  <c r="M3347" i="3" s="1"/>
  <c r="N3347" i="3" s="1"/>
  <c r="P3347" i="3"/>
  <c r="Q3347" i="3"/>
  <c r="R3347" i="3"/>
  <c r="L3348" i="3"/>
  <c r="M3348" i="3" s="1"/>
  <c r="P3348" i="3"/>
  <c r="Q3348" i="3"/>
  <c r="R3348" i="3"/>
  <c r="L3349" i="3"/>
  <c r="M3349" i="3" s="1"/>
  <c r="P3349" i="3"/>
  <c r="Q3349" i="3"/>
  <c r="R3349" i="3"/>
  <c r="L3350" i="3"/>
  <c r="P3350" i="3"/>
  <c r="Q3350" i="3"/>
  <c r="R3350" i="3"/>
  <c r="L3351" i="3"/>
  <c r="M3351" i="3" s="1"/>
  <c r="P3351" i="3"/>
  <c r="Q3351" i="3"/>
  <c r="R3351" i="3"/>
  <c r="L3352" i="3"/>
  <c r="M3352" i="3" s="1"/>
  <c r="P3352" i="3"/>
  <c r="Q3352" i="3"/>
  <c r="R3352" i="3"/>
  <c r="L3353" i="3"/>
  <c r="M3353" i="3" s="1"/>
  <c r="P3353" i="3"/>
  <c r="Q3353" i="3"/>
  <c r="R3353" i="3"/>
  <c r="L3354" i="3"/>
  <c r="M3354" i="3" s="1"/>
  <c r="P3354" i="3"/>
  <c r="Q3354" i="3"/>
  <c r="R3354" i="3"/>
  <c r="L3355" i="3"/>
  <c r="M3355" i="3" s="1"/>
  <c r="N3355" i="3" s="1"/>
  <c r="P3355" i="3"/>
  <c r="Q3355" i="3"/>
  <c r="R3355" i="3"/>
  <c r="L3356" i="3"/>
  <c r="M3356" i="3" s="1"/>
  <c r="P3356" i="3"/>
  <c r="Q3356" i="3"/>
  <c r="R3356" i="3"/>
  <c r="L3357" i="3"/>
  <c r="M3357" i="3" s="1"/>
  <c r="P3357" i="3"/>
  <c r="Q3357" i="3"/>
  <c r="R3357" i="3"/>
  <c r="L3358" i="3"/>
  <c r="M3358" i="3" s="1"/>
  <c r="N3358" i="3" s="1"/>
  <c r="P3358" i="3"/>
  <c r="Q3358" i="3"/>
  <c r="R3358" i="3"/>
  <c r="L3359" i="3"/>
  <c r="M3359" i="3" s="1"/>
  <c r="P3359" i="3"/>
  <c r="Q3359" i="3"/>
  <c r="R3359" i="3"/>
  <c r="L3360" i="3"/>
  <c r="M3360" i="3" s="1"/>
  <c r="N3360" i="3" s="1"/>
  <c r="P3360" i="3"/>
  <c r="Q3360" i="3"/>
  <c r="R3360" i="3"/>
  <c r="L3361" i="3"/>
  <c r="M3361" i="3" s="1"/>
  <c r="N3361" i="3" s="1"/>
  <c r="O3361" i="3" s="1"/>
  <c r="P3361" i="3"/>
  <c r="Q3361" i="3"/>
  <c r="R3361" i="3"/>
  <c r="L3362" i="3"/>
  <c r="P3362" i="3"/>
  <c r="Q3362" i="3"/>
  <c r="R3362" i="3"/>
  <c r="L3363" i="3"/>
  <c r="M3363" i="3" s="1"/>
  <c r="P3363" i="3"/>
  <c r="Q3363" i="3"/>
  <c r="R3363" i="3"/>
  <c r="L3364" i="3"/>
  <c r="M3364" i="3" s="1"/>
  <c r="N3364" i="3" s="1"/>
  <c r="P3364" i="3"/>
  <c r="Q3364" i="3"/>
  <c r="R3364" i="3"/>
  <c r="L3365" i="3"/>
  <c r="M3365" i="3" s="1"/>
  <c r="P3365" i="3"/>
  <c r="Q3365" i="3"/>
  <c r="R3365" i="3"/>
  <c r="L3366" i="3"/>
  <c r="M3366" i="3" s="1"/>
  <c r="P3366" i="3"/>
  <c r="Q3366" i="3"/>
  <c r="R3366" i="3"/>
  <c r="L3367" i="3"/>
  <c r="M3367" i="3" s="1"/>
  <c r="P3367" i="3"/>
  <c r="Q3367" i="3"/>
  <c r="R3367" i="3"/>
  <c r="L3368" i="3"/>
  <c r="M3368" i="3" s="1"/>
  <c r="N3368" i="3" s="1"/>
  <c r="P3368" i="3"/>
  <c r="Q3368" i="3"/>
  <c r="R3368" i="3"/>
  <c r="L3369" i="3"/>
  <c r="M3369" i="3" s="1"/>
  <c r="N3369" i="3" s="1"/>
  <c r="O3369" i="3" s="1"/>
  <c r="P3369" i="3"/>
  <c r="Q3369" i="3"/>
  <c r="R3369" i="3"/>
  <c r="L3370" i="3"/>
  <c r="P3370" i="3"/>
  <c r="Q3370" i="3"/>
  <c r="R3370" i="3"/>
  <c r="L3371" i="3"/>
  <c r="M3371" i="3" s="1"/>
  <c r="P3371" i="3"/>
  <c r="Q3371" i="3"/>
  <c r="R3371" i="3"/>
  <c r="L3372" i="3"/>
  <c r="M3372" i="3" s="1"/>
  <c r="N3372" i="3" s="1"/>
  <c r="P3372" i="3"/>
  <c r="Q3372" i="3"/>
  <c r="R3372" i="3"/>
  <c r="L3373" i="3"/>
  <c r="M3373" i="3" s="1"/>
  <c r="P3373" i="3"/>
  <c r="Q3373" i="3"/>
  <c r="R3373" i="3"/>
  <c r="L3374" i="3"/>
  <c r="M3374" i="3" s="1"/>
  <c r="P3374" i="3"/>
  <c r="Q3374" i="3"/>
  <c r="R3374" i="3"/>
  <c r="L3375" i="3"/>
  <c r="M3375" i="3" s="1"/>
  <c r="P3375" i="3"/>
  <c r="Q3375" i="3"/>
  <c r="R3375" i="3"/>
  <c r="L3376" i="3"/>
  <c r="M3376" i="3" s="1"/>
  <c r="N3376" i="3" s="1"/>
  <c r="P3376" i="3"/>
  <c r="Q3376" i="3"/>
  <c r="R3376" i="3"/>
  <c r="L3377" i="3"/>
  <c r="M3377" i="3" s="1"/>
  <c r="N3377" i="3" s="1"/>
  <c r="O3377" i="3" s="1"/>
  <c r="P3377" i="3"/>
  <c r="Q3377" i="3"/>
  <c r="R3377" i="3"/>
  <c r="L3378" i="3"/>
  <c r="P3378" i="3"/>
  <c r="Q3378" i="3"/>
  <c r="R3378" i="3"/>
  <c r="L3379" i="3"/>
  <c r="M3379" i="3" s="1"/>
  <c r="P3379" i="3"/>
  <c r="Q3379" i="3"/>
  <c r="R3379" i="3"/>
  <c r="L3380" i="3"/>
  <c r="M3380" i="3" s="1"/>
  <c r="P3380" i="3"/>
  <c r="Q3380" i="3"/>
  <c r="R3380" i="3"/>
  <c r="L3381" i="3"/>
  <c r="M3381" i="3" s="1"/>
  <c r="N3381" i="3" s="1"/>
  <c r="O3381" i="3" s="1"/>
  <c r="P3381" i="3"/>
  <c r="Q3381" i="3"/>
  <c r="R3381" i="3"/>
  <c r="L3382" i="3"/>
  <c r="P3382" i="3"/>
  <c r="Q3382" i="3"/>
  <c r="R3382" i="3"/>
  <c r="L3383" i="3"/>
  <c r="M3383" i="3" s="1"/>
  <c r="P3383" i="3"/>
  <c r="Q3383" i="3"/>
  <c r="R3383" i="3"/>
  <c r="L3384" i="3"/>
  <c r="M3384" i="3" s="1"/>
  <c r="P3384" i="3"/>
  <c r="Q3384" i="3"/>
  <c r="R3384" i="3"/>
  <c r="L3385" i="3"/>
  <c r="M3385" i="3" s="1"/>
  <c r="N3385" i="3" s="1"/>
  <c r="P3385" i="3"/>
  <c r="Q3385" i="3"/>
  <c r="R3385" i="3"/>
  <c r="L3386" i="3"/>
  <c r="P3386" i="3"/>
  <c r="Q3386" i="3"/>
  <c r="R3386" i="3"/>
  <c r="L3387" i="3"/>
  <c r="P3387" i="3"/>
  <c r="Q3387" i="3"/>
  <c r="R3387" i="3"/>
  <c r="L3388" i="3"/>
  <c r="M3388" i="3" s="1"/>
  <c r="P3388" i="3"/>
  <c r="Q3388" i="3"/>
  <c r="R3388" i="3"/>
  <c r="L3389" i="3"/>
  <c r="M3389" i="3" s="1"/>
  <c r="P3389" i="3"/>
  <c r="Q3389" i="3"/>
  <c r="R3389" i="3"/>
  <c r="L3390" i="3"/>
  <c r="P3390" i="3"/>
  <c r="Q3390" i="3"/>
  <c r="R3390" i="3"/>
  <c r="L3391" i="3"/>
  <c r="M3391" i="3" s="1"/>
  <c r="P3391" i="3"/>
  <c r="Q3391" i="3"/>
  <c r="R3391" i="3"/>
  <c r="L3392" i="3"/>
  <c r="M3392" i="3" s="1"/>
  <c r="P3392" i="3"/>
  <c r="Q3392" i="3"/>
  <c r="R3392" i="3"/>
  <c r="L3393" i="3"/>
  <c r="M3393" i="3" s="1"/>
  <c r="P3393" i="3"/>
  <c r="Q3393" i="3"/>
  <c r="R3393" i="3"/>
  <c r="L3394" i="3"/>
  <c r="M3394" i="3" s="1"/>
  <c r="P3394" i="3"/>
  <c r="Q3394" i="3"/>
  <c r="R3394" i="3"/>
  <c r="L3395" i="3"/>
  <c r="M3395" i="3" s="1"/>
  <c r="P3395" i="3"/>
  <c r="Q3395" i="3"/>
  <c r="R3395" i="3"/>
  <c r="L3396" i="3"/>
  <c r="M3396" i="3" s="1"/>
  <c r="P3396" i="3"/>
  <c r="Q3396" i="3"/>
  <c r="R3396" i="3"/>
  <c r="L3397" i="3"/>
  <c r="M3397" i="3" s="1"/>
  <c r="N3397" i="3" s="1"/>
  <c r="P3397" i="3"/>
  <c r="Q3397" i="3"/>
  <c r="R3397" i="3"/>
  <c r="L3398" i="3"/>
  <c r="P3398" i="3"/>
  <c r="Q3398" i="3"/>
  <c r="R3398" i="3"/>
  <c r="L3399" i="3"/>
  <c r="M3399" i="3" s="1"/>
  <c r="P3399" i="3"/>
  <c r="Q3399" i="3"/>
  <c r="R3399" i="3"/>
  <c r="L3400" i="3"/>
  <c r="M3400" i="3" s="1"/>
  <c r="P3400" i="3"/>
  <c r="Q3400" i="3"/>
  <c r="R3400" i="3"/>
  <c r="L3401" i="3"/>
  <c r="M3401" i="3" s="1"/>
  <c r="P3401" i="3"/>
  <c r="Q3401" i="3"/>
  <c r="R3401" i="3"/>
  <c r="L3402" i="3"/>
  <c r="M3402" i="3" s="1"/>
  <c r="P3402" i="3"/>
  <c r="Q3402" i="3"/>
  <c r="R3402" i="3"/>
  <c r="L3403" i="3"/>
  <c r="M3403" i="3" s="1"/>
  <c r="P3403" i="3"/>
  <c r="Q3403" i="3"/>
  <c r="R3403" i="3"/>
  <c r="L3404" i="3"/>
  <c r="M3404" i="3" s="1"/>
  <c r="P3404" i="3"/>
  <c r="Q3404" i="3"/>
  <c r="R3404" i="3"/>
  <c r="L3405" i="3"/>
  <c r="M3405" i="3" s="1"/>
  <c r="P3405" i="3"/>
  <c r="Q3405" i="3"/>
  <c r="R3405" i="3"/>
  <c r="L3406" i="3"/>
  <c r="P3406" i="3"/>
  <c r="Q3406" i="3"/>
  <c r="R3406" i="3"/>
  <c r="L3407" i="3"/>
  <c r="M3407" i="3" s="1"/>
  <c r="P3407" i="3"/>
  <c r="Q3407" i="3"/>
  <c r="R3407" i="3"/>
  <c r="L3408" i="3"/>
  <c r="M3408" i="3" s="1"/>
  <c r="P3408" i="3"/>
  <c r="Q3408" i="3"/>
  <c r="R3408" i="3"/>
  <c r="L3409" i="3"/>
  <c r="M3409" i="3" s="1"/>
  <c r="P3409" i="3"/>
  <c r="Q3409" i="3"/>
  <c r="R3409" i="3"/>
  <c r="L3410" i="3"/>
  <c r="M3410" i="3" s="1"/>
  <c r="P3410" i="3"/>
  <c r="Q3410" i="3"/>
  <c r="R3410" i="3"/>
  <c r="L3411" i="3"/>
  <c r="M3411" i="3" s="1"/>
  <c r="P3411" i="3"/>
  <c r="Q3411" i="3"/>
  <c r="R3411" i="3"/>
  <c r="L3412" i="3"/>
  <c r="M3412" i="3" s="1"/>
  <c r="N3412" i="3" s="1"/>
  <c r="P3412" i="3"/>
  <c r="Q3412" i="3"/>
  <c r="R3412" i="3"/>
  <c r="L3413" i="3"/>
  <c r="M3413" i="3" s="1"/>
  <c r="N3413" i="3" s="1"/>
  <c r="P3413" i="3"/>
  <c r="Q3413" i="3"/>
  <c r="R3413" i="3"/>
  <c r="L3414" i="3"/>
  <c r="M3414" i="3" s="1"/>
  <c r="P3414" i="3"/>
  <c r="Q3414" i="3"/>
  <c r="R3414" i="3"/>
  <c r="L3415" i="3"/>
  <c r="P3415" i="3"/>
  <c r="Q3415" i="3"/>
  <c r="R3415" i="3"/>
  <c r="L3416" i="3"/>
  <c r="M3416" i="3" s="1"/>
  <c r="N3416" i="3" s="1"/>
  <c r="P3416" i="3"/>
  <c r="Q3416" i="3"/>
  <c r="R3416" i="3"/>
  <c r="L3417" i="3"/>
  <c r="P3417" i="3"/>
  <c r="Q3417" i="3"/>
  <c r="R3417" i="3"/>
  <c r="L3418" i="3"/>
  <c r="M3418" i="3" s="1"/>
  <c r="P3418" i="3"/>
  <c r="Q3418" i="3"/>
  <c r="R3418" i="3"/>
  <c r="L3419" i="3"/>
  <c r="M3419" i="3" s="1"/>
  <c r="P3419" i="3"/>
  <c r="Q3419" i="3"/>
  <c r="R3419" i="3"/>
  <c r="L3420" i="3"/>
  <c r="M3420" i="3" s="1"/>
  <c r="P3420" i="3"/>
  <c r="Q3420" i="3"/>
  <c r="R3420" i="3"/>
  <c r="L3421" i="3"/>
  <c r="M3421" i="3" s="1"/>
  <c r="P3421" i="3"/>
  <c r="Q3421" i="3"/>
  <c r="R3421" i="3"/>
  <c r="L3422" i="3"/>
  <c r="M3422" i="3" s="1"/>
  <c r="P3422" i="3"/>
  <c r="Q3422" i="3"/>
  <c r="R3422" i="3"/>
  <c r="L3423" i="3"/>
  <c r="M3423" i="3" s="1"/>
  <c r="P3423" i="3"/>
  <c r="Q3423" i="3"/>
  <c r="R3423" i="3"/>
  <c r="L3424" i="3"/>
  <c r="P3424" i="3"/>
  <c r="Q3424" i="3"/>
  <c r="R3424" i="3"/>
  <c r="L3425" i="3"/>
  <c r="P3425" i="3"/>
  <c r="Q3425" i="3"/>
  <c r="R3425" i="3"/>
  <c r="L3426" i="3"/>
  <c r="M3426" i="3" s="1"/>
  <c r="P3426" i="3"/>
  <c r="Q3426" i="3"/>
  <c r="R3426" i="3"/>
  <c r="L3427" i="3"/>
  <c r="M3427" i="3" s="1"/>
  <c r="P3427" i="3"/>
  <c r="Q3427" i="3"/>
  <c r="R3427" i="3"/>
  <c r="L3428" i="3"/>
  <c r="M3428" i="3" s="1"/>
  <c r="N3428" i="3" s="1"/>
  <c r="P3428" i="3"/>
  <c r="Q3428" i="3"/>
  <c r="R3428" i="3"/>
  <c r="L3429" i="3"/>
  <c r="M3429" i="3" s="1"/>
  <c r="P3429" i="3"/>
  <c r="Q3429" i="3"/>
  <c r="R3429" i="3"/>
  <c r="L3430" i="3"/>
  <c r="M3430" i="3" s="1"/>
  <c r="P3430" i="3"/>
  <c r="Q3430" i="3"/>
  <c r="R3430" i="3"/>
  <c r="L3431" i="3"/>
  <c r="M3431" i="3" s="1"/>
  <c r="P3431" i="3"/>
  <c r="Q3431" i="3"/>
  <c r="R3431" i="3"/>
  <c r="L3432" i="3"/>
  <c r="M3432" i="3" s="1"/>
  <c r="P3432" i="3"/>
  <c r="Q3432" i="3"/>
  <c r="R3432" i="3"/>
  <c r="L3433" i="3"/>
  <c r="P3433" i="3"/>
  <c r="Q3433" i="3"/>
  <c r="R3433" i="3"/>
  <c r="L3434" i="3"/>
  <c r="P3434" i="3"/>
  <c r="Q3434" i="3"/>
  <c r="R3434" i="3"/>
  <c r="L3435" i="3"/>
  <c r="M3435" i="3" s="1"/>
  <c r="P3435" i="3"/>
  <c r="Q3435" i="3"/>
  <c r="R3435" i="3"/>
  <c r="L3436" i="3"/>
  <c r="M3436" i="3" s="1"/>
  <c r="P3436" i="3"/>
  <c r="Q3436" i="3"/>
  <c r="R3436" i="3"/>
  <c r="L3437" i="3"/>
  <c r="M3437" i="3" s="1"/>
  <c r="N3437" i="3" s="1"/>
  <c r="O3437" i="3" s="1"/>
  <c r="P3437" i="3"/>
  <c r="Q3437" i="3"/>
  <c r="R3437" i="3"/>
  <c r="L3438" i="3"/>
  <c r="P3438" i="3"/>
  <c r="Q3438" i="3"/>
  <c r="R3438" i="3"/>
  <c r="L3439" i="3"/>
  <c r="M3439" i="3" s="1"/>
  <c r="P3439" i="3"/>
  <c r="Q3439" i="3"/>
  <c r="R3439" i="3"/>
  <c r="L3440" i="3"/>
  <c r="M3440" i="3" s="1"/>
  <c r="P3440" i="3"/>
  <c r="Q3440" i="3"/>
  <c r="R3440" i="3"/>
  <c r="L3441" i="3"/>
  <c r="M3441" i="3" s="1"/>
  <c r="N3441" i="3" s="1"/>
  <c r="P3441" i="3"/>
  <c r="Q3441" i="3"/>
  <c r="R3441" i="3"/>
  <c r="L3442" i="3"/>
  <c r="M3442" i="3" s="1"/>
  <c r="P3442" i="3"/>
  <c r="Q3442" i="3"/>
  <c r="R3442" i="3"/>
  <c r="L3443" i="3"/>
  <c r="M3443" i="3" s="1"/>
  <c r="P3443" i="3"/>
  <c r="Q3443" i="3"/>
  <c r="R3443" i="3"/>
  <c r="L3444" i="3"/>
  <c r="M3444" i="3" s="1"/>
  <c r="P3444" i="3"/>
  <c r="Q3444" i="3"/>
  <c r="R3444" i="3"/>
  <c r="L3445" i="3"/>
  <c r="M3445" i="3" s="1"/>
  <c r="N3445" i="3" s="1"/>
  <c r="P3445" i="3"/>
  <c r="Q3445" i="3"/>
  <c r="R3445" i="3"/>
  <c r="L3446" i="3"/>
  <c r="M3446" i="3" s="1"/>
  <c r="P3446" i="3"/>
  <c r="Q3446" i="3"/>
  <c r="R3446" i="3"/>
  <c r="L3447" i="3"/>
  <c r="P3447" i="3"/>
  <c r="Q3447" i="3"/>
  <c r="R3447" i="3"/>
  <c r="L3448" i="3"/>
  <c r="M3448" i="3" s="1"/>
  <c r="P3448" i="3"/>
  <c r="Q3448" i="3"/>
  <c r="R3448" i="3"/>
  <c r="L3449" i="3"/>
  <c r="M3449" i="3" s="1"/>
  <c r="P3449" i="3"/>
  <c r="Q3449" i="3"/>
  <c r="R3449" i="3"/>
  <c r="L3450" i="3"/>
  <c r="M3450" i="3" s="1"/>
  <c r="P3450" i="3"/>
  <c r="Q3450" i="3"/>
  <c r="R3450" i="3"/>
  <c r="L3451" i="3"/>
  <c r="M3451" i="3" s="1"/>
  <c r="P3451" i="3"/>
  <c r="Q3451" i="3"/>
  <c r="R3451" i="3"/>
  <c r="L3452" i="3"/>
  <c r="P3452" i="3"/>
  <c r="Q3452" i="3"/>
  <c r="R3452" i="3"/>
  <c r="L3453" i="3"/>
  <c r="M3453" i="3" s="1"/>
  <c r="P3453" i="3"/>
  <c r="Q3453" i="3"/>
  <c r="R3453" i="3"/>
  <c r="L3454" i="3"/>
  <c r="M3454" i="3" s="1"/>
  <c r="P3454" i="3"/>
  <c r="Q3454" i="3"/>
  <c r="R3454" i="3"/>
  <c r="L3455" i="3"/>
  <c r="M3455" i="3" s="1"/>
  <c r="P3455" i="3"/>
  <c r="Q3455" i="3"/>
  <c r="R3455" i="3"/>
  <c r="L3456" i="3"/>
  <c r="P3456" i="3"/>
  <c r="Q3456" i="3"/>
  <c r="R3456" i="3"/>
  <c r="L3457" i="3"/>
  <c r="M3457" i="3" s="1"/>
  <c r="N3457" i="3" s="1"/>
  <c r="P3457" i="3"/>
  <c r="Q3457" i="3"/>
  <c r="R3457" i="3"/>
  <c r="L3458" i="3"/>
  <c r="M3458" i="3" s="1"/>
  <c r="P3458" i="3"/>
  <c r="Q3458" i="3"/>
  <c r="R3458" i="3"/>
  <c r="L3459" i="3"/>
  <c r="M3459" i="3" s="1"/>
  <c r="P3459" i="3"/>
  <c r="Q3459" i="3"/>
  <c r="R3459" i="3"/>
  <c r="L3460" i="3"/>
  <c r="M3460" i="3" s="1"/>
  <c r="N3460" i="3" s="1"/>
  <c r="P3460" i="3"/>
  <c r="Q3460" i="3"/>
  <c r="R3460" i="3"/>
  <c r="L3461" i="3"/>
  <c r="M3461" i="3" s="1"/>
  <c r="P3461" i="3"/>
  <c r="Q3461" i="3"/>
  <c r="R3461" i="3"/>
  <c r="L3462" i="3"/>
  <c r="M3462" i="3" s="1"/>
  <c r="N3462" i="3" s="1"/>
  <c r="P3462" i="3"/>
  <c r="Q3462" i="3"/>
  <c r="R3462" i="3"/>
  <c r="L3463" i="3"/>
  <c r="M3463" i="3" s="1"/>
  <c r="N3463" i="3" s="1"/>
  <c r="O3463" i="3" s="1"/>
  <c r="P3463" i="3"/>
  <c r="Q3463" i="3"/>
  <c r="R3463" i="3"/>
  <c r="L3464" i="3"/>
  <c r="M3464" i="3" s="1"/>
  <c r="P3464" i="3"/>
  <c r="Q3464" i="3"/>
  <c r="R3464" i="3"/>
  <c r="L3465" i="3"/>
  <c r="M3465" i="3" s="1"/>
  <c r="N3465" i="3" s="1"/>
  <c r="P3465" i="3"/>
  <c r="Q3465" i="3"/>
  <c r="R3465" i="3"/>
  <c r="L3466" i="3"/>
  <c r="M3466" i="3" s="1"/>
  <c r="P3466" i="3"/>
  <c r="Q3466" i="3"/>
  <c r="R3466" i="3"/>
  <c r="L3467" i="3"/>
  <c r="P3467" i="3"/>
  <c r="Q3467" i="3"/>
  <c r="R3467" i="3"/>
  <c r="L3468" i="3"/>
  <c r="M3468" i="3" s="1"/>
  <c r="N3468" i="3" s="1"/>
  <c r="P3468" i="3"/>
  <c r="Q3468" i="3"/>
  <c r="R3468" i="3"/>
  <c r="L3469" i="3"/>
  <c r="M3469" i="3" s="1"/>
  <c r="P3469" i="3"/>
  <c r="Q3469" i="3"/>
  <c r="R3469" i="3"/>
  <c r="L3470" i="3"/>
  <c r="M3470" i="3" s="1"/>
  <c r="P3470" i="3"/>
  <c r="Q3470" i="3"/>
  <c r="R3470" i="3"/>
  <c r="L3471" i="3"/>
  <c r="M3471" i="3" s="1"/>
  <c r="P3471" i="3"/>
  <c r="Q3471" i="3"/>
  <c r="R3471" i="3"/>
  <c r="L3472" i="3"/>
  <c r="M3472" i="3" s="1"/>
  <c r="N3472" i="3" s="1"/>
  <c r="P3472" i="3"/>
  <c r="Q3472" i="3"/>
  <c r="R3472" i="3"/>
  <c r="L3473" i="3"/>
  <c r="M3473" i="3" s="1"/>
  <c r="P3473" i="3"/>
  <c r="Q3473" i="3"/>
  <c r="R3473" i="3"/>
  <c r="L3474" i="3"/>
  <c r="P3474" i="3"/>
  <c r="Q3474" i="3"/>
  <c r="R3474" i="3"/>
  <c r="L3475" i="3"/>
  <c r="M3475" i="3" s="1"/>
  <c r="P3475" i="3"/>
  <c r="Q3475" i="3"/>
  <c r="R3475" i="3"/>
  <c r="L3476" i="3"/>
  <c r="M3476" i="3" s="1"/>
  <c r="N3476" i="3" s="1"/>
  <c r="P3476" i="3"/>
  <c r="Q3476" i="3"/>
  <c r="R3476" i="3"/>
  <c r="L3477" i="3"/>
  <c r="M3477" i="3" s="1"/>
  <c r="N3477" i="3" s="1"/>
  <c r="P3477" i="3"/>
  <c r="Q3477" i="3"/>
  <c r="R3477" i="3"/>
  <c r="L3478" i="3"/>
  <c r="P3478" i="3"/>
  <c r="Q3478" i="3"/>
  <c r="R3478" i="3"/>
  <c r="L3479" i="3"/>
  <c r="M3479" i="3" s="1"/>
  <c r="P3479" i="3"/>
  <c r="Q3479" i="3"/>
  <c r="R3479" i="3"/>
  <c r="L3480" i="3"/>
  <c r="M3480" i="3" s="1"/>
  <c r="N3480" i="3" s="1"/>
  <c r="P3480" i="3"/>
  <c r="Q3480" i="3"/>
  <c r="R3480" i="3"/>
  <c r="L3481" i="3"/>
  <c r="M3481" i="3" s="1"/>
  <c r="P3481" i="3"/>
  <c r="Q3481" i="3"/>
  <c r="R3481" i="3"/>
  <c r="L3482" i="3"/>
  <c r="M3482" i="3" s="1"/>
  <c r="P3482" i="3"/>
  <c r="Q3482" i="3"/>
  <c r="R3482" i="3"/>
  <c r="L3483" i="3"/>
  <c r="M3483" i="3" s="1"/>
  <c r="P3483" i="3"/>
  <c r="Q3483" i="3"/>
  <c r="R3483" i="3"/>
  <c r="L3484" i="3"/>
  <c r="P3484" i="3"/>
  <c r="Q3484" i="3"/>
  <c r="R3484" i="3"/>
  <c r="L3485" i="3"/>
  <c r="M3485" i="3" s="1"/>
  <c r="N3485" i="3" s="1"/>
  <c r="P3485" i="3"/>
  <c r="Q3485" i="3"/>
  <c r="R3485" i="3"/>
  <c r="L3486" i="3"/>
  <c r="M3486" i="3" s="1"/>
  <c r="P3486" i="3"/>
  <c r="Q3486" i="3"/>
  <c r="R3486" i="3"/>
  <c r="L3487" i="3"/>
  <c r="M3487" i="3" s="1"/>
  <c r="P3487" i="3"/>
  <c r="Q3487" i="3"/>
  <c r="R3487" i="3"/>
  <c r="L3488" i="3"/>
  <c r="M3488" i="3" s="1"/>
  <c r="P3488" i="3"/>
  <c r="Q3488" i="3"/>
  <c r="R3488" i="3"/>
  <c r="L3489" i="3"/>
  <c r="M3489" i="3" s="1"/>
  <c r="P3489" i="3"/>
  <c r="Q3489" i="3"/>
  <c r="R3489" i="3"/>
  <c r="L3490" i="3"/>
  <c r="M3490" i="3" s="1"/>
  <c r="N3490" i="3" s="1"/>
  <c r="P3490" i="3"/>
  <c r="Q3490" i="3"/>
  <c r="R3490" i="3"/>
  <c r="L3491" i="3"/>
  <c r="P3491" i="3"/>
  <c r="Q3491" i="3"/>
  <c r="R3491" i="3"/>
  <c r="L3492" i="3"/>
  <c r="M3492" i="3" s="1"/>
  <c r="P3492" i="3"/>
  <c r="Q3492" i="3"/>
  <c r="R3492" i="3"/>
  <c r="L3493" i="3"/>
  <c r="M3493" i="3" s="1"/>
  <c r="P3493" i="3"/>
  <c r="Q3493" i="3"/>
  <c r="R3493" i="3"/>
  <c r="L3494" i="3"/>
  <c r="M3494" i="3" s="1"/>
  <c r="N3494" i="3" s="1"/>
  <c r="P3494" i="3"/>
  <c r="Q3494" i="3"/>
  <c r="R3494" i="3"/>
  <c r="L3495" i="3"/>
  <c r="M3495" i="3" s="1"/>
  <c r="P3495" i="3"/>
  <c r="Q3495" i="3"/>
  <c r="R3495" i="3"/>
  <c r="L3496" i="3"/>
  <c r="M3496" i="3" s="1"/>
  <c r="P3496" i="3"/>
  <c r="Q3496" i="3"/>
  <c r="R3496" i="3"/>
  <c r="L3497" i="3"/>
  <c r="M3497" i="3" s="1"/>
  <c r="P3497" i="3"/>
  <c r="Q3497" i="3"/>
  <c r="R3497" i="3"/>
  <c r="L3498" i="3"/>
  <c r="M3498" i="3" s="1"/>
  <c r="N3498" i="3" s="1"/>
  <c r="P3498" i="3"/>
  <c r="Q3498" i="3"/>
  <c r="R3498" i="3"/>
  <c r="L3499" i="3"/>
  <c r="P3499" i="3"/>
  <c r="Q3499" i="3"/>
  <c r="R3499" i="3"/>
  <c r="L3500" i="3"/>
  <c r="M3500" i="3" s="1"/>
  <c r="P3500" i="3"/>
  <c r="Q3500" i="3"/>
  <c r="R3500" i="3"/>
  <c r="L3501" i="3"/>
  <c r="M3501" i="3" s="1"/>
  <c r="N3501" i="3" s="1"/>
  <c r="P3501" i="3"/>
  <c r="Q3501" i="3"/>
  <c r="R3501" i="3"/>
  <c r="L3502" i="3"/>
  <c r="M3502" i="3" s="1"/>
  <c r="P3502" i="3"/>
  <c r="Q3502" i="3"/>
  <c r="R3502" i="3"/>
  <c r="L3503" i="3"/>
  <c r="M3503" i="3" s="1"/>
  <c r="P3503" i="3"/>
  <c r="Q3503" i="3"/>
  <c r="R3503" i="3"/>
  <c r="L3504" i="3"/>
  <c r="M3504" i="3" s="1"/>
  <c r="P3504" i="3"/>
  <c r="Q3504" i="3"/>
  <c r="R3504" i="3"/>
  <c r="L3505" i="3"/>
  <c r="M3505" i="3" s="1"/>
  <c r="P3505" i="3"/>
  <c r="Q3505" i="3"/>
  <c r="R3505" i="3"/>
  <c r="L3506" i="3"/>
  <c r="M3506" i="3" s="1"/>
  <c r="N3506" i="3" s="1"/>
  <c r="P3506" i="3"/>
  <c r="Q3506" i="3"/>
  <c r="R3506" i="3"/>
  <c r="L3507" i="3"/>
  <c r="P3507" i="3"/>
  <c r="Q3507" i="3"/>
  <c r="R3507" i="3"/>
  <c r="L3508" i="3"/>
  <c r="M3508" i="3" s="1"/>
  <c r="P3508" i="3"/>
  <c r="Q3508" i="3"/>
  <c r="R3508" i="3"/>
  <c r="L3509" i="3"/>
  <c r="M3509" i="3" s="1"/>
  <c r="N3509" i="3" s="1"/>
  <c r="P3509" i="3"/>
  <c r="Q3509" i="3"/>
  <c r="R3509" i="3"/>
  <c r="L3510" i="3"/>
  <c r="M3510" i="3" s="1"/>
  <c r="P3510" i="3"/>
  <c r="Q3510" i="3"/>
  <c r="R3510" i="3"/>
  <c r="L3511" i="3"/>
  <c r="M3511" i="3" s="1"/>
  <c r="P3511" i="3"/>
  <c r="Q3511" i="3"/>
  <c r="R3511" i="3"/>
  <c r="L3512" i="3"/>
  <c r="M3512" i="3" s="1"/>
  <c r="P3512" i="3"/>
  <c r="Q3512" i="3"/>
  <c r="R3512" i="3"/>
  <c r="L3513" i="3"/>
  <c r="M3513" i="3" s="1"/>
  <c r="P3513" i="3"/>
  <c r="Q3513" i="3"/>
  <c r="R3513" i="3"/>
  <c r="L3514" i="3"/>
  <c r="M3514" i="3" s="1"/>
  <c r="N3514" i="3" s="1"/>
  <c r="P3514" i="3"/>
  <c r="Q3514" i="3"/>
  <c r="R3514" i="3"/>
  <c r="L3515" i="3"/>
  <c r="P3515" i="3"/>
  <c r="Q3515" i="3"/>
  <c r="R3515" i="3"/>
  <c r="L3516" i="3"/>
  <c r="M3516" i="3" s="1"/>
  <c r="P3516" i="3"/>
  <c r="Q3516" i="3"/>
  <c r="R3516" i="3"/>
  <c r="L3517" i="3"/>
  <c r="M3517" i="3" s="1"/>
  <c r="N3517" i="3" s="1"/>
  <c r="P3517" i="3"/>
  <c r="Q3517" i="3"/>
  <c r="R3517" i="3"/>
  <c r="L3518" i="3"/>
  <c r="M3518" i="3" s="1"/>
  <c r="P3518" i="3"/>
  <c r="Q3518" i="3"/>
  <c r="R3518" i="3"/>
  <c r="L3519" i="3"/>
  <c r="M3519" i="3" s="1"/>
  <c r="P3519" i="3"/>
  <c r="Q3519" i="3"/>
  <c r="R3519" i="3"/>
  <c r="L3520" i="3"/>
  <c r="M3520" i="3" s="1"/>
  <c r="P3520" i="3"/>
  <c r="Q3520" i="3"/>
  <c r="R3520" i="3"/>
  <c r="L3521" i="3"/>
  <c r="M3521" i="3" s="1"/>
  <c r="P3521" i="3"/>
  <c r="Q3521" i="3"/>
  <c r="R3521" i="3"/>
  <c r="L3522" i="3"/>
  <c r="M3522" i="3" s="1"/>
  <c r="N3522" i="3" s="1"/>
  <c r="P3522" i="3"/>
  <c r="Q3522" i="3"/>
  <c r="R3522" i="3"/>
  <c r="L3523" i="3"/>
  <c r="P3523" i="3"/>
  <c r="Q3523" i="3"/>
  <c r="R3523" i="3"/>
  <c r="L3524" i="3"/>
  <c r="P3524" i="3"/>
  <c r="Q3524" i="3"/>
  <c r="R3524" i="3"/>
  <c r="L3525" i="3"/>
  <c r="M3525" i="3" s="1"/>
  <c r="P3525" i="3"/>
  <c r="Q3525" i="3"/>
  <c r="R3525" i="3"/>
  <c r="L3526" i="3"/>
  <c r="M3526" i="3" s="1"/>
  <c r="P3526" i="3"/>
  <c r="Q3526" i="3"/>
  <c r="R3526" i="3"/>
  <c r="L3527" i="3"/>
  <c r="M3527" i="3" s="1"/>
  <c r="P3527" i="3"/>
  <c r="Q3527" i="3"/>
  <c r="R3527" i="3"/>
  <c r="L3528" i="3"/>
  <c r="M3528" i="3" s="1"/>
  <c r="N3528" i="3" s="1"/>
  <c r="P3528" i="3"/>
  <c r="Q3528" i="3"/>
  <c r="R3528" i="3"/>
  <c r="L3529" i="3"/>
  <c r="M3529" i="3" s="1"/>
  <c r="P3529" i="3"/>
  <c r="Q3529" i="3"/>
  <c r="R3529" i="3"/>
  <c r="L3530" i="3"/>
  <c r="M3530" i="3" s="1"/>
  <c r="N3530" i="3" s="1"/>
  <c r="P3530" i="3"/>
  <c r="Q3530" i="3"/>
  <c r="R3530" i="3"/>
  <c r="L3531" i="3"/>
  <c r="P3531" i="3"/>
  <c r="Q3531" i="3"/>
  <c r="R3531" i="3"/>
  <c r="L3532" i="3"/>
  <c r="M3532" i="3" s="1"/>
  <c r="P3532" i="3"/>
  <c r="Q3532" i="3"/>
  <c r="R3532" i="3"/>
  <c r="L3533" i="3"/>
  <c r="M3533" i="3" s="1"/>
  <c r="P3533" i="3"/>
  <c r="Q3533" i="3"/>
  <c r="R3533" i="3"/>
  <c r="L3534" i="3"/>
  <c r="M3534" i="3" s="1"/>
  <c r="N3534" i="3" s="1"/>
  <c r="O3534" i="3" s="1"/>
  <c r="P3534" i="3"/>
  <c r="Q3534" i="3"/>
  <c r="R3534" i="3"/>
  <c r="L3535" i="3"/>
  <c r="M3535" i="3" s="1"/>
  <c r="P3535" i="3"/>
  <c r="Q3535" i="3"/>
  <c r="R3535" i="3"/>
  <c r="L3536" i="3"/>
  <c r="M3536" i="3" s="1"/>
  <c r="N3536" i="3" s="1"/>
  <c r="P3536" i="3"/>
  <c r="Q3536" i="3"/>
  <c r="R3536" i="3"/>
  <c r="L3537" i="3"/>
  <c r="M3537" i="3" s="1"/>
  <c r="P3537" i="3"/>
  <c r="Q3537" i="3"/>
  <c r="R3537" i="3"/>
  <c r="L3538" i="3"/>
  <c r="M3538" i="3" s="1"/>
  <c r="N3538" i="3" s="1"/>
  <c r="P3538" i="3"/>
  <c r="Q3538" i="3"/>
  <c r="R3538" i="3"/>
  <c r="L3539" i="3"/>
  <c r="P3539" i="3"/>
  <c r="Q3539" i="3"/>
  <c r="R3539" i="3"/>
  <c r="L3540" i="3"/>
  <c r="M3540" i="3" s="1"/>
  <c r="P3540" i="3"/>
  <c r="Q3540" i="3"/>
  <c r="R3540" i="3"/>
  <c r="L3541" i="3"/>
  <c r="M3541" i="3" s="1"/>
  <c r="N3541" i="3" s="1"/>
  <c r="P3541" i="3"/>
  <c r="Q3541" i="3"/>
  <c r="R3541" i="3"/>
  <c r="L3542" i="3"/>
  <c r="M3542" i="3" s="1"/>
  <c r="P3542" i="3"/>
  <c r="Q3542" i="3"/>
  <c r="R3542" i="3"/>
  <c r="L3543" i="3"/>
  <c r="M3543" i="3" s="1"/>
  <c r="P3543" i="3"/>
  <c r="Q3543" i="3"/>
  <c r="R3543" i="3"/>
  <c r="L3544" i="3"/>
  <c r="M3544" i="3" s="1"/>
  <c r="N3544" i="3" s="1"/>
  <c r="P3544" i="3"/>
  <c r="Q3544" i="3"/>
  <c r="R3544" i="3"/>
  <c r="L3545" i="3"/>
  <c r="M3545" i="3" s="1"/>
  <c r="P3545" i="3"/>
  <c r="Q3545" i="3"/>
  <c r="R3545" i="3"/>
  <c r="L3546" i="3"/>
  <c r="M3546" i="3" s="1"/>
  <c r="N3546" i="3" s="1"/>
  <c r="P3546" i="3"/>
  <c r="Q3546" i="3"/>
  <c r="R3546" i="3"/>
  <c r="L3547" i="3"/>
  <c r="P3547" i="3"/>
  <c r="Q3547" i="3"/>
  <c r="R3547" i="3"/>
  <c r="L3548" i="3"/>
  <c r="M3548" i="3" s="1"/>
  <c r="P3548" i="3"/>
  <c r="Q3548" i="3"/>
  <c r="R3548" i="3"/>
  <c r="L3549" i="3"/>
  <c r="M3549" i="3" s="1"/>
  <c r="P3549" i="3"/>
  <c r="Q3549" i="3"/>
  <c r="R3549" i="3"/>
  <c r="L3550" i="3"/>
  <c r="M3550" i="3" s="1"/>
  <c r="P3550" i="3"/>
  <c r="Q3550" i="3"/>
  <c r="R3550" i="3"/>
  <c r="L3551" i="3"/>
  <c r="M3551" i="3" s="1"/>
  <c r="P3551" i="3"/>
  <c r="Q3551" i="3"/>
  <c r="R3551" i="3"/>
  <c r="L3552" i="3"/>
  <c r="M3552" i="3" s="1"/>
  <c r="N3552" i="3" s="1"/>
  <c r="P3552" i="3"/>
  <c r="Q3552" i="3"/>
  <c r="R3552" i="3"/>
  <c r="L3553" i="3"/>
  <c r="M3553" i="3" s="1"/>
  <c r="P3553" i="3"/>
  <c r="Q3553" i="3"/>
  <c r="R3553" i="3"/>
  <c r="L3554" i="3"/>
  <c r="M3554" i="3" s="1"/>
  <c r="N3554" i="3" s="1"/>
  <c r="P3554" i="3"/>
  <c r="Q3554" i="3"/>
  <c r="R3554" i="3"/>
  <c r="L3555" i="3"/>
  <c r="P3555" i="3"/>
  <c r="Q3555" i="3"/>
  <c r="R3555" i="3"/>
  <c r="L3556" i="3"/>
  <c r="M3556" i="3" s="1"/>
  <c r="P3556" i="3"/>
  <c r="Q3556" i="3"/>
  <c r="R3556" i="3"/>
  <c r="L3557" i="3"/>
  <c r="M3557" i="3" s="1"/>
  <c r="P3557" i="3"/>
  <c r="Q3557" i="3"/>
  <c r="R3557" i="3"/>
  <c r="L3558" i="3"/>
  <c r="M3558" i="3" s="1"/>
  <c r="N3558" i="3" s="1"/>
  <c r="O3558" i="3" s="1"/>
  <c r="P3558" i="3"/>
  <c r="Q3558" i="3"/>
  <c r="R3558" i="3"/>
  <c r="L3559" i="3"/>
  <c r="M3559" i="3" s="1"/>
  <c r="P3559" i="3"/>
  <c r="Q3559" i="3"/>
  <c r="R3559" i="3"/>
  <c r="L3560" i="3"/>
  <c r="M3560" i="3" s="1"/>
  <c r="N3560" i="3" s="1"/>
  <c r="P3560" i="3"/>
  <c r="Q3560" i="3"/>
  <c r="R3560" i="3"/>
  <c r="L3561" i="3"/>
  <c r="P3561" i="3"/>
  <c r="Q3561" i="3"/>
  <c r="R3561" i="3"/>
  <c r="L3562" i="3"/>
  <c r="M3562" i="3" s="1"/>
  <c r="P3562" i="3"/>
  <c r="Q3562" i="3"/>
  <c r="R3562" i="3"/>
  <c r="L3563" i="3"/>
  <c r="P3563" i="3"/>
  <c r="Q3563" i="3"/>
  <c r="R3563" i="3"/>
  <c r="L3564" i="3"/>
  <c r="M3564" i="3" s="1"/>
  <c r="P3564" i="3"/>
  <c r="Q3564" i="3"/>
  <c r="R3564" i="3"/>
  <c r="L3565" i="3"/>
  <c r="M3565" i="3" s="1"/>
  <c r="N3565" i="3" s="1"/>
  <c r="P3565" i="3"/>
  <c r="Q3565" i="3"/>
  <c r="R3565" i="3"/>
  <c r="L3566" i="3"/>
  <c r="P3566" i="3"/>
  <c r="Q3566" i="3"/>
  <c r="R3566" i="3"/>
  <c r="L3567" i="3"/>
  <c r="P3567" i="3"/>
  <c r="Q3567" i="3"/>
  <c r="R3567" i="3"/>
  <c r="L3568" i="3"/>
  <c r="M3568" i="3" s="1"/>
  <c r="P3568" i="3"/>
  <c r="Q3568" i="3"/>
  <c r="R3568" i="3"/>
  <c r="L3569" i="3"/>
  <c r="P3569" i="3"/>
  <c r="Q3569" i="3"/>
  <c r="R3569" i="3"/>
  <c r="L3570" i="3"/>
  <c r="M3570" i="3" s="1"/>
  <c r="N3570" i="3" s="1"/>
  <c r="P3570" i="3"/>
  <c r="Q3570" i="3"/>
  <c r="R3570" i="3"/>
  <c r="L3571" i="3"/>
  <c r="P3571" i="3"/>
  <c r="Q3571" i="3"/>
  <c r="R3571" i="3"/>
  <c r="L3572" i="3"/>
  <c r="M3572" i="3" s="1"/>
  <c r="P3572" i="3"/>
  <c r="Q3572" i="3"/>
  <c r="R3572" i="3"/>
  <c r="L3573" i="3"/>
  <c r="P3573" i="3"/>
  <c r="Q3573" i="3"/>
  <c r="R3573" i="3"/>
  <c r="L3574" i="3"/>
  <c r="M3574" i="3" s="1"/>
  <c r="N3574" i="3" s="1"/>
  <c r="O3574" i="3" s="1"/>
  <c r="P3574" i="3"/>
  <c r="Q3574" i="3"/>
  <c r="R3574" i="3"/>
  <c r="L3575" i="3"/>
  <c r="P3575" i="3"/>
  <c r="Q3575" i="3"/>
  <c r="R3575" i="3"/>
  <c r="L3576" i="3"/>
  <c r="M3576" i="3" s="1"/>
  <c r="P3576" i="3"/>
  <c r="Q3576" i="3"/>
  <c r="R3576" i="3"/>
  <c r="L3577" i="3"/>
  <c r="P3577" i="3"/>
  <c r="Q3577" i="3"/>
  <c r="R3577" i="3"/>
  <c r="L3578" i="3"/>
  <c r="M3578" i="3" s="1"/>
  <c r="P3578" i="3"/>
  <c r="Q3578" i="3"/>
  <c r="R3578" i="3"/>
  <c r="L3579" i="3"/>
  <c r="P3579" i="3"/>
  <c r="Q3579" i="3"/>
  <c r="R3579" i="3"/>
  <c r="L3580" i="3"/>
  <c r="P3580" i="3"/>
  <c r="Q3580" i="3"/>
  <c r="R3580" i="3"/>
  <c r="L3581" i="3"/>
  <c r="M3581" i="3" s="1"/>
  <c r="P3581" i="3"/>
  <c r="Q3581" i="3"/>
  <c r="R3581" i="3"/>
  <c r="L3582" i="3"/>
  <c r="M3582" i="3" s="1"/>
  <c r="P3582" i="3"/>
  <c r="Q3582" i="3"/>
  <c r="R3582" i="3"/>
  <c r="L3583" i="3"/>
  <c r="P3583" i="3"/>
  <c r="Q3583" i="3"/>
  <c r="R3583" i="3"/>
  <c r="L3584" i="3"/>
  <c r="M3584" i="3" s="1"/>
  <c r="P3584" i="3"/>
  <c r="Q3584" i="3"/>
  <c r="R3584" i="3"/>
  <c r="L3585" i="3"/>
  <c r="P3585" i="3"/>
  <c r="Q3585" i="3"/>
  <c r="R3585" i="3"/>
  <c r="L3586" i="3"/>
  <c r="M3586" i="3" s="1"/>
  <c r="N3586" i="3" s="1"/>
  <c r="P3586" i="3"/>
  <c r="Q3586" i="3"/>
  <c r="R3586" i="3"/>
  <c r="L3587" i="3"/>
  <c r="P3587" i="3"/>
  <c r="Q3587" i="3"/>
  <c r="R3587" i="3"/>
  <c r="L3588" i="3"/>
  <c r="M3588" i="3" s="1"/>
  <c r="P3588" i="3"/>
  <c r="Q3588" i="3"/>
  <c r="R3588" i="3"/>
  <c r="L3589" i="3"/>
  <c r="M3589" i="3" s="1"/>
  <c r="N3589" i="3" s="1"/>
  <c r="P3589" i="3"/>
  <c r="Q3589" i="3"/>
  <c r="R3589" i="3"/>
  <c r="L3590" i="3"/>
  <c r="M3590" i="3" s="1"/>
  <c r="P3590" i="3"/>
  <c r="Q3590" i="3"/>
  <c r="R3590" i="3"/>
  <c r="L3591" i="3"/>
  <c r="P3591" i="3"/>
  <c r="Q3591" i="3"/>
  <c r="R3591" i="3"/>
  <c r="L3592" i="3"/>
  <c r="M3592" i="3" s="1"/>
  <c r="P3592" i="3"/>
  <c r="Q3592" i="3"/>
  <c r="R3592" i="3"/>
  <c r="L3593" i="3"/>
  <c r="M3593" i="3" s="1"/>
  <c r="P3593" i="3"/>
  <c r="Q3593" i="3"/>
  <c r="R3593" i="3"/>
  <c r="L3594" i="3"/>
  <c r="M3594" i="3" s="1"/>
  <c r="N3594" i="3" s="1"/>
  <c r="P3594" i="3"/>
  <c r="Q3594" i="3"/>
  <c r="R3594" i="3"/>
  <c r="L3595" i="3"/>
  <c r="P3595" i="3"/>
  <c r="Q3595" i="3"/>
  <c r="R3595" i="3"/>
  <c r="L3596" i="3"/>
  <c r="M3596" i="3" s="1"/>
  <c r="P3596" i="3"/>
  <c r="Q3596" i="3"/>
  <c r="R3596" i="3"/>
  <c r="L3597" i="3"/>
  <c r="M3597" i="3" s="1"/>
  <c r="P3597" i="3"/>
  <c r="Q3597" i="3"/>
  <c r="R3597" i="3"/>
  <c r="L3598" i="3"/>
  <c r="M3598" i="3" s="1"/>
  <c r="P3598" i="3"/>
  <c r="Q3598" i="3"/>
  <c r="R3598" i="3"/>
  <c r="L3599" i="3"/>
  <c r="M3599" i="3" s="1"/>
  <c r="N3599" i="3" s="1"/>
  <c r="P3599" i="3"/>
  <c r="Q3599" i="3"/>
  <c r="R3599" i="3"/>
  <c r="L3600" i="3"/>
  <c r="M3600" i="3" s="1"/>
  <c r="P3600" i="3"/>
  <c r="Q3600" i="3"/>
  <c r="R3600" i="3"/>
  <c r="L3601" i="3"/>
  <c r="M3601" i="3" s="1"/>
  <c r="P3601" i="3"/>
  <c r="Q3601" i="3"/>
  <c r="R3601" i="3"/>
  <c r="L3602" i="3"/>
  <c r="M3602" i="3" s="1"/>
  <c r="N3602" i="3" s="1"/>
  <c r="P3602" i="3"/>
  <c r="Q3602" i="3"/>
  <c r="R3602" i="3"/>
  <c r="L3603" i="3"/>
  <c r="P3603" i="3"/>
  <c r="Q3603" i="3"/>
  <c r="R3603" i="3"/>
  <c r="L3604" i="3"/>
  <c r="M3604" i="3" s="1"/>
  <c r="P3604" i="3"/>
  <c r="Q3604" i="3"/>
  <c r="R3604" i="3"/>
  <c r="L3605" i="3"/>
  <c r="M3605" i="3" s="1"/>
  <c r="P3605" i="3"/>
  <c r="Q3605" i="3"/>
  <c r="R3605" i="3"/>
  <c r="L3606" i="3"/>
  <c r="M3606" i="3" s="1"/>
  <c r="P3606" i="3"/>
  <c r="Q3606" i="3"/>
  <c r="R3606" i="3"/>
  <c r="L3607" i="3"/>
  <c r="P3607" i="3"/>
  <c r="Q3607" i="3"/>
  <c r="R3607" i="3"/>
  <c r="L3608" i="3"/>
  <c r="M3608" i="3" s="1"/>
  <c r="P3608" i="3"/>
  <c r="Q3608" i="3"/>
  <c r="R3608" i="3"/>
  <c r="L3609" i="3"/>
  <c r="P3609" i="3"/>
  <c r="Q3609" i="3"/>
  <c r="R3609" i="3"/>
  <c r="L3610" i="3"/>
  <c r="M3610" i="3" s="1"/>
  <c r="N3610" i="3" s="1"/>
  <c r="P3610" i="3"/>
  <c r="Q3610" i="3"/>
  <c r="R3610" i="3"/>
  <c r="L3611" i="3"/>
  <c r="P3611" i="3"/>
  <c r="Q3611" i="3"/>
  <c r="R3611" i="3"/>
  <c r="L3612" i="3"/>
  <c r="M3612" i="3" s="1"/>
  <c r="P3612" i="3"/>
  <c r="Q3612" i="3"/>
  <c r="R3612" i="3"/>
  <c r="L3613" i="3"/>
  <c r="M3613" i="3" s="1"/>
  <c r="P3613" i="3"/>
  <c r="Q3613" i="3"/>
  <c r="R3613" i="3"/>
  <c r="L3614" i="3"/>
  <c r="M3614" i="3" s="1"/>
  <c r="P3614" i="3"/>
  <c r="Q3614" i="3"/>
  <c r="R3614" i="3"/>
  <c r="L3615" i="3"/>
  <c r="M3615" i="3" s="1"/>
  <c r="N3615" i="3" s="1"/>
  <c r="P3615" i="3"/>
  <c r="Q3615" i="3"/>
  <c r="R3615" i="3"/>
  <c r="L3616" i="3"/>
  <c r="M3616" i="3" s="1"/>
  <c r="P3616" i="3"/>
  <c r="Q3616" i="3"/>
  <c r="R3616" i="3"/>
  <c r="L3617" i="3"/>
  <c r="P3617" i="3"/>
  <c r="Q3617" i="3"/>
  <c r="R3617" i="3"/>
  <c r="L3618" i="3"/>
  <c r="M3618" i="3" s="1"/>
  <c r="P3618" i="3"/>
  <c r="Q3618" i="3"/>
  <c r="R3618" i="3"/>
  <c r="L3619" i="3"/>
  <c r="P3619" i="3"/>
  <c r="Q3619" i="3"/>
  <c r="R3619" i="3"/>
  <c r="L3620" i="3"/>
  <c r="M3620" i="3" s="1"/>
  <c r="P3620" i="3"/>
  <c r="Q3620" i="3"/>
  <c r="R3620" i="3"/>
  <c r="L3621" i="3"/>
  <c r="M3621" i="3" s="1"/>
  <c r="N3621" i="3" s="1"/>
  <c r="P3621" i="3"/>
  <c r="Q3621" i="3"/>
  <c r="R3621" i="3"/>
  <c r="L3622" i="3"/>
  <c r="P3622" i="3"/>
  <c r="Q3622" i="3"/>
  <c r="R3622" i="3"/>
  <c r="L3623" i="3"/>
  <c r="M3623" i="3" s="1"/>
  <c r="P3623" i="3"/>
  <c r="Q3623" i="3"/>
  <c r="R3623" i="3"/>
  <c r="L3624" i="3"/>
  <c r="M3624" i="3" s="1"/>
  <c r="P3624" i="3"/>
  <c r="Q3624" i="3"/>
  <c r="R3624" i="3"/>
  <c r="L3625" i="3"/>
  <c r="M3625" i="3" s="1"/>
  <c r="P3625" i="3"/>
  <c r="Q3625" i="3"/>
  <c r="R3625" i="3"/>
  <c r="L3626" i="3"/>
  <c r="P3626" i="3"/>
  <c r="Q3626" i="3"/>
  <c r="R3626" i="3"/>
  <c r="L3627" i="3"/>
  <c r="M3627" i="3" s="1"/>
  <c r="P3627" i="3"/>
  <c r="Q3627" i="3"/>
  <c r="R3627" i="3"/>
  <c r="L3628" i="3"/>
  <c r="M3628" i="3" s="1"/>
  <c r="P3628" i="3"/>
  <c r="Q3628" i="3"/>
  <c r="R3628" i="3"/>
  <c r="L3629" i="3"/>
  <c r="M3629" i="3" s="1"/>
  <c r="P3629" i="3"/>
  <c r="Q3629" i="3"/>
  <c r="R3629" i="3"/>
  <c r="L3630" i="3"/>
  <c r="P3630" i="3"/>
  <c r="Q3630" i="3"/>
  <c r="R3630" i="3"/>
  <c r="L3631" i="3"/>
  <c r="M3631" i="3" s="1"/>
  <c r="P3631" i="3"/>
  <c r="Q3631" i="3"/>
  <c r="R3631" i="3"/>
  <c r="L3632" i="3"/>
  <c r="M3632" i="3" s="1"/>
  <c r="P3632" i="3"/>
  <c r="Q3632" i="3"/>
  <c r="R3632" i="3"/>
  <c r="L3633" i="3"/>
  <c r="M3633" i="3" s="1"/>
  <c r="P3633" i="3"/>
  <c r="Q3633" i="3"/>
  <c r="R3633" i="3"/>
  <c r="L3634" i="3"/>
  <c r="M3634" i="3" s="1"/>
  <c r="N3634" i="3" s="1"/>
  <c r="P3634" i="3"/>
  <c r="Q3634" i="3"/>
  <c r="R3634" i="3"/>
  <c r="L3635" i="3"/>
  <c r="P3635" i="3"/>
  <c r="Q3635" i="3"/>
  <c r="R3635" i="3"/>
  <c r="L3636" i="3"/>
  <c r="M3636" i="3" s="1"/>
  <c r="P3636" i="3"/>
  <c r="Q3636" i="3"/>
  <c r="R3636" i="3"/>
  <c r="L3637" i="3"/>
  <c r="M3637" i="3" s="1"/>
  <c r="N3637" i="3" s="1"/>
  <c r="P3637" i="3"/>
  <c r="Q3637" i="3"/>
  <c r="R3637" i="3"/>
  <c r="L3638" i="3"/>
  <c r="M3638" i="3" s="1"/>
  <c r="P3638" i="3"/>
  <c r="Q3638" i="3"/>
  <c r="R3638" i="3"/>
  <c r="L3639" i="3"/>
  <c r="M3639" i="3" s="1"/>
  <c r="P3639" i="3"/>
  <c r="Q3639" i="3"/>
  <c r="R3639" i="3"/>
  <c r="L3640" i="3"/>
  <c r="P3640" i="3"/>
  <c r="Q3640" i="3"/>
  <c r="R3640" i="3"/>
  <c r="L3641" i="3"/>
  <c r="M3641" i="3" s="1"/>
  <c r="P3641" i="3"/>
  <c r="Q3641" i="3"/>
  <c r="R3641" i="3"/>
  <c r="L3642" i="3"/>
  <c r="M3642" i="3" s="1"/>
  <c r="P3642" i="3"/>
  <c r="Q3642" i="3"/>
  <c r="R3642" i="3"/>
  <c r="L3643" i="3"/>
  <c r="M3643" i="3" s="1"/>
  <c r="P3643" i="3"/>
  <c r="Q3643" i="3"/>
  <c r="R3643" i="3"/>
  <c r="L3644" i="3"/>
  <c r="M3644" i="3" s="1"/>
  <c r="P3644" i="3"/>
  <c r="Q3644" i="3"/>
  <c r="R3644" i="3"/>
  <c r="L3645" i="3"/>
  <c r="M3645" i="3" s="1"/>
  <c r="P3645" i="3"/>
  <c r="Q3645" i="3"/>
  <c r="R3645" i="3"/>
  <c r="L3646" i="3"/>
  <c r="P3646" i="3"/>
  <c r="Q3646" i="3"/>
  <c r="R3646" i="3"/>
  <c r="L3647" i="3"/>
  <c r="M3647" i="3" s="1"/>
  <c r="P3647" i="3"/>
  <c r="Q3647" i="3"/>
  <c r="R3647" i="3"/>
  <c r="L3648" i="3"/>
  <c r="M3648" i="3" s="1"/>
  <c r="P3648" i="3"/>
  <c r="Q3648" i="3"/>
  <c r="R3648" i="3"/>
  <c r="L3649" i="3"/>
  <c r="M3649" i="3" s="1"/>
  <c r="P3649" i="3"/>
  <c r="Q3649" i="3"/>
  <c r="R3649" i="3"/>
  <c r="L3650" i="3"/>
  <c r="M3650" i="3" s="1"/>
  <c r="N3650" i="3" s="1"/>
  <c r="O3650" i="3" s="1"/>
  <c r="P3650" i="3"/>
  <c r="Q3650" i="3"/>
  <c r="R3650" i="3"/>
  <c r="L3651" i="3"/>
  <c r="M3651" i="3" s="1"/>
  <c r="P3651" i="3"/>
  <c r="Q3651" i="3"/>
  <c r="R3651" i="3"/>
  <c r="L3652" i="3"/>
  <c r="P3652" i="3"/>
  <c r="Q3652" i="3"/>
  <c r="R3652" i="3"/>
  <c r="L3653" i="3"/>
  <c r="P3653" i="3"/>
  <c r="Q3653" i="3"/>
  <c r="R3653" i="3"/>
  <c r="L3654" i="3"/>
  <c r="M3654" i="3" s="1"/>
  <c r="P3654" i="3"/>
  <c r="Q3654" i="3"/>
  <c r="R3654" i="3"/>
  <c r="L3655" i="3"/>
  <c r="M3655" i="3" s="1"/>
  <c r="P3655" i="3"/>
  <c r="Q3655" i="3"/>
  <c r="R3655" i="3"/>
  <c r="L3656" i="3"/>
  <c r="M3656" i="3" s="1"/>
  <c r="P3656" i="3"/>
  <c r="Q3656" i="3"/>
  <c r="R3656" i="3"/>
  <c r="L3657" i="3"/>
  <c r="M3657" i="3" s="1"/>
  <c r="P3657" i="3"/>
  <c r="Q3657" i="3"/>
  <c r="R3657" i="3"/>
  <c r="L3658" i="3"/>
  <c r="M3658" i="3" s="1"/>
  <c r="P3658" i="3"/>
  <c r="Q3658" i="3"/>
  <c r="R3658" i="3"/>
  <c r="L3659" i="3"/>
  <c r="P3659" i="3"/>
  <c r="Q3659" i="3"/>
  <c r="R3659" i="3"/>
  <c r="L3660" i="3"/>
  <c r="M3660" i="3" s="1"/>
  <c r="P3660" i="3"/>
  <c r="Q3660" i="3"/>
  <c r="R3660" i="3"/>
  <c r="L3661" i="3"/>
  <c r="M3661" i="3" s="1"/>
  <c r="P3661" i="3"/>
  <c r="Q3661" i="3"/>
  <c r="R3661" i="3"/>
  <c r="L3662" i="3"/>
  <c r="M3662" i="3" s="1"/>
  <c r="P3662" i="3"/>
  <c r="Q3662" i="3"/>
  <c r="R3662" i="3"/>
  <c r="L3663" i="3"/>
  <c r="P3663" i="3"/>
  <c r="Q3663" i="3"/>
  <c r="R3663" i="3"/>
  <c r="L3664" i="3"/>
  <c r="P3664" i="3"/>
  <c r="Q3664" i="3"/>
  <c r="R3664" i="3"/>
  <c r="L3665" i="3"/>
  <c r="M3665" i="3" s="1"/>
  <c r="N3665" i="3" s="1"/>
  <c r="P3665" i="3"/>
  <c r="Q3665" i="3"/>
  <c r="R3665" i="3"/>
  <c r="L3666" i="3"/>
  <c r="P3666" i="3"/>
  <c r="Q3666" i="3"/>
  <c r="R3666" i="3"/>
  <c r="L3667" i="3"/>
  <c r="M3667" i="3" s="1"/>
  <c r="P3667" i="3"/>
  <c r="Q3667" i="3"/>
  <c r="R3667" i="3"/>
  <c r="L3668" i="3"/>
  <c r="M3668" i="3" s="1"/>
  <c r="P3668" i="3"/>
  <c r="Q3668" i="3"/>
  <c r="R3668" i="3"/>
  <c r="L3669" i="3"/>
  <c r="P3669" i="3"/>
  <c r="Q3669" i="3"/>
  <c r="R3669" i="3"/>
  <c r="L3670" i="3"/>
  <c r="M3670" i="3" s="1"/>
  <c r="N3670" i="3" s="1"/>
  <c r="P3670" i="3"/>
  <c r="Q3670" i="3"/>
  <c r="R3670" i="3"/>
  <c r="L3671" i="3"/>
  <c r="M3671" i="3" s="1"/>
  <c r="P3671" i="3"/>
  <c r="Q3671" i="3"/>
  <c r="R3671" i="3"/>
  <c r="L3672" i="3"/>
  <c r="M3672" i="3" s="1"/>
  <c r="P3672" i="3"/>
  <c r="Q3672" i="3"/>
  <c r="R3672" i="3"/>
  <c r="L3673" i="3"/>
  <c r="M3673" i="3" s="1"/>
  <c r="P3673" i="3"/>
  <c r="Q3673" i="3"/>
  <c r="R3673" i="3"/>
  <c r="L3674" i="3"/>
  <c r="M3674" i="3" s="1"/>
  <c r="P3674" i="3"/>
  <c r="Q3674" i="3"/>
  <c r="R3674" i="3"/>
  <c r="L3675" i="3"/>
  <c r="M3675" i="3" s="1"/>
  <c r="P3675" i="3"/>
  <c r="Q3675" i="3"/>
  <c r="R3675" i="3"/>
  <c r="L3676" i="3"/>
  <c r="M3676" i="3" s="1"/>
  <c r="P3676" i="3"/>
  <c r="Q3676" i="3"/>
  <c r="R3676" i="3"/>
  <c r="L3677" i="3"/>
  <c r="M3677" i="3" s="1"/>
  <c r="N3677" i="3" s="1"/>
  <c r="P3677" i="3"/>
  <c r="Q3677" i="3"/>
  <c r="R3677" i="3"/>
  <c r="L3678" i="3"/>
  <c r="M3678" i="3" s="1"/>
  <c r="P3678" i="3"/>
  <c r="Q3678" i="3"/>
  <c r="R3678" i="3"/>
  <c r="L3679" i="3"/>
  <c r="M3679" i="3" s="1"/>
  <c r="P3679" i="3"/>
  <c r="Q3679" i="3"/>
  <c r="R3679" i="3"/>
  <c r="L3680" i="3"/>
  <c r="M3680" i="3" s="1"/>
  <c r="N3680" i="3" s="1"/>
  <c r="P3680" i="3"/>
  <c r="Q3680" i="3"/>
  <c r="R3680" i="3"/>
  <c r="L3681" i="3"/>
  <c r="P3681" i="3"/>
  <c r="Q3681" i="3"/>
  <c r="R3681" i="3"/>
  <c r="L3682" i="3"/>
  <c r="M3682" i="3" s="1"/>
  <c r="P3682" i="3"/>
  <c r="Q3682" i="3"/>
  <c r="R3682" i="3"/>
  <c r="L3683" i="3"/>
  <c r="M3683" i="3" s="1"/>
  <c r="P3683" i="3"/>
  <c r="Q3683" i="3"/>
  <c r="R3683" i="3"/>
  <c r="L3684" i="3"/>
  <c r="M3684" i="3" s="1"/>
  <c r="P3684" i="3"/>
  <c r="Q3684" i="3"/>
  <c r="R3684" i="3"/>
  <c r="L3685" i="3"/>
  <c r="M3685" i="3" s="1"/>
  <c r="P3685" i="3"/>
  <c r="Q3685" i="3"/>
  <c r="R3685" i="3"/>
  <c r="L3686" i="3"/>
  <c r="P3686" i="3"/>
  <c r="Q3686" i="3"/>
  <c r="R3686" i="3"/>
  <c r="L3687" i="3"/>
  <c r="M3687" i="3" s="1"/>
  <c r="P3687" i="3"/>
  <c r="Q3687" i="3"/>
  <c r="R3687" i="3"/>
  <c r="L3688" i="3"/>
  <c r="M3688" i="3" s="1"/>
  <c r="N3688" i="3" s="1"/>
  <c r="P3688" i="3"/>
  <c r="Q3688" i="3"/>
  <c r="R3688" i="3"/>
  <c r="L3689" i="3"/>
  <c r="M3689" i="3" s="1"/>
  <c r="P3689" i="3"/>
  <c r="Q3689" i="3"/>
  <c r="R3689" i="3"/>
  <c r="L3690" i="3"/>
  <c r="P3690" i="3"/>
  <c r="Q3690" i="3"/>
  <c r="R3690" i="3"/>
  <c r="L3691" i="3"/>
  <c r="M3691" i="3" s="1"/>
  <c r="P3691" i="3"/>
  <c r="Q3691" i="3"/>
  <c r="R3691" i="3"/>
  <c r="L3692" i="3"/>
  <c r="M3692" i="3" s="1"/>
  <c r="P3692" i="3"/>
  <c r="Q3692" i="3"/>
  <c r="R3692" i="3"/>
  <c r="L3693" i="3"/>
  <c r="M3693" i="3" s="1"/>
  <c r="P3693" i="3"/>
  <c r="Q3693" i="3"/>
  <c r="R3693" i="3"/>
  <c r="L3694" i="3"/>
  <c r="P3694" i="3"/>
  <c r="Q3694" i="3"/>
  <c r="R3694" i="3"/>
  <c r="L3695" i="3"/>
  <c r="M3695" i="3" s="1"/>
  <c r="N3695" i="3" s="1"/>
  <c r="P3695" i="3"/>
  <c r="Q3695" i="3"/>
  <c r="R3695" i="3"/>
  <c r="L3696" i="3"/>
  <c r="M3696" i="3" s="1"/>
  <c r="P3696" i="3"/>
  <c r="Q3696" i="3"/>
  <c r="R3696" i="3"/>
  <c r="L3697" i="3"/>
  <c r="M3697" i="3" s="1"/>
  <c r="P3697" i="3"/>
  <c r="Q3697" i="3"/>
  <c r="R3697" i="3"/>
  <c r="L3698" i="3"/>
  <c r="M3698" i="3" s="1"/>
  <c r="N3698" i="3" s="1"/>
  <c r="P3698" i="3"/>
  <c r="Q3698" i="3"/>
  <c r="R3698" i="3"/>
  <c r="L3699" i="3"/>
  <c r="P3699" i="3"/>
  <c r="Q3699" i="3"/>
  <c r="R3699" i="3"/>
  <c r="L3700" i="3"/>
  <c r="M3700" i="3" s="1"/>
  <c r="P3700" i="3"/>
  <c r="Q3700" i="3"/>
  <c r="R3700" i="3"/>
  <c r="L3701" i="3"/>
  <c r="M3701" i="3" s="1"/>
  <c r="N3701" i="3" s="1"/>
  <c r="P3701" i="3"/>
  <c r="Q3701" i="3"/>
  <c r="R3701" i="3"/>
  <c r="L3702" i="3"/>
  <c r="M3702" i="3" s="1"/>
  <c r="P3702" i="3"/>
  <c r="Q3702" i="3"/>
  <c r="R3702" i="3"/>
  <c r="L3703" i="3"/>
  <c r="M3703" i="3" s="1"/>
  <c r="N3703" i="3" s="1"/>
  <c r="P3703" i="3"/>
  <c r="Q3703" i="3"/>
  <c r="R3703" i="3"/>
  <c r="L3704" i="3"/>
  <c r="P3704" i="3"/>
  <c r="Q3704" i="3"/>
  <c r="R3704" i="3"/>
  <c r="L3705" i="3"/>
  <c r="M3705" i="3" s="1"/>
  <c r="P3705" i="3"/>
  <c r="Q3705" i="3"/>
  <c r="R3705" i="3"/>
  <c r="L3706" i="3"/>
  <c r="M3706" i="3" s="1"/>
  <c r="P3706" i="3"/>
  <c r="Q3706" i="3"/>
  <c r="R3706" i="3"/>
  <c r="L3707" i="3"/>
  <c r="P3707" i="3"/>
  <c r="Q3707" i="3"/>
  <c r="R3707" i="3"/>
  <c r="L3708" i="3"/>
  <c r="M3708" i="3" s="1"/>
  <c r="P3708" i="3"/>
  <c r="Q3708" i="3"/>
  <c r="R3708" i="3"/>
  <c r="L3709" i="3"/>
  <c r="M3709" i="3" s="1"/>
  <c r="N3709" i="3" s="1"/>
  <c r="P3709" i="3"/>
  <c r="Q3709" i="3"/>
  <c r="R3709" i="3"/>
  <c r="L3710" i="3"/>
  <c r="M3710" i="3" s="1"/>
  <c r="P3710" i="3"/>
  <c r="Q3710" i="3"/>
  <c r="R3710" i="3"/>
  <c r="L3711" i="3"/>
  <c r="M3711" i="3" s="1"/>
  <c r="N3711" i="3" s="1"/>
  <c r="P3711" i="3"/>
  <c r="Q3711" i="3"/>
  <c r="R3711" i="3"/>
  <c r="L3712" i="3"/>
  <c r="M3712" i="3" s="1"/>
  <c r="P3712" i="3"/>
  <c r="Q3712" i="3"/>
  <c r="R3712" i="3"/>
  <c r="L3713" i="3"/>
  <c r="M3713" i="3" s="1"/>
  <c r="N3713" i="3" s="1"/>
  <c r="P3713" i="3"/>
  <c r="Q3713" i="3"/>
  <c r="R3713" i="3"/>
  <c r="L3714" i="3"/>
  <c r="M3714" i="3" s="1"/>
  <c r="N3714" i="3" s="1"/>
  <c r="O3714" i="3" s="1"/>
  <c r="P3714" i="3"/>
  <c r="Q3714" i="3"/>
  <c r="R3714" i="3"/>
  <c r="L3715" i="3"/>
  <c r="M3715" i="3" s="1"/>
  <c r="P3715" i="3"/>
  <c r="Q3715" i="3"/>
  <c r="R3715" i="3"/>
  <c r="L3716" i="3"/>
  <c r="P3716" i="3"/>
  <c r="Q3716" i="3"/>
  <c r="R3716" i="3"/>
  <c r="L3717" i="3"/>
  <c r="M3717" i="3" s="1"/>
  <c r="N3717" i="3" s="1"/>
  <c r="P3717" i="3"/>
  <c r="Q3717" i="3"/>
  <c r="R3717" i="3"/>
  <c r="L3718" i="3"/>
  <c r="M3718" i="3" s="1"/>
  <c r="N3718" i="3" s="1"/>
  <c r="P3718" i="3"/>
  <c r="Q3718" i="3"/>
  <c r="R3718" i="3"/>
  <c r="L3719" i="3"/>
  <c r="M3719" i="3" s="1"/>
  <c r="P3719" i="3"/>
  <c r="Q3719" i="3"/>
  <c r="R3719" i="3"/>
  <c r="L3720" i="3"/>
  <c r="M3720" i="3" s="1"/>
  <c r="P3720" i="3"/>
  <c r="Q3720" i="3"/>
  <c r="R3720" i="3"/>
  <c r="L3721" i="3"/>
  <c r="M3721" i="3" s="1"/>
  <c r="N3721" i="3" s="1"/>
  <c r="P3721" i="3"/>
  <c r="Q3721" i="3"/>
  <c r="R3721" i="3"/>
  <c r="L3722" i="3"/>
  <c r="P3722" i="3"/>
  <c r="Q3722" i="3"/>
  <c r="R3722" i="3"/>
  <c r="L3723" i="3"/>
  <c r="P3723" i="3"/>
  <c r="Q3723" i="3"/>
  <c r="R3723" i="3"/>
  <c r="L3724" i="3"/>
  <c r="M3724" i="3" s="1"/>
  <c r="P3724" i="3"/>
  <c r="Q3724" i="3"/>
  <c r="R3724" i="3"/>
  <c r="L3725" i="3"/>
  <c r="M3725" i="3" s="1"/>
  <c r="P3725" i="3"/>
  <c r="Q3725" i="3"/>
  <c r="R3725" i="3"/>
  <c r="L3726" i="3"/>
  <c r="M3726" i="3" s="1"/>
  <c r="N3726" i="3" s="1"/>
  <c r="P3726" i="3"/>
  <c r="Q3726" i="3"/>
  <c r="R3726" i="3"/>
  <c r="L3727" i="3"/>
  <c r="P3727" i="3"/>
  <c r="Q3727" i="3"/>
  <c r="R3727" i="3"/>
  <c r="L3728" i="3"/>
  <c r="M3728" i="3" s="1"/>
  <c r="P3728" i="3"/>
  <c r="Q3728" i="3"/>
  <c r="R3728" i="3"/>
  <c r="L3729" i="3"/>
  <c r="M3729" i="3" s="1"/>
  <c r="P3729" i="3"/>
  <c r="Q3729" i="3"/>
  <c r="R3729" i="3"/>
  <c r="L3730" i="3"/>
  <c r="M3730" i="3" s="1"/>
  <c r="P3730" i="3"/>
  <c r="Q3730" i="3"/>
  <c r="R3730" i="3"/>
  <c r="L3731" i="3"/>
  <c r="M3731" i="3" s="1"/>
  <c r="P3731" i="3"/>
  <c r="Q3731" i="3"/>
  <c r="R3731" i="3"/>
  <c r="L3732" i="3"/>
  <c r="M3732" i="3" s="1"/>
  <c r="P3732" i="3"/>
  <c r="Q3732" i="3"/>
  <c r="R3732" i="3"/>
  <c r="L3733" i="3"/>
  <c r="M3733" i="3" s="1"/>
  <c r="P3733" i="3"/>
  <c r="Q3733" i="3"/>
  <c r="R3733" i="3"/>
  <c r="L3734" i="3"/>
  <c r="M3734" i="3" s="1"/>
  <c r="N3734" i="3" s="1"/>
  <c r="P3734" i="3"/>
  <c r="Q3734" i="3"/>
  <c r="R3734" i="3"/>
  <c r="L3735" i="3"/>
  <c r="P3735" i="3"/>
  <c r="Q3735" i="3"/>
  <c r="R3735" i="3"/>
  <c r="L3736" i="3"/>
  <c r="M3736" i="3" s="1"/>
  <c r="P3736" i="3"/>
  <c r="Q3736" i="3"/>
  <c r="R3736" i="3"/>
  <c r="L3737" i="3"/>
  <c r="M3737" i="3" s="1"/>
  <c r="P3737" i="3"/>
  <c r="Q3737" i="3"/>
  <c r="R3737" i="3"/>
  <c r="L3738" i="3"/>
  <c r="P3738" i="3"/>
  <c r="Q3738" i="3"/>
  <c r="R3738" i="3"/>
  <c r="L3739" i="3"/>
  <c r="M3739" i="3" s="1"/>
  <c r="P3739" i="3"/>
  <c r="Q3739" i="3"/>
  <c r="R3739" i="3"/>
  <c r="L3740" i="3"/>
  <c r="M3740" i="3" s="1"/>
  <c r="P3740" i="3"/>
  <c r="Q3740" i="3"/>
  <c r="R3740" i="3"/>
  <c r="L3741" i="3"/>
  <c r="M3741" i="3" s="1"/>
  <c r="P3741" i="3"/>
  <c r="Q3741" i="3"/>
  <c r="R3741" i="3"/>
  <c r="L3742" i="3"/>
  <c r="M3742" i="3" s="1"/>
  <c r="N3742" i="3" s="1"/>
  <c r="P3742" i="3"/>
  <c r="Q3742" i="3"/>
  <c r="R3742" i="3"/>
  <c r="L3743" i="3"/>
  <c r="P3743" i="3"/>
  <c r="Q3743" i="3"/>
  <c r="R3743" i="3"/>
  <c r="L3744" i="3"/>
  <c r="M3744" i="3" s="1"/>
  <c r="P3744" i="3"/>
  <c r="Q3744" i="3"/>
  <c r="R3744" i="3"/>
  <c r="L3745" i="3"/>
  <c r="M3745" i="3" s="1"/>
  <c r="N3745" i="3" s="1"/>
  <c r="P3745" i="3"/>
  <c r="Q3745" i="3"/>
  <c r="R3745" i="3"/>
  <c r="L3746" i="3"/>
  <c r="M3746" i="3" s="1"/>
  <c r="P3746" i="3"/>
  <c r="Q3746" i="3"/>
  <c r="R3746" i="3"/>
  <c r="L3747" i="3"/>
  <c r="M3747" i="3" s="1"/>
  <c r="N3747" i="3" s="1"/>
  <c r="P3747" i="3"/>
  <c r="Q3747" i="3"/>
  <c r="R3747" i="3"/>
  <c r="L3748" i="3"/>
  <c r="M3748" i="3" s="1"/>
  <c r="P3748" i="3"/>
  <c r="Q3748" i="3"/>
  <c r="R3748" i="3"/>
  <c r="L3749" i="3"/>
  <c r="M3749" i="3" s="1"/>
  <c r="P3749" i="3"/>
  <c r="Q3749" i="3"/>
  <c r="R3749" i="3"/>
  <c r="L3750" i="3"/>
  <c r="M3750" i="3" s="1"/>
  <c r="N3750" i="3" s="1"/>
  <c r="P3750" i="3"/>
  <c r="Q3750" i="3"/>
  <c r="R3750" i="3"/>
  <c r="L3751" i="3"/>
  <c r="P3751" i="3"/>
  <c r="Q3751" i="3"/>
  <c r="R3751" i="3"/>
  <c r="L3752" i="3"/>
  <c r="M3752" i="3" s="1"/>
  <c r="P3752" i="3"/>
  <c r="Q3752" i="3"/>
  <c r="R3752" i="3"/>
  <c r="L3753" i="3"/>
  <c r="M3753" i="3" s="1"/>
  <c r="N3753" i="3" s="1"/>
  <c r="P3753" i="3"/>
  <c r="Q3753" i="3"/>
  <c r="R3753" i="3"/>
  <c r="L3754" i="3"/>
  <c r="M3754" i="3" s="1"/>
  <c r="P3754" i="3"/>
  <c r="Q3754" i="3"/>
  <c r="R3754" i="3"/>
  <c r="L3755" i="3"/>
  <c r="M3755" i="3" s="1"/>
  <c r="P3755" i="3"/>
  <c r="Q3755" i="3"/>
  <c r="R3755" i="3"/>
  <c r="L3756" i="3"/>
  <c r="P3756" i="3"/>
  <c r="Q3756" i="3"/>
  <c r="R3756" i="3"/>
  <c r="L3757" i="3"/>
  <c r="M3757" i="3" s="1"/>
  <c r="P3757" i="3"/>
  <c r="Q3757" i="3"/>
  <c r="R3757" i="3"/>
  <c r="L3758" i="3"/>
  <c r="M3758" i="3" s="1"/>
  <c r="N3758" i="3" s="1"/>
  <c r="P3758" i="3"/>
  <c r="Q3758" i="3"/>
  <c r="R3758" i="3"/>
  <c r="L3759" i="3"/>
  <c r="P3759" i="3"/>
  <c r="Q3759" i="3"/>
  <c r="R3759" i="3"/>
  <c r="L3760" i="3"/>
  <c r="M3760" i="3" s="1"/>
  <c r="P3760" i="3"/>
  <c r="Q3760" i="3"/>
  <c r="R3760" i="3"/>
  <c r="L3761" i="3"/>
  <c r="M3761" i="3" s="1"/>
  <c r="N3761" i="3" s="1"/>
  <c r="P3761" i="3"/>
  <c r="Q3761" i="3"/>
  <c r="R3761" i="3"/>
  <c r="L3762" i="3"/>
  <c r="M3762" i="3" s="1"/>
  <c r="N3762" i="3" s="1"/>
  <c r="P3762" i="3"/>
  <c r="Q3762" i="3"/>
  <c r="R3762" i="3"/>
  <c r="L3763" i="3"/>
  <c r="M3763" i="3" s="1"/>
  <c r="N3763" i="3" s="1"/>
  <c r="O3763" i="3" s="1"/>
  <c r="P3763" i="3"/>
  <c r="Q3763" i="3"/>
  <c r="R3763" i="3"/>
  <c r="L3764" i="3"/>
  <c r="P3764" i="3"/>
  <c r="Q3764" i="3"/>
  <c r="R3764" i="3"/>
  <c r="L3765" i="3"/>
  <c r="M3765" i="3" s="1"/>
  <c r="P3765" i="3"/>
  <c r="Q3765" i="3"/>
  <c r="R3765" i="3"/>
  <c r="L3766" i="3"/>
  <c r="M3766" i="3" s="1"/>
  <c r="N3766" i="3" s="1"/>
  <c r="P3766" i="3"/>
  <c r="Q3766" i="3"/>
  <c r="R3766" i="3"/>
  <c r="L3767" i="3"/>
  <c r="P3767" i="3"/>
  <c r="Q3767" i="3"/>
  <c r="R3767" i="3"/>
  <c r="L3768" i="3"/>
  <c r="M3768" i="3" s="1"/>
  <c r="P3768" i="3"/>
  <c r="Q3768" i="3"/>
  <c r="R3768" i="3"/>
  <c r="L3769" i="3"/>
  <c r="M3769" i="3" s="1"/>
  <c r="P3769" i="3"/>
  <c r="Q3769" i="3"/>
  <c r="R3769" i="3"/>
  <c r="L3770" i="3"/>
  <c r="M3770" i="3" s="1"/>
  <c r="P3770" i="3"/>
  <c r="Q3770" i="3"/>
  <c r="R3770" i="3"/>
  <c r="L3771" i="3"/>
  <c r="M3771" i="3" s="1"/>
  <c r="P3771" i="3"/>
  <c r="Q3771" i="3"/>
  <c r="R3771" i="3"/>
  <c r="L3772" i="3"/>
  <c r="P3772" i="3"/>
  <c r="Q3772" i="3"/>
  <c r="R3772" i="3"/>
  <c r="L3773" i="3"/>
  <c r="M3773" i="3" s="1"/>
  <c r="P3773" i="3"/>
  <c r="Q3773" i="3"/>
  <c r="R3773" i="3"/>
  <c r="L3774" i="3"/>
  <c r="M3774" i="3" s="1"/>
  <c r="N3774" i="3" s="1"/>
  <c r="P3774" i="3"/>
  <c r="Q3774" i="3"/>
  <c r="R3774" i="3"/>
  <c r="L3775" i="3"/>
  <c r="P3775" i="3"/>
  <c r="Q3775" i="3"/>
  <c r="R3775" i="3"/>
  <c r="L3776" i="3"/>
  <c r="M3776" i="3" s="1"/>
  <c r="P3776" i="3"/>
  <c r="Q3776" i="3"/>
  <c r="R3776" i="3"/>
  <c r="L3777" i="3"/>
  <c r="M3777" i="3" s="1"/>
  <c r="N3777" i="3" s="1"/>
  <c r="P3777" i="3"/>
  <c r="Q3777" i="3"/>
  <c r="R3777" i="3"/>
  <c r="L3778" i="3"/>
  <c r="M3778" i="3" s="1"/>
  <c r="N3778" i="3" s="1"/>
  <c r="O3778" i="3" s="1"/>
  <c r="P3778" i="3"/>
  <c r="Q3778" i="3"/>
  <c r="R3778" i="3"/>
  <c r="L3779" i="3"/>
  <c r="M3779" i="3" s="1"/>
  <c r="N3779" i="3" s="1"/>
  <c r="P3779" i="3"/>
  <c r="Q3779" i="3"/>
  <c r="R3779" i="3"/>
  <c r="L3780" i="3"/>
  <c r="M3780" i="3" s="1"/>
  <c r="P3780" i="3"/>
  <c r="Q3780" i="3"/>
  <c r="R3780" i="3"/>
  <c r="L3781" i="3"/>
  <c r="M3781" i="3" s="1"/>
  <c r="P3781" i="3"/>
  <c r="Q3781" i="3"/>
  <c r="R3781" i="3"/>
  <c r="L3782" i="3"/>
  <c r="M3782" i="3" s="1"/>
  <c r="N3782" i="3" s="1"/>
  <c r="P3782" i="3"/>
  <c r="Q3782" i="3"/>
  <c r="R3782" i="3"/>
  <c r="L3783" i="3"/>
  <c r="P3783" i="3"/>
  <c r="Q3783" i="3"/>
  <c r="R3783" i="3"/>
  <c r="L3784" i="3"/>
  <c r="P3784" i="3"/>
  <c r="Q3784" i="3"/>
  <c r="R3784" i="3"/>
  <c r="L3785" i="3"/>
  <c r="P3785" i="3"/>
  <c r="Q3785" i="3"/>
  <c r="R3785" i="3"/>
  <c r="L3786" i="3"/>
  <c r="M3786" i="3" s="1"/>
  <c r="P3786" i="3"/>
  <c r="Q3786" i="3"/>
  <c r="R3786" i="3"/>
  <c r="L3787" i="3"/>
  <c r="M3787" i="3" s="1"/>
  <c r="P3787" i="3"/>
  <c r="Q3787" i="3"/>
  <c r="R3787" i="3"/>
  <c r="L3788" i="3"/>
  <c r="P3788" i="3"/>
  <c r="Q3788" i="3"/>
  <c r="R3788" i="3"/>
  <c r="L3789" i="3"/>
  <c r="P3789" i="3"/>
  <c r="Q3789" i="3"/>
  <c r="R3789" i="3"/>
  <c r="L3790" i="3"/>
  <c r="M3790" i="3" s="1"/>
  <c r="Q3790" i="3"/>
  <c r="R3790" i="3"/>
  <c r="L3791" i="3"/>
  <c r="Q3791" i="3"/>
  <c r="R3791" i="3"/>
  <c r="L3792" i="3"/>
  <c r="M3792" i="3" s="1"/>
  <c r="P3792" i="3"/>
  <c r="Q3792" i="3"/>
  <c r="R3792" i="3"/>
  <c r="L3793" i="3"/>
  <c r="P3793" i="3"/>
  <c r="Q3793" i="3"/>
  <c r="R3793" i="3"/>
  <c r="L3794" i="3"/>
  <c r="M3794" i="3" s="1"/>
  <c r="N3794" i="3" s="1"/>
  <c r="P3794" i="3"/>
  <c r="Q3794" i="3"/>
  <c r="R3794" i="3"/>
  <c r="L3795" i="3"/>
  <c r="M3795" i="3" s="1"/>
  <c r="N3795" i="3" s="1"/>
  <c r="Q3795" i="3"/>
  <c r="R3795" i="3"/>
  <c r="L3796" i="3"/>
  <c r="M3796" i="3" s="1"/>
  <c r="P3796" i="3"/>
  <c r="Q3796" i="3"/>
  <c r="R3796" i="3"/>
  <c r="L3797" i="3"/>
  <c r="Q3797" i="3"/>
  <c r="R3797" i="3"/>
  <c r="L3798" i="3"/>
  <c r="M3798" i="3" s="1"/>
  <c r="P3798" i="3"/>
  <c r="Q3798" i="3"/>
  <c r="R3798" i="3"/>
  <c r="L3799" i="3"/>
  <c r="P3799" i="3"/>
  <c r="Q3799" i="3"/>
  <c r="R3799" i="3"/>
  <c r="L3800" i="3"/>
  <c r="M3800" i="3" s="1"/>
  <c r="P3800" i="3"/>
  <c r="Q3800" i="3"/>
  <c r="R3800" i="3"/>
  <c r="L3801" i="3"/>
  <c r="M3801" i="3" s="1"/>
  <c r="N3801" i="3" s="1"/>
  <c r="P3801" i="3"/>
  <c r="Q3801" i="3"/>
  <c r="R3801" i="3"/>
  <c r="L3802" i="3"/>
  <c r="M3802" i="3" s="1"/>
  <c r="N3802" i="3" s="1"/>
  <c r="P3802" i="3"/>
  <c r="Q3802" i="3"/>
  <c r="R3802" i="3"/>
  <c r="L3803" i="3"/>
  <c r="M3803" i="3" s="1"/>
  <c r="Q3803" i="3"/>
  <c r="R3803" i="3"/>
  <c r="L3804" i="3"/>
  <c r="M3804" i="3" s="1"/>
  <c r="Q3804" i="3"/>
  <c r="R3804" i="3"/>
  <c r="L3805" i="3"/>
  <c r="P3805" i="3"/>
  <c r="Q3805" i="3"/>
  <c r="R3805" i="3"/>
  <c r="L3806" i="3"/>
  <c r="M3806" i="3" s="1"/>
  <c r="Q3806" i="3"/>
  <c r="R3806" i="3"/>
  <c r="L3807" i="3"/>
  <c r="Q3807" i="3"/>
  <c r="R3807" i="3"/>
  <c r="L3808" i="3"/>
  <c r="M3808" i="3" s="1"/>
  <c r="P3808" i="3"/>
  <c r="Q3808" i="3"/>
  <c r="R3808" i="3"/>
  <c r="L3809" i="3"/>
  <c r="M3809" i="3" s="1"/>
  <c r="N3809" i="3" s="1"/>
  <c r="P3809" i="3"/>
  <c r="Q3809" i="3"/>
  <c r="R3809" i="3"/>
  <c r="L3810" i="3"/>
  <c r="M3810" i="3" s="1"/>
  <c r="P3810" i="3"/>
  <c r="Q3810" i="3"/>
  <c r="R3810" i="3"/>
  <c r="L3811" i="3"/>
  <c r="M3811" i="3" s="1"/>
  <c r="P3811" i="3"/>
  <c r="Q3811" i="3"/>
  <c r="R3811" i="3"/>
  <c r="L3812" i="3"/>
  <c r="M3812" i="3" s="1"/>
  <c r="P3812" i="3"/>
  <c r="Q3812" i="3"/>
  <c r="R3812" i="3"/>
  <c r="L3813" i="3"/>
  <c r="M3813" i="3" s="1"/>
  <c r="N3813" i="3" s="1"/>
  <c r="P3813" i="3"/>
  <c r="Q3813" i="3"/>
  <c r="R3813" i="3"/>
  <c r="L3814" i="3"/>
  <c r="M3814" i="3" s="1"/>
  <c r="N3814" i="3" s="1"/>
  <c r="O3814" i="3" s="1"/>
  <c r="P3814" i="3"/>
  <c r="Q3814" i="3"/>
  <c r="R3814" i="3"/>
  <c r="L3815" i="3"/>
  <c r="P3815" i="3"/>
  <c r="Q3815" i="3"/>
  <c r="R3815" i="3"/>
  <c r="L3816" i="3"/>
  <c r="M3816" i="3" s="1"/>
  <c r="P3816" i="3"/>
  <c r="Q3816" i="3"/>
  <c r="R3816" i="3"/>
  <c r="L3817" i="3"/>
  <c r="M3817" i="3" s="1"/>
  <c r="Q3817" i="3"/>
  <c r="R3817" i="3"/>
  <c r="L3818" i="3"/>
  <c r="M3818" i="3" s="1"/>
  <c r="P3818" i="3"/>
  <c r="Q3818" i="3"/>
  <c r="R3818" i="3"/>
  <c r="L3819" i="3"/>
  <c r="P3819" i="3"/>
  <c r="Q3819" i="3"/>
  <c r="R3819" i="3"/>
  <c r="L3820" i="3"/>
  <c r="M3820" i="3" s="1"/>
  <c r="P3820" i="3"/>
  <c r="Q3820" i="3"/>
  <c r="R3820" i="3"/>
  <c r="L3821" i="3"/>
  <c r="M3821" i="3" s="1"/>
  <c r="N3821" i="3" s="1"/>
  <c r="Q3821" i="3"/>
  <c r="R3821" i="3"/>
  <c r="L3822" i="3"/>
  <c r="M3822" i="3" s="1"/>
  <c r="N3822" i="3" s="1"/>
  <c r="O3822" i="3" s="1"/>
  <c r="P3822" i="3"/>
  <c r="Q3822" i="3"/>
  <c r="R3822" i="3"/>
  <c r="L3823" i="3"/>
  <c r="M3823" i="3" s="1"/>
  <c r="P3823" i="3"/>
  <c r="Q3823" i="3"/>
  <c r="R3823" i="3"/>
  <c r="L3824" i="3"/>
  <c r="M3824" i="3" s="1"/>
  <c r="P3824" i="3"/>
  <c r="Q3824" i="3"/>
  <c r="R3824" i="3"/>
  <c r="L3825" i="3"/>
  <c r="Q3825" i="3"/>
  <c r="R3825" i="3"/>
  <c r="L3826" i="3"/>
  <c r="M3826" i="3" s="1"/>
  <c r="N3826" i="3" s="1"/>
  <c r="Q3826" i="3"/>
  <c r="R3826" i="3"/>
  <c r="L3827" i="3"/>
  <c r="M3827" i="3" s="1"/>
  <c r="P3827" i="3"/>
  <c r="Q3827" i="3"/>
  <c r="R3827" i="3"/>
  <c r="L3828" i="3"/>
  <c r="M3828" i="3" s="1"/>
  <c r="P3828" i="3"/>
  <c r="Q3828" i="3"/>
  <c r="R3828" i="3"/>
  <c r="L3829" i="3"/>
  <c r="M3829" i="3" s="1"/>
  <c r="N3829" i="3" s="1"/>
  <c r="P3829" i="3"/>
  <c r="Q3829" i="3"/>
  <c r="R3829" i="3"/>
  <c r="L3830" i="3"/>
  <c r="M3830" i="3" s="1"/>
  <c r="Q3830" i="3"/>
  <c r="R3830" i="3"/>
  <c r="L3831" i="3"/>
  <c r="P3831" i="3"/>
  <c r="Q3831" i="3"/>
  <c r="R3831" i="3"/>
  <c r="L3832" i="3"/>
  <c r="M3832" i="3" s="1"/>
  <c r="P3832" i="3"/>
  <c r="Q3832" i="3"/>
  <c r="R3832" i="3"/>
  <c r="L3833" i="3"/>
  <c r="M3833" i="3" s="1"/>
  <c r="Q3833" i="3"/>
  <c r="R3833" i="3"/>
  <c r="L3834" i="3"/>
  <c r="M3834" i="3" s="1"/>
  <c r="N3834" i="3" s="1"/>
  <c r="P3834" i="3"/>
  <c r="Q3834" i="3"/>
  <c r="R3834" i="3"/>
  <c r="L3835" i="3"/>
  <c r="M3835" i="3" s="1"/>
  <c r="Q3835" i="3"/>
  <c r="R3835" i="3"/>
  <c r="L3836" i="3"/>
  <c r="P3836" i="3"/>
  <c r="Q3836" i="3"/>
  <c r="R3836" i="3"/>
  <c r="L3837" i="3"/>
  <c r="M3837" i="3" s="1"/>
  <c r="Q3837" i="3"/>
  <c r="R3837" i="3"/>
  <c r="L3838" i="3"/>
  <c r="M3838" i="3" s="1"/>
  <c r="N3838" i="3" s="1"/>
  <c r="P3838" i="3"/>
  <c r="Q3838" i="3"/>
  <c r="R3838" i="3"/>
  <c r="L3839" i="3"/>
  <c r="M3839" i="3" s="1"/>
  <c r="P3839" i="3"/>
  <c r="Q3839" i="3"/>
  <c r="R3839" i="3"/>
  <c r="L3840" i="3"/>
  <c r="M3840" i="3" s="1"/>
  <c r="P3840" i="3"/>
  <c r="Q3840" i="3"/>
  <c r="R3840" i="3"/>
  <c r="L3841" i="3"/>
  <c r="M3841" i="3" s="1"/>
  <c r="N3841" i="3" s="1"/>
  <c r="P3841" i="3"/>
  <c r="Q3841" i="3"/>
  <c r="R3841" i="3"/>
  <c r="L3842" i="3"/>
  <c r="M3842" i="3" s="1"/>
  <c r="Q3842" i="3"/>
  <c r="R3842" i="3"/>
  <c r="L3843" i="3"/>
  <c r="M3843" i="3" s="1"/>
  <c r="P3843" i="3"/>
  <c r="Q3843" i="3"/>
  <c r="R3843" i="3"/>
  <c r="L3844" i="3"/>
  <c r="M3844" i="3" s="1"/>
  <c r="Q3844" i="3"/>
  <c r="R3844" i="3"/>
  <c r="L3845" i="3"/>
  <c r="M3845" i="3" s="1"/>
  <c r="P3845" i="3"/>
  <c r="Q3845" i="3"/>
  <c r="R3845" i="3"/>
  <c r="L3846" i="3"/>
  <c r="M3846" i="3" s="1"/>
  <c r="N3846" i="3" s="1"/>
  <c r="Q3846" i="3"/>
  <c r="R3846" i="3"/>
  <c r="L3847" i="3"/>
  <c r="M3847" i="3" s="1"/>
  <c r="P3847" i="3"/>
  <c r="Q3847" i="3"/>
  <c r="R3847" i="3"/>
  <c r="L3848" i="3"/>
  <c r="P3848" i="3"/>
  <c r="Q3848" i="3"/>
  <c r="R3848" i="3"/>
  <c r="L3849" i="3"/>
  <c r="M3849" i="3" s="1"/>
  <c r="N3849" i="3" s="1"/>
  <c r="Q3849" i="3"/>
  <c r="R3849" i="3"/>
  <c r="L3850" i="3"/>
  <c r="M3850" i="3" s="1"/>
  <c r="P3850" i="3"/>
  <c r="Q3850" i="3"/>
  <c r="R3850" i="3"/>
  <c r="L3851" i="3"/>
  <c r="M3851" i="3" s="1"/>
  <c r="N3851" i="3" s="1"/>
  <c r="P3851" i="3"/>
  <c r="Q3851" i="3"/>
  <c r="R3851" i="3"/>
  <c r="L3852" i="3"/>
  <c r="M3852" i="3" s="1"/>
  <c r="Q3852" i="3"/>
  <c r="R3852" i="3"/>
  <c r="L3853" i="3"/>
  <c r="P3853" i="3"/>
  <c r="Q3853" i="3"/>
  <c r="R3853" i="3"/>
  <c r="L3854" i="3"/>
  <c r="M3854" i="3" s="1"/>
  <c r="P3854" i="3"/>
  <c r="Q3854" i="3"/>
  <c r="R3854" i="3"/>
  <c r="L3855" i="3"/>
  <c r="M3855" i="3" s="1"/>
  <c r="Q3855" i="3"/>
  <c r="R3855" i="3"/>
  <c r="L3856" i="3"/>
  <c r="M3856" i="3" s="1"/>
  <c r="P3856" i="3"/>
  <c r="Q3856" i="3"/>
  <c r="R3856" i="3"/>
  <c r="L3857" i="3"/>
  <c r="M3857" i="3" s="1"/>
  <c r="N3857" i="3" s="1"/>
  <c r="Q3857" i="3"/>
  <c r="R3857" i="3"/>
  <c r="L3858" i="3"/>
  <c r="P3858" i="3"/>
  <c r="Q3858" i="3"/>
  <c r="R3858" i="3"/>
  <c r="L3859" i="3"/>
  <c r="M3859" i="3" s="1"/>
  <c r="Q3859" i="3"/>
  <c r="R3859" i="3"/>
  <c r="L3860" i="3"/>
  <c r="M3860" i="3" s="1"/>
  <c r="P3860" i="3"/>
  <c r="Q3860" i="3"/>
  <c r="R3860" i="3"/>
  <c r="L3861" i="3"/>
  <c r="M3861" i="3" s="1"/>
  <c r="P3861" i="3"/>
  <c r="Q3861" i="3"/>
  <c r="R3861" i="3"/>
  <c r="L3862" i="3"/>
  <c r="M3862" i="3" s="1"/>
  <c r="P3862" i="3"/>
  <c r="Q3862" i="3"/>
  <c r="R3862" i="3"/>
  <c r="L3863" i="3"/>
  <c r="M3863" i="3" s="1"/>
  <c r="P3863" i="3"/>
  <c r="Q3863" i="3"/>
  <c r="R3863" i="3"/>
  <c r="L3864" i="3"/>
  <c r="M3864" i="3" s="1"/>
  <c r="P3864" i="3"/>
  <c r="Q3864" i="3"/>
  <c r="R3864" i="3"/>
  <c r="L3865" i="3"/>
  <c r="M3865" i="3" s="1"/>
  <c r="Q3865" i="3"/>
  <c r="R3865" i="3"/>
  <c r="L3866" i="3"/>
  <c r="M3866" i="3" s="1"/>
  <c r="P3866" i="3"/>
  <c r="Q3866" i="3"/>
  <c r="R3866" i="3"/>
  <c r="L3867" i="3"/>
  <c r="M3867" i="3" s="1"/>
  <c r="P3867" i="3"/>
  <c r="Q3867" i="3"/>
  <c r="R3867" i="3"/>
  <c r="L3868" i="3"/>
  <c r="M3868" i="3" s="1"/>
  <c r="P3868" i="3"/>
  <c r="Q3868" i="3"/>
  <c r="R3868" i="3"/>
  <c r="L3869" i="3"/>
  <c r="M3869" i="3" s="1"/>
  <c r="N3869" i="3" s="1"/>
  <c r="P3869" i="3"/>
  <c r="Q3869" i="3"/>
  <c r="R3869" i="3"/>
  <c r="L3870" i="3"/>
  <c r="M3870" i="3" s="1"/>
  <c r="P3870" i="3"/>
  <c r="Q3870" i="3"/>
  <c r="R3870" i="3"/>
  <c r="L3871" i="3"/>
  <c r="Q3871" i="3"/>
  <c r="R3871" i="3"/>
  <c r="L3872" i="3"/>
  <c r="M3872" i="3" s="1"/>
  <c r="P3872" i="3"/>
  <c r="Q3872" i="3"/>
  <c r="R3872" i="3"/>
  <c r="L3873" i="3"/>
  <c r="M3873" i="3" s="1"/>
  <c r="N3873" i="3" s="1"/>
  <c r="P3873" i="3"/>
  <c r="Q3873" i="3"/>
  <c r="R3873" i="3"/>
  <c r="L3874" i="3"/>
  <c r="M3874" i="3" s="1"/>
  <c r="P3874" i="3"/>
  <c r="Q3874" i="3"/>
  <c r="R3874" i="3"/>
  <c r="L3875" i="3"/>
  <c r="M3875" i="3" s="1"/>
  <c r="P3875" i="3"/>
  <c r="Q3875" i="3"/>
  <c r="R3875" i="3"/>
  <c r="L3876" i="3"/>
  <c r="M3876" i="3" s="1"/>
  <c r="P3876" i="3"/>
  <c r="Q3876" i="3"/>
  <c r="R3876" i="3"/>
  <c r="L3877" i="3"/>
  <c r="M3877" i="3" s="1"/>
  <c r="N3877" i="3" s="1"/>
  <c r="P3877" i="3"/>
  <c r="Q3877" i="3"/>
  <c r="R3877" i="3"/>
  <c r="L3878" i="3"/>
  <c r="M3878" i="3" s="1"/>
  <c r="P3878" i="3"/>
  <c r="Q3878" i="3"/>
  <c r="R3878" i="3"/>
  <c r="L3879" i="3"/>
  <c r="Q3879" i="3"/>
  <c r="R3879" i="3"/>
  <c r="L3880" i="3"/>
  <c r="P3880" i="3"/>
  <c r="Q3880" i="3"/>
  <c r="R3880" i="3"/>
  <c r="L3881" i="3"/>
  <c r="M3881" i="3" s="1"/>
  <c r="P3881" i="3"/>
  <c r="Q3881" i="3"/>
  <c r="R3881" i="3"/>
  <c r="L3882" i="3"/>
  <c r="M3882" i="3" s="1"/>
  <c r="P3882" i="3"/>
  <c r="Q3882" i="3"/>
  <c r="R3882" i="3"/>
  <c r="L3883" i="3"/>
  <c r="M3883" i="3" s="1"/>
  <c r="P3883" i="3"/>
  <c r="Q3883" i="3"/>
  <c r="R3883" i="3"/>
  <c r="L3884" i="3"/>
  <c r="P3884" i="3"/>
  <c r="Q3884" i="3"/>
  <c r="R3884" i="3"/>
  <c r="L3885" i="3"/>
  <c r="M3885" i="3" s="1"/>
  <c r="Q3885" i="3"/>
  <c r="R3885" i="3"/>
  <c r="L3886" i="3"/>
  <c r="M3886" i="3" s="1"/>
  <c r="Q3886" i="3"/>
  <c r="R3886" i="3"/>
  <c r="L3887" i="3"/>
  <c r="P3887" i="3"/>
  <c r="Q3887" i="3"/>
  <c r="R3887" i="3"/>
  <c r="L3888" i="3"/>
  <c r="P3888" i="3"/>
  <c r="Q3888" i="3"/>
  <c r="R3888" i="3"/>
  <c r="L3889" i="3"/>
  <c r="M3889" i="3" s="1"/>
  <c r="P3889" i="3"/>
  <c r="Q3889" i="3"/>
  <c r="R3889" i="3"/>
  <c r="L3890" i="3"/>
  <c r="M3890" i="3" s="1"/>
  <c r="P3890" i="3"/>
  <c r="Q3890" i="3"/>
  <c r="R3890" i="3"/>
  <c r="L3891" i="3"/>
  <c r="M3891" i="3" s="1"/>
  <c r="P3891" i="3"/>
  <c r="Q3891" i="3"/>
  <c r="R3891" i="3"/>
  <c r="L3892" i="3"/>
  <c r="P3892" i="3"/>
  <c r="Q3892" i="3"/>
  <c r="R3892" i="3"/>
  <c r="L3893" i="3"/>
  <c r="M3893" i="3" s="1"/>
  <c r="Q3893" i="3"/>
  <c r="R3893" i="3"/>
  <c r="L3894" i="3"/>
  <c r="M3894" i="3" s="1"/>
  <c r="Q3894" i="3"/>
  <c r="R3894" i="3"/>
  <c r="L3895" i="3"/>
  <c r="P3895" i="3"/>
  <c r="Q3895" i="3"/>
  <c r="R3895" i="3"/>
  <c r="L3896" i="3"/>
  <c r="Q3896" i="3"/>
  <c r="R3896" i="3"/>
  <c r="L3897" i="3"/>
  <c r="M3897" i="3" s="1"/>
  <c r="Q3897" i="3"/>
  <c r="R3897" i="3"/>
  <c r="L3898" i="3"/>
  <c r="M3898" i="3" s="1"/>
  <c r="N3898" i="3" s="1"/>
  <c r="O3898" i="3" s="1"/>
  <c r="P3898" i="3"/>
  <c r="Q3898" i="3"/>
  <c r="R3898" i="3"/>
  <c r="L3899" i="3"/>
  <c r="M3899" i="3" s="1"/>
  <c r="Q3899" i="3"/>
  <c r="R3899" i="3"/>
  <c r="L3900" i="3"/>
  <c r="M3900" i="3" s="1"/>
  <c r="P3900" i="3"/>
  <c r="Q3900" i="3"/>
  <c r="R3900" i="3"/>
  <c r="L3901" i="3"/>
  <c r="M3901" i="3" s="1"/>
  <c r="N3901" i="3" s="1"/>
  <c r="P3901" i="3"/>
  <c r="Q3901" i="3"/>
  <c r="R3901" i="3"/>
  <c r="L3902" i="3"/>
  <c r="M3902" i="3" s="1"/>
  <c r="N3902" i="3" s="1"/>
  <c r="O3902" i="3" s="1"/>
  <c r="P3902" i="3"/>
  <c r="Q3902" i="3"/>
  <c r="R3902" i="3"/>
  <c r="L3903" i="3"/>
  <c r="P3903" i="3"/>
  <c r="Q3903" i="3"/>
  <c r="R3903" i="3"/>
  <c r="L3904" i="3"/>
  <c r="M3904" i="3" s="1"/>
  <c r="P3904" i="3"/>
  <c r="Q3904" i="3"/>
  <c r="R3904" i="3"/>
  <c r="L3905" i="3"/>
  <c r="M3905" i="3" s="1"/>
  <c r="N3905" i="3" s="1"/>
  <c r="Q3905" i="3"/>
  <c r="R3905" i="3"/>
  <c r="L3906" i="3"/>
  <c r="M3906" i="3" s="1"/>
  <c r="P3906" i="3"/>
  <c r="Q3906" i="3"/>
  <c r="R3906" i="3"/>
  <c r="L3907" i="3"/>
  <c r="M3907" i="3" s="1"/>
  <c r="P3907" i="3"/>
  <c r="Q3907" i="3"/>
  <c r="R3907" i="3"/>
  <c r="L3908" i="3"/>
  <c r="M3908" i="3" s="1"/>
  <c r="N3908" i="3" s="1"/>
  <c r="P3908" i="3"/>
  <c r="Q3908" i="3"/>
  <c r="R3908" i="3"/>
  <c r="L3909" i="3"/>
  <c r="M3909" i="3" s="1"/>
  <c r="Q3909" i="3"/>
  <c r="R3909" i="3"/>
  <c r="L3910" i="3"/>
  <c r="M3910" i="3" s="1"/>
  <c r="P3910" i="3"/>
  <c r="Q3910" i="3"/>
  <c r="R3910" i="3"/>
  <c r="L3911" i="3"/>
  <c r="Q3911" i="3"/>
  <c r="R3911" i="3"/>
  <c r="L3912" i="3"/>
  <c r="M3912" i="3" s="1"/>
  <c r="P3912" i="3"/>
  <c r="Q3912" i="3"/>
  <c r="R3912" i="3"/>
  <c r="L3913" i="3"/>
  <c r="M3913" i="3" s="1"/>
  <c r="P3913" i="3"/>
  <c r="Q3913" i="3"/>
  <c r="R3913" i="3"/>
  <c r="L3914" i="3"/>
  <c r="M3914" i="3" s="1"/>
  <c r="Q3914" i="3"/>
  <c r="R3914" i="3"/>
  <c r="L3915" i="3"/>
  <c r="M3915" i="3" s="1"/>
  <c r="P3915" i="3"/>
  <c r="Q3915" i="3"/>
  <c r="R3915" i="3"/>
  <c r="L3916" i="3"/>
  <c r="M3916" i="3" s="1"/>
  <c r="P3916" i="3"/>
  <c r="Q3916" i="3"/>
  <c r="R3916" i="3"/>
  <c r="L3917" i="3"/>
  <c r="Q3917" i="3"/>
  <c r="R3917" i="3"/>
  <c r="L3918" i="3"/>
  <c r="M3918" i="3" s="1"/>
  <c r="P3918" i="3"/>
  <c r="Q3918" i="3"/>
  <c r="R3918" i="3"/>
  <c r="L3919" i="3"/>
  <c r="P3919" i="3"/>
  <c r="Q3919" i="3"/>
  <c r="R3919" i="3"/>
  <c r="L3920" i="3"/>
  <c r="P3920" i="3"/>
  <c r="Q3920" i="3"/>
  <c r="R3920" i="3"/>
  <c r="L3921" i="3"/>
  <c r="M3921" i="3" s="1"/>
  <c r="P3921" i="3"/>
  <c r="Q3921" i="3"/>
  <c r="R3921" i="3"/>
  <c r="L3922" i="3"/>
  <c r="M3922" i="3" s="1"/>
  <c r="P3922" i="3"/>
  <c r="Q3922" i="3"/>
  <c r="R3922" i="3"/>
  <c r="L3923" i="3"/>
  <c r="M3923" i="3" s="1"/>
  <c r="P3923" i="3"/>
  <c r="Q3923" i="3"/>
  <c r="R3923" i="3"/>
  <c r="L3924" i="3"/>
  <c r="M3924" i="3" s="1"/>
  <c r="N3924" i="3" s="1"/>
  <c r="Q3924" i="3"/>
  <c r="R3924" i="3"/>
  <c r="L3925" i="3"/>
  <c r="M3925" i="3" s="1"/>
  <c r="N3925" i="3" s="1"/>
  <c r="O3925" i="3" s="1"/>
  <c r="P3925" i="3"/>
  <c r="Q3925" i="3"/>
  <c r="R3925" i="3"/>
  <c r="L3926" i="3"/>
  <c r="M3926" i="3" s="1"/>
  <c r="Q3926" i="3"/>
  <c r="R3926" i="3"/>
  <c r="L3927" i="3"/>
  <c r="P3927" i="3"/>
  <c r="Q3927" i="3"/>
  <c r="R3927" i="3"/>
  <c r="L3928" i="3"/>
  <c r="M3928" i="3" s="1"/>
  <c r="Q3928" i="3"/>
  <c r="R3928" i="3"/>
  <c r="L3929" i="3"/>
  <c r="M3929" i="3" s="1"/>
  <c r="P3929" i="3"/>
  <c r="Q3929" i="3"/>
  <c r="R3929" i="3"/>
  <c r="L3930" i="3"/>
  <c r="M3930" i="3" s="1"/>
  <c r="P3930" i="3"/>
  <c r="Q3930" i="3"/>
  <c r="R3930" i="3"/>
  <c r="L3931" i="3"/>
  <c r="M3931" i="3" s="1"/>
  <c r="Q3931" i="3"/>
  <c r="R3931" i="3"/>
  <c r="L3932" i="3"/>
  <c r="M3932" i="3" s="1"/>
  <c r="P3932" i="3"/>
  <c r="Q3932" i="3"/>
  <c r="R3932" i="3"/>
  <c r="L3933" i="3"/>
  <c r="M3933" i="3" s="1"/>
  <c r="N3933" i="3" s="1"/>
  <c r="O3933" i="3" s="1"/>
  <c r="P3933" i="3" s="1"/>
  <c r="Q3933" i="3"/>
  <c r="R3933" i="3"/>
  <c r="L3934" i="3"/>
  <c r="M3934" i="3" s="1"/>
  <c r="P3934" i="3"/>
  <c r="Q3934" i="3"/>
  <c r="R3934" i="3"/>
  <c r="L3935" i="3"/>
  <c r="P3935" i="3"/>
  <c r="Q3935" i="3"/>
  <c r="R3935" i="3"/>
  <c r="L3936" i="3"/>
  <c r="M3936" i="3" s="1"/>
  <c r="P3936" i="3"/>
  <c r="Q3936" i="3"/>
  <c r="R3936" i="3"/>
  <c r="L3937" i="3"/>
  <c r="M3937" i="3" s="1"/>
  <c r="N3937" i="3" s="1"/>
  <c r="Q3937" i="3"/>
  <c r="R3937" i="3"/>
  <c r="L3938" i="3"/>
  <c r="M3938" i="3" s="1"/>
  <c r="P3938" i="3"/>
  <c r="Q3938" i="3"/>
  <c r="R3938" i="3"/>
  <c r="L3939" i="3"/>
  <c r="M3939" i="3" s="1"/>
  <c r="P3939" i="3"/>
  <c r="Q3939" i="3"/>
  <c r="R3939" i="3"/>
  <c r="L3940" i="3"/>
  <c r="P3940" i="3"/>
  <c r="Q3940" i="3"/>
  <c r="R3940" i="3"/>
  <c r="L3941" i="3"/>
  <c r="M3941" i="3" s="1"/>
  <c r="P3941" i="3"/>
  <c r="Q3941" i="3"/>
  <c r="R3941" i="3"/>
  <c r="L3942" i="3"/>
  <c r="M3942" i="3" s="1"/>
  <c r="N3942" i="3" s="1"/>
  <c r="Q3942" i="3"/>
  <c r="R3942" i="3"/>
  <c r="L3943" i="3"/>
  <c r="Q3943" i="3"/>
  <c r="R3943" i="3"/>
  <c r="L3944" i="3"/>
  <c r="M3944" i="3" s="1"/>
  <c r="P3944" i="3"/>
  <c r="Q3944" i="3"/>
  <c r="R3944" i="3"/>
  <c r="L3945" i="3"/>
  <c r="M3945" i="3" s="1"/>
  <c r="P3945" i="3"/>
  <c r="Q3945" i="3"/>
  <c r="R3945" i="3"/>
  <c r="L3946" i="3"/>
  <c r="M3946" i="3" s="1"/>
  <c r="P3946" i="3"/>
  <c r="Q3946" i="3"/>
  <c r="R3946" i="3"/>
  <c r="L3947" i="3"/>
  <c r="P3947" i="3"/>
  <c r="Q3947" i="3"/>
  <c r="R3947" i="3"/>
  <c r="L3948" i="3"/>
  <c r="M3948" i="3" s="1"/>
  <c r="P3948" i="3"/>
  <c r="Q3948" i="3"/>
  <c r="R3948" i="3"/>
  <c r="L3949" i="3"/>
  <c r="M3949" i="3" s="1"/>
  <c r="N3949" i="3" s="1"/>
  <c r="O3949" i="3" s="1"/>
  <c r="P3949" i="3"/>
  <c r="Q3949" i="3"/>
  <c r="R3949" i="3"/>
  <c r="L3950" i="3"/>
  <c r="M3950" i="3" s="1"/>
  <c r="Q3950" i="3"/>
  <c r="R3950" i="3"/>
  <c r="L3951" i="3"/>
  <c r="M3951" i="3" s="1"/>
  <c r="P3951" i="3"/>
  <c r="Q3951" i="3"/>
  <c r="R3951" i="3"/>
  <c r="L3952" i="3"/>
  <c r="Q3952" i="3"/>
  <c r="R3952" i="3"/>
  <c r="L3953" i="3"/>
  <c r="P3953" i="3"/>
  <c r="Q3953" i="3"/>
  <c r="R3953" i="3"/>
  <c r="L3954" i="3"/>
  <c r="M3954" i="3" s="1"/>
  <c r="Q3954" i="3"/>
  <c r="R3954" i="3"/>
  <c r="L3955" i="3"/>
  <c r="M3955" i="3" s="1"/>
  <c r="Q3955" i="3"/>
  <c r="R3955" i="3"/>
  <c r="L3956" i="3"/>
  <c r="M3956" i="3" s="1"/>
  <c r="Q3956" i="3"/>
  <c r="R3956" i="3"/>
  <c r="L3957" i="3"/>
  <c r="M3957" i="3" s="1"/>
  <c r="N3957" i="3" s="1"/>
  <c r="O3957" i="3" s="1"/>
  <c r="P3957" i="3"/>
  <c r="Q3957" i="3"/>
  <c r="R3957" i="3"/>
  <c r="L3958" i="3"/>
  <c r="M3958" i="3" s="1"/>
  <c r="P3958" i="3"/>
  <c r="Q3958" i="3"/>
  <c r="R3958" i="3"/>
  <c r="L3959" i="3"/>
  <c r="M3959" i="3" s="1"/>
  <c r="P3959" i="3"/>
  <c r="Q3959" i="3"/>
  <c r="R3959" i="3"/>
  <c r="L3960" i="3"/>
  <c r="M3960" i="3" s="1"/>
  <c r="P3960" i="3"/>
  <c r="Q3960" i="3"/>
  <c r="R3960" i="3"/>
  <c r="L3961" i="3"/>
  <c r="M3961" i="3" s="1"/>
  <c r="P3961" i="3"/>
  <c r="Q3961" i="3"/>
  <c r="R3961" i="3"/>
  <c r="L3962" i="3"/>
  <c r="M3962" i="3" s="1"/>
  <c r="N3962" i="3" s="1"/>
  <c r="O3962" i="3" s="1"/>
  <c r="P3962" i="3" s="1"/>
  <c r="Q3962" i="3"/>
  <c r="R3962" i="3"/>
  <c r="L3963" i="3"/>
  <c r="M3963" i="3" s="1"/>
  <c r="Q3963" i="3"/>
  <c r="R3963" i="3"/>
  <c r="L3964" i="3"/>
  <c r="M3964" i="3" s="1"/>
  <c r="P3964" i="3"/>
  <c r="Q3964" i="3"/>
  <c r="R3964" i="3"/>
  <c r="L3965" i="3"/>
  <c r="M3965" i="3" s="1"/>
  <c r="Q3965" i="3"/>
  <c r="R3965" i="3"/>
  <c r="L3966" i="3"/>
  <c r="M3966" i="3" s="1"/>
  <c r="P3966" i="3"/>
  <c r="Q3966" i="3"/>
  <c r="R3966" i="3"/>
  <c r="L3967" i="3"/>
  <c r="M3967" i="3" s="1"/>
  <c r="Q3967" i="3"/>
  <c r="R3967" i="3"/>
  <c r="L3968" i="3"/>
  <c r="M3968" i="3" s="1"/>
  <c r="P3968" i="3"/>
  <c r="Q3968" i="3"/>
  <c r="R3968" i="3"/>
  <c r="L3969" i="3"/>
  <c r="M3969" i="3" s="1"/>
  <c r="Q3969" i="3"/>
  <c r="R3969" i="3"/>
  <c r="L3970" i="3"/>
  <c r="M3970" i="3" s="1"/>
  <c r="N3970" i="3" s="1"/>
  <c r="O3970" i="3" s="1"/>
  <c r="P3970" i="3" s="1"/>
  <c r="Q3970" i="3"/>
  <c r="R3970" i="3"/>
  <c r="L3971" i="3"/>
  <c r="M3971" i="3" s="1"/>
  <c r="P3971" i="3"/>
  <c r="Q3971" i="3"/>
  <c r="R3971" i="3"/>
  <c r="L3972" i="3"/>
  <c r="M3972" i="3" s="1"/>
  <c r="Q3972" i="3"/>
  <c r="R3972" i="3"/>
  <c r="L3973" i="3"/>
  <c r="M3973" i="3" s="1"/>
  <c r="N3973" i="3" s="1"/>
  <c r="Q3973" i="3"/>
  <c r="R3973" i="3"/>
  <c r="L3974" i="3"/>
  <c r="M3974" i="3" s="1"/>
  <c r="P3974" i="3"/>
  <c r="Q3974" i="3"/>
  <c r="R3974" i="3"/>
  <c r="L3975" i="3"/>
  <c r="M3975" i="3" s="1"/>
  <c r="Q3975" i="3"/>
  <c r="R3975" i="3"/>
  <c r="L3976" i="3"/>
  <c r="M3976" i="3" s="1"/>
  <c r="Q3976" i="3"/>
  <c r="R3976" i="3"/>
  <c r="L3977" i="3"/>
  <c r="M3977" i="3" s="1"/>
  <c r="Q3977" i="3"/>
  <c r="R3977" i="3"/>
  <c r="L3978" i="3"/>
  <c r="M3978" i="3" s="1"/>
  <c r="N3978" i="3" s="1"/>
  <c r="O3978" i="3" s="1"/>
  <c r="P3978" i="3" s="1"/>
  <c r="Q3978" i="3"/>
  <c r="R3978" i="3"/>
  <c r="L3979" i="3"/>
  <c r="M3979" i="3" s="1"/>
  <c r="P3979" i="3"/>
  <c r="Q3979" i="3"/>
  <c r="R3979" i="3"/>
  <c r="L3980" i="3"/>
  <c r="M3980" i="3" s="1"/>
  <c r="Q3980" i="3"/>
  <c r="R3980" i="3"/>
  <c r="L3981" i="3"/>
  <c r="M3981" i="3" s="1"/>
  <c r="P3981" i="3"/>
  <c r="Q3981" i="3"/>
  <c r="R3981" i="3"/>
  <c r="L3982" i="3"/>
  <c r="M3982" i="3" s="1"/>
  <c r="Q3982" i="3"/>
  <c r="R3982" i="3"/>
  <c r="L3983" i="3"/>
  <c r="M3983" i="3" s="1"/>
  <c r="P3983" i="3"/>
  <c r="Q3983" i="3"/>
  <c r="R3983" i="3"/>
  <c r="L3984" i="3"/>
  <c r="M3984" i="3" s="1"/>
  <c r="P3984" i="3"/>
  <c r="Q3984" i="3"/>
  <c r="R3984" i="3"/>
  <c r="L3985" i="3"/>
  <c r="M3985" i="3" s="1"/>
  <c r="Q3985" i="3"/>
  <c r="R3985" i="3"/>
  <c r="L3986" i="3"/>
  <c r="M3986" i="3" s="1"/>
  <c r="N3986" i="3" s="1"/>
  <c r="O3986" i="3" s="1"/>
  <c r="P3986" i="3"/>
  <c r="Q3986" i="3"/>
  <c r="R3986" i="3"/>
  <c r="L3987" i="3"/>
  <c r="M3987" i="3" s="1"/>
  <c r="Q3987" i="3"/>
  <c r="R3987" i="3"/>
  <c r="L3988" i="3"/>
  <c r="M3988" i="3" s="1"/>
  <c r="Q3988" i="3"/>
  <c r="R3988" i="3"/>
  <c r="L3989" i="3"/>
  <c r="M3989" i="3" s="1"/>
  <c r="N3989" i="3" s="1"/>
  <c r="P3989" i="3"/>
  <c r="Q3989" i="3"/>
  <c r="R3989" i="3"/>
  <c r="L3990" i="3"/>
  <c r="M3990" i="3" s="1"/>
  <c r="P3990" i="3"/>
  <c r="Q3990" i="3"/>
  <c r="R3990" i="3"/>
  <c r="L3991" i="3"/>
  <c r="M3991" i="3" s="1"/>
  <c r="Q3991" i="3"/>
  <c r="R3991" i="3"/>
  <c r="L3992" i="3"/>
  <c r="M3992" i="3" s="1"/>
  <c r="N3992" i="3" s="1"/>
  <c r="Q3992" i="3"/>
  <c r="R3992" i="3"/>
  <c r="L3993" i="3"/>
  <c r="M3993" i="3" s="1"/>
  <c r="N3993" i="3" s="1"/>
  <c r="O3993" i="3" s="1"/>
  <c r="P3993" i="3" s="1"/>
  <c r="Q3993" i="3"/>
  <c r="R3993" i="3"/>
  <c r="L3994" i="3"/>
  <c r="M3994" i="3" s="1"/>
  <c r="Q3994" i="3"/>
  <c r="R3994" i="3"/>
  <c r="L3995" i="3"/>
  <c r="M3995" i="3" s="1"/>
  <c r="Q3995" i="3"/>
  <c r="R3995" i="3"/>
  <c r="L3996" i="3"/>
  <c r="M3996" i="3" s="1"/>
  <c r="P3996" i="3"/>
  <c r="Q3996" i="3"/>
  <c r="R3996" i="3"/>
  <c r="L3997" i="3"/>
  <c r="M3997" i="3" s="1"/>
  <c r="N3997" i="3" s="1"/>
  <c r="Q3997" i="3"/>
  <c r="R3997" i="3"/>
  <c r="L3998" i="3"/>
  <c r="M3998" i="3" s="1"/>
  <c r="Q3998" i="3"/>
  <c r="R3998" i="3"/>
  <c r="L3999" i="3"/>
  <c r="M3999" i="3" s="1"/>
  <c r="P3999" i="3"/>
  <c r="Q3999" i="3"/>
  <c r="R3999" i="3"/>
  <c r="L4000" i="3"/>
  <c r="M4000" i="3" s="1"/>
  <c r="N4000" i="3" s="1"/>
  <c r="Q4000" i="3"/>
  <c r="R4000" i="3"/>
  <c r="L4001" i="3"/>
  <c r="Q4001" i="3"/>
  <c r="R4001" i="3"/>
  <c r="L4002" i="3"/>
  <c r="M4002" i="3" s="1"/>
  <c r="Q4002" i="3"/>
  <c r="R4002" i="3"/>
  <c r="L4003" i="3"/>
  <c r="M4003" i="3" s="1"/>
  <c r="Q4003" i="3"/>
  <c r="R4003" i="3"/>
  <c r="L4004" i="3"/>
  <c r="Q4004" i="3"/>
  <c r="R4004" i="3"/>
  <c r="L4005" i="3"/>
  <c r="M4005" i="3" s="1"/>
  <c r="N4005" i="3" s="1"/>
  <c r="Q4005" i="3"/>
  <c r="R4005" i="3"/>
  <c r="L4006" i="3"/>
  <c r="M4006" i="3" s="1"/>
  <c r="Q4006" i="3"/>
  <c r="R4006" i="3"/>
  <c r="L4007" i="3"/>
  <c r="M4007" i="3" s="1"/>
  <c r="P4007" i="3"/>
  <c r="Q4007" i="3"/>
  <c r="R4007" i="3"/>
  <c r="L4008" i="3"/>
  <c r="Q4008" i="3"/>
  <c r="R4008" i="3"/>
  <c r="L4009" i="3"/>
  <c r="M4009" i="3" s="1"/>
  <c r="Q4009" i="3"/>
  <c r="R4009" i="3"/>
  <c r="L4010" i="3"/>
  <c r="M4010" i="3" s="1"/>
  <c r="N4010" i="3" s="1"/>
  <c r="O4010" i="3" s="1"/>
  <c r="P4010" i="3" s="1"/>
  <c r="Q4010" i="3"/>
  <c r="R4010" i="3"/>
  <c r="L4011" i="3"/>
  <c r="M4011" i="3" s="1"/>
  <c r="Q4011" i="3"/>
  <c r="R4011" i="3"/>
  <c r="L4012" i="3"/>
  <c r="M4012" i="3" s="1"/>
  <c r="Q4012" i="3"/>
  <c r="R4012" i="3"/>
  <c r="L4013" i="3"/>
  <c r="M4013" i="3" s="1"/>
  <c r="Q4013" i="3"/>
  <c r="R4013" i="3"/>
  <c r="L4014" i="3"/>
  <c r="M4014" i="3" s="1"/>
  <c r="Q4014" i="3"/>
  <c r="R4014" i="3"/>
  <c r="L4015" i="3"/>
  <c r="M4015" i="3" s="1"/>
  <c r="Q4015" i="3"/>
  <c r="R4015" i="3"/>
  <c r="L4016" i="3"/>
  <c r="M4016" i="3" s="1"/>
  <c r="Q4016" i="3"/>
  <c r="R4016" i="3"/>
  <c r="L4017" i="3"/>
  <c r="M4017" i="3" s="1"/>
  <c r="N4017" i="3" s="1"/>
  <c r="O4017" i="3" s="1"/>
  <c r="P4017" i="3" s="1"/>
  <c r="Q4017" i="3"/>
  <c r="R4017" i="3"/>
  <c r="L4018" i="3"/>
  <c r="M4018" i="3" s="1"/>
  <c r="Q4018" i="3"/>
  <c r="R4018" i="3"/>
  <c r="L4019" i="3"/>
  <c r="M4019" i="3" s="1"/>
  <c r="Q4019" i="3"/>
  <c r="R4019" i="3"/>
  <c r="L4020" i="3"/>
  <c r="M4020" i="3" s="1"/>
  <c r="Q4020" i="3"/>
  <c r="R4020" i="3"/>
  <c r="L4021" i="3"/>
  <c r="M4021" i="3" s="1"/>
  <c r="Q4021" i="3"/>
  <c r="R4021" i="3"/>
  <c r="L4022" i="3"/>
  <c r="M4022" i="3" s="1"/>
  <c r="Q4022" i="3"/>
  <c r="R4022" i="3"/>
  <c r="L4023" i="3"/>
  <c r="M4023" i="3" s="1"/>
  <c r="Q4023" i="3"/>
  <c r="R4023" i="3"/>
  <c r="L4024" i="3"/>
  <c r="M4024" i="3" s="1"/>
  <c r="Q4024" i="3"/>
  <c r="R4024" i="3"/>
  <c r="L4025" i="3"/>
  <c r="Q4025" i="3"/>
  <c r="R4025" i="3"/>
  <c r="L4026" i="3"/>
  <c r="P4026" i="3"/>
  <c r="Q4026" i="3"/>
  <c r="R4026" i="3"/>
  <c r="L4027" i="3"/>
  <c r="M4027" i="3" s="1"/>
  <c r="P4027" i="3"/>
  <c r="Q4027" i="3"/>
  <c r="R4027" i="3"/>
  <c r="L4028" i="3"/>
  <c r="Q4028" i="3"/>
  <c r="R4028" i="3"/>
  <c r="L4029" i="3"/>
  <c r="M4029" i="3" s="1"/>
  <c r="Q4029" i="3"/>
  <c r="R4029" i="3"/>
  <c r="L4030" i="3"/>
  <c r="M4030" i="3" s="1"/>
  <c r="Q4030" i="3"/>
  <c r="R4030" i="3"/>
  <c r="L4031" i="3"/>
  <c r="M4031" i="3" s="1"/>
  <c r="Q4031" i="3"/>
  <c r="R4031" i="3"/>
  <c r="D126" i="5"/>
  <c r="D125" i="5"/>
  <c r="D124" i="5"/>
  <c r="D123" i="5"/>
  <c r="D102" i="5"/>
  <c r="D101" i="5"/>
  <c r="D100" i="5"/>
  <c r="D99" i="5"/>
  <c r="D98" i="5"/>
  <c r="D97" i="5"/>
  <c r="D96" i="5"/>
  <c r="D95" i="5"/>
  <c r="D90" i="5"/>
  <c r="D89" i="5"/>
  <c r="D88" i="5"/>
  <c r="D87" i="5"/>
  <c r="D78" i="5"/>
  <c r="D77" i="5"/>
  <c r="D76" i="5"/>
  <c r="D75" i="5"/>
  <c r="D74" i="5"/>
  <c r="D73" i="5"/>
  <c r="D72" i="5"/>
  <c r="D71" i="5"/>
  <c r="D62" i="5"/>
  <c r="D61" i="5"/>
  <c r="D60" i="5"/>
  <c r="D59" i="5"/>
  <c r="D58" i="5"/>
  <c r="D57" i="5"/>
  <c r="D56" i="5"/>
  <c r="D55" i="5"/>
  <c r="D54" i="5"/>
  <c r="D53" i="5"/>
  <c r="D52" i="5"/>
  <c r="D51" i="5"/>
  <c r="D130" i="5"/>
  <c r="D129" i="5"/>
  <c r="D128" i="5"/>
  <c r="D127" i="5"/>
  <c r="I7" i="8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G130" i="5"/>
  <c r="F130" i="5"/>
  <c r="F129" i="5"/>
  <c r="G129" i="5"/>
  <c r="G128" i="5"/>
  <c r="F128" i="5"/>
  <c r="G127" i="5"/>
  <c r="F127" i="5"/>
  <c r="H25" i="8" l="1"/>
  <c r="F25" i="8"/>
  <c r="G25" i="8"/>
  <c r="G24" i="8"/>
  <c r="H24" i="8"/>
  <c r="F24" i="8"/>
  <c r="N3196" i="3"/>
  <c r="N3444" i="3"/>
  <c r="O3444" i="3" s="1"/>
  <c r="N3191" i="3"/>
  <c r="N3276" i="3"/>
  <c r="O3276" i="3" s="1"/>
  <c r="N3938" i="3"/>
  <c r="O3938" i="3" s="1"/>
  <c r="N3404" i="3"/>
  <c r="N3169" i="3"/>
  <c r="O3169" i="3" s="1"/>
  <c r="N3897" i="3"/>
  <c r="O3897" i="3" s="1"/>
  <c r="P3897" i="3" s="1"/>
  <c r="N3249" i="3"/>
  <c r="O3249" i="3" s="1"/>
  <c r="N3304" i="3"/>
  <c r="O3304" i="3" s="1"/>
  <c r="N3217" i="3"/>
  <c r="O3217" i="3" s="1"/>
  <c r="N3729" i="3"/>
  <c r="O3729" i="3" s="1"/>
  <c r="N3074" i="3"/>
  <c r="O3074" i="3" s="1"/>
  <c r="N3909" i="3"/>
  <c r="O3909" i="3" s="1"/>
  <c r="P3909" i="3" s="1"/>
  <c r="N3109" i="3"/>
  <c r="O3109" i="3" s="1"/>
  <c r="N3889" i="3"/>
  <c r="O3889" i="3" s="1"/>
  <c r="N3969" i="3"/>
  <c r="O3969" i="3" s="1"/>
  <c r="P3969" i="3" s="1"/>
  <c r="N3921" i="3"/>
  <c r="O3921" i="3" s="1"/>
  <c r="N3674" i="3"/>
  <c r="O3674" i="3" s="1"/>
  <c r="N3647" i="3"/>
  <c r="N3526" i="3"/>
  <c r="O3526" i="3" s="1"/>
  <c r="N3421" i="3"/>
  <c r="O3421" i="3" s="1"/>
  <c r="N4009" i="3"/>
  <c r="O4009" i="3" s="1"/>
  <c r="P4009" i="3" s="1"/>
  <c r="N3861" i="3"/>
  <c r="O3861" i="3" s="1"/>
  <c r="N3950" i="3"/>
  <c r="O3950" i="3" s="1"/>
  <c r="P3950" i="3" s="1"/>
  <c r="O3610" i="3"/>
  <c r="N3930" i="3"/>
  <c r="O3930" i="3" s="1"/>
  <c r="N3770" i="3"/>
  <c r="O3770" i="3" s="1"/>
  <c r="M4026" i="3"/>
  <c r="N4026" i="3" s="1"/>
  <c r="O4026" i="3" s="1"/>
  <c r="N4024" i="3"/>
  <c r="O4024" i="3" s="1"/>
  <c r="P4024" i="3" s="1"/>
  <c r="N3926" i="3"/>
  <c r="O3926" i="3" s="1"/>
  <c r="P3926" i="3" s="1"/>
  <c r="N3712" i="3"/>
  <c r="O3712" i="3" s="1"/>
  <c r="N3683" i="3"/>
  <c r="O3683" i="3" s="1"/>
  <c r="N3625" i="3"/>
  <c r="O3625" i="3" s="1"/>
  <c r="N3549" i="3"/>
  <c r="O3549" i="3" s="1"/>
  <c r="N3430" i="3"/>
  <c r="O3430" i="3" s="1"/>
  <c r="O3385" i="3"/>
  <c r="N3985" i="3"/>
  <c r="O3985" i="3" s="1"/>
  <c r="P3985" i="3" s="1"/>
  <c r="N3746" i="3"/>
  <c r="O3746" i="3" s="1"/>
  <c r="N4002" i="3"/>
  <c r="O4002" i="3" s="1"/>
  <c r="P4002" i="3" s="1"/>
  <c r="N3874" i="3"/>
  <c r="O3874" i="3" s="1"/>
  <c r="N3890" i="3"/>
  <c r="O3890" i="3" s="1"/>
  <c r="N3899" i="3"/>
  <c r="O3899" i="3" s="1"/>
  <c r="P3899" i="3" s="1"/>
  <c r="N3886" i="3"/>
  <c r="O3795" i="3"/>
  <c r="P3795" i="3" s="1"/>
  <c r="O3718" i="3"/>
  <c r="N3308" i="3"/>
  <c r="O3308" i="3" s="1"/>
  <c r="N4021" i="3"/>
  <c r="O4021" i="3" s="1"/>
  <c r="P4021" i="3" s="1"/>
  <c r="N3860" i="3"/>
  <c r="O3860" i="3" s="1"/>
  <c r="N3960" i="3"/>
  <c r="O3960" i="3" s="1"/>
  <c r="N3958" i="3"/>
  <c r="O3958" i="3" s="1"/>
  <c r="N3855" i="3"/>
  <c r="O3855" i="3" s="1"/>
  <c r="P3855" i="3" s="1"/>
  <c r="N3830" i="3"/>
  <c r="O3830" i="3" s="1"/>
  <c r="P3830" i="3" s="1"/>
  <c r="N3771" i="3"/>
  <c r="O3771" i="3" s="1"/>
  <c r="N3418" i="3"/>
  <c r="O3418" i="3" s="1"/>
  <c r="N3311" i="3"/>
  <c r="O3311" i="3" s="1"/>
  <c r="N3153" i="3"/>
  <c r="O3153" i="3" s="1"/>
  <c r="N3136" i="3"/>
  <c r="O3136" i="3" s="1"/>
  <c r="N3866" i="3"/>
  <c r="O3866" i="3" s="1"/>
  <c r="N4016" i="3"/>
  <c r="O4016" i="3" s="1"/>
  <c r="P4016" i="3" s="1"/>
  <c r="N3965" i="3"/>
  <c r="O3965" i="3" s="1"/>
  <c r="P3965" i="3" s="1"/>
  <c r="N3948" i="3"/>
  <c r="O3948" i="3" s="1"/>
  <c r="N3913" i="3"/>
  <c r="O3913" i="3" s="1"/>
  <c r="N3786" i="3"/>
  <c r="O3786" i="3" s="1"/>
  <c r="N3351" i="3"/>
  <c r="O3351" i="3" s="1"/>
  <c r="N3080" i="3"/>
  <c r="O3080" i="3" s="1"/>
  <c r="N3894" i="3"/>
  <c r="O3894" i="3" s="1"/>
  <c r="P3894" i="3" s="1"/>
  <c r="N3671" i="3"/>
  <c r="O3671" i="3" s="1"/>
  <c r="N3393" i="3"/>
  <c r="O3393" i="3" s="1"/>
  <c r="N4013" i="3"/>
  <c r="O4013" i="3" s="1"/>
  <c r="P4013" i="3" s="1"/>
  <c r="N3955" i="3"/>
  <c r="O3955" i="3" s="1"/>
  <c r="P3955" i="3" s="1"/>
  <c r="N4029" i="3"/>
  <c r="O4029" i="3" s="1"/>
  <c r="P4029" i="3" s="1"/>
  <c r="N3931" i="3"/>
  <c r="O3931" i="3" s="1"/>
  <c r="P3931" i="3" s="1"/>
  <c r="N3961" i="3"/>
  <c r="O3961" i="3" s="1"/>
  <c r="N3981" i="3"/>
  <c r="O3981" i="3" s="1"/>
  <c r="N3977" i="3"/>
  <c r="O3977" i="3" s="1"/>
  <c r="P3977" i="3" s="1"/>
  <c r="M4025" i="3"/>
  <c r="N4025" i="3" s="1"/>
  <c r="O4025" i="3" s="1"/>
  <c r="P4025" i="3" s="1"/>
  <c r="M4004" i="3"/>
  <c r="N4004" i="3" s="1"/>
  <c r="O4004" i="3" s="1"/>
  <c r="P4004" i="3" s="1"/>
  <c r="M4001" i="3"/>
  <c r="N4001" i="3" s="1"/>
  <c r="N3954" i="3"/>
  <c r="O3954" i="3" s="1"/>
  <c r="P3954" i="3" s="1"/>
  <c r="N3941" i="3"/>
  <c r="O3941" i="3" s="1"/>
  <c r="M3940" i="3"/>
  <c r="N3940" i="3" s="1"/>
  <c r="O3940" i="3" s="1"/>
  <c r="M3917" i="3"/>
  <c r="N3917" i="3" s="1"/>
  <c r="N3910" i="3"/>
  <c r="O3910" i="3" s="1"/>
  <c r="N3882" i="3"/>
  <c r="O3882" i="3" s="1"/>
  <c r="M3772" i="3"/>
  <c r="N3772" i="3" s="1"/>
  <c r="O3772" i="3" s="1"/>
  <c r="N3755" i="3"/>
  <c r="O3755" i="3" s="1"/>
  <c r="M3738" i="3"/>
  <c r="N3738" i="3" s="1"/>
  <c r="O3738" i="3" s="1"/>
  <c r="O3713" i="3"/>
  <c r="M3694" i="3"/>
  <c r="N3694" i="3" s="1"/>
  <c r="O3694" i="3" s="1"/>
  <c r="N3689" i="3"/>
  <c r="O3689" i="3" s="1"/>
  <c r="N3675" i="3"/>
  <c r="O3675" i="3" s="1"/>
  <c r="N3582" i="3"/>
  <c r="O3582" i="3" s="1"/>
  <c r="M3573" i="3"/>
  <c r="N3573" i="3" s="1"/>
  <c r="O3573" i="3" s="1"/>
  <c r="M3287" i="3"/>
  <c r="N3287" i="3" s="1"/>
  <c r="O3287" i="3" s="1"/>
  <c r="N3216" i="3"/>
  <c r="O3216" i="3" s="1"/>
  <c r="O3441" i="3"/>
  <c r="N3401" i="3"/>
  <c r="O3401" i="3" s="1"/>
  <c r="N3624" i="3"/>
  <c r="O3624" i="3" s="1"/>
  <c r="N4012" i="3"/>
  <c r="O4012" i="3" s="1"/>
  <c r="P4012" i="3" s="1"/>
  <c r="N3999" i="3"/>
  <c r="O3999" i="3" s="1"/>
  <c r="O3992" i="3"/>
  <c r="P3992" i="3" s="1"/>
  <c r="N3980" i="3"/>
  <c r="O3980" i="3" s="1"/>
  <c r="P3980" i="3" s="1"/>
  <c r="N3964" i="3"/>
  <c r="O3964" i="3" s="1"/>
  <c r="N3918" i="3"/>
  <c r="O3918" i="3" s="1"/>
  <c r="N3843" i="3"/>
  <c r="O3843" i="3" s="1"/>
  <c r="N3804" i="3"/>
  <c r="O3804" i="3" s="1"/>
  <c r="P3804" i="3" s="1"/>
  <c r="N3787" i="3"/>
  <c r="O3787" i="3" s="1"/>
  <c r="M3690" i="3"/>
  <c r="N3690" i="3" s="1"/>
  <c r="N3673" i="3"/>
  <c r="O3673" i="3" s="1"/>
  <c r="O3670" i="3"/>
  <c r="M3609" i="3"/>
  <c r="N3609" i="3" s="1"/>
  <c r="N3533" i="3"/>
  <c r="O3533" i="3" s="1"/>
  <c r="M3121" i="3"/>
  <c r="N3121" i="3" s="1"/>
  <c r="O3121" i="3" s="1"/>
  <c r="N4023" i="3"/>
  <c r="O4023" i="3" s="1"/>
  <c r="P4023" i="3" s="1"/>
  <c r="N3972" i="3"/>
  <c r="O3972" i="3" s="1"/>
  <c r="P3972" i="3" s="1"/>
  <c r="N3578" i="3"/>
  <c r="O3578" i="3" s="1"/>
  <c r="M3096" i="3"/>
  <c r="N3096" i="3" s="1"/>
  <c r="O3096" i="3" s="1"/>
  <c r="N4031" i="3"/>
  <c r="O4031" i="3" s="1"/>
  <c r="P4031" i="3" s="1"/>
  <c r="O4005" i="3"/>
  <c r="P4005" i="3" s="1"/>
  <c r="M3756" i="3"/>
  <c r="N3756" i="3" s="1"/>
  <c r="O3756" i="3" s="1"/>
  <c r="N3730" i="3"/>
  <c r="O3730" i="3" s="1"/>
  <c r="M3666" i="3"/>
  <c r="N3666" i="3" s="1"/>
  <c r="N3661" i="3"/>
  <c r="O3661" i="3" s="1"/>
  <c r="N3645" i="3"/>
  <c r="M3425" i="3"/>
  <c r="N3425" i="3" s="1"/>
  <c r="O3425" i="3" s="1"/>
  <c r="N3389" i="3"/>
  <c r="O3389" i="3" s="1"/>
  <c r="M3307" i="3"/>
  <c r="N3307" i="3" s="1"/>
  <c r="M3056" i="3"/>
  <c r="N3056" i="3" s="1"/>
  <c r="O3056" i="3" s="1"/>
  <c r="M3313" i="3"/>
  <c r="N3313" i="3" s="1"/>
  <c r="O3313" i="3" s="1"/>
  <c r="M3298" i="3"/>
  <c r="N3298" i="3" s="1"/>
  <c r="O3298" i="3" s="1"/>
  <c r="N4007" i="3"/>
  <c r="O4007" i="3" s="1"/>
  <c r="N3975" i="3"/>
  <c r="O3975" i="3" s="1"/>
  <c r="P3975" i="3" s="1"/>
  <c r="O3973" i="3"/>
  <c r="P3973" i="3" s="1"/>
  <c r="N3967" i="3"/>
  <c r="O3967" i="3" s="1"/>
  <c r="P3967" i="3" s="1"/>
  <c r="O3908" i="3"/>
  <c r="M3659" i="3"/>
  <c r="N3659" i="3" s="1"/>
  <c r="M3630" i="3"/>
  <c r="N3630" i="3" s="1"/>
  <c r="M3566" i="3"/>
  <c r="N3566" i="3" s="1"/>
  <c r="O3566" i="3" s="1"/>
  <c r="N3518" i="3"/>
  <c r="O3518" i="3" s="1"/>
  <c r="M3320" i="3"/>
  <c r="N3320" i="3" s="1"/>
  <c r="O3320" i="3" s="1"/>
  <c r="M3103" i="3"/>
  <c r="N3103" i="3" s="1"/>
  <c r="O3103" i="3" s="1"/>
  <c r="N3748" i="3"/>
  <c r="O3748" i="3" s="1"/>
  <c r="M3722" i="3"/>
  <c r="N3722" i="3" s="1"/>
  <c r="O3722" i="3" s="1"/>
  <c r="N3658" i="3"/>
  <c r="O3658" i="3" s="1"/>
  <c r="N3642" i="3"/>
  <c r="O3642" i="3" s="1"/>
  <c r="M3433" i="3"/>
  <c r="N3433" i="3" s="1"/>
  <c r="O3433" i="3" s="1"/>
  <c r="N3279" i="3"/>
  <c r="O3279" i="3" s="1"/>
  <c r="N4020" i="3"/>
  <c r="O4020" i="3" s="1"/>
  <c r="P4020" i="3" s="1"/>
  <c r="N4018" i="3"/>
  <c r="O4018" i="3" s="1"/>
  <c r="P4018" i="3" s="1"/>
  <c r="O4000" i="3"/>
  <c r="P4000" i="3" s="1"/>
  <c r="N3994" i="3"/>
  <c r="O3994" i="3" s="1"/>
  <c r="P3994" i="3" s="1"/>
  <c r="N3983" i="3"/>
  <c r="O3983" i="3" s="1"/>
  <c r="N3939" i="3"/>
  <c r="O3939" i="3" s="1"/>
  <c r="N3916" i="3"/>
  <c r="O3916" i="3" s="1"/>
  <c r="N3881" i="3"/>
  <c r="O3881" i="3" s="1"/>
  <c r="N3862" i="3"/>
  <c r="O3862" i="3" s="1"/>
  <c r="N3811" i="3"/>
  <c r="O3811" i="3" s="1"/>
  <c r="N3803" i="3"/>
  <c r="O3803" i="3" s="1"/>
  <c r="P3803" i="3" s="1"/>
  <c r="F61" i="5" s="1"/>
  <c r="N3796" i="3"/>
  <c r="O3796" i="3" s="1"/>
  <c r="M3785" i="3"/>
  <c r="N3785" i="3" s="1"/>
  <c r="O3785" i="3" s="1"/>
  <c r="M3707" i="3"/>
  <c r="N3707" i="3" s="1"/>
  <c r="O3707" i="3" s="1"/>
  <c r="M3664" i="3"/>
  <c r="N3648" i="3"/>
  <c r="O3648" i="3" s="1"/>
  <c r="N3581" i="3"/>
  <c r="O3581" i="3" s="1"/>
  <c r="N3449" i="3"/>
  <c r="O3449" i="3" s="1"/>
  <c r="M3417" i="3"/>
  <c r="N3417" i="3" s="1"/>
  <c r="O3417" i="3" s="1"/>
  <c r="N3373" i="3"/>
  <c r="O3373" i="3" s="1"/>
  <c r="M3128" i="3"/>
  <c r="N3128" i="3" s="1"/>
  <c r="N3907" i="3"/>
  <c r="O3907" i="3" s="1"/>
  <c r="M4028" i="3"/>
  <c r="N4028" i="3" s="1"/>
  <c r="O4028" i="3" s="1"/>
  <c r="P4028" i="3" s="1"/>
  <c r="N4015" i="3"/>
  <c r="O4015" i="3" s="1"/>
  <c r="P4015" i="3" s="1"/>
  <c r="M4008" i="3"/>
  <c r="N4008" i="3" s="1"/>
  <c r="N3991" i="3"/>
  <c r="O3991" i="3" s="1"/>
  <c r="P3991" i="3" s="1"/>
  <c r="N3984" i="3"/>
  <c r="O3984" i="3" s="1"/>
  <c r="N3976" i="3"/>
  <c r="O3976" i="3" s="1"/>
  <c r="P3976" i="3" s="1"/>
  <c r="N3968" i="3"/>
  <c r="O3968" i="3" s="1"/>
  <c r="N3959" i="3"/>
  <c r="O3959" i="3" s="1"/>
  <c r="M3953" i="3"/>
  <c r="M3947" i="3"/>
  <c r="N3947" i="3" s="1"/>
  <c r="O3947" i="3" s="1"/>
  <c r="N3934" i="3"/>
  <c r="O3934" i="3" s="1"/>
  <c r="M3788" i="3"/>
  <c r="N3788" i="3" s="1"/>
  <c r="O3788" i="3" s="1"/>
  <c r="M3764" i="3"/>
  <c r="N3764" i="3" s="1"/>
  <c r="O3764" i="3" s="1"/>
  <c r="N3740" i="3"/>
  <c r="O3740" i="3" s="1"/>
  <c r="N3662" i="3"/>
  <c r="O3662" i="3" s="1"/>
  <c r="M3653" i="3"/>
  <c r="N3653" i="3" s="1"/>
  <c r="O3653" i="3" s="1"/>
  <c r="M3646" i="3"/>
  <c r="N3646" i="3" s="1"/>
  <c r="O3646" i="3" s="1"/>
  <c r="M3626" i="3"/>
  <c r="N3626" i="3" s="1"/>
  <c r="M3619" i="3"/>
  <c r="N3619" i="3" s="1"/>
  <c r="N3525" i="3"/>
  <c r="O3525" i="3" s="1"/>
  <c r="N3502" i="3"/>
  <c r="O3502" i="3" s="1"/>
  <c r="N3409" i="3"/>
  <c r="O3409" i="3" s="1"/>
  <c r="M3295" i="3"/>
  <c r="N3295" i="3" s="1"/>
  <c r="O3295" i="3" s="1"/>
  <c r="M3243" i="3"/>
  <c r="N3243" i="3" s="1"/>
  <c r="O3243" i="3" s="1"/>
  <c r="M3197" i="3"/>
  <c r="N3197" i="3" s="1"/>
  <c r="O3197" i="3" s="1"/>
  <c r="M3087" i="3"/>
  <c r="N3087" i="3" s="1"/>
  <c r="O3087" i="3" s="1"/>
  <c r="M3042" i="3"/>
  <c r="N3042" i="3" s="1"/>
  <c r="O3042" i="3" s="1"/>
  <c r="N3643" i="3"/>
  <c r="O3643" i="3" s="1"/>
  <c r="N3613" i="3"/>
  <c r="O3613" i="3" s="1"/>
  <c r="N3600" i="3"/>
  <c r="O3600" i="3" s="1"/>
  <c r="N3590" i="3"/>
  <c r="O3590" i="3" s="1"/>
  <c r="N3542" i="3"/>
  <c r="O3542" i="3" s="1"/>
  <c r="N3493" i="3"/>
  <c r="O3493" i="3" s="1"/>
  <c r="N3488" i="3"/>
  <c r="O3488" i="3" s="1"/>
  <c r="N3486" i="3"/>
  <c r="O3486" i="3" s="1"/>
  <c r="O3485" i="3"/>
  <c r="N3473" i="3"/>
  <c r="O3473" i="3" s="1"/>
  <c r="N3470" i="3"/>
  <c r="O3470" i="3" s="1"/>
  <c r="N3450" i="3"/>
  <c r="O3450" i="3" s="1"/>
  <c r="N3436" i="3"/>
  <c r="O3436" i="3" s="1"/>
  <c r="N3426" i="3"/>
  <c r="O3426" i="3" s="1"/>
  <c r="N3396" i="3"/>
  <c r="O3396" i="3" s="1"/>
  <c r="N3367" i="3"/>
  <c r="O3367" i="3" s="1"/>
  <c r="N3365" i="3"/>
  <c r="O3365" i="3" s="1"/>
  <c r="N3299" i="3"/>
  <c r="O3299" i="3" s="1"/>
  <c r="N3283" i="3"/>
  <c r="O3283" i="3" s="1"/>
  <c r="N3280" i="3"/>
  <c r="O3280" i="3" s="1"/>
  <c r="N3269" i="3"/>
  <c r="O3269" i="3" s="1"/>
  <c r="N3173" i="3"/>
  <c r="O3173" i="3" s="1"/>
  <c r="N3168" i="3"/>
  <c r="O3168" i="3" s="1"/>
  <c r="N3152" i="3"/>
  <c r="O3152" i="3" s="1"/>
  <c r="N3151" i="3"/>
  <c r="O3151" i="3" s="1"/>
  <c r="N3605" i="3"/>
  <c r="O3605" i="3" s="1"/>
  <c r="N3557" i="3"/>
  <c r="O3557" i="3" s="1"/>
  <c r="N3550" i="3"/>
  <c r="O3550" i="3" s="1"/>
  <c r="N3496" i="3"/>
  <c r="O3496" i="3" s="1"/>
  <c r="O3494" i="3"/>
  <c r="N3481" i="3"/>
  <c r="O3481" i="3" s="1"/>
  <c r="N3458" i="3"/>
  <c r="O3458" i="3" s="1"/>
  <c r="N3453" i="3"/>
  <c r="O3453" i="3" s="1"/>
  <c r="N3410" i="3"/>
  <c r="O3410" i="3" s="1"/>
  <c r="N3405" i="3"/>
  <c r="O3405" i="3" s="1"/>
  <c r="N3402" i="3"/>
  <c r="O3402" i="3" s="1"/>
  <c r="O3397" i="3"/>
  <c r="N3388" i="3"/>
  <c r="O3388" i="3" s="1"/>
  <c r="N3380" i="3"/>
  <c r="N3354" i="3"/>
  <c r="O3354" i="3" s="1"/>
  <c r="N3352" i="3"/>
  <c r="O3352" i="3" s="1"/>
  <c r="O3347" i="3"/>
  <c r="N3339" i="3"/>
  <c r="O3339" i="3" s="1"/>
  <c r="N3336" i="3"/>
  <c r="O3336" i="3" s="1"/>
  <c r="N3324" i="3"/>
  <c r="O3324" i="3" s="1"/>
  <c r="N3272" i="3"/>
  <c r="O3272" i="3" s="1"/>
  <c r="N3203" i="3"/>
  <c r="O3203" i="3" s="1"/>
  <c r="N3133" i="3"/>
  <c r="O3133" i="3" s="1"/>
  <c r="N3115" i="3"/>
  <c r="O3115" i="3" s="1"/>
  <c r="N3073" i="3"/>
  <c r="O3073" i="3" s="1"/>
  <c r="N3066" i="3"/>
  <c r="O3066" i="3" s="1"/>
  <c r="N3064" i="3"/>
  <c r="O3064" i="3" s="1"/>
  <c r="N3593" i="3"/>
  <c r="O3593" i="3" s="1"/>
  <c r="N3504" i="3"/>
  <c r="O3504" i="3" s="1"/>
  <c r="N3442" i="3"/>
  <c r="O3442" i="3" s="1"/>
  <c r="N3394" i="3"/>
  <c r="O3394" i="3" s="1"/>
  <c r="N3375" i="3"/>
  <c r="O3375" i="3" s="1"/>
  <c r="N3383" i="3"/>
  <c r="O3383" i="3" s="1"/>
  <c r="O3355" i="3"/>
  <c r="N3294" i="3"/>
  <c r="O3294" i="3" s="1"/>
  <c r="O3256" i="3"/>
  <c r="N3657" i="3"/>
  <c r="O3657" i="3" s="1"/>
  <c r="N3623" i="3"/>
  <c r="O3623" i="3" s="1"/>
  <c r="N3614" i="3"/>
  <c r="O3614" i="3" s="1"/>
  <c r="N3512" i="3"/>
  <c r="O3512" i="3" s="1"/>
  <c r="N3510" i="3"/>
  <c r="O3510" i="3" s="1"/>
  <c r="N3448" i="3"/>
  <c r="O3448" i="3" s="1"/>
  <c r="N3342" i="3"/>
  <c r="O3342" i="3" s="1"/>
  <c r="O3319" i="3"/>
  <c r="N3306" i="3"/>
  <c r="O3306" i="3" s="1"/>
  <c r="N3303" i="3"/>
  <c r="O3303" i="3" s="1"/>
  <c r="N3278" i="3"/>
  <c r="N3220" i="3"/>
  <c r="O3220" i="3" s="1"/>
  <c r="N3185" i="3"/>
  <c r="O3185" i="3" s="1"/>
  <c r="N3139" i="3"/>
  <c r="O3139" i="3" s="1"/>
  <c r="N3780" i="3"/>
  <c r="O3780" i="3" s="1"/>
  <c r="N3655" i="3"/>
  <c r="O3655" i="3" s="1"/>
  <c r="N3639" i="3"/>
  <c r="O3639" i="3" s="1"/>
  <c r="N3598" i="3"/>
  <c r="O3598" i="3" s="1"/>
  <c r="N3520" i="3"/>
  <c r="O3520" i="3" s="1"/>
  <c r="N3384" i="3"/>
  <c r="N3356" i="3"/>
  <c r="O3356" i="3" s="1"/>
  <c r="N3292" i="3"/>
  <c r="O3292" i="3" s="1"/>
  <c r="N3215" i="3"/>
  <c r="O3215" i="3" s="1"/>
  <c r="N3100" i="3"/>
  <c r="O3100" i="3" s="1"/>
  <c r="N3072" i="3"/>
  <c r="O3072" i="3" s="1"/>
  <c r="N3058" i="3"/>
  <c r="O3058" i="3" s="1"/>
  <c r="N3053" i="3"/>
  <c r="O3053" i="3" s="1"/>
  <c r="N3359" i="3"/>
  <c r="O3359" i="3" s="1"/>
  <c r="N3156" i="3"/>
  <c r="O3156" i="3" s="1"/>
  <c r="N4003" i="3"/>
  <c r="O4003" i="3" s="1"/>
  <c r="P4003" i="3" s="1"/>
  <c r="N3956" i="3"/>
  <c r="O3956" i="3" s="1"/>
  <c r="P3956" i="3" s="1"/>
  <c r="N3979" i="3"/>
  <c r="O3979" i="3" s="1"/>
  <c r="N4027" i="3"/>
  <c r="O4027" i="3" s="1"/>
  <c r="N4011" i="3"/>
  <c r="O4011" i="3" s="1"/>
  <c r="P4011" i="3" s="1"/>
  <c r="N3971" i="3"/>
  <c r="O3971" i="3" s="1"/>
  <c r="N3932" i="3"/>
  <c r="O3932" i="3" s="1"/>
  <c r="N3922" i="3"/>
  <c r="O3922" i="3" s="1"/>
  <c r="N3987" i="3"/>
  <c r="O3987" i="3" s="1"/>
  <c r="P3987" i="3" s="1"/>
  <c r="N3963" i="3"/>
  <c r="O3963" i="3" s="1"/>
  <c r="P3963" i="3" s="1"/>
  <c r="N4019" i="3"/>
  <c r="O4019" i="3" s="1"/>
  <c r="P4019" i="3" s="1"/>
  <c r="N3995" i="3"/>
  <c r="O3995" i="3" s="1"/>
  <c r="P3995" i="3" s="1"/>
  <c r="M3943" i="3"/>
  <c r="N3943" i="3" s="1"/>
  <c r="O3943" i="3" s="1"/>
  <c r="P3943" i="3" s="1"/>
  <c r="N3912" i="3"/>
  <c r="O3912" i="3" s="1"/>
  <c r="M3879" i="3"/>
  <c r="N3879" i="3" s="1"/>
  <c r="O3879" i="3" s="1"/>
  <c r="P3879" i="3" s="1"/>
  <c r="N3842" i="3"/>
  <c r="O3842" i="3" s="1"/>
  <c r="P3842" i="3" s="1"/>
  <c r="N3706" i="3"/>
  <c r="O3706" i="3" s="1"/>
  <c r="O3997" i="3"/>
  <c r="P3997" i="3" s="1"/>
  <c r="N3996" i="3"/>
  <c r="O3996" i="3" s="1"/>
  <c r="O3989" i="3"/>
  <c r="N3988" i="3"/>
  <c r="O3988" i="3" s="1"/>
  <c r="P3988" i="3" s="1"/>
  <c r="N3945" i="3"/>
  <c r="O3945" i="3" s="1"/>
  <c r="O3942" i="3"/>
  <c r="P3942" i="3" s="1"/>
  <c r="N3936" i="3"/>
  <c r="O3936" i="3" s="1"/>
  <c r="O3924" i="3"/>
  <c r="P3924" i="3" s="1"/>
  <c r="N3923" i="3"/>
  <c r="O3923" i="3" s="1"/>
  <c r="N3914" i="3"/>
  <c r="O3914" i="3" s="1"/>
  <c r="P3914" i="3" s="1"/>
  <c r="N3893" i="3"/>
  <c r="O3893" i="3" s="1"/>
  <c r="P3893" i="3" s="1"/>
  <c r="N3885" i="3"/>
  <c r="O3885" i="3" s="1"/>
  <c r="P3885" i="3" s="1"/>
  <c r="N3854" i="3"/>
  <c r="O3854" i="3" s="1"/>
  <c r="N3852" i="3"/>
  <c r="O3852" i="3" s="1"/>
  <c r="P3852" i="3" s="1"/>
  <c r="M3831" i="3"/>
  <c r="N3831" i="3" s="1"/>
  <c r="O3826" i="3"/>
  <c r="P3826" i="3" s="1"/>
  <c r="O3821" i="3"/>
  <c r="P3821" i="3" s="1"/>
  <c r="N3739" i="3"/>
  <c r="O3739" i="3" s="1"/>
  <c r="M3935" i="3"/>
  <c r="N3935" i="3" s="1"/>
  <c r="M3892" i="3"/>
  <c r="N3892" i="3" s="1"/>
  <c r="O3892" i="3" s="1"/>
  <c r="O3886" i="3"/>
  <c r="P3886" i="3" s="1"/>
  <c r="M3884" i="3"/>
  <c r="N3884" i="3" s="1"/>
  <c r="N3760" i="3"/>
  <c r="O3760" i="3" s="1"/>
  <c r="N3904" i="3"/>
  <c r="O3904" i="3" s="1"/>
  <c r="O3901" i="3"/>
  <c r="M3927" i="3"/>
  <c r="N3927" i="3" s="1"/>
  <c r="M3858" i="3"/>
  <c r="N3858" i="3" s="1"/>
  <c r="O3858" i="3" s="1"/>
  <c r="N3800" i="3"/>
  <c r="O3800" i="3" s="1"/>
  <c r="M3793" i="3"/>
  <c r="N3793" i="3" s="1"/>
  <c r="O3793" i="3" s="1"/>
  <c r="M3699" i="3"/>
  <c r="N3699" i="3" s="1"/>
  <c r="M3424" i="3"/>
  <c r="M3919" i="3"/>
  <c r="N3919" i="3" s="1"/>
  <c r="O3905" i="3"/>
  <c r="P3905" i="3" s="1"/>
  <c r="M3895" i="3"/>
  <c r="M3887" i="3"/>
  <c r="N3887" i="3" s="1"/>
  <c r="O3887" i="3" s="1"/>
  <c r="O3838" i="3"/>
  <c r="M3819" i="3"/>
  <c r="N3819" i="3" s="1"/>
  <c r="M3784" i="3"/>
  <c r="N3784" i="3" s="1"/>
  <c r="O3784" i="3" s="1"/>
  <c r="O3779" i="3"/>
  <c r="N3754" i="3"/>
  <c r="O3754" i="3" s="1"/>
  <c r="N3900" i="3"/>
  <c r="O3900" i="3" s="1"/>
  <c r="N3837" i="3"/>
  <c r="O3837" i="3" s="1"/>
  <c r="P3837" i="3" s="1"/>
  <c r="N4030" i="3"/>
  <c r="O4030" i="3" s="1"/>
  <c r="P4030" i="3" s="1"/>
  <c r="N4022" i="3"/>
  <c r="O4022" i="3" s="1"/>
  <c r="P4022" i="3" s="1"/>
  <c r="N4014" i="3"/>
  <c r="O4014" i="3" s="1"/>
  <c r="P4014" i="3" s="1"/>
  <c r="N4006" i="3"/>
  <c r="O4006" i="3" s="1"/>
  <c r="P4006" i="3" s="1"/>
  <c r="N3998" i="3"/>
  <c r="O3998" i="3" s="1"/>
  <c r="P3998" i="3" s="1"/>
  <c r="N3990" i="3"/>
  <c r="O3990" i="3" s="1"/>
  <c r="N3982" i="3"/>
  <c r="O3982" i="3" s="1"/>
  <c r="P3982" i="3" s="1"/>
  <c r="N3974" i="3"/>
  <c r="O3974" i="3" s="1"/>
  <c r="N3966" i="3"/>
  <c r="O3966" i="3" s="1"/>
  <c r="N3951" i="3"/>
  <c r="O3951" i="3" s="1"/>
  <c r="N3946" i="3"/>
  <c r="O3946" i="3" s="1"/>
  <c r="N3928" i="3"/>
  <c r="O3928" i="3" s="1"/>
  <c r="P3928" i="3" s="1"/>
  <c r="N3915" i="3"/>
  <c r="O3915" i="3" s="1"/>
  <c r="M3911" i="3"/>
  <c r="N3911" i="3" s="1"/>
  <c r="N3906" i="3"/>
  <c r="O3906" i="3" s="1"/>
  <c r="N3870" i="3"/>
  <c r="O3870" i="3" s="1"/>
  <c r="M3836" i="3"/>
  <c r="N3836" i="3" s="1"/>
  <c r="M3815" i="3"/>
  <c r="N3815" i="3" s="1"/>
  <c r="O3815" i="3" s="1"/>
  <c r="N3810" i="3"/>
  <c r="O3810" i="3" s="1"/>
  <c r="O3794" i="3"/>
  <c r="N3672" i="3"/>
  <c r="O3672" i="3" s="1"/>
  <c r="M3635" i="3"/>
  <c r="N3635" i="3" s="1"/>
  <c r="N3731" i="3"/>
  <c r="O3731" i="3" s="1"/>
  <c r="N3237" i="3"/>
  <c r="O3237" i="3" s="1"/>
  <c r="N3108" i="3"/>
  <c r="O3108" i="3" s="1"/>
  <c r="M3853" i="3"/>
  <c r="N3853" i="3" s="1"/>
  <c r="N3835" i="3"/>
  <c r="O3835" i="3" s="1"/>
  <c r="P3835" i="3" s="1"/>
  <c r="N3820" i="3"/>
  <c r="O3820" i="3" s="1"/>
  <c r="N3818" i="3"/>
  <c r="O3818" i="3" s="1"/>
  <c r="O3873" i="3"/>
  <c r="M3871" i="3"/>
  <c r="N3871" i="3" s="1"/>
  <c r="O3871" i="3" s="1"/>
  <c r="P3871" i="3" s="1"/>
  <c r="M3751" i="3"/>
  <c r="N3751" i="3" s="1"/>
  <c r="D43" i="5"/>
  <c r="N3944" i="3"/>
  <c r="O3944" i="3" s="1"/>
  <c r="M3952" i="3"/>
  <c r="D44" i="5" s="1"/>
  <c r="O3937" i="3"/>
  <c r="P3937" i="3" s="1"/>
  <c r="N3929" i="3"/>
  <c r="O3929" i="3" s="1"/>
  <c r="M3920" i="3"/>
  <c r="N3920" i="3" s="1"/>
  <c r="O3920" i="3" s="1"/>
  <c r="M3903" i="3"/>
  <c r="N3903" i="3" s="1"/>
  <c r="M3896" i="3"/>
  <c r="N3896" i="3" s="1"/>
  <c r="M3888" i="3"/>
  <c r="N3888" i="3" s="1"/>
  <c r="M3880" i="3"/>
  <c r="N3880" i="3" s="1"/>
  <c r="N3878" i="3"/>
  <c r="O3878" i="3" s="1"/>
  <c r="N3872" i="3"/>
  <c r="O3872" i="3" s="1"/>
  <c r="N3865" i="3"/>
  <c r="O3865" i="3" s="1"/>
  <c r="P3865" i="3" s="1"/>
  <c r="N3859" i="3"/>
  <c r="O3859" i="3" s="1"/>
  <c r="P3859" i="3" s="1"/>
  <c r="M3848" i="3"/>
  <c r="N3848" i="3" s="1"/>
  <c r="O3848" i="3" s="1"/>
  <c r="M3825" i="3"/>
  <c r="N3825" i="3" s="1"/>
  <c r="N3769" i="3"/>
  <c r="O3769" i="3" s="1"/>
  <c r="N3687" i="3"/>
  <c r="O3687" i="3" s="1"/>
  <c r="M3669" i="3"/>
  <c r="N3669" i="3" s="1"/>
  <c r="N3891" i="3"/>
  <c r="O3891" i="3" s="1"/>
  <c r="N3883" i="3"/>
  <c r="O3883" i="3" s="1"/>
  <c r="N3875" i="3"/>
  <c r="O3875" i="3" s="1"/>
  <c r="N3867" i="3"/>
  <c r="O3867" i="3" s="1"/>
  <c r="N3844" i="3"/>
  <c r="O3844" i="3" s="1"/>
  <c r="P3844" i="3" s="1"/>
  <c r="N3839" i="3"/>
  <c r="O3839" i="3" s="1"/>
  <c r="N3833" i="3"/>
  <c r="O3833" i="3" s="1"/>
  <c r="P3833" i="3" s="1"/>
  <c r="N3832" i="3"/>
  <c r="O3832" i="3" s="1"/>
  <c r="N3827" i="3"/>
  <c r="O3827" i="3" s="1"/>
  <c r="M3807" i="3"/>
  <c r="N3807" i="3" s="1"/>
  <c r="M3805" i="3"/>
  <c r="N3805" i="3" s="1"/>
  <c r="O3805" i="3" s="1"/>
  <c r="O3802" i="3"/>
  <c r="N3798" i="3"/>
  <c r="O3798" i="3" s="1"/>
  <c r="M3791" i="3"/>
  <c r="N3791" i="3" s="1"/>
  <c r="M3789" i="3"/>
  <c r="N3789" i="3" s="1"/>
  <c r="O3789" i="3" s="1"/>
  <c r="M3767" i="3"/>
  <c r="N3767" i="3" s="1"/>
  <c r="O3745" i="3"/>
  <c r="N3736" i="3"/>
  <c r="O3736" i="3" s="1"/>
  <c r="N3728" i="3"/>
  <c r="O3728" i="3" s="1"/>
  <c r="M3723" i="3"/>
  <c r="N3723" i="3" s="1"/>
  <c r="M3704" i="3"/>
  <c r="N3704" i="3" s="1"/>
  <c r="O3695" i="3"/>
  <c r="N3649" i="3"/>
  <c r="O3649" i="3" s="1"/>
  <c r="M3640" i="3"/>
  <c r="N3640" i="3" s="1"/>
  <c r="N3631" i="3"/>
  <c r="O3631" i="3" s="1"/>
  <c r="M3617" i="3"/>
  <c r="N3617" i="3" s="1"/>
  <c r="M3561" i="3"/>
  <c r="N3561" i="3" s="1"/>
  <c r="O3877" i="3"/>
  <c r="N3876" i="3"/>
  <c r="O3876" i="3" s="1"/>
  <c r="O3869" i="3"/>
  <c r="N3868" i="3"/>
  <c r="O3868" i="3" s="1"/>
  <c r="O3851" i="3"/>
  <c r="N3850" i="3"/>
  <c r="O3850" i="3" s="1"/>
  <c r="O3849" i="3"/>
  <c r="P3849" i="3" s="1"/>
  <c r="O3846" i="3"/>
  <c r="P3846" i="3" s="1"/>
  <c r="N3845" i="3"/>
  <c r="O3845" i="3" s="1"/>
  <c r="O3834" i="3"/>
  <c r="O3829" i="3"/>
  <c r="N3828" i="3"/>
  <c r="O3828" i="3" s="1"/>
  <c r="N3823" i="3"/>
  <c r="O3823" i="3" s="1"/>
  <c r="N3817" i="3"/>
  <c r="O3817" i="3" s="1"/>
  <c r="P3817" i="3" s="1"/>
  <c r="N3816" i="3"/>
  <c r="O3816" i="3" s="1"/>
  <c r="O3801" i="3"/>
  <c r="N3776" i="3"/>
  <c r="O3776" i="3" s="1"/>
  <c r="O3762" i="3"/>
  <c r="O3747" i="3"/>
  <c r="M3743" i="3"/>
  <c r="N3743" i="3" s="1"/>
  <c r="N3737" i="3"/>
  <c r="O3737" i="3" s="1"/>
  <c r="N3654" i="3"/>
  <c r="O3654" i="3" s="1"/>
  <c r="M3622" i="3"/>
  <c r="N3622" i="3" s="1"/>
  <c r="O3622" i="3" s="1"/>
  <c r="M3607" i="3"/>
  <c r="N3607" i="3" s="1"/>
  <c r="O3599" i="3"/>
  <c r="M3587" i="3"/>
  <c r="N3587" i="3" s="1"/>
  <c r="O3587" i="3" s="1"/>
  <c r="N3863" i="3"/>
  <c r="O3863" i="3" s="1"/>
  <c r="N3856" i="3"/>
  <c r="O3856" i="3" s="1"/>
  <c r="N3812" i="3"/>
  <c r="O3812" i="3" s="1"/>
  <c r="M3783" i="3"/>
  <c r="N3783" i="3" s="1"/>
  <c r="O3761" i="3"/>
  <c r="N3752" i="3"/>
  <c r="O3752" i="3" s="1"/>
  <c r="M3716" i="3"/>
  <c r="N3716" i="3" s="1"/>
  <c r="N3710" i="3"/>
  <c r="O3710" i="3" s="1"/>
  <c r="O3688" i="3"/>
  <c r="M3681" i="3"/>
  <c r="N3681" i="3" s="1"/>
  <c r="N3676" i="3"/>
  <c r="O3676" i="3" s="1"/>
  <c r="M3577" i="3"/>
  <c r="N3577" i="3" s="1"/>
  <c r="O3577" i="3" s="1"/>
  <c r="M3438" i="3"/>
  <c r="N3438" i="3" s="1"/>
  <c r="N3840" i="3"/>
  <c r="O3840" i="3" s="1"/>
  <c r="N3808" i="3"/>
  <c r="O3808" i="3" s="1"/>
  <c r="N3806" i="3"/>
  <c r="O3806" i="3" s="1"/>
  <c r="P3806" i="3" s="1"/>
  <c r="N3790" i="3"/>
  <c r="O3790" i="3" s="1"/>
  <c r="P3790" i="3" s="1"/>
  <c r="M3759" i="3"/>
  <c r="N3759" i="3" s="1"/>
  <c r="M3686" i="3"/>
  <c r="N3686" i="3" s="1"/>
  <c r="M3652" i="3"/>
  <c r="N3652" i="3" s="1"/>
  <c r="O3652" i="3" s="1"/>
  <c r="N3618" i="3"/>
  <c r="O3618" i="3" s="1"/>
  <c r="M3603" i="3"/>
  <c r="M3452" i="3"/>
  <c r="N3452" i="3" s="1"/>
  <c r="O3452" i="3" s="1"/>
  <c r="M3387" i="3"/>
  <c r="N3387" i="3" s="1"/>
  <c r="M3350" i="3"/>
  <c r="N3350" i="3" s="1"/>
  <c r="O3857" i="3"/>
  <c r="P3857" i="3" s="1"/>
  <c r="N3847" i="3"/>
  <c r="O3847" i="3" s="1"/>
  <c r="N3824" i="3"/>
  <c r="O3824" i="3" s="1"/>
  <c r="O3813" i="3"/>
  <c r="M3799" i="3"/>
  <c r="N3799" i="3" s="1"/>
  <c r="N3792" i="3"/>
  <c r="O3792" i="3" s="1"/>
  <c r="O3777" i="3"/>
  <c r="N3768" i="3"/>
  <c r="O3768" i="3" s="1"/>
  <c r="M3735" i="3"/>
  <c r="N3735" i="3" s="1"/>
  <c r="M3727" i="3"/>
  <c r="N3727" i="3" s="1"/>
  <c r="N3705" i="3"/>
  <c r="O3705" i="3" s="1"/>
  <c r="O3665" i="3"/>
  <c r="N3641" i="3"/>
  <c r="O3641" i="3" s="1"/>
  <c r="N3608" i="3"/>
  <c r="O3608" i="3" s="1"/>
  <c r="M3580" i="3"/>
  <c r="N3580" i="3" s="1"/>
  <c r="N3864" i="3"/>
  <c r="O3864" i="3" s="1"/>
  <c r="O3841" i="3"/>
  <c r="O3809" i="3"/>
  <c r="M3797" i="3"/>
  <c r="N3797" i="3" s="1"/>
  <c r="M3775" i="3"/>
  <c r="N3775" i="3" s="1"/>
  <c r="O3775" i="3" s="1"/>
  <c r="O3753" i="3"/>
  <c r="N3744" i="3"/>
  <c r="O3744" i="3" s="1"/>
  <c r="O3711" i="3"/>
  <c r="N3693" i="3"/>
  <c r="O3693" i="3" s="1"/>
  <c r="N3682" i="3"/>
  <c r="O3682" i="3" s="1"/>
  <c r="M3663" i="3"/>
  <c r="N3663" i="3" s="1"/>
  <c r="O3647" i="3"/>
  <c r="M3591" i="3"/>
  <c r="N3591" i="3" s="1"/>
  <c r="M3555" i="3"/>
  <c r="M3524" i="3"/>
  <c r="N3524" i="3" s="1"/>
  <c r="O3524" i="3" s="1"/>
  <c r="M3491" i="3"/>
  <c r="N3491" i="3" s="1"/>
  <c r="N3612" i="3"/>
  <c r="O3612" i="3" s="1"/>
  <c r="N3568" i="3"/>
  <c r="O3568" i="3" s="1"/>
  <c r="M3547" i="3"/>
  <c r="N3547" i="3" s="1"/>
  <c r="O3541" i="3"/>
  <c r="N3516" i="3"/>
  <c r="O3516" i="3" s="1"/>
  <c r="O3480" i="3"/>
  <c r="N3399" i="3"/>
  <c r="O3399" i="3" s="1"/>
  <c r="M3382" i="3"/>
  <c r="N3382" i="3" s="1"/>
  <c r="N3255" i="3"/>
  <c r="O3255" i="3" s="1"/>
  <c r="M3131" i="3"/>
  <c r="N3131" i="3" s="1"/>
  <c r="O3717" i="3"/>
  <c r="N3700" i="3"/>
  <c r="O3700" i="3" s="1"/>
  <c r="N3636" i="3"/>
  <c r="O3636" i="3" s="1"/>
  <c r="M3595" i="3"/>
  <c r="N3595" i="3" s="1"/>
  <c r="N3592" i="3"/>
  <c r="O3592" i="3" s="1"/>
  <c r="M3575" i="3"/>
  <c r="N3575" i="3" s="1"/>
  <c r="M3571" i="3"/>
  <c r="N3571" i="3" s="1"/>
  <c r="N3564" i="3"/>
  <c r="O3564" i="3" s="1"/>
  <c r="M3539" i="3"/>
  <c r="N3539" i="3" s="1"/>
  <c r="N3508" i="3"/>
  <c r="O3508" i="3" s="1"/>
  <c r="M3478" i="3"/>
  <c r="N3478" i="3" s="1"/>
  <c r="M3467" i="3"/>
  <c r="N3467" i="3" s="1"/>
  <c r="O3467" i="3" s="1"/>
  <c r="N3461" i="3"/>
  <c r="O3461" i="3" s="1"/>
  <c r="O3364" i="3"/>
  <c r="N3322" i="3"/>
  <c r="O3322" i="3" s="1"/>
  <c r="N3260" i="3"/>
  <c r="O3260" i="3" s="1"/>
  <c r="M3253" i="3"/>
  <c r="N3253" i="3" s="1"/>
  <c r="N3732" i="3"/>
  <c r="O3732" i="3" s="1"/>
  <c r="N3725" i="3"/>
  <c r="O3725" i="3" s="1"/>
  <c r="N3724" i="3"/>
  <c r="O3724" i="3" s="1"/>
  <c r="N3719" i="3"/>
  <c r="O3719" i="3" s="1"/>
  <c r="N3696" i="3"/>
  <c r="O3696" i="3" s="1"/>
  <c r="N3678" i="3"/>
  <c r="O3678" i="3" s="1"/>
  <c r="O3677" i="3"/>
  <c r="N3667" i="3"/>
  <c r="O3667" i="3" s="1"/>
  <c r="N3660" i="3"/>
  <c r="O3660" i="3" s="1"/>
  <c r="N3632" i="3"/>
  <c r="O3632" i="3" s="1"/>
  <c r="O3615" i="3"/>
  <c r="N3604" i="3"/>
  <c r="O3604" i="3" s="1"/>
  <c r="N3601" i="3"/>
  <c r="O3601" i="3" s="1"/>
  <c r="N3588" i="3"/>
  <c r="O3588" i="3" s="1"/>
  <c r="M3585" i="3"/>
  <c r="N3585" i="3" s="1"/>
  <c r="N3562" i="3"/>
  <c r="O3562" i="3" s="1"/>
  <c r="M3531" i="3"/>
  <c r="N3531" i="3" s="1"/>
  <c r="O3531" i="3" s="1"/>
  <c r="N3500" i="3"/>
  <c r="O3500" i="3" s="1"/>
  <c r="M3447" i="3"/>
  <c r="N3447" i="3" s="1"/>
  <c r="O3447" i="3" s="1"/>
  <c r="N3411" i="3"/>
  <c r="O3411" i="3" s="1"/>
  <c r="N3391" i="3"/>
  <c r="O3391" i="3" s="1"/>
  <c r="M3362" i="3"/>
  <c r="N3362" i="3" s="1"/>
  <c r="O3328" i="3"/>
  <c r="O3782" i="3"/>
  <c r="N3781" i="3"/>
  <c r="O3781" i="3" s="1"/>
  <c r="O3774" i="3"/>
  <c r="N3773" i="3"/>
  <c r="O3773" i="3" s="1"/>
  <c r="O3766" i="3"/>
  <c r="N3765" i="3"/>
  <c r="O3765" i="3" s="1"/>
  <c r="O3758" i="3"/>
  <c r="N3757" i="3"/>
  <c r="O3757" i="3" s="1"/>
  <c r="O3750" i="3"/>
  <c r="N3749" i="3"/>
  <c r="O3749" i="3" s="1"/>
  <c r="O3742" i="3"/>
  <c r="N3741" i="3"/>
  <c r="O3741" i="3" s="1"/>
  <c r="O3734" i="3"/>
  <c r="N3733" i="3"/>
  <c r="O3733" i="3" s="1"/>
  <c r="O3726" i="3"/>
  <c r="O3721" i="3"/>
  <c r="N3720" i="3"/>
  <c r="O3720" i="3" s="1"/>
  <c r="O3703" i="3"/>
  <c r="N3702" i="3"/>
  <c r="O3702" i="3" s="1"/>
  <c r="O3701" i="3"/>
  <c r="O3698" i="3"/>
  <c r="N3697" i="3"/>
  <c r="O3697" i="3" s="1"/>
  <c r="N3691" i="3"/>
  <c r="O3691" i="3" s="1"/>
  <c r="N3685" i="3"/>
  <c r="O3685" i="3" s="1"/>
  <c r="N3684" i="3"/>
  <c r="O3684" i="3" s="1"/>
  <c r="O3680" i="3"/>
  <c r="N3679" i="3"/>
  <c r="O3679" i="3" s="1"/>
  <c r="N3656" i="3"/>
  <c r="O3656" i="3" s="1"/>
  <c r="N3638" i="3"/>
  <c r="O3638" i="3" s="1"/>
  <c r="O3637" i="3"/>
  <c r="O3634" i="3"/>
  <c r="N3633" i="3"/>
  <c r="O3633" i="3" s="1"/>
  <c r="N3627" i="3"/>
  <c r="O3627" i="3" s="1"/>
  <c r="N3620" i="3"/>
  <c r="O3620" i="3" s="1"/>
  <c r="O3602" i="3"/>
  <c r="O3586" i="3"/>
  <c r="N3576" i="3"/>
  <c r="O3576" i="3" s="1"/>
  <c r="O3565" i="3"/>
  <c r="N3556" i="3"/>
  <c r="O3556" i="3" s="1"/>
  <c r="M3523" i="3"/>
  <c r="N3523" i="3" s="1"/>
  <c r="O3517" i="3"/>
  <c r="N3492" i="3"/>
  <c r="O3492" i="3" s="1"/>
  <c r="M3484" i="3"/>
  <c r="M3456" i="3"/>
  <c r="N3456" i="3" s="1"/>
  <c r="N3420" i="3"/>
  <c r="O3420" i="3" s="1"/>
  <c r="N3715" i="3"/>
  <c r="O3715" i="3" s="1"/>
  <c r="N3708" i="3"/>
  <c r="O3708" i="3" s="1"/>
  <c r="N3651" i="3"/>
  <c r="O3651" i="3" s="1"/>
  <c r="N3644" i="3"/>
  <c r="O3644" i="3" s="1"/>
  <c r="N3616" i="3"/>
  <c r="O3616" i="3" s="1"/>
  <c r="N3606" i="3"/>
  <c r="O3606" i="3" s="1"/>
  <c r="N3597" i="3"/>
  <c r="O3597" i="3" s="1"/>
  <c r="N3596" i="3"/>
  <c r="O3596" i="3" s="1"/>
  <c r="O3589" i="3"/>
  <c r="M3583" i="3"/>
  <c r="N3583" i="3" s="1"/>
  <c r="M3579" i="3"/>
  <c r="N3579" i="3" s="1"/>
  <c r="N3572" i="3"/>
  <c r="O3572" i="3" s="1"/>
  <c r="M3569" i="3"/>
  <c r="N3548" i="3"/>
  <c r="O3548" i="3" s="1"/>
  <c r="M3515" i="3"/>
  <c r="N3515" i="3" s="1"/>
  <c r="O3509" i="3"/>
  <c r="O3462" i="3"/>
  <c r="M3434" i="3"/>
  <c r="N3434" i="3" s="1"/>
  <c r="O3434" i="3" s="1"/>
  <c r="N3429" i="3"/>
  <c r="O3429" i="3" s="1"/>
  <c r="N3403" i="3"/>
  <c r="O3403" i="3" s="1"/>
  <c r="M3370" i="3"/>
  <c r="N3370" i="3" s="1"/>
  <c r="N3668" i="3"/>
  <c r="O3668" i="3" s="1"/>
  <c r="O3621" i="3"/>
  <c r="M3611" i="3"/>
  <c r="N3611" i="3" s="1"/>
  <c r="O3611" i="3" s="1"/>
  <c r="O3594" i="3"/>
  <c r="O3570" i="3"/>
  <c r="N3540" i="3"/>
  <c r="O3540" i="3" s="1"/>
  <c r="M3507" i="3"/>
  <c r="N3507" i="3" s="1"/>
  <c r="O3501" i="3"/>
  <c r="N3479" i="3"/>
  <c r="O3479" i="3" s="1"/>
  <c r="O3709" i="3"/>
  <c r="N3692" i="3"/>
  <c r="O3692" i="3" s="1"/>
  <c r="O3645" i="3"/>
  <c r="N3629" i="3"/>
  <c r="O3629" i="3" s="1"/>
  <c r="N3628" i="3"/>
  <c r="O3628" i="3" s="1"/>
  <c r="N3584" i="3"/>
  <c r="O3584" i="3" s="1"/>
  <c r="M3567" i="3"/>
  <c r="N3567" i="3" s="1"/>
  <c r="M3563" i="3"/>
  <c r="N3563" i="3" s="1"/>
  <c r="N3532" i="3"/>
  <c r="O3532" i="3" s="1"/>
  <c r="M3499" i="3"/>
  <c r="N3499" i="3" s="1"/>
  <c r="M3474" i="3"/>
  <c r="N3474" i="3" s="1"/>
  <c r="O3457" i="3"/>
  <c r="N3443" i="3"/>
  <c r="O3443" i="3" s="1"/>
  <c r="M3415" i="3"/>
  <c r="N3415" i="3" s="1"/>
  <c r="N3407" i="3"/>
  <c r="O3407" i="3" s="1"/>
  <c r="N3395" i="3"/>
  <c r="O3395" i="3" s="1"/>
  <c r="O3560" i="3"/>
  <c r="N3559" i="3"/>
  <c r="O3559" i="3" s="1"/>
  <c r="O3552" i="3"/>
  <c r="N3551" i="3"/>
  <c r="O3551" i="3" s="1"/>
  <c r="O3544" i="3"/>
  <c r="N3543" i="3"/>
  <c r="O3543" i="3" s="1"/>
  <c r="O3536" i="3"/>
  <c r="N3535" i="3"/>
  <c r="O3535" i="3" s="1"/>
  <c r="O3528" i="3"/>
  <c r="N3527" i="3"/>
  <c r="O3527" i="3" s="1"/>
  <c r="N3519" i="3"/>
  <c r="O3519" i="3" s="1"/>
  <c r="N3511" i="3"/>
  <c r="O3511" i="3" s="1"/>
  <c r="N3503" i="3"/>
  <c r="O3503" i="3" s="1"/>
  <c r="N3495" i="3"/>
  <c r="O3495" i="3" s="1"/>
  <c r="N3487" i="3"/>
  <c r="O3487" i="3" s="1"/>
  <c r="N3469" i="3"/>
  <c r="O3469" i="3" s="1"/>
  <c r="O3468" i="3"/>
  <c r="O3465" i="3"/>
  <c r="N3464" i="3"/>
  <c r="O3464" i="3" s="1"/>
  <c r="O3445" i="3"/>
  <c r="N3440" i="3"/>
  <c r="O3440" i="3" s="1"/>
  <c r="N3439" i="3"/>
  <c r="O3439" i="3" s="1"/>
  <c r="O3416" i="3"/>
  <c r="O3413" i="3"/>
  <c r="N3408" i="3"/>
  <c r="O3408" i="3" s="1"/>
  <c r="N3400" i="3"/>
  <c r="O3400" i="3" s="1"/>
  <c r="N3392" i="3"/>
  <c r="O3392" i="3" s="1"/>
  <c r="N3357" i="3"/>
  <c r="O3357" i="3" s="1"/>
  <c r="N3345" i="3"/>
  <c r="O3345" i="3" s="1"/>
  <c r="N3305" i="3"/>
  <c r="O3305" i="3" s="1"/>
  <c r="M3296" i="3"/>
  <c r="N3296" i="3" s="1"/>
  <c r="N3208" i="3"/>
  <c r="O3208" i="3" s="1"/>
  <c r="O3191" i="3"/>
  <c r="N3482" i="3"/>
  <c r="O3482" i="3" s="1"/>
  <c r="N3475" i="3"/>
  <c r="O3475" i="3" s="1"/>
  <c r="N3454" i="3"/>
  <c r="O3454" i="3" s="1"/>
  <c r="N3435" i="3"/>
  <c r="O3435" i="3" s="1"/>
  <c r="N3422" i="3"/>
  <c r="O3422" i="3" s="1"/>
  <c r="O3412" i="3"/>
  <c r="O3404" i="3"/>
  <c r="N3379" i="3"/>
  <c r="O3379" i="3" s="1"/>
  <c r="M3340" i="3"/>
  <c r="N3340" i="3" s="1"/>
  <c r="O3323" i="3"/>
  <c r="M3300" i="3"/>
  <c r="N3300" i="3" s="1"/>
  <c r="N3282" i="3"/>
  <c r="O3282" i="3" s="1"/>
  <c r="N3263" i="3"/>
  <c r="O3263" i="3" s="1"/>
  <c r="M3069" i="3"/>
  <c r="N3069" i="3" s="1"/>
  <c r="O3069" i="3" s="1"/>
  <c r="O3554" i="3"/>
  <c r="N3553" i="3"/>
  <c r="O3553" i="3" s="1"/>
  <c r="O3546" i="3"/>
  <c r="N3545" i="3"/>
  <c r="O3545" i="3" s="1"/>
  <c r="O3538" i="3"/>
  <c r="N3537" i="3"/>
  <c r="O3537" i="3" s="1"/>
  <c r="O3530" i="3"/>
  <c r="N3529" i="3"/>
  <c r="O3529" i="3" s="1"/>
  <c r="O3522" i="3"/>
  <c r="N3521" i="3"/>
  <c r="O3521" i="3" s="1"/>
  <c r="O3514" i="3"/>
  <c r="N3513" i="3"/>
  <c r="O3513" i="3" s="1"/>
  <c r="O3506" i="3"/>
  <c r="N3505" i="3"/>
  <c r="O3505" i="3" s="1"/>
  <c r="O3498" i="3"/>
  <c r="N3497" i="3"/>
  <c r="O3497" i="3" s="1"/>
  <c r="O3490" i="3"/>
  <c r="N3489" i="3"/>
  <c r="O3489" i="3" s="1"/>
  <c r="O3477" i="3"/>
  <c r="O3472" i="3"/>
  <c r="N3471" i="3"/>
  <c r="O3471" i="3" s="1"/>
  <c r="N3432" i="3"/>
  <c r="O3432" i="3" s="1"/>
  <c r="N3431" i="3"/>
  <c r="O3431" i="3" s="1"/>
  <c r="M3386" i="3"/>
  <c r="N3386" i="3" s="1"/>
  <c r="N3371" i="3"/>
  <c r="O3371" i="3" s="1"/>
  <c r="N3150" i="3"/>
  <c r="O3150" i="3" s="1"/>
  <c r="O3476" i="3"/>
  <c r="N3466" i="3"/>
  <c r="O3466" i="3" s="1"/>
  <c r="N3459" i="3"/>
  <c r="O3459" i="3" s="1"/>
  <c r="N3446" i="3"/>
  <c r="O3446" i="3" s="1"/>
  <c r="N3427" i="3"/>
  <c r="O3427" i="3" s="1"/>
  <c r="N3414" i="3"/>
  <c r="O3414" i="3" s="1"/>
  <c r="N3363" i="3"/>
  <c r="O3363" i="3" s="1"/>
  <c r="O3346" i="3"/>
  <c r="M3321" i="3"/>
  <c r="N3321" i="3" s="1"/>
  <c r="O3321" i="3" s="1"/>
  <c r="N3310" i="3"/>
  <c r="O3310" i="3" s="1"/>
  <c r="N3291" i="3"/>
  <c r="O3291" i="3" s="1"/>
  <c r="N3271" i="3"/>
  <c r="O3271" i="3" s="1"/>
  <c r="M3148" i="3"/>
  <c r="N3483" i="3"/>
  <c r="O3483" i="3" s="1"/>
  <c r="N3455" i="3"/>
  <c r="O3455" i="3" s="1"/>
  <c r="N3423" i="3"/>
  <c r="O3423" i="3" s="1"/>
  <c r="M3406" i="3"/>
  <c r="N3406" i="3" s="1"/>
  <c r="O3406" i="3" s="1"/>
  <c r="M3398" i="3"/>
  <c r="M3390" i="3"/>
  <c r="O3380" i="3"/>
  <c r="M3344" i="3"/>
  <c r="N3344" i="3" s="1"/>
  <c r="O3344" i="3" s="1"/>
  <c r="M3333" i="3"/>
  <c r="N3327" i="3"/>
  <c r="O3327" i="3" s="1"/>
  <c r="M3316" i="3"/>
  <c r="N3316" i="3" s="1"/>
  <c r="O3316" i="3" s="1"/>
  <c r="M3277" i="3"/>
  <c r="N3274" i="3"/>
  <c r="O3274" i="3" s="1"/>
  <c r="O3460" i="3"/>
  <c r="N3451" i="3"/>
  <c r="O3451" i="3" s="1"/>
  <c r="O3428" i="3"/>
  <c r="N3419" i="3"/>
  <c r="O3419" i="3" s="1"/>
  <c r="M3378" i="3"/>
  <c r="N3378" i="3" s="1"/>
  <c r="O3372" i="3"/>
  <c r="M3286" i="3"/>
  <c r="N3286" i="3" s="1"/>
  <c r="O3286" i="3" s="1"/>
  <c r="M3161" i="3"/>
  <c r="N3161" i="3" s="1"/>
  <c r="N3374" i="3"/>
  <c r="O3374" i="3" s="1"/>
  <c r="N3366" i="3"/>
  <c r="O3366" i="3" s="1"/>
  <c r="N3353" i="3"/>
  <c r="O3353" i="3" s="1"/>
  <c r="N3335" i="3"/>
  <c r="O3335" i="3" s="1"/>
  <c r="O3334" i="3"/>
  <c r="O3331" i="3"/>
  <c r="N3330" i="3"/>
  <c r="O3330" i="3" s="1"/>
  <c r="N3318" i="3"/>
  <c r="O3318" i="3" s="1"/>
  <c r="N3317" i="3"/>
  <c r="O3317" i="3" s="1"/>
  <c r="N3312" i="3"/>
  <c r="O3312" i="3" s="1"/>
  <c r="N3302" i="3"/>
  <c r="O3302" i="3" s="1"/>
  <c r="N3301" i="3"/>
  <c r="O3301" i="3" s="1"/>
  <c r="N3288" i="3"/>
  <c r="O3288" i="3" s="1"/>
  <c r="O3278" i="3"/>
  <c r="M3242" i="3"/>
  <c r="N3242" i="3" s="1"/>
  <c r="O3242" i="3" s="1"/>
  <c r="M3230" i="3"/>
  <c r="N3213" i="3"/>
  <c r="O3213" i="3" s="1"/>
  <c r="O3196" i="3"/>
  <c r="M3189" i="3"/>
  <c r="N3189" i="3" s="1"/>
  <c r="N3144" i="3"/>
  <c r="O3144" i="3" s="1"/>
  <c r="M3062" i="3"/>
  <c r="N3062" i="3" s="1"/>
  <c r="O3062" i="3" s="1"/>
  <c r="O3384" i="3"/>
  <c r="O3376" i="3"/>
  <c r="O3368" i="3"/>
  <c r="O3360" i="3"/>
  <c r="O3358" i="3"/>
  <c r="N3348" i="3"/>
  <c r="O3348" i="3" s="1"/>
  <c r="N3341" i="3"/>
  <c r="O3341" i="3" s="1"/>
  <c r="O3314" i="3"/>
  <c r="N3297" i="3"/>
  <c r="O3297" i="3" s="1"/>
  <c r="N3284" i="3"/>
  <c r="O3284" i="3" s="1"/>
  <c r="O3275" i="3"/>
  <c r="M3178" i="3"/>
  <c r="N3178" i="3" s="1"/>
  <c r="O3178" i="3" s="1"/>
  <c r="O3127" i="3"/>
  <c r="M3085" i="3"/>
  <c r="N3085" i="3" s="1"/>
  <c r="O3343" i="3"/>
  <c r="O3338" i="3"/>
  <c r="N3337" i="3"/>
  <c r="O3337" i="3" s="1"/>
  <c r="N3293" i="3"/>
  <c r="O3293" i="3" s="1"/>
  <c r="N3254" i="3"/>
  <c r="O3254" i="3" s="1"/>
  <c r="M3166" i="3"/>
  <c r="N3166" i="3" s="1"/>
  <c r="N3149" i="3"/>
  <c r="O3149" i="3" s="1"/>
  <c r="O3132" i="3"/>
  <c r="M3125" i="3"/>
  <c r="N3125" i="3" s="1"/>
  <c r="M3090" i="3"/>
  <c r="N3090" i="3" s="1"/>
  <c r="O3090" i="3" s="1"/>
  <c r="N3332" i="3"/>
  <c r="O3332" i="3" s="1"/>
  <c r="N3325" i="3"/>
  <c r="O3325" i="3" s="1"/>
  <c r="N3289" i="3"/>
  <c r="O3289" i="3" s="1"/>
  <c r="M3262" i="3"/>
  <c r="N3262" i="3" s="1"/>
  <c r="N3259" i="3"/>
  <c r="O3259" i="3" s="1"/>
  <c r="N3236" i="3"/>
  <c r="O3236" i="3" s="1"/>
  <c r="N3231" i="3"/>
  <c r="O3231" i="3" s="1"/>
  <c r="M3207" i="3"/>
  <c r="N3207" i="3" s="1"/>
  <c r="O3207" i="3" s="1"/>
  <c r="N3190" i="3"/>
  <c r="O3190" i="3" s="1"/>
  <c r="O3070" i="3"/>
  <c r="N3063" i="3"/>
  <c r="O3063" i="3" s="1"/>
  <c r="N3349" i="3"/>
  <c r="O3349" i="3" s="1"/>
  <c r="N3285" i="3"/>
  <c r="O3285" i="3" s="1"/>
  <c r="M3270" i="3"/>
  <c r="N3270" i="3" s="1"/>
  <c r="M3265" i="3"/>
  <c r="N3265" i="3" s="1"/>
  <c r="O3214" i="3"/>
  <c r="M3195" i="3"/>
  <c r="N3195" i="3" s="1"/>
  <c r="O3195" i="3" s="1"/>
  <c r="N3172" i="3"/>
  <c r="O3172" i="3" s="1"/>
  <c r="M3114" i="3"/>
  <c r="N3114" i="3" s="1"/>
  <c r="N3086" i="3"/>
  <c r="O3086" i="3" s="1"/>
  <c r="O3326" i="3"/>
  <c r="N3309" i="3"/>
  <c r="O3309" i="3" s="1"/>
  <c r="O3290" i="3"/>
  <c r="N3281" i="3"/>
  <c r="O3281" i="3" s="1"/>
  <c r="N3268" i="3"/>
  <c r="O3268" i="3" s="1"/>
  <c r="M3225" i="3"/>
  <c r="N3225" i="3" s="1"/>
  <c r="M3212" i="3"/>
  <c r="N3167" i="3"/>
  <c r="O3167" i="3" s="1"/>
  <c r="M3143" i="3"/>
  <c r="N3143" i="3" s="1"/>
  <c r="O3143" i="3" s="1"/>
  <c r="N3126" i="3"/>
  <c r="O3126" i="3" s="1"/>
  <c r="N3054" i="3"/>
  <c r="O3054" i="3" s="1"/>
  <c r="N3273" i="3"/>
  <c r="O3273" i="3" s="1"/>
  <c r="N3267" i="3"/>
  <c r="O3267" i="3" s="1"/>
  <c r="N3266" i="3"/>
  <c r="O3266" i="3" s="1"/>
  <c r="N3261" i="3"/>
  <c r="O3261" i="3" s="1"/>
  <c r="N3238" i="3"/>
  <c r="O3238" i="3" s="1"/>
  <c r="O3219" i="3"/>
  <c r="N3209" i="3"/>
  <c r="O3209" i="3" s="1"/>
  <c r="N3202" i="3"/>
  <c r="O3202" i="3" s="1"/>
  <c r="N3174" i="3"/>
  <c r="O3174" i="3" s="1"/>
  <c r="O3155" i="3"/>
  <c r="N3145" i="3"/>
  <c r="O3145" i="3" s="1"/>
  <c r="N3138" i="3"/>
  <c r="O3138" i="3" s="1"/>
  <c r="N3110" i="3"/>
  <c r="O3110" i="3" s="1"/>
  <c r="M3105" i="3"/>
  <c r="N3105" i="3" s="1"/>
  <c r="O3099" i="3"/>
  <c r="N3091" i="3"/>
  <c r="O3091" i="3" s="1"/>
  <c r="O3088" i="3"/>
  <c r="O3079" i="3"/>
  <c r="N3078" i="3"/>
  <c r="O3078" i="3" s="1"/>
  <c r="O3077" i="3"/>
  <c r="M3067" i="3"/>
  <c r="N3067" i="3" s="1"/>
  <c r="O3067" i="3" s="1"/>
  <c r="N3052" i="3"/>
  <c r="O3052" i="3" s="1"/>
  <c r="O3047" i="3"/>
  <c r="N3046" i="3"/>
  <c r="O3046" i="3" s="1"/>
  <c r="O3045" i="3"/>
  <c r="O3245" i="3"/>
  <c r="N3244" i="3"/>
  <c r="O3244" i="3" s="1"/>
  <c r="O3240" i="3"/>
  <c r="N3239" i="3"/>
  <c r="O3239" i="3" s="1"/>
  <c r="N3233" i="3"/>
  <c r="O3233" i="3" s="1"/>
  <c r="N3227" i="3"/>
  <c r="O3227" i="3" s="1"/>
  <c r="N3226" i="3"/>
  <c r="O3226" i="3" s="1"/>
  <c r="O3222" i="3"/>
  <c r="N3221" i="3"/>
  <c r="O3221" i="3" s="1"/>
  <c r="O3204" i="3"/>
  <c r="O3199" i="3"/>
  <c r="N3198" i="3"/>
  <c r="O3198" i="3" s="1"/>
  <c r="O3181" i="3"/>
  <c r="N3180" i="3"/>
  <c r="O3180" i="3" s="1"/>
  <c r="O3179" i="3"/>
  <c r="O3176" i="3"/>
  <c r="N3175" i="3"/>
  <c r="O3175" i="3" s="1"/>
  <c r="N3163" i="3"/>
  <c r="O3163" i="3" s="1"/>
  <c r="N3162" i="3"/>
  <c r="O3162" i="3" s="1"/>
  <c r="O3158" i="3"/>
  <c r="N3157" i="3"/>
  <c r="O3157" i="3" s="1"/>
  <c r="O3140" i="3"/>
  <c r="O3135" i="3"/>
  <c r="N3134" i="3"/>
  <c r="O3134" i="3" s="1"/>
  <c r="O3117" i="3"/>
  <c r="N3116" i="3"/>
  <c r="O3116" i="3" s="1"/>
  <c r="O3112" i="3"/>
  <c r="N3111" i="3"/>
  <c r="O3111" i="3" s="1"/>
  <c r="O3102" i="3"/>
  <c r="N3101" i="3"/>
  <c r="O3101" i="3" s="1"/>
  <c r="O3092" i="3"/>
  <c r="N3082" i="3"/>
  <c r="O3082" i="3" s="1"/>
  <c r="M3075" i="3"/>
  <c r="N3075" i="3" s="1"/>
  <c r="O3075" i="3" s="1"/>
  <c r="M3043" i="3"/>
  <c r="N3043" i="3" s="1"/>
  <c r="N3257" i="3"/>
  <c r="O3257" i="3" s="1"/>
  <c r="N3250" i="3"/>
  <c r="O3250" i="3" s="1"/>
  <c r="O3246" i="3"/>
  <c r="O3228" i="3"/>
  <c r="O3223" i="3"/>
  <c r="O3205" i="3"/>
  <c r="N3193" i="3"/>
  <c r="O3193" i="3" s="1"/>
  <c r="N3186" i="3"/>
  <c r="O3186" i="3" s="1"/>
  <c r="O3182" i="3"/>
  <c r="O3164" i="3"/>
  <c r="O3159" i="3"/>
  <c r="O3141" i="3"/>
  <c r="N3129" i="3"/>
  <c r="O3129" i="3" s="1"/>
  <c r="N3122" i="3"/>
  <c r="O3122" i="3" s="1"/>
  <c r="M3097" i="3"/>
  <c r="N3097" i="3" s="1"/>
  <c r="O3093" i="3"/>
  <c r="N3060" i="3"/>
  <c r="O3060" i="3" s="1"/>
  <c r="N3210" i="3"/>
  <c r="O3210" i="3" s="1"/>
  <c r="N3146" i="3"/>
  <c r="O3146" i="3" s="1"/>
  <c r="N3118" i="3"/>
  <c r="O3118" i="3" s="1"/>
  <c r="N3106" i="3"/>
  <c r="O3106" i="3" s="1"/>
  <c r="N3252" i="3"/>
  <c r="O3252" i="3" s="1"/>
  <c r="O3251" i="3"/>
  <c r="O3248" i="3"/>
  <c r="N3247" i="3"/>
  <c r="O3247" i="3" s="1"/>
  <c r="N3241" i="3"/>
  <c r="O3241" i="3" s="1"/>
  <c r="N3235" i="3"/>
  <c r="O3235" i="3" s="1"/>
  <c r="N3234" i="3"/>
  <c r="O3234" i="3" s="1"/>
  <c r="N3229" i="3"/>
  <c r="O3229" i="3" s="1"/>
  <c r="N3206" i="3"/>
  <c r="O3206" i="3" s="1"/>
  <c r="N3188" i="3"/>
  <c r="O3188" i="3" s="1"/>
  <c r="O3187" i="3"/>
  <c r="O3184" i="3"/>
  <c r="N3183" i="3"/>
  <c r="O3183" i="3" s="1"/>
  <c r="N3177" i="3"/>
  <c r="O3177" i="3" s="1"/>
  <c r="N3171" i="3"/>
  <c r="O3171" i="3" s="1"/>
  <c r="N3170" i="3"/>
  <c r="O3170" i="3" s="1"/>
  <c r="N3165" i="3"/>
  <c r="O3165" i="3" s="1"/>
  <c r="N3142" i="3"/>
  <c r="O3142" i="3" s="1"/>
  <c r="N3124" i="3"/>
  <c r="O3124" i="3" s="1"/>
  <c r="O3123" i="3"/>
  <c r="O3120" i="3"/>
  <c r="N3119" i="3"/>
  <c r="O3119" i="3" s="1"/>
  <c r="N3113" i="3"/>
  <c r="O3113" i="3" s="1"/>
  <c r="N3107" i="3"/>
  <c r="O3107" i="3" s="1"/>
  <c r="O3104" i="3"/>
  <c r="O3095" i="3"/>
  <c r="N3094" i="3"/>
  <c r="O3094" i="3" s="1"/>
  <c r="M3089" i="3"/>
  <c r="N3084" i="3"/>
  <c r="O3084" i="3" s="1"/>
  <c r="O3083" i="3"/>
  <c r="N3068" i="3"/>
  <c r="O3068" i="3" s="1"/>
  <c r="M3051" i="3"/>
  <c r="N3258" i="3"/>
  <c r="O3258" i="3" s="1"/>
  <c r="O3211" i="3"/>
  <c r="N3201" i="3"/>
  <c r="O3201" i="3" s="1"/>
  <c r="N3194" i="3"/>
  <c r="O3194" i="3" s="1"/>
  <c r="O3147" i="3"/>
  <c r="N3137" i="3"/>
  <c r="O3137" i="3" s="1"/>
  <c r="N3130" i="3"/>
  <c r="O3130" i="3" s="1"/>
  <c r="N3098" i="3"/>
  <c r="O3098" i="3" s="1"/>
  <c r="N3076" i="3"/>
  <c r="O3076" i="3" s="1"/>
  <c r="O3061" i="3"/>
  <c r="N3044" i="3"/>
  <c r="O3044" i="3" s="1"/>
  <c r="N3218" i="3"/>
  <c r="O3218" i="3" s="1"/>
  <c r="N3154" i="3"/>
  <c r="O3154" i="3" s="1"/>
  <c r="M3081" i="3"/>
  <c r="M3059" i="3"/>
  <c r="N3065" i="3"/>
  <c r="O3065" i="3" s="1"/>
  <c r="N3057" i="3"/>
  <c r="O3057" i="3" s="1"/>
  <c r="N3049" i="3"/>
  <c r="O3049" i="3" s="1"/>
  <c r="N3050" i="3"/>
  <c r="O3050" i="3" s="1"/>
  <c r="F26" i="8"/>
  <c r="H26" i="8"/>
  <c r="G26" i="8"/>
  <c r="H2" i="5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H1" i="5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1" i="3"/>
  <c r="P194" i="3"/>
  <c r="P195" i="3"/>
  <c r="P197" i="3"/>
  <c r="P201" i="3"/>
  <c r="P202" i="3"/>
  <c r="P203" i="3"/>
  <c r="P204" i="3"/>
  <c r="P205" i="3"/>
  <c r="P207" i="3"/>
  <c r="P208" i="3"/>
  <c r="P209" i="3"/>
  <c r="P210" i="3"/>
  <c r="P211" i="3"/>
  <c r="P212" i="3"/>
  <c r="P213" i="3"/>
  <c r="P215" i="3"/>
  <c r="P216" i="3"/>
  <c r="P217" i="3"/>
  <c r="P218" i="3"/>
  <c r="P220" i="3"/>
  <c r="P221" i="3"/>
  <c r="P222" i="3"/>
  <c r="P223" i="3"/>
  <c r="P224" i="3"/>
  <c r="P225" i="3"/>
  <c r="P226" i="3"/>
  <c r="P228" i="3"/>
  <c r="P229" i="3"/>
  <c r="P230" i="3"/>
  <c r="P231" i="3"/>
  <c r="P232" i="3"/>
  <c r="P233" i="3"/>
  <c r="P234" i="3"/>
  <c r="P235" i="3"/>
  <c r="P236" i="3"/>
  <c r="P238" i="3"/>
  <c r="P239" i="3"/>
  <c r="P241" i="3"/>
  <c r="P242" i="3"/>
  <c r="P243" i="3"/>
  <c r="P244" i="3"/>
  <c r="P245" i="3"/>
  <c r="P247" i="3"/>
  <c r="P248" i="3"/>
  <c r="P250" i="3"/>
  <c r="P251" i="3"/>
  <c r="P252" i="3"/>
  <c r="P253" i="3"/>
  <c r="P254" i="3"/>
  <c r="P256" i="3"/>
  <c r="P257" i="3"/>
  <c r="P259" i="3"/>
  <c r="P265" i="3"/>
  <c r="P266" i="3"/>
  <c r="P267" i="3"/>
  <c r="P268" i="3"/>
  <c r="P269" i="3"/>
  <c r="P270" i="3"/>
  <c r="P271" i="3"/>
  <c r="P272" i="3"/>
  <c r="P274" i="3"/>
  <c r="P275" i="3"/>
  <c r="P276" i="3"/>
  <c r="P277" i="3"/>
  <c r="P279" i="3"/>
  <c r="F89" i="5" s="1"/>
  <c r="P280" i="3"/>
  <c r="P281" i="3"/>
  <c r="P282" i="3"/>
  <c r="P283" i="3"/>
  <c r="P284" i="3"/>
  <c r="P286" i="3"/>
  <c r="P288" i="3"/>
  <c r="P291" i="3"/>
  <c r="P292" i="3"/>
  <c r="P294" i="3"/>
  <c r="P295" i="3"/>
  <c r="P298" i="3"/>
  <c r="P299" i="3"/>
  <c r="P300" i="3"/>
  <c r="P301" i="3"/>
  <c r="P303" i="3"/>
  <c r="P305" i="3"/>
  <c r="P306" i="3"/>
  <c r="P308" i="3"/>
  <c r="P310" i="3"/>
  <c r="P311" i="3"/>
  <c r="P312" i="3"/>
  <c r="P314" i="3"/>
  <c r="P315" i="3"/>
  <c r="P316" i="3"/>
  <c r="P317" i="3"/>
  <c r="P319" i="3"/>
  <c r="P320" i="3"/>
  <c r="P323" i="3"/>
  <c r="P324" i="3"/>
  <c r="P326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9" i="3"/>
  <c r="P350" i="3"/>
  <c r="P352" i="3"/>
  <c r="P353" i="3"/>
  <c r="P354" i="3"/>
  <c r="P355" i="3"/>
  <c r="P356" i="3"/>
  <c r="P357" i="3"/>
  <c r="P359" i="3"/>
  <c r="P361" i="3"/>
  <c r="P362" i="3"/>
  <c r="P366" i="3"/>
  <c r="P370" i="3"/>
  <c r="P371" i="3"/>
  <c r="P373" i="3"/>
  <c r="P374" i="3"/>
  <c r="P375" i="3"/>
  <c r="P376" i="3"/>
  <c r="P377" i="3"/>
  <c r="P379" i="3"/>
  <c r="P381" i="3"/>
  <c r="P384" i="3"/>
  <c r="P385" i="3"/>
  <c r="P386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3" i="3"/>
  <c r="P2845" i="3"/>
  <c r="P2847" i="3"/>
  <c r="P2848" i="3"/>
  <c r="P2849" i="3"/>
  <c r="P2851" i="3"/>
  <c r="P2852" i="3"/>
  <c r="P2853" i="3"/>
  <c r="P2855" i="3"/>
  <c r="P2857" i="3"/>
  <c r="P2861" i="3"/>
  <c r="P2862" i="3"/>
  <c r="P2864" i="3"/>
  <c r="P2866" i="3"/>
  <c r="P2867" i="3"/>
  <c r="P2868" i="3"/>
  <c r="P2870" i="3"/>
  <c r="P2871" i="3"/>
  <c r="P2873" i="3"/>
  <c r="P2874" i="3"/>
  <c r="P2875" i="3"/>
  <c r="P2876" i="3"/>
  <c r="P2877" i="3"/>
  <c r="P2878" i="3"/>
  <c r="P2879" i="3"/>
  <c r="P2880" i="3"/>
  <c r="P2882" i="3"/>
  <c r="P2883" i="3"/>
  <c r="P2885" i="3"/>
  <c r="P2888" i="3"/>
  <c r="P2893" i="3"/>
  <c r="P2901" i="3"/>
  <c r="P2903" i="3"/>
  <c r="P2911" i="3"/>
  <c r="P2915" i="3"/>
  <c r="P2918" i="3"/>
  <c r="P2919" i="3"/>
  <c r="P2920" i="3"/>
  <c r="P2921" i="3"/>
  <c r="P2922" i="3"/>
  <c r="P2923" i="3"/>
  <c r="P2924" i="3"/>
  <c r="P2925" i="3"/>
  <c r="P2927" i="3"/>
  <c r="P2928" i="3"/>
  <c r="P2929" i="3"/>
  <c r="P2930" i="3"/>
  <c r="P2931" i="3"/>
  <c r="P2933" i="3"/>
  <c r="P2934" i="3"/>
  <c r="P2936" i="3"/>
  <c r="P2938" i="3"/>
  <c r="P2940" i="3"/>
  <c r="P2941" i="3"/>
  <c r="P2942" i="3"/>
  <c r="P2945" i="3"/>
  <c r="P2946" i="3"/>
  <c r="P2948" i="3"/>
  <c r="P2949" i="3"/>
  <c r="P2950" i="3"/>
  <c r="P2951" i="3"/>
  <c r="P2952" i="3"/>
  <c r="P2955" i="3"/>
  <c r="P2956" i="3"/>
  <c r="P2960" i="3"/>
  <c r="P2962" i="3"/>
  <c r="P2963" i="3"/>
  <c r="P2966" i="3"/>
  <c r="P2968" i="3"/>
  <c r="P2969" i="3"/>
  <c r="P2970" i="3"/>
  <c r="P2971" i="3"/>
  <c r="P2972" i="3"/>
  <c r="P2975" i="3"/>
  <c r="P2976" i="3"/>
  <c r="P2979" i="3"/>
  <c r="P2982" i="3"/>
  <c r="P2987" i="3"/>
  <c r="P2991" i="3"/>
  <c r="P2994" i="3"/>
  <c r="P2995" i="3"/>
  <c r="P2998" i="3"/>
  <c r="P3000" i="3"/>
  <c r="P3003" i="3"/>
  <c r="P3004" i="3"/>
  <c r="P3007" i="3"/>
  <c r="P3008" i="3"/>
  <c r="P3021" i="3"/>
  <c r="P2" i="3"/>
  <c r="L2982" i="3"/>
  <c r="M2982" i="3" s="1"/>
  <c r="N2982" i="3" s="1"/>
  <c r="Q2982" i="3"/>
  <c r="R2982" i="3"/>
  <c r="L2983" i="3"/>
  <c r="M2983" i="3" s="1"/>
  <c r="Q2983" i="3"/>
  <c r="R2983" i="3"/>
  <c r="L2984" i="3"/>
  <c r="M2984" i="3" s="1"/>
  <c r="N2984" i="3" s="1"/>
  <c r="Q2984" i="3"/>
  <c r="R2984" i="3"/>
  <c r="L2985" i="3"/>
  <c r="M2985" i="3" s="1"/>
  <c r="N2985" i="3" s="1"/>
  <c r="Q2985" i="3"/>
  <c r="R2985" i="3"/>
  <c r="L2986" i="3"/>
  <c r="M2986" i="3" s="1"/>
  <c r="Q2986" i="3"/>
  <c r="R2986" i="3"/>
  <c r="L2987" i="3"/>
  <c r="M2987" i="3" s="1"/>
  <c r="Q2987" i="3"/>
  <c r="R2987" i="3"/>
  <c r="L2988" i="3"/>
  <c r="M2988" i="3" s="1"/>
  <c r="N2988" i="3" s="1"/>
  <c r="Q2988" i="3"/>
  <c r="R2988" i="3"/>
  <c r="L2989" i="3"/>
  <c r="M2989" i="3" s="1"/>
  <c r="N2989" i="3" s="1"/>
  <c r="Q2989" i="3"/>
  <c r="R2989" i="3"/>
  <c r="L2990" i="3"/>
  <c r="M2990" i="3" s="1"/>
  <c r="Q2990" i="3"/>
  <c r="R2990" i="3"/>
  <c r="L2991" i="3"/>
  <c r="Q2991" i="3"/>
  <c r="R2991" i="3"/>
  <c r="L2992" i="3"/>
  <c r="M2992" i="3" s="1"/>
  <c r="N2992" i="3" s="1"/>
  <c r="O2992" i="3" s="1"/>
  <c r="P2992" i="3" s="1"/>
  <c r="Q2992" i="3"/>
  <c r="R2992" i="3"/>
  <c r="L2993" i="3"/>
  <c r="M2993" i="3" s="1"/>
  <c r="Q2993" i="3"/>
  <c r="R2993" i="3"/>
  <c r="L2994" i="3"/>
  <c r="M2994" i="3" s="1"/>
  <c r="N2994" i="3" s="1"/>
  <c r="Q2994" i="3"/>
  <c r="R2994" i="3"/>
  <c r="L2995" i="3"/>
  <c r="M2995" i="3" s="1"/>
  <c r="Q2995" i="3"/>
  <c r="R2995" i="3"/>
  <c r="L2996" i="3"/>
  <c r="Q2996" i="3"/>
  <c r="R2996" i="3"/>
  <c r="L2997" i="3"/>
  <c r="M2997" i="3" s="1"/>
  <c r="N2997" i="3" s="1"/>
  <c r="Q2997" i="3"/>
  <c r="R2997" i="3"/>
  <c r="L2998" i="3"/>
  <c r="M2998" i="3" s="1"/>
  <c r="N2998" i="3" s="1"/>
  <c r="Q2998" i="3"/>
  <c r="R2998" i="3"/>
  <c r="L2999" i="3"/>
  <c r="M2999" i="3" s="1"/>
  <c r="Q2999" i="3"/>
  <c r="R2999" i="3"/>
  <c r="L3000" i="3"/>
  <c r="M3000" i="3" s="1"/>
  <c r="N3000" i="3" s="1"/>
  <c r="Q3000" i="3"/>
  <c r="R3000" i="3"/>
  <c r="L3001" i="3"/>
  <c r="M3001" i="3" s="1"/>
  <c r="N3001" i="3" s="1"/>
  <c r="Q3001" i="3"/>
  <c r="R3001" i="3"/>
  <c r="L3002" i="3"/>
  <c r="M3002" i="3" s="1"/>
  <c r="Q3002" i="3"/>
  <c r="R3002" i="3"/>
  <c r="L3003" i="3"/>
  <c r="Q3003" i="3"/>
  <c r="R3003" i="3"/>
  <c r="L3004" i="3"/>
  <c r="M3004" i="3" s="1"/>
  <c r="N3004" i="3" s="1"/>
  <c r="Q3004" i="3"/>
  <c r="R3004" i="3"/>
  <c r="L3005" i="3"/>
  <c r="M3005" i="3" s="1"/>
  <c r="N3005" i="3" s="1"/>
  <c r="O3005" i="3" s="1"/>
  <c r="P3005" i="3" s="1"/>
  <c r="Q3005" i="3"/>
  <c r="R3005" i="3"/>
  <c r="L3006" i="3"/>
  <c r="M3006" i="3" s="1"/>
  <c r="Q3006" i="3"/>
  <c r="R3006" i="3"/>
  <c r="L3007" i="3"/>
  <c r="Q3007" i="3"/>
  <c r="R3007" i="3"/>
  <c r="L3008" i="3"/>
  <c r="M3008" i="3" s="1"/>
  <c r="N3008" i="3" s="1"/>
  <c r="Q3008" i="3"/>
  <c r="R3008" i="3"/>
  <c r="L3009" i="3"/>
  <c r="M3009" i="3" s="1"/>
  <c r="Q3009" i="3"/>
  <c r="R3009" i="3"/>
  <c r="L3010" i="3"/>
  <c r="M3010" i="3" s="1"/>
  <c r="N3010" i="3" s="1"/>
  <c r="Q3010" i="3"/>
  <c r="R3010" i="3"/>
  <c r="L3011" i="3"/>
  <c r="M3011" i="3" s="1"/>
  <c r="Q3011" i="3"/>
  <c r="R3011" i="3"/>
  <c r="L3012" i="3"/>
  <c r="M3012" i="3" s="1"/>
  <c r="Q3012" i="3"/>
  <c r="R3012" i="3"/>
  <c r="L3013" i="3"/>
  <c r="M3013" i="3" s="1"/>
  <c r="N3013" i="3" s="1"/>
  <c r="Q3013" i="3"/>
  <c r="R3013" i="3"/>
  <c r="L3014" i="3"/>
  <c r="M3014" i="3" s="1"/>
  <c r="Q3014" i="3"/>
  <c r="R3014" i="3"/>
  <c r="L3015" i="3"/>
  <c r="M3015" i="3" s="1"/>
  <c r="Q3015" i="3"/>
  <c r="R3015" i="3"/>
  <c r="L3016" i="3"/>
  <c r="M3016" i="3" s="1"/>
  <c r="N3016" i="3" s="1"/>
  <c r="Q3016" i="3"/>
  <c r="R3016" i="3"/>
  <c r="L3017" i="3"/>
  <c r="M3017" i="3" s="1"/>
  <c r="Q3017" i="3"/>
  <c r="R3017" i="3"/>
  <c r="L3018" i="3"/>
  <c r="M3018" i="3" s="1"/>
  <c r="Q3018" i="3"/>
  <c r="R3018" i="3"/>
  <c r="L3019" i="3"/>
  <c r="Q3019" i="3"/>
  <c r="R3019" i="3"/>
  <c r="L3020" i="3"/>
  <c r="M3020" i="3" s="1"/>
  <c r="Q3020" i="3"/>
  <c r="R3020" i="3"/>
  <c r="L3021" i="3"/>
  <c r="M3021" i="3" s="1"/>
  <c r="Q3021" i="3"/>
  <c r="R3021" i="3"/>
  <c r="L3022" i="3"/>
  <c r="M3022" i="3" s="1"/>
  <c r="Q3022" i="3"/>
  <c r="R3022" i="3"/>
  <c r="L3023" i="3"/>
  <c r="Q3023" i="3"/>
  <c r="R3023" i="3"/>
  <c r="L3024" i="3"/>
  <c r="M3024" i="3" s="1"/>
  <c r="Q3024" i="3"/>
  <c r="R3024" i="3"/>
  <c r="L3025" i="3"/>
  <c r="M3025" i="3" s="1"/>
  <c r="Q3025" i="3"/>
  <c r="R3025" i="3"/>
  <c r="L3026" i="3"/>
  <c r="M3026" i="3" s="1"/>
  <c r="N3026" i="3" s="1"/>
  <c r="Q3026" i="3"/>
  <c r="R3026" i="3"/>
  <c r="L3027" i="3"/>
  <c r="M3027" i="3" s="1"/>
  <c r="Q3027" i="3"/>
  <c r="R3027" i="3"/>
  <c r="L3028" i="3"/>
  <c r="M3028" i="3" s="1"/>
  <c r="Q3028" i="3"/>
  <c r="R3028" i="3"/>
  <c r="L3029" i="3"/>
  <c r="M3029" i="3" s="1"/>
  <c r="N3029" i="3" s="1"/>
  <c r="Q3029" i="3"/>
  <c r="R3029" i="3"/>
  <c r="L3030" i="3"/>
  <c r="M3030" i="3" s="1"/>
  <c r="Q3030" i="3"/>
  <c r="R3030" i="3"/>
  <c r="L3031" i="3"/>
  <c r="M3031" i="3" s="1"/>
  <c r="Q3031" i="3"/>
  <c r="R3031" i="3"/>
  <c r="L3032" i="3"/>
  <c r="M3032" i="3" s="1"/>
  <c r="N3032" i="3" s="1"/>
  <c r="Q3032" i="3"/>
  <c r="R3032" i="3"/>
  <c r="L3033" i="3"/>
  <c r="M3033" i="3" s="1"/>
  <c r="Q3033" i="3"/>
  <c r="R3033" i="3"/>
  <c r="L3034" i="3"/>
  <c r="M3034" i="3" s="1"/>
  <c r="N3034" i="3" s="1"/>
  <c r="O3034" i="3" s="1"/>
  <c r="P3034" i="3" s="1"/>
  <c r="Q3034" i="3"/>
  <c r="R3034" i="3"/>
  <c r="L3035" i="3"/>
  <c r="Q3035" i="3"/>
  <c r="R3035" i="3"/>
  <c r="L3036" i="3"/>
  <c r="M3036" i="3" s="1"/>
  <c r="Q3036" i="3"/>
  <c r="R3036" i="3"/>
  <c r="L3037" i="3"/>
  <c r="M3037" i="3" s="1"/>
  <c r="N3037" i="3" s="1"/>
  <c r="O3037" i="3" s="1"/>
  <c r="P3037" i="3" s="1"/>
  <c r="Q3037" i="3"/>
  <c r="R3037" i="3"/>
  <c r="L3038" i="3"/>
  <c r="M3038" i="3" s="1"/>
  <c r="Q3038" i="3"/>
  <c r="R3038" i="3"/>
  <c r="L3039" i="3"/>
  <c r="Q3039" i="3"/>
  <c r="R3039" i="3"/>
  <c r="L3040" i="3"/>
  <c r="M3040" i="3" s="1"/>
  <c r="N3040" i="3" s="1"/>
  <c r="O3040" i="3" s="1"/>
  <c r="P3040" i="3" s="1"/>
  <c r="Q3040" i="3"/>
  <c r="R3040" i="3"/>
  <c r="L3041" i="3"/>
  <c r="M3041" i="3" s="1"/>
  <c r="Q3041" i="3"/>
  <c r="R3041" i="3"/>
  <c r="O3474" i="3" l="1"/>
  <c r="O3659" i="3"/>
  <c r="O3547" i="3"/>
  <c r="O3189" i="3"/>
  <c r="O3743" i="3"/>
  <c r="O3619" i="3"/>
  <c r="O3491" i="3"/>
  <c r="O3571" i="3"/>
  <c r="N3895" i="3"/>
  <c r="O3895" i="3" s="1"/>
  <c r="N3569" i="3"/>
  <c r="O3569" i="3" s="1"/>
  <c r="O3727" i="3"/>
  <c r="O3626" i="3"/>
  <c r="O3723" i="3"/>
  <c r="N3664" i="3"/>
  <c r="O3664" i="3" s="1"/>
  <c r="O3370" i="3"/>
  <c r="O3307" i="3"/>
  <c r="N3051" i="3"/>
  <c r="O3051" i="3" s="1"/>
  <c r="N3212" i="3"/>
  <c r="O3212" i="3" s="1"/>
  <c r="O3265" i="3"/>
  <c r="O3567" i="3"/>
  <c r="O4001" i="3"/>
  <c r="P4001" i="3" s="1"/>
  <c r="N3059" i="3"/>
  <c r="O3059" i="3" s="1"/>
  <c r="N3148" i="3"/>
  <c r="O3148" i="3" s="1"/>
  <c r="O3563" i="3"/>
  <c r="O3595" i="3"/>
  <c r="O3131" i="3"/>
  <c r="N3555" i="3"/>
  <c r="O3555" i="3" s="1"/>
  <c r="O3799" i="3"/>
  <c r="O3350" i="3"/>
  <c r="O3561" i="3"/>
  <c r="O3791" i="3"/>
  <c r="P3791" i="3" s="1"/>
  <c r="O3043" i="3"/>
  <c r="O3681" i="3"/>
  <c r="O3630" i="3"/>
  <c r="O3387" i="3"/>
  <c r="O3686" i="3"/>
  <c r="O3640" i="3"/>
  <c r="N3953" i="3"/>
  <c r="O3953" i="3" s="1"/>
  <c r="O3690" i="3"/>
  <c r="O3085" i="3"/>
  <c r="O3362" i="3"/>
  <c r="O3783" i="3"/>
  <c r="O3617" i="3"/>
  <c r="O3825" i="3"/>
  <c r="P3825" i="3" s="1"/>
  <c r="O3831" i="3"/>
  <c r="O3128" i="3"/>
  <c r="O3579" i="3"/>
  <c r="O3478" i="3"/>
  <c r="O3759" i="3"/>
  <c r="O3751" i="3"/>
  <c r="O3888" i="3"/>
  <c r="O3699" i="3"/>
  <c r="O3456" i="3"/>
  <c r="O3663" i="3"/>
  <c r="O3716" i="3"/>
  <c r="O3807" i="3"/>
  <c r="P3807" i="3" s="1"/>
  <c r="O3669" i="3"/>
  <c r="O3919" i="3"/>
  <c r="O3609" i="3"/>
  <c r="O3767" i="3"/>
  <c r="O3884" i="3"/>
  <c r="O3666" i="3"/>
  <c r="O3917" i="3"/>
  <c r="P3917" i="3" s="1"/>
  <c r="O4008" i="3"/>
  <c r="P4008" i="3" s="1"/>
  <c r="O3097" i="3"/>
  <c r="O3114" i="3"/>
  <c r="N3230" i="3"/>
  <c r="O3230" i="3" s="1"/>
  <c r="N3398" i="3"/>
  <c r="O3398" i="3" s="1"/>
  <c r="O3515" i="3"/>
  <c r="O3607" i="3"/>
  <c r="O3105" i="3"/>
  <c r="O3583" i="3"/>
  <c r="O3903" i="3"/>
  <c r="O3896" i="3"/>
  <c r="P3896" i="3" s="1"/>
  <c r="N3333" i="3"/>
  <c r="O3333" i="3" s="1"/>
  <c r="O3382" i="3"/>
  <c r="N3081" i="3"/>
  <c r="O3081" i="3" s="1"/>
  <c r="O3225" i="3"/>
  <c r="O3262" i="3"/>
  <c r="O3300" i="3"/>
  <c r="O3523" i="3"/>
  <c r="O3253" i="3"/>
  <c r="O3591" i="3"/>
  <c r="O3735" i="3"/>
  <c r="N3603" i="3"/>
  <c r="O3603" i="3" s="1"/>
  <c r="O3438" i="3"/>
  <c r="O3911" i="3"/>
  <c r="P3911" i="3" s="1"/>
  <c r="O3270" i="3"/>
  <c r="O3415" i="3"/>
  <c r="N3484" i="3"/>
  <c r="O3484" i="3" s="1"/>
  <c r="O3580" i="3"/>
  <c r="O3853" i="3"/>
  <c r="O3635" i="3"/>
  <c r="O3166" i="3"/>
  <c r="O3499" i="3"/>
  <c r="O3507" i="3"/>
  <c r="O3575" i="3"/>
  <c r="O3797" i="3"/>
  <c r="P3797" i="3" s="1"/>
  <c r="O3704" i="3"/>
  <c r="N3424" i="3"/>
  <c r="O3424" i="3" s="1"/>
  <c r="N3277" i="3"/>
  <c r="O3277" i="3" s="1"/>
  <c r="O3125" i="3"/>
  <c r="O3161" i="3"/>
  <c r="O3378" i="3"/>
  <c r="N3390" i="3"/>
  <c r="O3390" i="3" s="1"/>
  <c r="O3386" i="3"/>
  <c r="O3296" i="3"/>
  <c r="O3539" i="3"/>
  <c r="O3880" i="3"/>
  <c r="O3836" i="3"/>
  <c r="O3819" i="3"/>
  <c r="O3935" i="3"/>
  <c r="N3089" i="3"/>
  <c r="O3089" i="3" s="1"/>
  <c r="O3340" i="3"/>
  <c r="O3585" i="3"/>
  <c r="N3952" i="3"/>
  <c r="O3927" i="3"/>
  <c r="F53" i="5"/>
  <c r="F51" i="5"/>
  <c r="F77" i="5"/>
  <c r="G123" i="5"/>
  <c r="F125" i="5"/>
  <c r="F59" i="5"/>
  <c r="F57" i="5"/>
  <c r="F55" i="5"/>
  <c r="G74" i="5"/>
  <c r="F101" i="5"/>
  <c r="F73" i="5"/>
  <c r="G97" i="5"/>
  <c r="F97" i="5"/>
  <c r="F71" i="5"/>
  <c r="G96" i="5"/>
  <c r="G102" i="5"/>
  <c r="G126" i="5"/>
  <c r="F102" i="5"/>
  <c r="F98" i="5"/>
  <c r="F90" i="5"/>
  <c r="F78" i="5"/>
  <c r="F74" i="5"/>
  <c r="G87" i="5"/>
  <c r="G98" i="5"/>
  <c r="G124" i="5"/>
  <c r="F124" i="5"/>
  <c r="F100" i="5"/>
  <c r="F96" i="5"/>
  <c r="F88" i="5"/>
  <c r="F76" i="5"/>
  <c r="F72" i="5"/>
  <c r="F123" i="5"/>
  <c r="F99" i="5"/>
  <c r="F95" i="5"/>
  <c r="F87" i="5"/>
  <c r="F75" i="5"/>
  <c r="G51" i="5"/>
  <c r="F62" i="5"/>
  <c r="F58" i="5"/>
  <c r="F54" i="5"/>
  <c r="F60" i="5"/>
  <c r="F56" i="5"/>
  <c r="F52" i="5"/>
  <c r="G89" i="5"/>
  <c r="G100" i="5"/>
  <c r="G55" i="5"/>
  <c r="G58" i="5"/>
  <c r="G75" i="5"/>
  <c r="G95" i="5"/>
  <c r="G99" i="5"/>
  <c r="G71" i="5"/>
  <c r="G76" i="5"/>
  <c r="G90" i="5"/>
  <c r="G62" i="5"/>
  <c r="G52" i="5"/>
  <c r="G60" i="5"/>
  <c r="G56" i="5"/>
  <c r="G72" i="5"/>
  <c r="G78" i="5"/>
  <c r="G54" i="5"/>
  <c r="G59" i="5"/>
  <c r="F126" i="5"/>
  <c r="G73" i="5"/>
  <c r="G53" i="5"/>
  <c r="G57" i="5"/>
  <c r="G61" i="5"/>
  <c r="M2996" i="3"/>
  <c r="D48" i="5" s="1"/>
  <c r="D47" i="5"/>
  <c r="I1" i="5"/>
  <c r="H130" i="5"/>
  <c r="H129" i="5"/>
  <c r="H127" i="5"/>
  <c r="H55" i="5"/>
  <c r="H58" i="5"/>
  <c r="H74" i="5"/>
  <c r="H128" i="5"/>
  <c r="H52" i="5"/>
  <c r="H78" i="5"/>
  <c r="H98" i="5"/>
  <c r="H56" i="5"/>
  <c r="H59" i="5"/>
  <c r="H89" i="5"/>
  <c r="H101" i="5"/>
  <c r="H125" i="5"/>
  <c r="H87" i="5"/>
  <c r="H99" i="5"/>
  <c r="H123" i="5"/>
  <c r="H53" i="5"/>
  <c r="H62" i="5"/>
  <c r="H73" i="5"/>
  <c r="H76" i="5"/>
  <c r="H96" i="5"/>
  <c r="H100" i="5"/>
  <c r="H124" i="5"/>
  <c r="H57" i="5"/>
  <c r="H60" i="5"/>
  <c r="H90" i="5"/>
  <c r="H102" i="5"/>
  <c r="H126" i="5"/>
  <c r="H51" i="5"/>
  <c r="H54" i="5"/>
  <c r="H71" i="5"/>
  <c r="H77" i="5"/>
  <c r="H97" i="5"/>
  <c r="H61" i="5"/>
  <c r="H72" i="5"/>
  <c r="H75" i="5"/>
  <c r="H88" i="5"/>
  <c r="H95" i="5"/>
  <c r="N3033" i="3"/>
  <c r="O3033" i="3" s="1"/>
  <c r="P3033" i="3" s="1"/>
  <c r="N3024" i="3"/>
  <c r="O3024" i="3" s="1"/>
  <c r="P3024" i="3" s="1"/>
  <c r="N3002" i="3"/>
  <c r="O3002" i="3" s="1"/>
  <c r="P3002" i="3" s="1"/>
  <c r="O3008" i="3"/>
  <c r="N3020" i="3"/>
  <c r="O3020" i="3" s="1"/>
  <c r="P3020" i="3" s="1"/>
  <c r="N3021" i="3"/>
  <c r="O3021" i="3" s="1"/>
  <c r="N3017" i="3"/>
  <c r="O3017" i="3" s="1"/>
  <c r="P3017" i="3" s="1"/>
  <c r="N2986" i="3"/>
  <c r="O2986" i="3" s="1"/>
  <c r="P2986" i="3" s="1"/>
  <c r="N3018" i="3"/>
  <c r="O3018" i="3" s="1"/>
  <c r="P3018" i="3" s="1"/>
  <c r="N3036" i="3"/>
  <c r="O3036" i="3" s="1"/>
  <c r="P3036" i="3" s="1"/>
  <c r="N3030" i="3"/>
  <c r="O3030" i="3" s="1"/>
  <c r="P3030" i="3" s="1"/>
  <c r="N3014" i="3"/>
  <c r="O3014" i="3" s="1"/>
  <c r="P3014" i="3" s="1"/>
  <c r="O2989" i="3"/>
  <c r="P2989" i="3" s="1"/>
  <c r="N3041" i="3"/>
  <c r="O3041" i="3" s="1"/>
  <c r="P3041" i="3" s="1"/>
  <c r="N3038" i="3"/>
  <c r="O3038" i="3" s="1"/>
  <c r="P3038" i="3" s="1"/>
  <c r="N3031" i="3"/>
  <c r="O3031" i="3" s="1"/>
  <c r="P3031" i="3" s="1"/>
  <c r="N3028" i="3"/>
  <c r="O3028" i="3" s="1"/>
  <c r="P3028" i="3" s="1"/>
  <c r="N3025" i="3"/>
  <c r="O3025" i="3" s="1"/>
  <c r="P3025" i="3" s="1"/>
  <c r="N3022" i="3"/>
  <c r="O3022" i="3" s="1"/>
  <c r="P3022" i="3" s="1"/>
  <c r="N3015" i="3"/>
  <c r="O3015" i="3" s="1"/>
  <c r="P3015" i="3" s="1"/>
  <c r="N3012" i="3"/>
  <c r="O3012" i="3" s="1"/>
  <c r="P3012" i="3" s="1"/>
  <c r="N3009" i="3"/>
  <c r="O3009" i="3" s="1"/>
  <c r="P3009" i="3" s="1"/>
  <c r="N3006" i="3"/>
  <c r="O3006" i="3" s="1"/>
  <c r="P3006" i="3" s="1"/>
  <c r="N2999" i="3"/>
  <c r="O2999" i="3" s="1"/>
  <c r="P2999" i="3" s="1"/>
  <c r="N2993" i="3"/>
  <c r="O2993" i="3" s="1"/>
  <c r="P2993" i="3" s="1"/>
  <c r="N2990" i="3"/>
  <c r="O2990" i="3" s="1"/>
  <c r="P2990" i="3" s="1"/>
  <c r="N2983" i="3"/>
  <c r="O2983" i="3" s="1"/>
  <c r="P2983" i="3" s="1"/>
  <c r="M3035" i="3"/>
  <c r="N3035" i="3" s="1"/>
  <c r="O3035" i="3" s="1"/>
  <c r="P3035" i="3" s="1"/>
  <c r="O3032" i="3"/>
  <c r="P3032" i="3" s="1"/>
  <c r="O3029" i="3"/>
  <c r="P3029" i="3" s="1"/>
  <c r="O3026" i="3"/>
  <c r="P3026" i="3" s="1"/>
  <c r="M3019" i="3"/>
  <c r="O3016" i="3"/>
  <c r="P3016" i="3" s="1"/>
  <c r="O3013" i="3"/>
  <c r="P3013" i="3" s="1"/>
  <c r="O3010" i="3"/>
  <c r="P3010" i="3" s="1"/>
  <c r="M3003" i="3"/>
  <c r="N3003" i="3" s="1"/>
  <c r="O3003" i="3" s="1"/>
  <c r="O3000" i="3"/>
  <c r="O2997" i="3"/>
  <c r="P2997" i="3" s="1"/>
  <c r="O2994" i="3"/>
  <c r="O2984" i="3"/>
  <c r="P2984" i="3" s="1"/>
  <c r="N2987" i="3"/>
  <c r="O2987" i="3" s="1"/>
  <c r="M3039" i="3"/>
  <c r="N3039" i="3" s="1"/>
  <c r="M3023" i="3"/>
  <c r="N3023" i="3" s="1"/>
  <c r="O3023" i="3" s="1"/>
  <c r="P3023" i="3" s="1"/>
  <c r="M3007" i="3"/>
  <c r="N3007" i="3" s="1"/>
  <c r="O3007" i="3" s="1"/>
  <c r="O3004" i="3"/>
  <c r="O3001" i="3"/>
  <c r="P3001" i="3" s="1"/>
  <c r="O2998" i="3"/>
  <c r="M2991" i="3"/>
  <c r="N2991" i="3" s="1"/>
  <c r="O2988" i="3"/>
  <c r="P2988" i="3" s="1"/>
  <c r="O2985" i="3"/>
  <c r="P2985" i="3" s="1"/>
  <c r="O2982" i="3"/>
  <c r="N3027" i="3"/>
  <c r="O3027" i="3" s="1"/>
  <c r="P3027" i="3" s="1"/>
  <c r="N3011" i="3"/>
  <c r="O3011" i="3" s="1"/>
  <c r="P3011" i="3" s="1"/>
  <c r="N2995" i="3"/>
  <c r="O2995" i="3" s="1"/>
  <c r="Q3" i="3"/>
  <c r="R3" i="3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2" i="3"/>
  <c r="R42" i="3"/>
  <c r="Q43" i="3"/>
  <c r="R43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Q52" i="3"/>
  <c r="R52" i="3"/>
  <c r="Q53" i="3"/>
  <c r="R53" i="3"/>
  <c r="Q54" i="3"/>
  <c r="R54" i="3"/>
  <c r="Q55" i="3"/>
  <c r="R55" i="3"/>
  <c r="Q56" i="3"/>
  <c r="R56" i="3"/>
  <c r="Q57" i="3"/>
  <c r="R57" i="3"/>
  <c r="Q58" i="3"/>
  <c r="R58" i="3"/>
  <c r="Q59" i="3"/>
  <c r="R59" i="3"/>
  <c r="Q60" i="3"/>
  <c r="R60" i="3"/>
  <c r="Q61" i="3"/>
  <c r="R61" i="3"/>
  <c r="Q62" i="3"/>
  <c r="R62" i="3"/>
  <c r="Q63" i="3"/>
  <c r="R63" i="3"/>
  <c r="Q64" i="3"/>
  <c r="R64" i="3"/>
  <c r="Q65" i="3"/>
  <c r="R65" i="3"/>
  <c r="Q66" i="3"/>
  <c r="R66" i="3"/>
  <c r="Q67" i="3"/>
  <c r="R67" i="3"/>
  <c r="Q68" i="3"/>
  <c r="R68" i="3"/>
  <c r="Q69" i="3"/>
  <c r="R69" i="3"/>
  <c r="Q70" i="3"/>
  <c r="R70" i="3"/>
  <c r="Q71" i="3"/>
  <c r="R71" i="3"/>
  <c r="Q72" i="3"/>
  <c r="R72" i="3"/>
  <c r="Q73" i="3"/>
  <c r="R73" i="3"/>
  <c r="Q74" i="3"/>
  <c r="R74" i="3"/>
  <c r="Q75" i="3"/>
  <c r="R75" i="3"/>
  <c r="Q76" i="3"/>
  <c r="R76" i="3"/>
  <c r="Q77" i="3"/>
  <c r="R77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94" i="3"/>
  <c r="R94" i="3"/>
  <c r="Q95" i="3"/>
  <c r="R95" i="3"/>
  <c r="Q96" i="3"/>
  <c r="R96" i="3"/>
  <c r="Q97" i="3"/>
  <c r="R97" i="3"/>
  <c r="Q98" i="3"/>
  <c r="R98" i="3"/>
  <c r="Q99" i="3"/>
  <c r="R99" i="3"/>
  <c r="Q100" i="3"/>
  <c r="R100" i="3"/>
  <c r="Q101" i="3"/>
  <c r="R101" i="3"/>
  <c r="Q102" i="3"/>
  <c r="R102" i="3"/>
  <c r="Q103" i="3"/>
  <c r="R103" i="3"/>
  <c r="Q104" i="3"/>
  <c r="R104" i="3"/>
  <c r="Q105" i="3"/>
  <c r="R105" i="3"/>
  <c r="Q106" i="3"/>
  <c r="R106" i="3"/>
  <c r="Q107" i="3"/>
  <c r="R107" i="3"/>
  <c r="Q108" i="3"/>
  <c r="R108" i="3"/>
  <c r="Q109" i="3"/>
  <c r="R109" i="3"/>
  <c r="Q110" i="3"/>
  <c r="R110" i="3"/>
  <c r="Q111" i="3"/>
  <c r="R111" i="3"/>
  <c r="Q112" i="3"/>
  <c r="R112" i="3"/>
  <c r="Q113" i="3"/>
  <c r="R113" i="3"/>
  <c r="Q114" i="3"/>
  <c r="R114" i="3"/>
  <c r="Q115" i="3"/>
  <c r="R115" i="3"/>
  <c r="Q116" i="3"/>
  <c r="R116" i="3"/>
  <c r="Q117" i="3"/>
  <c r="R117" i="3"/>
  <c r="Q118" i="3"/>
  <c r="R118" i="3"/>
  <c r="Q119" i="3"/>
  <c r="R119" i="3"/>
  <c r="Q120" i="3"/>
  <c r="R120" i="3"/>
  <c r="Q121" i="3"/>
  <c r="R121" i="3"/>
  <c r="Q122" i="3"/>
  <c r="R122" i="3"/>
  <c r="Q123" i="3"/>
  <c r="R123" i="3"/>
  <c r="Q124" i="3"/>
  <c r="R124" i="3"/>
  <c r="Q125" i="3"/>
  <c r="R125" i="3"/>
  <c r="Q126" i="3"/>
  <c r="R126" i="3"/>
  <c r="Q127" i="3"/>
  <c r="R127" i="3"/>
  <c r="Q128" i="3"/>
  <c r="R128" i="3"/>
  <c r="Q129" i="3"/>
  <c r="R129" i="3"/>
  <c r="Q130" i="3"/>
  <c r="R130" i="3"/>
  <c r="Q131" i="3"/>
  <c r="R131" i="3"/>
  <c r="Q132" i="3"/>
  <c r="R132" i="3"/>
  <c r="Q133" i="3"/>
  <c r="R133" i="3"/>
  <c r="Q134" i="3"/>
  <c r="R134" i="3"/>
  <c r="Q135" i="3"/>
  <c r="R135" i="3"/>
  <c r="Q136" i="3"/>
  <c r="R136" i="3"/>
  <c r="Q137" i="3"/>
  <c r="R137" i="3"/>
  <c r="Q138" i="3"/>
  <c r="R138" i="3"/>
  <c r="Q139" i="3"/>
  <c r="R139" i="3"/>
  <c r="Q140" i="3"/>
  <c r="R140" i="3"/>
  <c r="Q141" i="3"/>
  <c r="R141" i="3"/>
  <c r="Q142" i="3"/>
  <c r="R142" i="3"/>
  <c r="Q143" i="3"/>
  <c r="R143" i="3"/>
  <c r="Q144" i="3"/>
  <c r="R144" i="3"/>
  <c r="Q145" i="3"/>
  <c r="R145" i="3"/>
  <c r="Q146" i="3"/>
  <c r="R146" i="3"/>
  <c r="Q147" i="3"/>
  <c r="R147" i="3"/>
  <c r="Q148" i="3"/>
  <c r="R148" i="3"/>
  <c r="Q149" i="3"/>
  <c r="R149" i="3"/>
  <c r="Q150" i="3"/>
  <c r="R150" i="3"/>
  <c r="Q151" i="3"/>
  <c r="R151" i="3"/>
  <c r="Q152" i="3"/>
  <c r="R152" i="3"/>
  <c r="Q153" i="3"/>
  <c r="R153" i="3"/>
  <c r="Q154" i="3"/>
  <c r="R154" i="3"/>
  <c r="Q155" i="3"/>
  <c r="R155" i="3"/>
  <c r="Q156" i="3"/>
  <c r="R156" i="3"/>
  <c r="Q157" i="3"/>
  <c r="R157" i="3"/>
  <c r="Q158" i="3"/>
  <c r="R158" i="3"/>
  <c r="Q159" i="3"/>
  <c r="R159" i="3"/>
  <c r="Q160" i="3"/>
  <c r="R160" i="3"/>
  <c r="Q161" i="3"/>
  <c r="R161" i="3"/>
  <c r="Q162" i="3"/>
  <c r="R162" i="3"/>
  <c r="Q163" i="3"/>
  <c r="R163" i="3"/>
  <c r="Q164" i="3"/>
  <c r="R164" i="3"/>
  <c r="Q165" i="3"/>
  <c r="R165" i="3"/>
  <c r="Q166" i="3"/>
  <c r="R166" i="3"/>
  <c r="Q167" i="3"/>
  <c r="R167" i="3"/>
  <c r="Q168" i="3"/>
  <c r="R168" i="3"/>
  <c r="Q169" i="3"/>
  <c r="R169" i="3"/>
  <c r="Q170" i="3"/>
  <c r="R170" i="3"/>
  <c r="Q171" i="3"/>
  <c r="R171" i="3"/>
  <c r="Q172" i="3"/>
  <c r="R172" i="3"/>
  <c r="Q173" i="3"/>
  <c r="R173" i="3"/>
  <c r="Q174" i="3"/>
  <c r="R174" i="3"/>
  <c r="Q175" i="3"/>
  <c r="R175" i="3"/>
  <c r="Q176" i="3"/>
  <c r="R176" i="3"/>
  <c r="Q177" i="3"/>
  <c r="R177" i="3"/>
  <c r="Q178" i="3"/>
  <c r="R178" i="3"/>
  <c r="Q179" i="3"/>
  <c r="R179" i="3"/>
  <c r="Q180" i="3"/>
  <c r="R180" i="3"/>
  <c r="Q181" i="3"/>
  <c r="R181" i="3"/>
  <c r="Q182" i="3"/>
  <c r="R182" i="3"/>
  <c r="Q183" i="3"/>
  <c r="R183" i="3"/>
  <c r="Q184" i="3"/>
  <c r="R184" i="3"/>
  <c r="Q185" i="3"/>
  <c r="R185" i="3"/>
  <c r="Q186" i="3"/>
  <c r="R186" i="3"/>
  <c r="Q187" i="3"/>
  <c r="R187" i="3"/>
  <c r="Q188" i="3"/>
  <c r="R188" i="3"/>
  <c r="Q189" i="3"/>
  <c r="R189" i="3"/>
  <c r="Q190" i="3"/>
  <c r="R190" i="3"/>
  <c r="Q191" i="3"/>
  <c r="R191" i="3"/>
  <c r="Q192" i="3"/>
  <c r="R192" i="3"/>
  <c r="Q193" i="3"/>
  <c r="R193" i="3"/>
  <c r="Q194" i="3"/>
  <c r="R194" i="3"/>
  <c r="Q195" i="3"/>
  <c r="R195" i="3"/>
  <c r="Q196" i="3"/>
  <c r="R196" i="3"/>
  <c r="Q197" i="3"/>
  <c r="R197" i="3"/>
  <c r="Q198" i="3"/>
  <c r="R198" i="3"/>
  <c r="Q199" i="3"/>
  <c r="R199" i="3"/>
  <c r="Q200" i="3"/>
  <c r="R200" i="3"/>
  <c r="Q201" i="3"/>
  <c r="R201" i="3"/>
  <c r="Q202" i="3"/>
  <c r="R202" i="3"/>
  <c r="Q203" i="3"/>
  <c r="R203" i="3"/>
  <c r="Q204" i="3"/>
  <c r="R204" i="3"/>
  <c r="Q205" i="3"/>
  <c r="R205" i="3"/>
  <c r="Q206" i="3"/>
  <c r="R206" i="3"/>
  <c r="Q207" i="3"/>
  <c r="R207" i="3"/>
  <c r="Q208" i="3"/>
  <c r="R208" i="3"/>
  <c r="Q209" i="3"/>
  <c r="R209" i="3"/>
  <c r="Q210" i="3"/>
  <c r="R210" i="3"/>
  <c r="Q211" i="3"/>
  <c r="R211" i="3"/>
  <c r="Q212" i="3"/>
  <c r="R212" i="3"/>
  <c r="Q213" i="3"/>
  <c r="R213" i="3"/>
  <c r="Q214" i="3"/>
  <c r="R214" i="3"/>
  <c r="Q215" i="3"/>
  <c r="R215" i="3"/>
  <c r="Q216" i="3"/>
  <c r="R216" i="3"/>
  <c r="Q217" i="3"/>
  <c r="R217" i="3"/>
  <c r="Q218" i="3"/>
  <c r="R218" i="3"/>
  <c r="Q219" i="3"/>
  <c r="R219" i="3"/>
  <c r="Q220" i="3"/>
  <c r="R220" i="3"/>
  <c r="Q221" i="3"/>
  <c r="R221" i="3"/>
  <c r="Q222" i="3"/>
  <c r="R222" i="3"/>
  <c r="Q223" i="3"/>
  <c r="R223" i="3"/>
  <c r="Q224" i="3"/>
  <c r="R224" i="3"/>
  <c r="Q225" i="3"/>
  <c r="R225" i="3"/>
  <c r="Q226" i="3"/>
  <c r="R226" i="3"/>
  <c r="Q227" i="3"/>
  <c r="R227" i="3"/>
  <c r="Q228" i="3"/>
  <c r="R228" i="3"/>
  <c r="Q229" i="3"/>
  <c r="R229" i="3"/>
  <c r="Q230" i="3"/>
  <c r="R230" i="3"/>
  <c r="Q231" i="3"/>
  <c r="R231" i="3"/>
  <c r="Q232" i="3"/>
  <c r="R232" i="3"/>
  <c r="Q233" i="3"/>
  <c r="R233" i="3"/>
  <c r="Q234" i="3"/>
  <c r="R234" i="3"/>
  <c r="Q235" i="3"/>
  <c r="R235" i="3"/>
  <c r="Q236" i="3"/>
  <c r="R236" i="3"/>
  <c r="Q237" i="3"/>
  <c r="R237" i="3"/>
  <c r="Q238" i="3"/>
  <c r="R238" i="3"/>
  <c r="Q239" i="3"/>
  <c r="R239" i="3"/>
  <c r="Q240" i="3"/>
  <c r="R240" i="3"/>
  <c r="Q241" i="3"/>
  <c r="R241" i="3"/>
  <c r="Q242" i="3"/>
  <c r="R242" i="3"/>
  <c r="Q243" i="3"/>
  <c r="R243" i="3"/>
  <c r="Q244" i="3"/>
  <c r="R244" i="3"/>
  <c r="Q245" i="3"/>
  <c r="R245" i="3"/>
  <c r="Q246" i="3"/>
  <c r="R246" i="3"/>
  <c r="Q247" i="3"/>
  <c r="R247" i="3"/>
  <c r="Q248" i="3"/>
  <c r="R248" i="3"/>
  <c r="Q249" i="3"/>
  <c r="R249" i="3"/>
  <c r="Q250" i="3"/>
  <c r="R250" i="3"/>
  <c r="Q251" i="3"/>
  <c r="R251" i="3"/>
  <c r="Q252" i="3"/>
  <c r="R252" i="3"/>
  <c r="Q253" i="3"/>
  <c r="R253" i="3"/>
  <c r="Q254" i="3"/>
  <c r="R254" i="3"/>
  <c r="Q255" i="3"/>
  <c r="R255" i="3"/>
  <c r="Q256" i="3"/>
  <c r="R256" i="3"/>
  <c r="Q257" i="3"/>
  <c r="R257" i="3"/>
  <c r="Q258" i="3"/>
  <c r="R258" i="3"/>
  <c r="Q259" i="3"/>
  <c r="R259" i="3"/>
  <c r="Q260" i="3"/>
  <c r="R260" i="3"/>
  <c r="Q261" i="3"/>
  <c r="R261" i="3"/>
  <c r="Q262" i="3"/>
  <c r="R262" i="3"/>
  <c r="Q263" i="3"/>
  <c r="R263" i="3"/>
  <c r="Q264" i="3"/>
  <c r="R264" i="3"/>
  <c r="Q265" i="3"/>
  <c r="R265" i="3"/>
  <c r="Q266" i="3"/>
  <c r="R266" i="3"/>
  <c r="Q267" i="3"/>
  <c r="R267" i="3"/>
  <c r="Q268" i="3"/>
  <c r="R268" i="3"/>
  <c r="Q269" i="3"/>
  <c r="R269" i="3"/>
  <c r="Q270" i="3"/>
  <c r="R270" i="3"/>
  <c r="Q271" i="3"/>
  <c r="R271" i="3"/>
  <c r="Q272" i="3"/>
  <c r="R272" i="3"/>
  <c r="Q273" i="3"/>
  <c r="R273" i="3"/>
  <c r="Q274" i="3"/>
  <c r="R274" i="3"/>
  <c r="Q275" i="3"/>
  <c r="R275" i="3"/>
  <c r="Q276" i="3"/>
  <c r="R276" i="3"/>
  <c r="Q277" i="3"/>
  <c r="R277" i="3"/>
  <c r="Q278" i="3"/>
  <c r="R278" i="3"/>
  <c r="Q279" i="3"/>
  <c r="R279" i="3"/>
  <c r="Q280" i="3"/>
  <c r="R280" i="3"/>
  <c r="Q281" i="3"/>
  <c r="R281" i="3"/>
  <c r="Q282" i="3"/>
  <c r="R282" i="3"/>
  <c r="Q283" i="3"/>
  <c r="R283" i="3"/>
  <c r="Q284" i="3"/>
  <c r="R284" i="3"/>
  <c r="Q285" i="3"/>
  <c r="R285" i="3"/>
  <c r="Q286" i="3"/>
  <c r="R286" i="3"/>
  <c r="Q287" i="3"/>
  <c r="R287" i="3"/>
  <c r="Q288" i="3"/>
  <c r="R288" i="3"/>
  <c r="Q289" i="3"/>
  <c r="R289" i="3"/>
  <c r="Q290" i="3"/>
  <c r="R290" i="3"/>
  <c r="Q291" i="3"/>
  <c r="R291" i="3"/>
  <c r="Q292" i="3"/>
  <c r="R292" i="3"/>
  <c r="Q293" i="3"/>
  <c r="R293" i="3"/>
  <c r="Q294" i="3"/>
  <c r="R294" i="3"/>
  <c r="Q295" i="3"/>
  <c r="R295" i="3"/>
  <c r="Q296" i="3"/>
  <c r="R296" i="3"/>
  <c r="Q297" i="3"/>
  <c r="R297" i="3"/>
  <c r="Q298" i="3"/>
  <c r="R298" i="3"/>
  <c r="Q299" i="3"/>
  <c r="R299" i="3"/>
  <c r="Q300" i="3"/>
  <c r="R300" i="3"/>
  <c r="Q301" i="3"/>
  <c r="R301" i="3"/>
  <c r="Q302" i="3"/>
  <c r="R302" i="3"/>
  <c r="Q303" i="3"/>
  <c r="R303" i="3"/>
  <c r="Q304" i="3"/>
  <c r="R304" i="3"/>
  <c r="Q305" i="3"/>
  <c r="R305" i="3"/>
  <c r="Q306" i="3"/>
  <c r="R306" i="3"/>
  <c r="Q307" i="3"/>
  <c r="R307" i="3"/>
  <c r="Q308" i="3"/>
  <c r="R308" i="3"/>
  <c r="Q309" i="3"/>
  <c r="R309" i="3"/>
  <c r="Q310" i="3"/>
  <c r="R310" i="3"/>
  <c r="Q311" i="3"/>
  <c r="R311" i="3"/>
  <c r="Q312" i="3"/>
  <c r="R312" i="3"/>
  <c r="Q313" i="3"/>
  <c r="R313" i="3"/>
  <c r="Q314" i="3"/>
  <c r="R314" i="3"/>
  <c r="Q315" i="3"/>
  <c r="R315" i="3"/>
  <c r="Q316" i="3"/>
  <c r="R316" i="3"/>
  <c r="Q317" i="3"/>
  <c r="R317" i="3"/>
  <c r="Q318" i="3"/>
  <c r="R318" i="3"/>
  <c r="Q319" i="3"/>
  <c r="R319" i="3"/>
  <c r="Q320" i="3"/>
  <c r="R320" i="3"/>
  <c r="Q321" i="3"/>
  <c r="R321" i="3"/>
  <c r="Q322" i="3"/>
  <c r="R322" i="3"/>
  <c r="Q323" i="3"/>
  <c r="R323" i="3"/>
  <c r="Q324" i="3"/>
  <c r="R324" i="3"/>
  <c r="Q325" i="3"/>
  <c r="R325" i="3"/>
  <c r="Q326" i="3"/>
  <c r="R326" i="3"/>
  <c r="Q327" i="3"/>
  <c r="R327" i="3"/>
  <c r="Q328" i="3"/>
  <c r="R328" i="3"/>
  <c r="Q329" i="3"/>
  <c r="R329" i="3"/>
  <c r="Q330" i="3"/>
  <c r="R330" i="3"/>
  <c r="Q331" i="3"/>
  <c r="R331" i="3"/>
  <c r="Q332" i="3"/>
  <c r="R332" i="3"/>
  <c r="Q333" i="3"/>
  <c r="R333" i="3"/>
  <c r="Q334" i="3"/>
  <c r="R334" i="3"/>
  <c r="Q335" i="3"/>
  <c r="R335" i="3"/>
  <c r="Q336" i="3"/>
  <c r="R336" i="3"/>
  <c r="Q337" i="3"/>
  <c r="R337" i="3"/>
  <c r="Q338" i="3"/>
  <c r="R338" i="3"/>
  <c r="Q339" i="3"/>
  <c r="R339" i="3"/>
  <c r="Q340" i="3"/>
  <c r="R340" i="3"/>
  <c r="Q341" i="3"/>
  <c r="R341" i="3"/>
  <c r="Q342" i="3"/>
  <c r="R342" i="3"/>
  <c r="Q343" i="3"/>
  <c r="R343" i="3"/>
  <c r="Q344" i="3"/>
  <c r="R344" i="3"/>
  <c r="Q345" i="3"/>
  <c r="R345" i="3"/>
  <c r="Q346" i="3"/>
  <c r="R346" i="3"/>
  <c r="Q347" i="3"/>
  <c r="R347" i="3"/>
  <c r="Q348" i="3"/>
  <c r="R348" i="3"/>
  <c r="Q349" i="3"/>
  <c r="R349" i="3"/>
  <c r="Q350" i="3"/>
  <c r="R350" i="3"/>
  <c r="Q351" i="3"/>
  <c r="R351" i="3"/>
  <c r="Q352" i="3"/>
  <c r="R352" i="3"/>
  <c r="Q353" i="3"/>
  <c r="R353" i="3"/>
  <c r="Q354" i="3"/>
  <c r="R354" i="3"/>
  <c r="Q355" i="3"/>
  <c r="R355" i="3"/>
  <c r="Q356" i="3"/>
  <c r="R356" i="3"/>
  <c r="Q357" i="3"/>
  <c r="R357" i="3"/>
  <c r="Q358" i="3"/>
  <c r="R358" i="3"/>
  <c r="Q359" i="3"/>
  <c r="R359" i="3"/>
  <c r="Q360" i="3"/>
  <c r="R360" i="3"/>
  <c r="Q361" i="3"/>
  <c r="R361" i="3"/>
  <c r="Q362" i="3"/>
  <c r="R362" i="3"/>
  <c r="Q363" i="3"/>
  <c r="R363" i="3"/>
  <c r="Q364" i="3"/>
  <c r="R364" i="3"/>
  <c r="Q365" i="3"/>
  <c r="R365" i="3"/>
  <c r="Q366" i="3"/>
  <c r="R366" i="3"/>
  <c r="Q367" i="3"/>
  <c r="R367" i="3"/>
  <c r="Q368" i="3"/>
  <c r="R368" i="3"/>
  <c r="Q369" i="3"/>
  <c r="R369" i="3"/>
  <c r="Q370" i="3"/>
  <c r="R370" i="3"/>
  <c r="Q371" i="3"/>
  <c r="R371" i="3"/>
  <c r="Q372" i="3"/>
  <c r="R372" i="3"/>
  <c r="Q373" i="3"/>
  <c r="R373" i="3"/>
  <c r="Q374" i="3"/>
  <c r="R374" i="3"/>
  <c r="Q375" i="3"/>
  <c r="R375" i="3"/>
  <c r="Q376" i="3"/>
  <c r="R376" i="3"/>
  <c r="Q377" i="3"/>
  <c r="R377" i="3"/>
  <c r="Q378" i="3"/>
  <c r="R378" i="3"/>
  <c r="Q379" i="3"/>
  <c r="R379" i="3"/>
  <c r="Q380" i="3"/>
  <c r="R380" i="3"/>
  <c r="Q381" i="3"/>
  <c r="R381" i="3"/>
  <c r="Q382" i="3"/>
  <c r="R382" i="3"/>
  <c r="Q383" i="3"/>
  <c r="R383" i="3"/>
  <c r="Q384" i="3"/>
  <c r="R384" i="3"/>
  <c r="Q385" i="3"/>
  <c r="R385" i="3"/>
  <c r="Q386" i="3"/>
  <c r="R386" i="3"/>
  <c r="Q387" i="3"/>
  <c r="R387" i="3"/>
  <c r="Q388" i="3"/>
  <c r="R388" i="3"/>
  <c r="Q389" i="3"/>
  <c r="R389" i="3"/>
  <c r="Q390" i="3"/>
  <c r="R390" i="3"/>
  <c r="Q391" i="3"/>
  <c r="R391" i="3"/>
  <c r="Q392" i="3"/>
  <c r="R392" i="3"/>
  <c r="Q393" i="3"/>
  <c r="R393" i="3"/>
  <c r="Q394" i="3"/>
  <c r="R394" i="3"/>
  <c r="Q395" i="3"/>
  <c r="R395" i="3"/>
  <c r="Q396" i="3"/>
  <c r="R396" i="3"/>
  <c r="Q397" i="3"/>
  <c r="R397" i="3"/>
  <c r="Q398" i="3"/>
  <c r="R398" i="3"/>
  <c r="Q399" i="3"/>
  <c r="R399" i="3"/>
  <c r="Q400" i="3"/>
  <c r="R400" i="3"/>
  <c r="Q401" i="3"/>
  <c r="R401" i="3"/>
  <c r="Q402" i="3"/>
  <c r="R402" i="3"/>
  <c r="Q403" i="3"/>
  <c r="R403" i="3"/>
  <c r="Q404" i="3"/>
  <c r="R404" i="3"/>
  <c r="Q405" i="3"/>
  <c r="R405" i="3"/>
  <c r="Q406" i="3"/>
  <c r="R406" i="3"/>
  <c r="Q407" i="3"/>
  <c r="R407" i="3"/>
  <c r="Q408" i="3"/>
  <c r="R408" i="3"/>
  <c r="Q409" i="3"/>
  <c r="R409" i="3"/>
  <c r="Q410" i="3"/>
  <c r="R410" i="3"/>
  <c r="Q411" i="3"/>
  <c r="R411" i="3"/>
  <c r="Q412" i="3"/>
  <c r="R412" i="3"/>
  <c r="Q413" i="3"/>
  <c r="R413" i="3"/>
  <c r="Q414" i="3"/>
  <c r="R414" i="3"/>
  <c r="Q415" i="3"/>
  <c r="R415" i="3"/>
  <c r="Q416" i="3"/>
  <c r="R416" i="3"/>
  <c r="Q417" i="3"/>
  <c r="R417" i="3"/>
  <c r="Q418" i="3"/>
  <c r="R418" i="3"/>
  <c r="Q419" i="3"/>
  <c r="R419" i="3"/>
  <c r="Q420" i="3"/>
  <c r="R420" i="3"/>
  <c r="Q421" i="3"/>
  <c r="R421" i="3"/>
  <c r="Q422" i="3"/>
  <c r="R422" i="3"/>
  <c r="Q423" i="3"/>
  <c r="R423" i="3"/>
  <c r="Q424" i="3"/>
  <c r="R424" i="3"/>
  <c r="Q425" i="3"/>
  <c r="R425" i="3"/>
  <c r="Q426" i="3"/>
  <c r="R426" i="3"/>
  <c r="Q427" i="3"/>
  <c r="R427" i="3"/>
  <c r="Q428" i="3"/>
  <c r="R428" i="3"/>
  <c r="Q429" i="3"/>
  <c r="R429" i="3"/>
  <c r="Q430" i="3"/>
  <c r="R430" i="3"/>
  <c r="Q431" i="3"/>
  <c r="R431" i="3"/>
  <c r="Q432" i="3"/>
  <c r="R432" i="3"/>
  <c r="Q433" i="3"/>
  <c r="R433" i="3"/>
  <c r="Q434" i="3"/>
  <c r="R434" i="3"/>
  <c r="Q435" i="3"/>
  <c r="R435" i="3"/>
  <c r="Q436" i="3"/>
  <c r="R436" i="3"/>
  <c r="Q437" i="3"/>
  <c r="R437" i="3"/>
  <c r="Q438" i="3"/>
  <c r="R438" i="3"/>
  <c r="Q439" i="3"/>
  <c r="R439" i="3"/>
  <c r="Q440" i="3"/>
  <c r="R440" i="3"/>
  <c r="Q441" i="3"/>
  <c r="R441" i="3"/>
  <c r="Q442" i="3"/>
  <c r="R442" i="3"/>
  <c r="Q443" i="3"/>
  <c r="R443" i="3"/>
  <c r="Q444" i="3"/>
  <c r="R444" i="3"/>
  <c r="Q445" i="3"/>
  <c r="R445" i="3"/>
  <c r="Q446" i="3"/>
  <c r="R446" i="3"/>
  <c r="Q447" i="3"/>
  <c r="R447" i="3"/>
  <c r="Q448" i="3"/>
  <c r="R448" i="3"/>
  <c r="Q449" i="3"/>
  <c r="R449" i="3"/>
  <c r="Q450" i="3"/>
  <c r="R450" i="3"/>
  <c r="Q451" i="3"/>
  <c r="R451" i="3"/>
  <c r="Q452" i="3"/>
  <c r="R452" i="3"/>
  <c r="Q453" i="3"/>
  <c r="R453" i="3"/>
  <c r="Q454" i="3"/>
  <c r="R454" i="3"/>
  <c r="Q455" i="3"/>
  <c r="R455" i="3"/>
  <c r="Q456" i="3"/>
  <c r="R456" i="3"/>
  <c r="Q457" i="3"/>
  <c r="R457" i="3"/>
  <c r="Q458" i="3"/>
  <c r="R458" i="3"/>
  <c r="Q459" i="3"/>
  <c r="R459" i="3"/>
  <c r="Q460" i="3"/>
  <c r="R460" i="3"/>
  <c r="Q461" i="3"/>
  <c r="R461" i="3"/>
  <c r="Q462" i="3"/>
  <c r="R462" i="3"/>
  <c r="Q463" i="3"/>
  <c r="R463" i="3"/>
  <c r="Q464" i="3"/>
  <c r="R464" i="3"/>
  <c r="Q465" i="3"/>
  <c r="R465" i="3"/>
  <c r="Q466" i="3"/>
  <c r="R466" i="3"/>
  <c r="Q467" i="3"/>
  <c r="R467" i="3"/>
  <c r="Q468" i="3"/>
  <c r="R468" i="3"/>
  <c r="Q469" i="3"/>
  <c r="R469" i="3"/>
  <c r="Q470" i="3"/>
  <c r="R470" i="3"/>
  <c r="Q471" i="3"/>
  <c r="R471" i="3"/>
  <c r="Q472" i="3"/>
  <c r="R472" i="3"/>
  <c r="Q473" i="3"/>
  <c r="R473" i="3"/>
  <c r="Q474" i="3"/>
  <c r="R474" i="3"/>
  <c r="Q475" i="3"/>
  <c r="R475" i="3"/>
  <c r="Q476" i="3"/>
  <c r="R476" i="3"/>
  <c r="Q477" i="3"/>
  <c r="R477" i="3"/>
  <c r="Q478" i="3"/>
  <c r="R478" i="3"/>
  <c r="Q479" i="3"/>
  <c r="R479" i="3"/>
  <c r="Q480" i="3"/>
  <c r="R480" i="3"/>
  <c r="Q481" i="3"/>
  <c r="R481" i="3"/>
  <c r="Q482" i="3"/>
  <c r="R482" i="3"/>
  <c r="Q483" i="3"/>
  <c r="R483" i="3"/>
  <c r="Q484" i="3"/>
  <c r="R484" i="3"/>
  <c r="Q485" i="3"/>
  <c r="R485" i="3"/>
  <c r="Q486" i="3"/>
  <c r="R486" i="3"/>
  <c r="Q487" i="3"/>
  <c r="R487" i="3"/>
  <c r="Q488" i="3"/>
  <c r="R488" i="3"/>
  <c r="Q489" i="3"/>
  <c r="R489" i="3"/>
  <c r="Q490" i="3"/>
  <c r="R490" i="3"/>
  <c r="Q491" i="3"/>
  <c r="R491" i="3"/>
  <c r="Q492" i="3"/>
  <c r="R492" i="3"/>
  <c r="Q493" i="3"/>
  <c r="R493" i="3"/>
  <c r="Q494" i="3"/>
  <c r="R494" i="3"/>
  <c r="Q495" i="3"/>
  <c r="R495" i="3"/>
  <c r="Q496" i="3"/>
  <c r="R496" i="3"/>
  <c r="Q497" i="3"/>
  <c r="R497" i="3"/>
  <c r="Q498" i="3"/>
  <c r="R498" i="3"/>
  <c r="Q499" i="3"/>
  <c r="R499" i="3"/>
  <c r="Q500" i="3"/>
  <c r="R500" i="3"/>
  <c r="Q501" i="3"/>
  <c r="R501" i="3"/>
  <c r="Q502" i="3"/>
  <c r="R502" i="3"/>
  <c r="Q503" i="3"/>
  <c r="R503" i="3"/>
  <c r="Q504" i="3"/>
  <c r="R504" i="3"/>
  <c r="Q505" i="3"/>
  <c r="R505" i="3"/>
  <c r="Q506" i="3"/>
  <c r="R506" i="3"/>
  <c r="Q507" i="3"/>
  <c r="R507" i="3"/>
  <c r="Q508" i="3"/>
  <c r="R508" i="3"/>
  <c r="Q509" i="3"/>
  <c r="R509" i="3"/>
  <c r="Q510" i="3"/>
  <c r="R510" i="3"/>
  <c r="Q511" i="3"/>
  <c r="R511" i="3"/>
  <c r="Q512" i="3"/>
  <c r="R512" i="3"/>
  <c r="Q513" i="3"/>
  <c r="R513" i="3"/>
  <c r="Q514" i="3"/>
  <c r="R514" i="3"/>
  <c r="Q515" i="3"/>
  <c r="R515" i="3"/>
  <c r="Q516" i="3"/>
  <c r="R516" i="3"/>
  <c r="Q517" i="3"/>
  <c r="R517" i="3"/>
  <c r="Q518" i="3"/>
  <c r="R518" i="3"/>
  <c r="Q519" i="3"/>
  <c r="R519" i="3"/>
  <c r="Q520" i="3"/>
  <c r="R520" i="3"/>
  <c r="Q521" i="3"/>
  <c r="R521" i="3"/>
  <c r="Q522" i="3"/>
  <c r="R522" i="3"/>
  <c r="Q523" i="3"/>
  <c r="R523" i="3"/>
  <c r="Q524" i="3"/>
  <c r="R524" i="3"/>
  <c r="Q525" i="3"/>
  <c r="R525" i="3"/>
  <c r="Q526" i="3"/>
  <c r="R526" i="3"/>
  <c r="Q527" i="3"/>
  <c r="R527" i="3"/>
  <c r="Q528" i="3"/>
  <c r="R528" i="3"/>
  <c r="Q529" i="3"/>
  <c r="R529" i="3"/>
  <c r="Q530" i="3"/>
  <c r="R530" i="3"/>
  <c r="Q531" i="3"/>
  <c r="R531" i="3"/>
  <c r="Q532" i="3"/>
  <c r="R532" i="3"/>
  <c r="Q533" i="3"/>
  <c r="R533" i="3"/>
  <c r="Q534" i="3"/>
  <c r="R534" i="3"/>
  <c r="Q535" i="3"/>
  <c r="R535" i="3"/>
  <c r="Q536" i="3"/>
  <c r="R536" i="3"/>
  <c r="Q537" i="3"/>
  <c r="R537" i="3"/>
  <c r="Q538" i="3"/>
  <c r="R538" i="3"/>
  <c r="Q539" i="3"/>
  <c r="R539" i="3"/>
  <c r="Q540" i="3"/>
  <c r="R540" i="3"/>
  <c r="Q541" i="3"/>
  <c r="R541" i="3"/>
  <c r="Q542" i="3"/>
  <c r="R542" i="3"/>
  <c r="Q543" i="3"/>
  <c r="R543" i="3"/>
  <c r="Q544" i="3"/>
  <c r="R544" i="3"/>
  <c r="Q545" i="3"/>
  <c r="R545" i="3"/>
  <c r="Q546" i="3"/>
  <c r="R546" i="3"/>
  <c r="Q547" i="3"/>
  <c r="R547" i="3"/>
  <c r="Q548" i="3"/>
  <c r="R548" i="3"/>
  <c r="Q549" i="3"/>
  <c r="R549" i="3"/>
  <c r="Q550" i="3"/>
  <c r="R550" i="3"/>
  <c r="Q551" i="3"/>
  <c r="R551" i="3"/>
  <c r="Q552" i="3"/>
  <c r="R552" i="3"/>
  <c r="Q553" i="3"/>
  <c r="R553" i="3"/>
  <c r="Q554" i="3"/>
  <c r="R554" i="3"/>
  <c r="Q555" i="3"/>
  <c r="R555" i="3"/>
  <c r="Q556" i="3"/>
  <c r="R556" i="3"/>
  <c r="Q557" i="3"/>
  <c r="R557" i="3"/>
  <c r="Q558" i="3"/>
  <c r="R558" i="3"/>
  <c r="Q559" i="3"/>
  <c r="R559" i="3"/>
  <c r="Q560" i="3"/>
  <c r="R560" i="3"/>
  <c r="Q561" i="3"/>
  <c r="R561" i="3"/>
  <c r="Q562" i="3"/>
  <c r="R562" i="3"/>
  <c r="Q563" i="3"/>
  <c r="R563" i="3"/>
  <c r="Q564" i="3"/>
  <c r="R564" i="3"/>
  <c r="Q565" i="3"/>
  <c r="R565" i="3"/>
  <c r="Q566" i="3"/>
  <c r="R566" i="3"/>
  <c r="Q567" i="3"/>
  <c r="R567" i="3"/>
  <c r="Q568" i="3"/>
  <c r="R568" i="3"/>
  <c r="Q569" i="3"/>
  <c r="R569" i="3"/>
  <c r="Q570" i="3"/>
  <c r="R570" i="3"/>
  <c r="Q571" i="3"/>
  <c r="R571" i="3"/>
  <c r="Q572" i="3"/>
  <c r="R572" i="3"/>
  <c r="Q573" i="3"/>
  <c r="R573" i="3"/>
  <c r="Q574" i="3"/>
  <c r="R574" i="3"/>
  <c r="Q575" i="3"/>
  <c r="R575" i="3"/>
  <c r="Q576" i="3"/>
  <c r="R576" i="3"/>
  <c r="Q577" i="3"/>
  <c r="R577" i="3"/>
  <c r="Q578" i="3"/>
  <c r="R578" i="3"/>
  <c r="Q579" i="3"/>
  <c r="R579" i="3"/>
  <c r="Q580" i="3"/>
  <c r="R580" i="3"/>
  <c r="Q581" i="3"/>
  <c r="R581" i="3"/>
  <c r="Q582" i="3"/>
  <c r="R582" i="3"/>
  <c r="Q583" i="3"/>
  <c r="R583" i="3"/>
  <c r="Q584" i="3"/>
  <c r="R584" i="3"/>
  <c r="Q585" i="3"/>
  <c r="R585" i="3"/>
  <c r="Q586" i="3"/>
  <c r="R586" i="3"/>
  <c r="Q587" i="3"/>
  <c r="R587" i="3"/>
  <c r="Q588" i="3"/>
  <c r="R588" i="3"/>
  <c r="Q589" i="3"/>
  <c r="R589" i="3"/>
  <c r="Q590" i="3"/>
  <c r="R590" i="3"/>
  <c r="Q591" i="3"/>
  <c r="R591" i="3"/>
  <c r="Q592" i="3"/>
  <c r="R592" i="3"/>
  <c r="Q593" i="3"/>
  <c r="R593" i="3"/>
  <c r="Q594" i="3"/>
  <c r="R594" i="3"/>
  <c r="Q595" i="3"/>
  <c r="R595" i="3"/>
  <c r="Q596" i="3"/>
  <c r="R596" i="3"/>
  <c r="Q597" i="3"/>
  <c r="R597" i="3"/>
  <c r="Q598" i="3"/>
  <c r="R598" i="3"/>
  <c r="Q599" i="3"/>
  <c r="R599" i="3"/>
  <c r="Q600" i="3"/>
  <c r="R600" i="3"/>
  <c r="Q601" i="3"/>
  <c r="R601" i="3"/>
  <c r="Q602" i="3"/>
  <c r="R602" i="3"/>
  <c r="Q603" i="3"/>
  <c r="R603" i="3"/>
  <c r="Q604" i="3"/>
  <c r="R604" i="3"/>
  <c r="Q605" i="3"/>
  <c r="R605" i="3"/>
  <c r="Q606" i="3"/>
  <c r="R606" i="3"/>
  <c r="Q607" i="3"/>
  <c r="R607" i="3"/>
  <c r="Q608" i="3"/>
  <c r="R608" i="3"/>
  <c r="Q609" i="3"/>
  <c r="R609" i="3"/>
  <c r="Q610" i="3"/>
  <c r="R610" i="3"/>
  <c r="Q611" i="3"/>
  <c r="R611" i="3"/>
  <c r="Q612" i="3"/>
  <c r="R612" i="3"/>
  <c r="Q613" i="3"/>
  <c r="R613" i="3"/>
  <c r="Q614" i="3"/>
  <c r="R614" i="3"/>
  <c r="Q615" i="3"/>
  <c r="R615" i="3"/>
  <c r="Q616" i="3"/>
  <c r="R616" i="3"/>
  <c r="Q617" i="3"/>
  <c r="R617" i="3"/>
  <c r="Q618" i="3"/>
  <c r="R618" i="3"/>
  <c r="Q619" i="3"/>
  <c r="R619" i="3"/>
  <c r="Q620" i="3"/>
  <c r="R620" i="3"/>
  <c r="Q621" i="3"/>
  <c r="R621" i="3"/>
  <c r="Q622" i="3"/>
  <c r="R622" i="3"/>
  <c r="Q623" i="3"/>
  <c r="R623" i="3"/>
  <c r="Q624" i="3"/>
  <c r="R624" i="3"/>
  <c r="Q625" i="3"/>
  <c r="R625" i="3"/>
  <c r="Q626" i="3"/>
  <c r="R626" i="3"/>
  <c r="Q627" i="3"/>
  <c r="R627" i="3"/>
  <c r="Q628" i="3"/>
  <c r="R628" i="3"/>
  <c r="Q629" i="3"/>
  <c r="R629" i="3"/>
  <c r="Q630" i="3"/>
  <c r="R630" i="3"/>
  <c r="Q631" i="3"/>
  <c r="R631" i="3"/>
  <c r="Q632" i="3"/>
  <c r="R632" i="3"/>
  <c r="Q633" i="3"/>
  <c r="R633" i="3"/>
  <c r="Q634" i="3"/>
  <c r="R634" i="3"/>
  <c r="Q635" i="3"/>
  <c r="R635" i="3"/>
  <c r="Q636" i="3"/>
  <c r="R636" i="3"/>
  <c r="Q637" i="3"/>
  <c r="R637" i="3"/>
  <c r="Q638" i="3"/>
  <c r="R638" i="3"/>
  <c r="Q639" i="3"/>
  <c r="R639" i="3"/>
  <c r="Q640" i="3"/>
  <c r="R640" i="3"/>
  <c r="Q641" i="3"/>
  <c r="R641" i="3"/>
  <c r="Q642" i="3"/>
  <c r="R642" i="3"/>
  <c r="Q643" i="3"/>
  <c r="R643" i="3"/>
  <c r="Q644" i="3"/>
  <c r="R644" i="3"/>
  <c r="Q645" i="3"/>
  <c r="R645" i="3"/>
  <c r="Q646" i="3"/>
  <c r="R646" i="3"/>
  <c r="Q647" i="3"/>
  <c r="R647" i="3"/>
  <c r="Q648" i="3"/>
  <c r="R648" i="3"/>
  <c r="Q649" i="3"/>
  <c r="R649" i="3"/>
  <c r="Q650" i="3"/>
  <c r="R650" i="3"/>
  <c r="Q651" i="3"/>
  <c r="R651" i="3"/>
  <c r="Q652" i="3"/>
  <c r="R652" i="3"/>
  <c r="Q653" i="3"/>
  <c r="R653" i="3"/>
  <c r="Q654" i="3"/>
  <c r="R654" i="3"/>
  <c r="Q655" i="3"/>
  <c r="R655" i="3"/>
  <c r="Q656" i="3"/>
  <c r="R656" i="3"/>
  <c r="Q657" i="3"/>
  <c r="R657" i="3"/>
  <c r="Q658" i="3"/>
  <c r="R658" i="3"/>
  <c r="Q659" i="3"/>
  <c r="R659" i="3"/>
  <c r="Q660" i="3"/>
  <c r="R660" i="3"/>
  <c r="Q661" i="3"/>
  <c r="R661" i="3"/>
  <c r="Q662" i="3"/>
  <c r="R662" i="3"/>
  <c r="Q663" i="3"/>
  <c r="R663" i="3"/>
  <c r="Q664" i="3"/>
  <c r="R664" i="3"/>
  <c r="Q665" i="3"/>
  <c r="R665" i="3"/>
  <c r="Q666" i="3"/>
  <c r="R666" i="3"/>
  <c r="Q667" i="3"/>
  <c r="R667" i="3"/>
  <c r="Q668" i="3"/>
  <c r="R668" i="3"/>
  <c r="Q669" i="3"/>
  <c r="R669" i="3"/>
  <c r="Q670" i="3"/>
  <c r="R670" i="3"/>
  <c r="Q671" i="3"/>
  <c r="R671" i="3"/>
  <c r="Q672" i="3"/>
  <c r="R672" i="3"/>
  <c r="Q673" i="3"/>
  <c r="R673" i="3"/>
  <c r="Q674" i="3"/>
  <c r="R674" i="3"/>
  <c r="Q675" i="3"/>
  <c r="R675" i="3"/>
  <c r="Q676" i="3"/>
  <c r="R676" i="3"/>
  <c r="Q677" i="3"/>
  <c r="R677" i="3"/>
  <c r="Q678" i="3"/>
  <c r="R678" i="3"/>
  <c r="Q679" i="3"/>
  <c r="R679" i="3"/>
  <c r="Q680" i="3"/>
  <c r="R680" i="3"/>
  <c r="Q681" i="3"/>
  <c r="R681" i="3"/>
  <c r="Q682" i="3"/>
  <c r="R682" i="3"/>
  <c r="Q683" i="3"/>
  <c r="R683" i="3"/>
  <c r="Q684" i="3"/>
  <c r="R684" i="3"/>
  <c r="Q685" i="3"/>
  <c r="R685" i="3"/>
  <c r="Q686" i="3"/>
  <c r="R686" i="3"/>
  <c r="Q687" i="3"/>
  <c r="R687" i="3"/>
  <c r="Q688" i="3"/>
  <c r="R688" i="3"/>
  <c r="Q689" i="3"/>
  <c r="R689" i="3"/>
  <c r="Q690" i="3"/>
  <c r="R690" i="3"/>
  <c r="Q691" i="3"/>
  <c r="R691" i="3"/>
  <c r="Q692" i="3"/>
  <c r="R692" i="3"/>
  <c r="Q693" i="3"/>
  <c r="R693" i="3"/>
  <c r="Q694" i="3"/>
  <c r="R694" i="3"/>
  <c r="Q695" i="3"/>
  <c r="R695" i="3"/>
  <c r="Q696" i="3"/>
  <c r="R696" i="3"/>
  <c r="Q697" i="3"/>
  <c r="R697" i="3"/>
  <c r="Q698" i="3"/>
  <c r="R698" i="3"/>
  <c r="Q699" i="3"/>
  <c r="R699" i="3"/>
  <c r="Q700" i="3"/>
  <c r="R700" i="3"/>
  <c r="Q701" i="3"/>
  <c r="R701" i="3"/>
  <c r="Q702" i="3"/>
  <c r="R702" i="3"/>
  <c r="Q703" i="3"/>
  <c r="R703" i="3"/>
  <c r="Q704" i="3"/>
  <c r="R704" i="3"/>
  <c r="Q705" i="3"/>
  <c r="R705" i="3"/>
  <c r="Q706" i="3"/>
  <c r="R706" i="3"/>
  <c r="Q707" i="3"/>
  <c r="R707" i="3"/>
  <c r="Q708" i="3"/>
  <c r="R708" i="3"/>
  <c r="Q709" i="3"/>
  <c r="R709" i="3"/>
  <c r="Q710" i="3"/>
  <c r="R710" i="3"/>
  <c r="Q711" i="3"/>
  <c r="R711" i="3"/>
  <c r="Q712" i="3"/>
  <c r="R712" i="3"/>
  <c r="Q713" i="3"/>
  <c r="R713" i="3"/>
  <c r="Q714" i="3"/>
  <c r="R714" i="3"/>
  <c r="Q715" i="3"/>
  <c r="R715" i="3"/>
  <c r="Q716" i="3"/>
  <c r="R716" i="3"/>
  <c r="Q717" i="3"/>
  <c r="R717" i="3"/>
  <c r="Q718" i="3"/>
  <c r="R718" i="3"/>
  <c r="Q719" i="3"/>
  <c r="R719" i="3"/>
  <c r="Q720" i="3"/>
  <c r="R720" i="3"/>
  <c r="Q721" i="3"/>
  <c r="R721" i="3"/>
  <c r="Q722" i="3"/>
  <c r="R722" i="3"/>
  <c r="Q723" i="3"/>
  <c r="R723" i="3"/>
  <c r="Q724" i="3"/>
  <c r="R724" i="3"/>
  <c r="Q725" i="3"/>
  <c r="R725" i="3"/>
  <c r="Q726" i="3"/>
  <c r="R726" i="3"/>
  <c r="Q727" i="3"/>
  <c r="R727" i="3"/>
  <c r="Q728" i="3"/>
  <c r="R728" i="3"/>
  <c r="Q729" i="3"/>
  <c r="R729" i="3"/>
  <c r="Q730" i="3"/>
  <c r="R730" i="3"/>
  <c r="Q731" i="3"/>
  <c r="R731" i="3"/>
  <c r="Q732" i="3"/>
  <c r="R732" i="3"/>
  <c r="Q733" i="3"/>
  <c r="R733" i="3"/>
  <c r="Q734" i="3"/>
  <c r="R734" i="3"/>
  <c r="Q735" i="3"/>
  <c r="R735" i="3"/>
  <c r="Q736" i="3"/>
  <c r="R736" i="3"/>
  <c r="Q737" i="3"/>
  <c r="R737" i="3"/>
  <c r="Q738" i="3"/>
  <c r="R738" i="3"/>
  <c r="Q739" i="3"/>
  <c r="R739" i="3"/>
  <c r="Q740" i="3"/>
  <c r="R740" i="3"/>
  <c r="Q741" i="3"/>
  <c r="R741" i="3"/>
  <c r="Q742" i="3"/>
  <c r="R742" i="3"/>
  <c r="Q743" i="3"/>
  <c r="R743" i="3"/>
  <c r="Q744" i="3"/>
  <c r="R744" i="3"/>
  <c r="Q745" i="3"/>
  <c r="R745" i="3"/>
  <c r="Q746" i="3"/>
  <c r="R746" i="3"/>
  <c r="Q747" i="3"/>
  <c r="R747" i="3"/>
  <c r="Q748" i="3"/>
  <c r="R748" i="3"/>
  <c r="Q749" i="3"/>
  <c r="R749" i="3"/>
  <c r="Q750" i="3"/>
  <c r="R750" i="3"/>
  <c r="Q751" i="3"/>
  <c r="R751" i="3"/>
  <c r="Q752" i="3"/>
  <c r="R752" i="3"/>
  <c r="Q753" i="3"/>
  <c r="R753" i="3"/>
  <c r="Q754" i="3"/>
  <c r="R754" i="3"/>
  <c r="Q755" i="3"/>
  <c r="R755" i="3"/>
  <c r="Q756" i="3"/>
  <c r="R756" i="3"/>
  <c r="Q757" i="3"/>
  <c r="R757" i="3"/>
  <c r="Q758" i="3"/>
  <c r="R758" i="3"/>
  <c r="Q759" i="3"/>
  <c r="R759" i="3"/>
  <c r="Q760" i="3"/>
  <c r="R760" i="3"/>
  <c r="Q761" i="3"/>
  <c r="R761" i="3"/>
  <c r="Q762" i="3"/>
  <c r="R762" i="3"/>
  <c r="Q763" i="3"/>
  <c r="R763" i="3"/>
  <c r="Q764" i="3"/>
  <c r="R764" i="3"/>
  <c r="Q765" i="3"/>
  <c r="R765" i="3"/>
  <c r="Q766" i="3"/>
  <c r="R766" i="3"/>
  <c r="Q767" i="3"/>
  <c r="R767" i="3"/>
  <c r="Q768" i="3"/>
  <c r="R768" i="3"/>
  <c r="Q769" i="3"/>
  <c r="R769" i="3"/>
  <c r="Q770" i="3"/>
  <c r="R770" i="3"/>
  <c r="Q771" i="3"/>
  <c r="R771" i="3"/>
  <c r="Q772" i="3"/>
  <c r="R772" i="3"/>
  <c r="Q773" i="3"/>
  <c r="R773" i="3"/>
  <c r="Q774" i="3"/>
  <c r="R774" i="3"/>
  <c r="Q775" i="3"/>
  <c r="R775" i="3"/>
  <c r="Q776" i="3"/>
  <c r="R776" i="3"/>
  <c r="Q777" i="3"/>
  <c r="R777" i="3"/>
  <c r="Q778" i="3"/>
  <c r="R778" i="3"/>
  <c r="Q779" i="3"/>
  <c r="R779" i="3"/>
  <c r="Q780" i="3"/>
  <c r="R780" i="3"/>
  <c r="Q781" i="3"/>
  <c r="R781" i="3"/>
  <c r="Q782" i="3"/>
  <c r="R782" i="3"/>
  <c r="Q783" i="3"/>
  <c r="R783" i="3"/>
  <c r="Q784" i="3"/>
  <c r="R784" i="3"/>
  <c r="Q785" i="3"/>
  <c r="R785" i="3"/>
  <c r="Q786" i="3"/>
  <c r="R786" i="3"/>
  <c r="Q787" i="3"/>
  <c r="R787" i="3"/>
  <c r="Q788" i="3"/>
  <c r="R788" i="3"/>
  <c r="Q789" i="3"/>
  <c r="R789" i="3"/>
  <c r="Q790" i="3"/>
  <c r="R790" i="3"/>
  <c r="Q791" i="3"/>
  <c r="R791" i="3"/>
  <c r="Q792" i="3"/>
  <c r="R792" i="3"/>
  <c r="Q793" i="3"/>
  <c r="R793" i="3"/>
  <c r="Q794" i="3"/>
  <c r="R794" i="3"/>
  <c r="Q795" i="3"/>
  <c r="R795" i="3"/>
  <c r="Q796" i="3"/>
  <c r="R796" i="3"/>
  <c r="Q797" i="3"/>
  <c r="R797" i="3"/>
  <c r="Q798" i="3"/>
  <c r="R798" i="3"/>
  <c r="Q799" i="3"/>
  <c r="R799" i="3"/>
  <c r="Q800" i="3"/>
  <c r="R800" i="3"/>
  <c r="Q801" i="3"/>
  <c r="R801" i="3"/>
  <c r="Q802" i="3"/>
  <c r="R802" i="3"/>
  <c r="Q803" i="3"/>
  <c r="R803" i="3"/>
  <c r="Q804" i="3"/>
  <c r="R804" i="3"/>
  <c r="Q805" i="3"/>
  <c r="R805" i="3"/>
  <c r="Q806" i="3"/>
  <c r="R806" i="3"/>
  <c r="Q807" i="3"/>
  <c r="R807" i="3"/>
  <c r="Q808" i="3"/>
  <c r="R808" i="3"/>
  <c r="Q809" i="3"/>
  <c r="R809" i="3"/>
  <c r="Q810" i="3"/>
  <c r="R810" i="3"/>
  <c r="Q811" i="3"/>
  <c r="R811" i="3"/>
  <c r="Q812" i="3"/>
  <c r="R812" i="3"/>
  <c r="Q813" i="3"/>
  <c r="R813" i="3"/>
  <c r="Q814" i="3"/>
  <c r="R814" i="3"/>
  <c r="Q815" i="3"/>
  <c r="R815" i="3"/>
  <c r="Q816" i="3"/>
  <c r="R816" i="3"/>
  <c r="Q817" i="3"/>
  <c r="R817" i="3"/>
  <c r="Q818" i="3"/>
  <c r="R818" i="3"/>
  <c r="Q819" i="3"/>
  <c r="R819" i="3"/>
  <c r="Q820" i="3"/>
  <c r="R820" i="3"/>
  <c r="Q821" i="3"/>
  <c r="R821" i="3"/>
  <c r="Q822" i="3"/>
  <c r="R822" i="3"/>
  <c r="Q823" i="3"/>
  <c r="R823" i="3"/>
  <c r="Q824" i="3"/>
  <c r="R824" i="3"/>
  <c r="Q825" i="3"/>
  <c r="R825" i="3"/>
  <c r="Q826" i="3"/>
  <c r="R826" i="3"/>
  <c r="Q827" i="3"/>
  <c r="R827" i="3"/>
  <c r="Q828" i="3"/>
  <c r="R828" i="3"/>
  <c r="Q829" i="3"/>
  <c r="R829" i="3"/>
  <c r="Q830" i="3"/>
  <c r="R830" i="3"/>
  <c r="Q831" i="3"/>
  <c r="R831" i="3"/>
  <c r="Q832" i="3"/>
  <c r="R832" i="3"/>
  <c r="Q833" i="3"/>
  <c r="R833" i="3"/>
  <c r="Q834" i="3"/>
  <c r="R834" i="3"/>
  <c r="Q835" i="3"/>
  <c r="R835" i="3"/>
  <c r="Q836" i="3"/>
  <c r="R836" i="3"/>
  <c r="Q837" i="3"/>
  <c r="R837" i="3"/>
  <c r="Q838" i="3"/>
  <c r="R838" i="3"/>
  <c r="Q839" i="3"/>
  <c r="R839" i="3"/>
  <c r="Q840" i="3"/>
  <c r="R840" i="3"/>
  <c r="Q841" i="3"/>
  <c r="R841" i="3"/>
  <c r="Q842" i="3"/>
  <c r="R842" i="3"/>
  <c r="Q843" i="3"/>
  <c r="R843" i="3"/>
  <c r="Q844" i="3"/>
  <c r="R844" i="3"/>
  <c r="Q845" i="3"/>
  <c r="R845" i="3"/>
  <c r="Q846" i="3"/>
  <c r="R846" i="3"/>
  <c r="Q847" i="3"/>
  <c r="R847" i="3"/>
  <c r="Q848" i="3"/>
  <c r="R848" i="3"/>
  <c r="Q849" i="3"/>
  <c r="R849" i="3"/>
  <c r="Q850" i="3"/>
  <c r="R850" i="3"/>
  <c r="Q851" i="3"/>
  <c r="R851" i="3"/>
  <c r="Q852" i="3"/>
  <c r="R852" i="3"/>
  <c r="Q853" i="3"/>
  <c r="R853" i="3"/>
  <c r="Q854" i="3"/>
  <c r="R854" i="3"/>
  <c r="Q855" i="3"/>
  <c r="R855" i="3"/>
  <c r="Q856" i="3"/>
  <c r="R856" i="3"/>
  <c r="Q857" i="3"/>
  <c r="R857" i="3"/>
  <c r="Q858" i="3"/>
  <c r="R858" i="3"/>
  <c r="Q859" i="3"/>
  <c r="R859" i="3"/>
  <c r="Q860" i="3"/>
  <c r="R860" i="3"/>
  <c r="Q861" i="3"/>
  <c r="R861" i="3"/>
  <c r="Q862" i="3"/>
  <c r="R862" i="3"/>
  <c r="Q863" i="3"/>
  <c r="R863" i="3"/>
  <c r="Q864" i="3"/>
  <c r="R864" i="3"/>
  <c r="Q865" i="3"/>
  <c r="R865" i="3"/>
  <c r="Q866" i="3"/>
  <c r="R866" i="3"/>
  <c r="Q867" i="3"/>
  <c r="R867" i="3"/>
  <c r="Q868" i="3"/>
  <c r="R868" i="3"/>
  <c r="Q869" i="3"/>
  <c r="R869" i="3"/>
  <c r="Q870" i="3"/>
  <c r="R870" i="3"/>
  <c r="Q871" i="3"/>
  <c r="R871" i="3"/>
  <c r="Q872" i="3"/>
  <c r="R872" i="3"/>
  <c r="Q873" i="3"/>
  <c r="R873" i="3"/>
  <c r="Q874" i="3"/>
  <c r="R874" i="3"/>
  <c r="Q875" i="3"/>
  <c r="R875" i="3"/>
  <c r="Q876" i="3"/>
  <c r="R876" i="3"/>
  <c r="Q877" i="3"/>
  <c r="R877" i="3"/>
  <c r="Q878" i="3"/>
  <c r="R878" i="3"/>
  <c r="Q879" i="3"/>
  <c r="R879" i="3"/>
  <c r="Q880" i="3"/>
  <c r="R880" i="3"/>
  <c r="Q881" i="3"/>
  <c r="R881" i="3"/>
  <c r="Q882" i="3"/>
  <c r="R882" i="3"/>
  <c r="Q883" i="3"/>
  <c r="R883" i="3"/>
  <c r="Q884" i="3"/>
  <c r="R884" i="3"/>
  <c r="Q885" i="3"/>
  <c r="R885" i="3"/>
  <c r="Q886" i="3"/>
  <c r="R886" i="3"/>
  <c r="Q887" i="3"/>
  <c r="R887" i="3"/>
  <c r="Q888" i="3"/>
  <c r="R888" i="3"/>
  <c r="Q889" i="3"/>
  <c r="R889" i="3"/>
  <c r="Q890" i="3"/>
  <c r="R890" i="3"/>
  <c r="Q891" i="3"/>
  <c r="R891" i="3"/>
  <c r="Q892" i="3"/>
  <c r="R892" i="3"/>
  <c r="Q893" i="3"/>
  <c r="R893" i="3"/>
  <c r="Q894" i="3"/>
  <c r="R894" i="3"/>
  <c r="Q895" i="3"/>
  <c r="R895" i="3"/>
  <c r="Q896" i="3"/>
  <c r="R896" i="3"/>
  <c r="Q897" i="3"/>
  <c r="R897" i="3"/>
  <c r="Q898" i="3"/>
  <c r="R898" i="3"/>
  <c r="Q899" i="3"/>
  <c r="R899" i="3"/>
  <c r="Q900" i="3"/>
  <c r="R900" i="3"/>
  <c r="Q901" i="3"/>
  <c r="R901" i="3"/>
  <c r="Q902" i="3"/>
  <c r="R902" i="3"/>
  <c r="Q903" i="3"/>
  <c r="R903" i="3"/>
  <c r="Q904" i="3"/>
  <c r="R904" i="3"/>
  <c r="Q905" i="3"/>
  <c r="R905" i="3"/>
  <c r="Q906" i="3"/>
  <c r="R906" i="3"/>
  <c r="Q907" i="3"/>
  <c r="R907" i="3"/>
  <c r="Q908" i="3"/>
  <c r="R908" i="3"/>
  <c r="Q909" i="3"/>
  <c r="R909" i="3"/>
  <c r="Q910" i="3"/>
  <c r="R910" i="3"/>
  <c r="Q911" i="3"/>
  <c r="R911" i="3"/>
  <c r="Q912" i="3"/>
  <c r="R912" i="3"/>
  <c r="Q913" i="3"/>
  <c r="R913" i="3"/>
  <c r="Q914" i="3"/>
  <c r="R914" i="3"/>
  <c r="Q915" i="3"/>
  <c r="R915" i="3"/>
  <c r="Q916" i="3"/>
  <c r="R916" i="3"/>
  <c r="Q917" i="3"/>
  <c r="R917" i="3"/>
  <c r="Q918" i="3"/>
  <c r="R918" i="3"/>
  <c r="Q919" i="3"/>
  <c r="R919" i="3"/>
  <c r="Q920" i="3"/>
  <c r="R920" i="3"/>
  <c r="Q921" i="3"/>
  <c r="R921" i="3"/>
  <c r="Q922" i="3"/>
  <c r="R922" i="3"/>
  <c r="Q923" i="3"/>
  <c r="R923" i="3"/>
  <c r="Q924" i="3"/>
  <c r="R924" i="3"/>
  <c r="Q925" i="3"/>
  <c r="R925" i="3"/>
  <c r="Q926" i="3"/>
  <c r="R926" i="3"/>
  <c r="Q927" i="3"/>
  <c r="R927" i="3"/>
  <c r="Q928" i="3"/>
  <c r="R928" i="3"/>
  <c r="Q929" i="3"/>
  <c r="R929" i="3"/>
  <c r="Q930" i="3"/>
  <c r="R930" i="3"/>
  <c r="Q931" i="3"/>
  <c r="R931" i="3"/>
  <c r="Q932" i="3"/>
  <c r="R932" i="3"/>
  <c r="Q933" i="3"/>
  <c r="R933" i="3"/>
  <c r="Q934" i="3"/>
  <c r="R934" i="3"/>
  <c r="Q935" i="3"/>
  <c r="R935" i="3"/>
  <c r="Q936" i="3"/>
  <c r="R936" i="3"/>
  <c r="Q937" i="3"/>
  <c r="R937" i="3"/>
  <c r="Q938" i="3"/>
  <c r="R938" i="3"/>
  <c r="Q939" i="3"/>
  <c r="R939" i="3"/>
  <c r="Q940" i="3"/>
  <c r="R940" i="3"/>
  <c r="Q941" i="3"/>
  <c r="R941" i="3"/>
  <c r="Q942" i="3"/>
  <c r="R942" i="3"/>
  <c r="Q943" i="3"/>
  <c r="R943" i="3"/>
  <c r="Q944" i="3"/>
  <c r="R944" i="3"/>
  <c r="Q945" i="3"/>
  <c r="R945" i="3"/>
  <c r="Q946" i="3"/>
  <c r="R946" i="3"/>
  <c r="Q947" i="3"/>
  <c r="R947" i="3"/>
  <c r="Q948" i="3"/>
  <c r="R948" i="3"/>
  <c r="Q949" i="3"/>
  <c r="R949" i="3"/>
  <c r="Q950" i="3"/>
  <c r="R950" i="3"/>
  <c r="Q951" i="3"/>
  <c r="R951" i="3"/>
  <c r="Q952" i="3"/>
  <c r="R952" i="3"/>
  <c r="Q953" i="3"/>
  <c r="R953" i="3"/>
  <c r="Q954" i="3"/>
  <c r="R954" i="3"/>
  <c r="Q955" i="3"/>
  <c r="R955" i="3"/>
  <c r="Q956" i="3"/>
  <c r="R956" i="3"/>
  <c r="Q957" i="3"/>
  <c r="R957" i="3"/>
  <c r="Q958" i="3"/>
  <c r="R958" i="3"/>
  <c r="Q959" i="3"/>
  <c r="R959" i="3"/>
  <c r="Q960" i="3"/>
  <c r="R960" i="3"/>
  <c r="Q961" i="3"/>
  <c r="R961" i="3"/>
  <c r="Q962" i="3"/>
  <c r="R962" i="3"/>
  <c r="Q963" i="3"/>
  <c r="R963" i="3"/>
  <c r="Q964" i="3"/>
  <c r="R964" i="3"/>
  <c r="Q965" i="3"/>
  <c r="R965" i="3"/>
  <c r="Q966" i="3"/>
  <c r="R966" i="3"/>
  <c r="Q967" i="3"/>
  <c r="R967" i="3"/>
  <c r="Q968" i="3"/>
  <c r="R968" i="3"/>
  <c r="Q969" i="3"/>
  <c r="R969" i="3"/>
  <c r="Q970" i="3"/>
  <c r="R970" i="3"/>
  <c r="Q971" i="3"/>
  <c r="R971" i="3"/>
  <c r="Q972" i="3"/>
  <c r="R972" i="3"/>
  <c r="Q973" i="3"/>
  <c r="R973" i="3"/>
  <c r="Q974" i="3"/>
  <c r="R974" i="3"/>
  <c r="Q975" i="3"/>
  <c r="R975" i="3"/>
  <c r="Q976" i="3"/>
  <c r="R976" i="3"/>
  <c r="Q977" i="3"/>
  <c r="R977" i="3"/>
  <c r="Q978" i="3"/>
  <c r="R978" i="3"/>
  <c r="Q979" i="3"/>
  <c r="R979" i="3"/>
  <c r="Q980" i="3"/>
  <c r="R980" i="3"/>
  <c r="Q981" i="3"/>
  <c r="R981" i="3"/>
  <c r="Q982" i="3"/>
  <c r="R982" i="3"/>
  <c r="Q983" i="3"/>
  <c r="R983" i="3"/>
  <c r="Q984" i="3"/>
  <c r="R984" i="3"/>
  <c r="Q985" i="3"/>
  <c r="R985" i="3"/>
  <c r="Q986" i="3"/>
  <c r="R986" i="3"/>
  <c r="Q987" i="3"/>
  <c r="R987" i="3"/>
  <c r="Q988" i="3"/>
  <c r="R988" i="3"/>
  <c r="Q989" i="3"/>
  <c r="R989" i="3"/>
  <c r="Q990" i="3"/>
  <c r="R990" i="3"/>
  <c r="Q991" i="3"/>
  <c r="R991" i="3"/>
  <c r="Q992" i="3"/>
  <c r="R992" i="3"/>
  <c r="Q993" i="3"/>
  <c r="R993" i="3"/>
  <c r="Q994" i="3"/>
  <c r="R994" i="3"/>
  <c r="Q995" i="3"/>
  <c r="R995" i="3"/>
  <c r="Q996" i="3"/>
  <c r="R996" i="3"/>
  <c r="Q997" i="3"/>
  <c r="R997" i="3"/>
  <c r="Q998" i="3"/>
  <c r="R998" i="3"/>
  <c r="Q999" i="3"/>
  <c r="R999" i="3"/>
  <c r="Q1000" i="3"/>
  <c r="R1000" i="3"/>
  <c r="Q1001" i="3"/>
  <c r="R1001" i="3"/>
  <c r="Q1002" i="3"/>
  <c r="R1002" i="3"/>
  <c r="Q1003" i="3"/>
  <c r="R1003" i="3"/>
  <c r="Q1004" i="3"/>
  <c r="R1004" i="3"/>
  <c r="Q1005" i="3"/>
  <c r="R1005" i="3"/>
  <c r="Q1006" i="3"/>
  <c r="R1006" i="3"/>
  <c r="Q1007" i="3"/>
  <c r="R1007" i="3"/>
  <c r="Q1008" i="3"/>
  <c r="R1008" i="3"/>
  <c r="Q1009" i="3"/>
  <c r="R1009" i="3"/>
  <c r="Q1010" i="3"/>
  <c r="R1010" i="3"/>
  <c r="Q1011" i="3"/>
  <c r="R1011" i="3"/>
  <c r="Q1012" i="3"/>
  <c r="R1012" i="3"/>
  <c r="Q1013" i="3"/>
  <c r="R1013" i="3"/>
  <c r="Q1014" i="3"/>
  <c r="R1014" i="3"/>
  <c r="Q1015" i="3"/>
  <c r="R1015" i="3"/>
  <c r="Q1016" i="3"/>
  <c r="R1016" i="3"/>
  <c r="Q1017" i="3"/>
  <c r="R1017" i="3"/>
  <c r="Q1018" i="3"/>
  <c r="R1018" i="3"/>
  <c r="Q1019" i="3"/>
  <c r="R1019" i="3"/>
  <c r="Q1020" i="3"/>
  <c r="R1020" i="3"/>
  <c r="Q1021" i="3"/>
  <c r="R1021" i="3"/>
  <c r="Q1022" i="3"/>
  <c r="R1022" i="3"/>
  <c r="Q1023" i="3"/>
  <c r="R1023" i="3"/>
  <c r="Q1024" i="3"/>
  <c r="R1024" i="3"/>
  <c r="Q1025" i="3"/>
  <c r="R1025" i="3"/>
  <c r="Q1026" i="3"/>
  <c r="R1026" i="3"/>
  <c r="Q1027" i="3"/>
  <c r="R1027" i="3"/>
  <c r="Q1028" i="3"/>
  <c r="R1028" i="3"/>
  <c r="Q1029" i="3"/>
  <c r="R1029" i="3"/>
  <c r="Q1030" i="3"/>
  <c r="R1030" i="3"/>
  <c r="Q1031" i="3"/>
  <c r="R1031" i="3"/>
  <c r="Q1032" i="3"/>
  <c r="R1032" i="3"/>
  <c r="Q1033" i="3"/>
  <c r="R1033" i="3"/>
  <c r="Q1034" i="3"/>
  <c r="R1034" i="3"/>
  <c r="Q1035" i="3"/>
  <c r="R1035" i="3"/>
  <c r="Q1036" i="3"/>
  <c r="R1036" i="3"/>
  <c r="Q1037" i="3"/>
  <c r="R1037" i="3"/>
  <c r="Q1038" i="3"/>
  <c r="R1038" i="3"/>
  <c r="Q1039" i="3"/>
  <c r="R1039" i="3"/>
  <c r="Q1040" i="3"/>
  <c r="R1040" i="3"/>
  <c r="Q1041" i="3"/>
  <c r="R1041" i="3"/>
  <c r="Q1042" i="3"/>
  <c r="R1042" i="3"/>
  <c r="Q1043" i="3"/>
  <c r="R1043" i="3"/>
  <c r="Q1044" i="3"/>
  <c r="R1044" i="3"/>
  <c r="Q1045" i="3"/>
  <c r="R1045" i="3"/>
  <c r="Q1046" i="3"/>
  <c r="R1046" i="3"/>
  <c r="Q1047" i="3"/>
  <c r="R1047" i="3"/>
  <c r="Q1048" i="3"/>
  <c r="R1048" i="3"/>
  <c r="Q1049" i="3"/>
  <c r="R1049" i="3"/>
  <c r="Q1050" i="3"/>
  <c r="R1050" i="3"/>
  <c r="Q1051" i="3"/>
  <c r="R1051" i="3"/>
  <c r="Q1052" i="3"/>
  <c r="R1052" i="3"/>
  <c r="Q1053" i="3"/>
  <c r="R1053" i="3"/>
  <c r="Q1054" i="3"/>
  <c r="R1054" i="3"/>
  <c r="Q1055" i="3"/>
  <c r="R1055" i="3"/>
  <c r="Q1056" i="3"/>
  <c r="R1056" i="3"/>
  <c r="Q1057" i="3"/>
  <c r="R1057" i="3"/>
  <c r="Q1058" i="3"/>
  <c r="R1058" i="3"/>
  <c r="Q1059" i="3"/>
  <c r="R1059" i="3"/>
  <c r="Q1060" i="3"/>
  <c r="R1060" i="3"/>
  <c r="Q1061" i="3"/>
  <c r="R1061" i="3"/>
  <c r="Q1062" i="3"/>
  <c r="R1062" i="3"/>
  <c r="Q1063" i="3"/>
  <c r="R1063" i="3"/>
  <c r="Q1064" i="3"/>
  <c r="R1064" i="3"/>
  <c r="Q1065" i="3"/>
  <c r="R1065" i="3"/>
  <c r="Q1066" i="3"/>
  <c r="R1066" i="3"/>
  <c r="Q1067" i="3"/>
  <c r="R1067" i="3"/>
  <c r="Q1068" i="3"/>
  <c r="R1068" i="3"/>
  <c r="Q1069" i="3"/>
  <c r="R1069" i="3"/>
  <c r="Q1070" i="3"/>
  <c r="R1070" i="3"/>
  <c r="Q1071" i="3"/>
  <c r="R1071" i="3"/>
  <c r="Q1072" i="3"/>
  <c r="R1072" i="3"/>
  <c r="Q1073" i="3"/>
  <c r="R1073" i="3"/>
  <c r="Q1074" i="3"/>
  <c r="R1074" i="3"/>
  <c r="Q1075" i="3"/>
  <c r="R1075" i="3"/>
  <c r="Q1076" i="3"/>
  <c r="R1076" i="3"/>
  <c r="Q1077" i="3"/>
  <c r="R1077" i="3"/>
  <c r="Q1078" i="3"/>
  <c r="R1078" i="3"/>
  <c r="Q1079" i="3"/>
  <c r="R1079" i="3"/>
  <c r="Q1080" i="3"/>
  <c r="R1080" i="3"/>
  <c r="Q1081" i="3"/>
  <c r="R1081" i="3"/>
  <c r="Q1082" i="3"/>
  <c r="R1082" i="3"/>
  <c r="Q1083" i="3"/>
  <c r="R1083" i="3"/>
  <c r="Q1084" i="3"/>
  <c r="R1084" i="3"/>
  <c r="Q1085" i="3"/>
  <c r="R1085" i="3"/>
  <c r="Q1086" i="3"/>
  <c r="R1086" i="3"/>
  <c r="Q1087" i="3"/>
  <c r="R1087" i="3"/>
  <c r="Q1088" i="3"/>
  <c r="R1088" i="3"/>
  <c r="Q1089" i="3"/>
  <c r="R1089" i="3"/>
  <c r="Q1090" i="3"/>
  <c r="R1090" i="3"/>
  <c r="Q1091" i="3"/>
  <c r="R1091" i="3"/>
  <c r="Q1092" i="3"/>
  <c r="R1092" i="3"/>
  <c r="Q1093" i="3"/>
  <c r="R1093" i="3"/>
  <c r="Q1094" i="3"/>
  <c r="R1094" i="3"/>
  <c r="Q1095" i="3"/>
  <c r="R1095" i="3"/>
  <c r="Q1096" i="3"/>
  <c r="R1096" i="3"/>
  <c r="Q1097" i="3"/>
  <c r="R1097" i="3"/>
  <c r="Q1098" i="3"/>
  <c r="R1098" i="3"/>
  <c r="Q1099" i="3"/>
  <c r="R1099" i="3"/>
  <c r="Q1100" i="3"/>
  <c r="R1100" i="3"/>
  <c r="Q1101" i="3"/>
  <c r="R1101" i="3"/>
  <c r="Q1102" i="3"/>
  <c r="R1102" i="3"/>
  <c r="Q1103" i="3"/>
  <c r="R1103" i="3"/>
  <c r="Q1104" i="3"/>
  <c r="R1104" i="3"/>
  <c r="Q1105" i="3"/>
  <c r="R1105" i="3"/>
  <c r="Q1106" i="3"/>
  <c r="R1106" i="3"/>
  <c r="Q1107" i="3"/>
  <c r="R1107" i="3"/>
  <c r="Q1108" i="3"/>
  <c r="R1108" i="3"/>
  <c r="Q1109" i="3"/>
  <c r="R1109" i="3"/>
  <c r="Q1110" i="3"/>
  <c r="R1110" i="3"/>
  <c r="Q1111" i="3"/>
  <c r="R1111" i="3"/>
  <c r="Q1112" i="3"/>
  <c r="R1112" i="3"/>
  <c r="Q1113" i="3"/>
  <c r="R1113" i="3"/>
  <c r="Q1114" i="3"/>
  <c r="R1114" i="3"/>
  <c r="Q1115" i="3"/>
  <c r="R1115" i="3"/>
  <c r="Q1116" i="3"/>
  <c r="R1116" i="3"/>
  <c r="Q1117" i="3"/>
  <c r="R1117" i="3"/>
  <c r="Q1118" i="3"/>
  <c r="R1118" i="3"/>
  <c r="Q1119" i="3"/>
  <c r="R1119" i="3"/>
  <c r="Q1120" i="3"/>
  <c r="R1120" i="3"/>
  <c r="Q1121" i="3"/>
  <c r="R1121" i="3"/>
  <c r="Q1122" i="3"/>
  <c r="R1122" i="3"/>
  <c r="Q1123" i="3"/>
  <c r="R1123" i="3"/>
  <c r="Q1124" i="3"/>
  <c r="R1124" i="3"/>
  <c r="Q1125" i="3"/>
  <c r="R1125" i="3"/>
  <c r="Q1126" i="3"/>
  <c r="R1126" i="3"/>
  <c r="Q1127" i="3"/>
  <c r="R1127" i="3"/>
  <c r="Q1128" i="3"/>
  <c r="R1128" i="3"/>
  <c r="Q1129" i="3"/>
  <c r="R1129" i="3"/>
  <c r="Q1130" i="3"/>
  <c r="R1130" i="3"/>
  <c r="Q1131" i="3"/>
  <c r="R1131" i="3"/>
  <c r="Q1132" i="3"/>
  <c r="R1132" i="3"/>
  <c r="Q1133" i="3"/>
  <c r="R1133" i="3"/>
  <c r="Q1134" i="3"/>
  <c r="R1134" i="3"/>
  <c r="Q1135" i="3"/>
  <c r="R1135" i="3"/>
  <c r="Q1136" i="3"/>
  <c r="R1136" i="3"/>
  <c r="Q1137" i="3"/>
  <c r="R1137" i="3"/>
  <c r="Q1138" i="3"/>
  <c r="R1138" i="3"/>
  <c r="Q1139" i="3"/>
  <c r="R1139" i="3"/>
  <c r="Q1140" i="3"/>
  <c r="R1140" i="3"/>
  <c r="Q1141" i="3"/>
  <c r="R1141" i="3"/>
  <c r="Q1142" i="3"/>
  <c r="R1142" i="3"/>
  <c r="Q1143" i="3"/>
  <c r="R1143" i="3"/>
  <c r="Q1144" i="3"/>
  <c r="R1144" i="3"/>
  <c r="Q1145" i="3"/>
  <c r="R1145" i="3"/>
  <c r="Q1146" i="3"/>
  <c r="R1146" i="3"/>
  <c r="Q1147" i="3"/>
  <c r="R1147" i="3"/>
  <c r="Q1148" i="3"/>
  <c r="R1148" i="3"/>
  <c r="Q1149" i="3"/>
  <c r="R1149" i="3"/>
  <c r="Q1150" i="3"/>
  <c r="R1150" i="3"/>
  <c r="Q1151" i="3"/>
  <c r="R1151" i="3"/>
  <c r="Q1152" i="3"/>
  <c r="R1152" i="3"/>
  <c r="Q1153" i="3"/>
  <c r="R1153" i="3"/>
  <c r="Q1154" i="3"/>
  <c r="R1154" i="3"/>
  <c r="Q1155" i="3"/>
  <c r="R1155" i="3"/>
  <c r="Q1156" i="3"/>
  <c r="R1156" i="3"/>
  <c r="Q1157" i="3"/>
  <c r="R1157" i="3"/>
  <c r="Q1158" i="3"/>
  <c r="R1158" i="3"/>
  <c r="Q1159" i="3"/>
  <c r="R1159" i="3"/>
  <c r="Q1160" i="3"/>
  <c r="R1160" i="3"/>
  <c r="Q1161" i="3"/>
  <c r="R1161" i="3"/>
  <c r="Q1162" i="3"/>
  <c r="R1162" i="3"/>
  <c r="Q1163" i="3"/>
  <c r="R1163" i="3"/>
  <c r="Q1164" i="3"/>
  <c r="R1164" i="3"/>
  <c r="Q1165" i="3"/>
  <c r="R1165" i="3"/>
  <c r="Q1166" i="3"/>
  <c r="R1166" i="3"/>
  <c r="Q1167" i="3"/>
  <c r="R1167" i="3"/>
  <c r="Q1168" i="3"/>
  <c r="R1168" i="3"/>
  <c r="Q1169" i="3"/>
  <c r="R1169" i="3"/>
  <c r="Q1170" i="3"/>
  <c r="R1170" i="3"/>
  <c r="Q1171" i="3"/>
  <c r="R1171" i="3"/>
  <c r="Q1172" i="3"/>
  <c r="R1172" i="3"/>
  <c r="Q1173" i="3"/>
  <c r="R1173" i="3"/>
  <c r="Q1174" i="3"/>
  <c r="R1174" i="3"/>
  <c r="Q1175" i="3"/>
  <c r="R1175" i="3"/>
  <c r="Q1176" i="3"/>
  <c r="R1176" i="3"/>
  <c r="Q1177" i="3"/>
  <c r="R1177" i="3"/>
  <c r="Q1178" i="3"/>
  <c r="R1178" i="3"/>
  <c r="Q1179" i="3"/>
  <c r="R1179" i="3"/>
  <c r="Q1180" i="3"/>
  <c r="R1180" i="3"/>
  <c r="Q1181" i="3"/>
  <c r="R1181" i="3"/>
  <c r="Q1182" i="3"/>
  <c r="R1182" i="3"/>
  <c r="Q1183" i="3"/>
  <c r="R1183" i="3"/>
  <c r="Q1184" i="3"/>
  <c r="R1184" i="3"/>
  <c r="Q1185" i="3"/>
  <c r="R1185" i="3"/>
  <c r="Q1186" i="3"/>
  <c r="R1186" i="3"/>
  <c r="Q1187" i="3"/>
  <c r="R1187" i="3"/>
  <c r="Q1188" i="3"/>
  <c r="R1188" i="3"/>
  <c r="Q1189" i="3"/>
  <c r="R1189" i="3"/>
  <c r="Q1190" i="3"/>
  <c r="R1190" i="3"/>
  <c r="Q1191" i="3"/>
  <c r="R1191" i="3"/>
  <c r="Q1192" i="3"/>
  <c r="R1192" i="3"/>
  <c r="Q1193" i="3"/>
  <c r="R1193" i="3"/>
  <c r="Q1194" i="3"/>
  <c r="R1194" i="3"/>
  <c r="Q1195" i="3"/>
  <c r="R1195" i="3"/>
  <c r="Q1196" i="3"/>
  <c r="R1196" i="3"/>
  <c r="Q1197" i="3"/>
  <c r="R1197" i="3"/>
  <c r="Q1198" i="3"/>
  <c r="R1198" i="3"/>
  <c r="Q1199" i="3"/>
  <c r="R1199" i="3"/>
  <c r="Q1200" i="3"/>
  <c r="R1200" i="3"/>
  <c r="Q1201" i="3"/>
  <c r="R1201" i="3"/>
  <c r="Q1202" i="3"/>
  <c r="R1202" i="3"/>
  <c r="Q1203" i="3"/>
  <c r="R1203" i="3"/>
  <c r="Q1204" i="3"/>
  <c r="R1204" i="3"/>
  <c r="Q1205" i="3"/>
  <c r="R1205" i="3"/>
  <c r="Q1206" i="3"/>
  <c r="R1206" i="3"/>
  <c r="Q1207" i="3"/>
  <c r="R1207" i="3"/>
  <c r="Q1208" i="3"/>
  <c r="R1208" i="3"/>
  <c r="Q1209" i="3"/>
  <c r="R1209" i="3"/>
  <c r="Q1210" i="3"/>
  <c r="R1210" i="3"/>
  <c r="Q1211" i="3"/>
  <c r="R1211" i="3"/>
  <c r="Q1212" i="3"/>
  <c r="R1212" i="3"/>
  <c r="Q1213" i="3"/>
  <c r="R1213" i="3"/>
  <c r="Q1214" i="3"/>
  <c r="R1214" i="3"/>
  <c r="Q1215" i="3"/>
  <c r="R1215" i="3"/>
  <c r="Q1216" i="3"/>
  <c r="R1216" i="3"/>
  <c r="Q1217" i="3"/>
  <c r="R1217" i="3"/>
  <c r="Q1218" i="3"/>
  <c r="R1218" i="3"/>
  <c r="Q1219" i="3"/>
  <c r="R1219" i="3"/>
  <c r="Q1220" i="3"/>
  <c r="R1220" i="3"/>
  <c r="Q1221" i="3"/>
  <c r="R1221" i="3"/>
  <c r="Q1222" i="3"/>
  <c r="R1222" i="3"/>
  <c r="Q1223" i="3"/>
  <c r="R1223" i="3"/>
  <c r="Q1224" i="3"/>
  <c r="R1224" i="3"/>
  <c r="Q1225" i="3"/>
  <c r="R1225" i="3"/>
  <c r="Q1226" i="3"/>
  <c r="R1226" i="3"/>
  <c r="Q1227" i="3"/>
  <c r="R1227" i="3"/>
  <c r="Q1228" i="3"/>
  <c r="R1228" i="3"/>
  <c r="Q1229" i="3"/>
  <c r="R1229" i="3"/>
  <c r="Q1230" i="3"/>
  <c r="R1230" i="3"/>
  <c r="Q1231" i="3"/>
  <c r="R1231" i="3"/>
  <c r="Q1232" i="3"/>
  <c r="R1232" i="3"/>
  <c r="Q1233" i="3"/>
  <c r="R1233" i="3"/>
  <c r="Q1234" i="3"/>
  <c r="R1234" i="3"/>
  <c r="Q1235" i="3"/>
  <c r="R1235" i="3"/>
  <c r="Q1236" i="3"/>
  <c r="R1236" i="3"/>
  <c r="Q1237" i="3"/>
  <c r="R1237" i="3"/>
  <c r="Q1238" i="3"/>
  <c r="R1238" i="3"/>
  <c r="Q1239" i="3"/>
  <c r="R1239" i="3"/>
  <c r="Q1240" i="3"/>
  <c r="R1240" i="3"/>
  <c r="Q1241" i="3"/>
  <c r="R1241" i="3"/>
  <c r="Q1242" i="3"/>
  <c r="R1242" i="3"/>
  <c r="Q1243" i="3"/>
  <c r="R1243" i="3"/>
  <c r="Q1244" i="3"/>
  <c r="R1244" i="3"/>
  <c r="Q1245" i="3"/>
  <c r="R1245" i="3"/>
  <c r="Q1246" i="3"/>
  <c r="R1246" i="3"/>
  <c r="Q1247" i="3"/>
  <c r="R1247" i="3"/>
  <c r="Q1248" i="3"/>
  <c r="R1248" i="3"/>
  <c r="Q1249" i="3"/>
  <c r="R1249" i="3"/>
  <c r="Q1250" i="3"/>
  <c r="R1250" i="3"/>
  <c r="Q1251" i="3"/>
  <c r="R1251" i="3"/>
  <c r="Q1252" i="3"/>
  <c r="R1252" i="3"/>
  <c r="Q1253" i="3"/>
  <c r="R1253" i="3"/>
  <c r="Q1254" i="3"/>
  <c r="R1254" i="3"/>
  <c r="Q1255" i="3"/>
  <c r="R1255" i="3"/>
  <c r="Q1256" i="3"/>
  <c r="R1256" i="3"/>
  <c r="Q1257" i="3"/>
  <c r="R1257" i="3"/>
  <c r="Q1258" i="3"/>
  <c r="R1258" i="3"/>
  <c r="Q1259" i="3"/>
  <c r="R1259" i="3"/>
  <c r="Q1260" i="3"/>
  <c r="R1260" i="3"/>
  <c r="Q1261" i="3"/>
  <c r="R1261" i="3"/>
  <c r="Q1262" i="3"/>
  <c r="R1262" i="3"/>
  <c r="Q1263" i="3"/>
  <c r="R1263" i="3"/>
  <c r="Q1264" i="3"/>
  <c r="R1264" i="3"/>
  <c r="Q1265" i="3"/>
  <c r="R1265" i="3"/>
  <c r="Q1266" i="3"/>
  <c r="R1266" i="3"/>
  <c r="Q1267" i="3"/>
  <c r="R1267" i="3"/>
  <c r="Q1268" i="3"/>
  <c r="R1268" i="3"/>
  <c r="Q1269" i="3"/>
  <c r="R1269" i="3"/>
  <c r="Q1270" i="3"/>
  <c r="R1270" i="3"/>
  <c r="Q1271" i="3"/>
  <c r="R1271" i="3"/>
  <c r="Q1272" i="3"/>
  <c r="R1272" i="3"/>
  <c r="Q1273" i="3"/>
  <c r="R1273" i="3"/>
  <c r="Q1274" i="3"/>
  <c r="R1274" i="3"/>
  <c r="Q1275" i="3"/>
  <c r="R1275" i="3"/>
  <c r="Q1276" i="3"/>
  <c r="R1276" i="3"/>
  <c r="Q1277" i="3"/>
  <c r="R1277" i="3"/>
  <c r="Q1278" i="3"/>
  <c r="R1278" i="3"/>
  <c r="Q1279" i="3"/>
  <c r="R1279" i="3"/>
  <c r="Q1280" i="3"/>
  <c r="R1280" i="3"/>
  <c r="Q1281" i="3"/>
  <c r="R1281" i="3"/>
  <c r="Q1282" i="3"/>
  <c r="R1282" i="3"/>
  <c r="Q1283" i="3"/>
  <c r="R1283" i="3"/>
  <c r="Q1284" i="3"/>
  <c r="R1284" i="3"/>
  <c r="Q1285" i="3"/>
  <c r="R1285" i="3"/>
  <c r="Q1286" i="3"/>
  <c r="R1286" i="3"/>
  <c r="Q1287" i="3"/>
  <c r="R1287" i="3"/>
  <c r="Q1288" i="3"/>
  <c r="R1288" i="3"/>
  <c r="Q1289" i="3"/>
  <c r="R1289" i="3"/>
  <c r="Q1290" i="3"/>
  <c r="R1290" i="3"/>
  <c r="Q1291" i="3"/>
  <c r="R1291" i="3"/>
  <c r="Q1292" i="3"/>
  <c r="R1292" i="3"/>
  <c r="Q1293" i="3"/>
  <c r="R1293" i="3"/>
  <c r="Q1294" i="3"/>
  <c r="R1294" i="3"/>
  <c r="Q1295" i="3"/>
  <c r="R1295" i="3"/>
  <c r="Q1296" i="3"/>
  <c r="R1296" i="3"/>
  <c r="Q1297" i="3"/>
  <c r="R1297" i="3"/>
  <c r="Q1298" i="3"/>
  <c r="R1298" i="3"/>
  <c r="Q1299" i="3"/>
  <c r="R1299" i="3"/>
  <c r="Q1300" i="3"/>
  <c r="R1300" i="3"/>
  <c r="Q1301" i="3"/>
  <c r="R1301" i="3"/>
  <c r="Q1302" i="3"/>
  <c r="R1302" i="3"/>
  <c r="Q1303" i="3"/>
  <c r="R1303" i="3"/>
  <c r="Q1304" i="3"/>
  <c r="R1304" i="3"/>
  <c r="Q1305" i="3"/>
  <c r="R1305" i="3"/>
  <c r="Q1306" i="3"/>
  <c r="R1306" i="3"/>
  <c r="Q1307" i="3"/>
  <c r="R1307" i="3"/>
  <c r="Q1308" i="3"/>
  <c r="R1308" i="3"/>
  <c r="Q1309" i="3"/>
  <c r="R1309" i="3"/>
  <c r="Q1310" i="3"/>
  <c r="R1310" i="3"/>
  <c r="Q1311" i="3"/>
  <c r="R1311" i="3"/>
  <c r="Q1312" i="3"/>
  <c r="R1312" i="3"/>
  <c r="Q1313" i="3"/>
  <c r="R1313" i="3"/>
  <c r="Q1314" i="3"/>
  <c r="R1314" i="3"/>
  <c r="Q1315" i="3"/>
  <c r="R1315" i="3"/>
  <c r="Q1316" i="3"/>
  <c r="R1316" i="3"/>
  <c r="Q1317" i="3"/>
  <c r="R1317" i="3"/>
  <c r="Q1318" i="3"/>
  <c r="R1318" i="3"/>
  <c r="Q1319" i="3"/>
  <c r="R1319" i="3"/>
  <c r="Q1320" i="3"/>
  <c r="R1320" i="3"/>
  <c r="Q1321" i="3"/>
  <c r="R1321" i="3"/>
  <c r="Q1322" i="3"/>
  <c r="R1322" i="3"/>
  <c r="Q1323" i="3"/>
  <c r="R1323" i="3"/>
  <c r="Q1324" i="3"/>
  <c r="R1324" i="3"/>
  <c r="Q1325" i="3"/>
  <c r="R1325" i="3"/>
  <c r="Q1326" i="3"/>
  <c r="R1326" i="3"/>
  <c r="Q1327" i="3"/>
  <c r="R1327" i="3"/>
  <c r="Q1328" i="3"/>
  <c r="R1328" i="3"/>
  <c r="Q1329" i="3"/>
  <c r="R1329" i="3"/>
  <c r="Q1330" i="3"/>
  <c r="R1330" i="3"/>
  <c r="Q1331" i="3"/>
  <c r="R1331" i="3"/>
  <c r="Q1332" i="3"/>
  <c r="R1332" i="3"/>
  <c r="Q1333" i="3"/>
  <c r="R1333" i="3"/>
  <c r="Q1334" i="3"/>
  <c r="R1334" i="3"/>
  <c r="Q1335" i="3"/>
  <c r="R1335" i="3"/>
  <c r="Q1336" i="3"/>
  <c r="R1336" i="3"/>
  <c r="Q1337" i="3"/>
  <c r="R1337" i="3"/>
  <c r="Q1338" i="3"/>
  <c r="R1338" i="3"/>
  <c r="Q1339" i="3"/>
  <c r="R1339" i="3"/>
  <c r="Q1340" i="3"/>
  <c r="R1340" i="3"/>
  <c r="Q1341" i="3"/>
  <c r="R1341" i="3"/>
  <c r="Q1342" i="3"/>
  <c r="R1342" i="3"/>
  <c r="Q1343" i="3"/>
  <c r="R1343" i="3"/>
  <c r="Q1344" i="3"/>
  <c r="R1344" i="3"/>
  <c r="Q1345" i="3"/>
  <c r="R1345" i="3"/>
  <c r="Q1346" i="3"/>
  <c r="R1346" i="3"/>
  <c r="Q1347" i="3"/>
  <c r="R1347" i="3"/>
  <c r="Q1348" i="3"/>
  <c r="R1348" i="3"/>
  <c r="Q1349" i="3"/>
  <c r="R1349" i="3"/>
  <c r="Q1350" i="3"/>
  <c r="R1350" i="3"/>
  <c r="Q1351" i="3"/>
  <c r="R1351" i="3"/>
  <c r="Q1352" i="3"/>
  <c r="R1352" i="3"/>
  <c r="Q1353" i="3"/>
  <c r="R1353" i="3"/>
  <c r="Q1354" i="3"/>
  <c r="R1354" i="3"/>
  <c r="Q1355" i="3"/>
  <c r="R1355" i="3"/>
  <c r="Q1356" i="3"/>
  <c r="R1356" i="3"/>
  <c r="Q1357" i="3"/>
  <c r="R1357" i="3"/>
  <c r="Q1358" i="3"/>
  <c r="R1358" i="3"/>
  <c r="Q1359" i="3"/>
  <c r="R1359" i="3"/>
  <c r="Q1360" i="3"/>
  <c r="R1360" i="3"/>
  <c r="Q1361" i="3"/>
  <c r="R1361" i="3"/>
  <c r="Q1362" i="3"/>
  <c r="R1362" i="3"/>
  <c r="Q1363" i="3"/>
  <c r="R1363" i="3"/>
  <c r="Q1364" i="3"/>
  <c r="R1364" i="3"/>
  <c r="Q1365" i="3"/>
  <c r="R1365" i="3"/>
  <c r="Q1366" i="3"/>
  <c r="R1366" i="3"/>
  <c r="Q1367" i="3"/>
  <c r="R1367" i="3"/>
  <c r="Q1368" i="3"/>
  <c r="R1368" i="3"/>
  <c r="Q1369" i="3"/>
  <c r="R1369" i="3"/>
  <c r="Q1370" i="3"/>
  <c r="R1370" i="3"/>
  <c r="Q1371" i="3"/>
  <c r="R1371" i="3"/>
  <c r="Q1372" i="3"/>
  <c r="R1372" i="3"/>
  <c r="Q1373" i="3"/>
  <c r="R1373" i="3"/>
  <c r="Q1374" i="3"/>
  <c r="R1374" i="3"/>
  <c r="Q1375" i="3"/>
  <c r="R1375" i="3"/>
  <c r="Q1376" i="3"/>
  <c r="R1376" i="3"/>
  <c r="Q1377" i="3"/>
  <c r="R1377" i="3"/>
  <c r="Q1378" i="3"/>
  <c r="R1378" i="3"/>
  <c r="Q1379" i="3"/>
  <c r="R1379" i="3"/>
  <c r="Q1380" i="3"/>
  <c r="R1380" i="3"/>
  <c r="Q1381" i="3"/>
  <c r="R1381" i="3"/>
  <c r="Q1382" i="3"/>
  <c r="R1382" i="3"/>
  <c r="Q1383" i="3"/>
  <c r="R1383" i="3"/>
  <c r="Q1384" i="3"/>
  <c r="R1384" i="3"/>
  <c r="Q1385" i="3"/>
  <c r="R1385" i="3"/>
  <c r="Q1386" i="3"/>
  <c r="R1386" i="3"/>
  <c r="Q1387" i="3"/>
  <c r="R1387" i="3"/>
  <c r="Q1388" i="3"/>
  <c r="R1388" i="3"/>
  <c r="Q1389" i="3"/>
  <c r="R1389" i="3"/>
  <c r="Q1390" i="3"/>
  <c r="R1390" i="3"/>
  <c r="Q1391" i="3"/>
  <c r="R1391" i="3"/>
  <c r="Q1392" i="3"/>
  <c r="R1392" i="3"/>
  <c r="Q1393" i="3"/>
  <c r="R1393" i="3"/>
  <c r="Q1394" i="3"/>
  <c r="R1394" i="3"/>
  <c r="Q1395" i="3"/>
  <c r="R1395" i="3"/>
  <c r="Q1396" i="3"/>
  <c r="R1396" i="3"/>
  <c r="Q1397" i="3"/>
  <c r="R1397" i="3"/>
  <c r="Q1398" i="3"/>
  <c r="R1398" i="3"/>
  <c r="Q1399" i="3"/>
  <c r="R1399" i="3"/>
  <c r="Q1400" i="3"/>
  <c r="R1400" i="3"/>
  <c r="Q1401" i="3"/>
  <c r="R1401" i="3"/>
  <c r="Q1402" i="3"/>
  <c r="R1402" i="3"/>
  <c r="Q1403" i="3"/>
  <c r="R1403" i="3"/>
  <c r="Q1404" i="3"/>
  <c r="R1404" i="3"/>
  <c r="Q1405" i="3"/>
  <c r="R1405" i="3"/>
  <c r="Q1406" i="3"/>
  <c r="R1406" i="3"/>
  <c r="Q1407" i="3"/>
  <c r="R1407" i="3"/>
  <c r="Q1408" i="3"/>
  <c r="R1408" i="3"/>
  <c r="Q1409" i="3"/>
  <c r="R1409" i="3"/>
  <c r="Q1410" i="3"/>
  <c r="R1410" i="3"/>
  <c r="Q1411" i="3"/>
  <c r="R1411" i="3"/>
  <c r="Q1412" i="3"/>
  <c r="R1412" i="3"/>
  <c r="Q1413" i="3"/>
  <c r="R1413" i="3"/>
  <c r="Q1414" i="3"/>
  <c r="R1414" i="3"/>
  <c r="Q1415" i="3"/>
  <c r="R1415" i="3"/>
  <c r="Q1416" i="3"/>
  <c r="R1416" i="3"/>
  <c r="Q1417" i="3"/>
  <c r="R1417" i="3"/>
  <c r="Q1418" i="3"/>
  <c r="R1418" i="3"/>
  <c r="Q1419" i="3"/>
  <c r="R1419" i="3"/>
  <c r="Q1420" i="3"/>
  <c r="R1420" i="3"/>
  <c r="Q1421" i="3"/>
  <c r="R1421" i="3"/>
  <c r="Q1422" i="3"/>
  <c r="R1422" i="3"/>
  <c r="Q1423" i="3"/>
  <c r="R1423" i="3"/>
  <c r="Q1424" i="3"/>
  <c r="R1424" i="3"/>
  <c r="Q1425" i="3"/>
  <c r="R1425" i="3"/>
  <c r="Q1426" i="3"/>
  <c r="R1426" i="3"/>
  <c r="Q1427" i="3"/>
  <c r="R1427" i="3"/>
  <c r="Q1428" i="3"/>
  <c r="R1428" i="3"/>
  <c r="Q1429" i="3"/>
  <c r="R1429" i="3"/>
  <c r="Q1430" i="3"/>
  <c r="R1430" i="3"/>
  <c r="Q1431" i="3"/>
  <c r="R1431" i="3"/>
  <c r="Q1432" i="3"/>
  <c r="R1432" i="3"/>
  <c r="Q1433" i="3"/>
  <c r="R1433" i="3"/>
  <c r="Q1434" i="3"/>
  <c r="R1434" i="3"/>
  <c r="Q1435" i="3"/>
  <c r="R1435" i="3"/>
  <c r="Q1436" i="3"/>
  <c r="R1436" i="3"/>
  <c r="Q1437" i="3"/>
  <c r="R1437" i="3"/>
  <c r="Q1438" i="3"/>
  <c r="R1438" i="3"/>
  <c r="Q1439" i="3"/>
  <c r="R1439" i="3"/>
  <c r="Q1440" i="3"/>
  <c r="R1440" i="3"/>
  <c r="Q1441" i="3"/>
  <c r="R1441" i="3"/>
  <c r="Q1442" i="3"/>
  <c r="R1442" i="3"/>
  <c r="Q1443" i="3"/>
  <c r="R1443" i="3"/>
  <c r="Q1444" i="3"/>
  <c r="R1444" i="3"/>
  <c r="Q1445" i="3"/>
  <c r="R1445" i="3"/>
  <c r="Q1446" i="3"/>
  <c r="R1446" i="3"/>
  <c r="Q1447" i="3"/>
  <c r="R1447" i="3"/>
  <c r="Q1448" i="3"/>
  <c r="R1448" i="3"/>
  <c r="Q1449" i="3"/>
  <c r="R1449" i="3"/>
  <c r="Q1450" i="3"/>
  <c r="R1450" i="3"/>
  <c r="Q1451" i="3"/>
  <c r="R1451" i="3"/>
  <c r="Q1452" i="3"/>
  <c r="R1452" i="3"/>
  <c r="Q1453" i="3"/>
  <c r="R1453" i="3"/>
  <c r="Q1454" i="3"/>
  <c r="R1454" i="3"/>
  <c r="Q1455" i="3"/>
  <c r="R1455" i="3"/>
  <c r="Q1456" i="3"/>
  <c r="R1456" i="3"/>
  <c r="Q1457" i="3"/>
  <c r="R1457" i="3"/>
  <c r="Q1458" i="3"/>
  <c r="R1458" i="3"/>
  <c r="Q1459" i="3"/>
  <c r="R1459" i="3"/>
  <c r="Q1460" i="3"/>
  <c r="R1460" i="3"/>
  <c r="Q1461" i="3"/>
  <c r="R1461" i="3"/>
  <c r="Q1462" i="3"/>
  <c r="R1462" i="3"/>
  <c r="Q1463" i="3"/>
  <c r="R1463" i="3"/>
  <c r="Q1464" i="3"/>
  <c r="R1464" i="3"/>
  <c r="Q1465" i="3"/>
  <c r="R1465" i="3"/>
  <c r="Q1466" i="3"/>
  <c r="R1466" i="3"/>
  <c r="Q1467" i="3"/>
  <c r="R1467" i="3"/>
  <c r="Q1468" i="3"/>
  <c r="R1468" i="3"/>
  <c r="Q1469" i="3"/>
  <c r="R1469" i="3"/>
  <c r="Q1470" i="3"/>
  <c r="R1470" i="3"/>
  <c r="Q1471" i="3"/>
  <c r="R1471" i="3"/>
  <c r="Q1472" i="3"/>
  <c r="R1472" i="3"/>
  <c r="Q1473" i="3"/>
  <c r="R1473" i="3"/>
  <c r="Q1474" i="3"/>
  <c r="R1474" i="3"/>
  <c r="Q1475" i="3"/>
  <c r="R1475" i="3"/>
  <c r="Q1476" i="3"/>
  <c r="R1476" i="3"/>
  <c r="Q1477" i="3"/>
  <c r="R1477" i="3"/>
  <c r="Q1478" i="3"/>
  <c r="R1478" i="3"/>
  <c r="Q1479" i="3"/>
  <c r="R1479" i="3"/>
  <c r="Q1480" i="3"/>
  <c r="R1480" i="3"/>
  <c r="Q1481" i="3"/>
  <c r="R1481" i="3"/>
  <c r="Q1482" i="3"/>
  <c r="R1482" i="3"/>
  <c r="Q1483" i="3"/>
  <c r="R1483" i="3"/>
  <c r="Q1484" i="3"/>
  <c r="R1484" i="3"/>
  <c r="Q1485" i="3"/>
  <c r="R1485" i="3"/>
  <c r="Q1486" i="3"/>
  <c r="R1486" i="3"/>
  <c r="Q1487" i="3"/>
  <c r="R1487" i="3"/>
  <c r="Q1488" i="3"/>
  <c r="R1488" i="3"/>
  <c r="Q1489" i="3"/>
  <c r="R1489" i="3"/>
  <c r="Q1490" i="3"/>
  <c r="R1490" i="3"/>
  <c r="Q1491" i="3"/>
  <c r="R1491" i="3"/>
  <c r="Q1492" i="3"/>
  <c r="R1492" i="3"/>
  <c r="Q1493" i="3"/>
  <c r="R1493" i="3"/>
  <c r="Q1494" i="3"/>
  <c r="R1494" i="3"/>
  <c r="Q1495" i="3"/>
  <c r="R1495" i="3"/>
  <c r="Q1496" i="3"/>
  <c r="R1496" i="3"/>
  <c r="Q1497" i="3"/>
  <c r="R1497" i="3"/>
  <c r="Q1498" i="3"/>
  <c r="R1498" i="3"/>
  <c r="Q1499" i="3"/>
  <c r="R1499" i="3"/>
  <c r="Q1500" i="3"/>
  <c r="R1500" i="3"/>
  <c r="Q1501" i="3"/>
  <c r="R1501" i="3"/>
  <c r="Q1502" i="3"/>
  <c r="R1502" i="3"/>
  <c r="Q1503" i="3"/>
  <c r="R1503" i="3"/>
  <c r="Q1504" i="3"/>
  <c r="R1504" i="3"/>
  <c r="Q1505" i="3"/>
  <c r="R1505" i="3"/>
  <c r="Q1506" i="3"/>
  <c r="R1506" i="3"/>
  <c r="Q1507" i="3"/>
  <c r="R1507" i="3"/>
  <c r="Q1508" i="3"/>
  <c r="R1508" i="3"/>
  <c r="Q1509" i="3"/>
  <c r="R1509" i="3"/>
  <c r="Q1510" i="3"/>
  <c r="R1510" i="3"/>
  <c r="Q1511" i="3"/>
  <c r="R1511" i="3"/>
  <c r="Q1512" i="3"/>
  <c r="R1512" i="3"/>
  <c r="Q1513" i="3"/>
  <c r="R1513" i="3"/>
  <c r="Q1514" i="3"/>
  <c r="R1514" i="3"/>
  <c r="Q1515" i="3"/>
  <c r="R1515" i="3"/>
  <c r="Q1516" i="3"/>
  <c r="R1516" i="3"/>
  <c r="Q1517" i="3"/>
  <c r="R1517" i="3"/>
  <c r="Q1518" i="3"/>
  <c r="R1518" i="3"/>
  <c r="Q1519" i="3"/>
  <c r="R1519" i="3"/>
  <c r="Q1520" i="3"/>
  <c r="R1520" i="3"/>
  <c r="Q1521" i="3"/>
  <c r="R1521" i="3"/>
  <c r="Q1522" i="3"/>
  <c r="R1522" i="3"/>
  <c r="Q1523" i="3"/>
  <c r="R1523" i="3"/>
  <c r="Q1524" i="3"/>
  <c r="R1524" i="3"/>
  <c r="Q1525" i="3"/>
  <c r="R1525" i="3"/>
  <c r="Q1526" i="3"/>
  <c r="R1526" i="3"/>
  <c r="Q1527" i="3"/>
  <c r="R1527" i="3"/>
  <c r="Q1528" i="3"/>
  <c r="R1528" i="3"/>
  <c r="Q1529" i="3"/>
  <c r="R1529" i="3"/>
  <c r="Q1530" i="3"/>
  <c r="R1530" i="3"/>
  <c r="Q1531" i="3"/>
  <c r="R1531" i="3"/>
  <c r="Q1532" i="3"/>
  <c r="R1532" i="3"/>
  <c r="Q1533" i="3"/>
  <c r="R1533" i="3"/>
  <c r="Q1534" i="3"/>
  <c r="R1534" i="3"/>
  <c r="Q1535" i="3"/>
  <c r="R1535" i="3"/>
  <c r="Q1536" i="3"/>
  <c r="R1536" i="3"/>
  <c r="Q1537" i="3"/>
  <c r="R1537" i="3"/>
  <c r="Q1538" i="3"/>
  <c r="R1538" i="3"/>
  <c r="Q1539" i="3"/>
  <c r="R1539" i="3"/>
  <c r="Q1540" i="3"/>
  <c r="R1540" i="3"/>
  <c r="Q1541" i="3"/>
  <c r="R1541" i="3"/>
  <c r="Q1542" i="3"/>
  <c r="R1542" i="3"/>
  <c r="Q1543" i="3"/>
  <c r="R1543" i="3"/>
  <c r="Q1544" i="3"/>
  <c r="R1544" i="3"/>
  <c r="Q1545" i="3"/>
  <c r="R1545" i="3"/>
  <c r="Q1546" i="3"/>
  <c r="R1546" i="3"/>
  <c r="Q1547" i="3"/>
  <c r="R1547" i="3"/>
  <c r="Q1548" i="3"/>
  <c r="R1548" i="3"/>
  <c r="Q1549" i="3"/>
  <c r="R1549" i="3"/>
  <c r="Q1550" i="3"/>
  <c r="R1550" i="3"/>
  <c r="Q1551" i="3"/>
  <c r="R1551" i="3"/>
  <c r="Q1552" i="3"/>
  <c r="R1552" i="3"/>
  <c r="Q1553" i="3"/>
  <c r="R1553" i="3"/>
  <c r="Q1554" i="3"/>
  <c r="R1554" i="3"/>
  <c r="Q1555" i="3"/>
  <c r="R1555" i="3"/>
  <c r="Q1556" i="3"/>
  <c r="R1556" i="3"/>
  <c r="Q1557" i="3"/>
  <c r="R1557" i="3"/>
  <c r="Q1558" i="3"/>
  <c r="R1558" i="3"/>
  <c r="Q1559" i="3"/>
  <c r="R1559" i="3"/>
  <c r="Q1560" i="3"/>
  <c r="R1560" i="3"/>
  <c r="Q1561" i="3"/>
  <c r="R1561" i="3"/>
  <c r="Q1562" i="3"/>
  <c r="R1562" i="3"/>
  <c r="Q1563" i="3"/>
  <c r="R1563" i="3"/>
  <c r="Q1564" i="3"/>
  <c r="R1564" i="3"/>
  <c r="Q1565" i="3"/>
  <c r="R1565" i="3"/>
  <c r="Q1566" i="3"/>
  <c r="R1566" i="3"/>
  <c r="Q1567" i="3"/>
  <c r="R1567" i="3"/>
  <c r="Q1568" i="3"/>
  <c r="R1568" i="3"/>
  <c r="Q1569" i="3"/>
  <c r="R1569" i="3"/>
  <c r="Q1570" i="3"/>
  <c r="R1570" i="3"/>
  <c r="Q1571" i="3"/>
  <c r="R1571" i="3"/>
  <c r="Q1572" i="3"/>
  <c r="R1572" i="3"/>
  <c r="Q1573" i="3"/>
  <c r="R1573" i="3"/>
  <c r="Q1574" i="3"/>
  <c r="R1574" i="3"/>
  <c r="Q1575" i="3"/>
  <c r="R1575" i="3"/>
  <c r="Q1576" i="3"/>
  <c r="R1576" i="3"/>
  <c r="Q1577" i="3"/>
  <c r="R1577" i="3"/>
  <c r="Q1578" i="3"/>
  <c r="R1578" i="3"/>
  <c r="Q1579" i="3"/>
  <c r="R1579" i="3"/>
  <c r="Q1580" i="3"/>
  <c r="R1580" i="3"/>
  <c r="Q1581" i="3"/>
  <c r="R1581" i="3"/>
  <c r="Q1582" i="3"/>
  <c r="R1582" i="3"/>
  <c r="Q1583" i="3"/>
  <c r="R1583" i="3"/>
  <c r="Q1584" i="3"/>
  <c r="R1584" i="3"/>
  <c r="Q1585" i="3"/>
  <c r="R1585" i="3"/>
  <c r="Q1586" i="3"/>
  <c r="R1586" i="3"/>
  <c r="Q1587" i="3"/>
  <c r="R1587" i="3"/>
  <c r="Q1588" i="3"/>
  <c r="R1588" i="3"/>
  <c r="Q1589" i="3"/>
  <c r="R1589" i="3"/>
  <c r="Q1590" i="3"/>
  <c r="R1590" i="3"/>
  <c r="Q1591" i="3"/>
  <c r="R1591" i="3"/>
  <c r="Q1592" i="3"/>
  <c r="R1592" i="3"/>
  <c r="Q1593" i="3"/>
  <c r="R1593" i="3"/>
  <c r="Q1594" i="3"/>
  <c r="R1594" i="3"/>
  <c r="Q1595" i="3"/>
  <c r="R1595" i="3"/>
  <c r="Q1596" i="3"/>
  <c r="R1596" i="3"/>
  <c r="Q1597" i="3"/>
  <c r="R1597" i="3"/>
  <c r="Q1598" i="3"/>
  <c r="R1598" i="3"/>
  <c r="Q1599" i="3"/>
  <c r="R1599" i="3"/>
  <c r="Q1600" i="3"/>
  <c r="R1600" i="3"/>
  <c r="Q1601" i="3"/>
  <c r="R1601" i="3"/>
  <c r="Q1602" i="3"/>
  <c r="R1602" i="3"/>
  <c r="Q1603" i="3"/>
  <c r="R1603" i="3"/>
  <c r="Q1604" i="3"/>
  <c r="R1604" i="3"/>
  <c r="Q1605" i="3"/>
  <c r="R1605" i="3"/>
  <c r="Q1606" i="3"/>
  <c r="R1606" i="3"/>
  <c r="Q1607" i="3"/>
  <c r="R1607" i="3"/>
  <c r="Q1608" i="3"/>
  <c r="R1608" i="3"/>
  <c r="Q1609" i="3"/>
  <c r="R1609" i="3"/>
  <c r="Q1610" i="3"/>
  <c r="R1610" i="3"/>
  <c r="Q1611" i="3"/>
  <c r="R1611" i="3"/>
  <c r="Q1612" i="3"/>
  <c r="R1612" i="3"/>
  <c r="Q1613" i="3"/>
  <c r="R1613" i="3"/>
  <c r="Q1614" i="3"/>
  <c r="R1614" i="3"/>
  <c r="Q1615" i="3"/>
  <c r="R1615" i="3"/>
  <c r="Q1616" i="3"/>
  <c r="R1616" i="3"/>
  <c r="Q1617" i="3"/>
  <c r="R1617" i="3"/>
  <c r="Q1618" i="3"/>
  <c r="R1618" i="3"/>
  <c r="Q1619" i="3"/>
  <c r="R1619" i="3"/>
  <c r="Q1620" i="3"/>
  <c r="R1620" i="3"/>
  <c r="Q1621" i="3"/>
  <c r="R1621" i="3"/>
  <c r="Q1622" i="3"/>
  <c r="R1622" i="3"/>
  <c r="Q1623" i="3"/>
  <c r="R1623" i="3"/>
  <c r="Q1624" i="3"/>
  <c r="R1624" i="3"/>
  <c r="Q1625" i="3"/>
  <c r="R1625" i="3"/>
  <c r="Q1626" i="3"/>
  <c r="R1626" i="3"/>
  <c r="Q1627" i="3"/>
  <c r="R1627" i="3"/>
  <c r="Q1628" i="3"/>
  <c r="R1628" i="3"/>
  <c r="Q1629" i="3"/>
  <c r="R1629" i="3"/>
  <c r="Q1630" i="3"/>
  <c r="R1630" i="3"/>
  <c r="Q1631" i="3"/>
  <c r="R1631" i="3"/>
  <c r="Q1632" i="3"/>
  <c r="R1632" i="3"/>
  <c r="Q1633" i="3"/>
  <c r="R1633" i="3"/>
  <c r="Q1634" i="3"/>
  <c r="R1634" i="3"/>
  <c r="Q1635" i="3"/>
  <c r="R1635" i="3"/>
  <c r="Q1636" i="3"/>
  <c r="R1636" i="3"/>
  <c r="Q1637" i="3"/>
  <c r="R1637" i="3"/>
  <c r="Q1638" i="3"/>
  <c r="R1638" i="3"/>
  <c r="Q1639" i="3"/>
  <c r="R1639" i="3"/>
  <c r="Q1640" i="3"/>
  <c r="R1640" i="3"/>
  <c r="Q1641" i="3"/>
  <c r="R1641" i="3"/>
  <c r="Q1642" i="3"/>
  <c r="R1642" i="3"/>
  <c r="Q1643" i="3"/>
  <c r="R1643" i="3"/>
  <c r="Q1644" i="3"/>
  <c r="R1644" i="3"/>
  <c r="Q1645" i="3"/>
  <c r="R1645" i="3"/>
  <c r="Q1646" i="3"/>
  <c r="R1646" i="3"/>
  <c r="Q1647" i="3"/>
  <c r="R1647" i="3"/>
  <c r="Q1648" i="3"/>
  <c r="R1648" i="3"/>
  <c r="Q1649" i="3"/>
  <c r="R1649" i="3"/>
  <c r="Q1650" i="3"/>
  <c r="R1650" i="3"/>
  <c r="Q1651" i="3"/>
  <c r="R1651" i="3"/>
  <c r="Q1652" i="3"/>
  <c r="R1652" i="3"/>
  <c r="Q1653" i="3"/>
  <c r="R1653" i="3"/>
  <c r="Q1654" i="3"/>
  <c r="R1654" i="3"/>
  <c r="Q1655" i="3"/>
  <c r="R1655" i="3"/>
  <c r="Q1656" i="3"/>
  <c r="R1656" i="3"/>
  <c r="Q1657" i="3"/>
  <c r="R1657" i="3"/>
  <c r="Q1658" i="3"/>
  <c r="R1658" i="3"/>
  <c r="Q1659" i="3"/>
  <c r="R1659" i="3"/>
  <c r="Q1660" i="3"/>
  <c r="R1660" i="3"/>
  <c r="Q1661" i="3"/>
  <c r="R1661" i="3"/>
  <c r="Q1662" i="3"/>
  <c r="R1662" i="3"/>
  <c r="Q1663" i="3"/>
  <c r="R1663" i="3"/>
  <c r="Q1664" i="3"/>
  <c r="R1664" i="3"/>
  <c r="Q1665" i="3"/>
  <c r="R1665" i="3"/>
  <c r="Q1666" i="3"/>
  <c r="R1666" i="3"/>
  <c r="Q1667" i="3"/>
  <c r="R1667" i="3"/>
  <c r="Q1668" i="3"/>
  <c r="R1668" i="3"/>
  <c r="Q1669" i="3"/>
  <c r="R1669" i="3"/>
  <c r="Q1670" i="3"/>
  <c r="R1670" i="3"/>
  <c r="Q1671" i="3"/>
  <c r="R1671" i="3"/>
  <c r="Q1672" i="3"/>
  <c r="R1672" i="3"/>
  <c r="Q1673" i="3"/>
  <c r="R1673" i="3"/>
  <c r="Q1674" i="3"/>
  <c r="R1674" i="3"/>
  <c r="Q1675" i="3"/>
  <c r="R1675" i="3"/>
  <c r="Q1676" i="3"/>
  <c r="R1676" i="3"/>
  <c r="Q1677" i="3"/>
  <c r="R1677" i="3"/>
  <c r="Q1678" i="3"/>
  <c r="R1678" i="3"/>
  <c r="Q1679" i="3"/>
  <c r="R1679" i="3"/>
  <c r="Q1680" i="3"/>
  <c r="R1680" i="3"/>
  <c r="Q1681" i="3"/>
  <c r="R1681" i="3"/>
  <c r="Q1682" i="3"/>
  <c r="R1682" i="3"/>
  <c r="Q1683" i="3"/>
  <c r="R1683" i="3"/>
  <c r="Q1684" i="3"/>
  <c r="R1684" i="3"/>
  <c r="Q1685" i="3"/>
  <c r="R1685" i="3"/>
  <c r="Q1686" i="3"/>
  <c r="R1686" i="3"/>
  <c r="Q1687" i="3"/>
  <c r="R1687" i="3"/>
  <c r="Q1688" i="3"/>
  <c r="R1688" i="3"/>
  <c r="Q1689" i="3"/>
  <c r="R1689" i="3"/>
  <c r="Q1690" i="3"/>
  <c r="R1690" i="3"/>
  <c r="Q1691" i="3"/>
  <c r="R1691" i="3"/>
  <c r="Q1692" i="3"/>
  <c r="R1692" i="3"/>
  <c r="Q1693" i="3"/>
  <c r="R1693" i="3"/>
  <c r="Q1694" i="3"/>
  <c r="R1694" i="3"/>
  <c r="Q1695" i="3"/>
  <c r="R1695" i="3"/>
  <c r="Q1696" i="3"/>
  <c r="R1696" i="3"/>
  <c r="Q1697" i="3"/>
  <c r="R1697" i="3"/>
  <c r="Q1698" i="3"/>
  <c r="R1698" i="3"/>
  <c r="Q1699" i="3"/>
  <c r="R1699" i="3"/>
  <c r="Q1700" i="3"/>
  <c r="R1700" i="3"/>
  <c r="Q1701" i="3"/>
  <c r="R1701" i="3"/>
  <c r="Q1702" i="3"/>
  <c r="R1702" i="3"/>
  <c r="Q1703" i="3"/>
  <c r="R1703" i="3"/>
  <c r="Q1704" i="3"/>
  <c r="R1704" i="3"/>
  <c r="Q1705" i="3"/>
  <c r="R1705" i="3"/>
  <c r="Q1706" i="3"/>
  <c r="R1706" i="3"/>
  <c r="Q1707" i="3"/>
  <c r="R1707" i="3"/>
  <c r="Q1708" i="3"/>
  <c r="R1708" i="3"/>
  <c r="Q1709" i="3"/>
  <c r="R1709" i="3"/>
  <c r="Q1710" i="3"/>
  <c r="R1710" i="3"/>
  <c r="Q1711" i="3"/>
  <c r="R1711" i="3"/>
  <c r="Q1712" i="3"/>
  <c r="R1712" i="3"/>
  <c r="Q1713" i="3"/>
  <c r="R1713" i="3"/>
  <c r="Q1714" i="3"/>
  <c r="R1714" i="3"/>
  <c r="Q1715" i="3"/>
  <c r="R1715" i="3"/>
  <c r="Q1716" i="3"/>
  <c r="R1716" i="3"/>
  <c r="Q1717" i="3"/>
  <c r="R1717" i="3"/>
  <c r="Q1718" i="3"/>
  <c r="R1718" i="3"/>
  <c r="Q1719" i="3"/>
  <c r="R1719" i="3"/>
  <c r="Q1720" i="3"/>
  <c r="R1720" i="3"/>
  <c r="Q1721" i="3"/>
  <c r="R1721" i="3"/>
  <c r="Q1722" i="3"/>
  <c r="R1722" i="3"/>
  <c r="Q1723" i="3"/>
  <c r="R1723" i="3"/>
  <c r="Q1724" i="3"/>
  <c r="R1724" i="3"/>
  <c r="Q1725" i="3"/>
  <c r="R1725" i="3"/>
  <c r="Q1726" i="3"/>
  <c r="R1726" i="3"/>
  <c r="Q1727" i="3"/>
  <c r="R1727" i="3"/>
  <c r="Q1728" i="3"/>
  <c r="R1728" i="3"/>
  <c r="Q1729" i="3"/>
  <c r="R1729" i="3"/>
  <c r="Q1730" i="3"/>
  <c r="R1730" i="3"/>
  <c r="Q1731" i="3"/>
  <c r="R1731" i="3"/>
  <c r="Q1732" i="3"/>
  <c r="R1732" i="3"/>
  <c r="Q1733" i="3"/>
  <c r="R1733" i="3"/>
  <c r="Q1734" i="3"/>
  <c r="R1734" i="3"/>
  <c r="Q1735" i="3"/>
  <c r="R1735" i="3"/>
  <c r="Q1736" i="3"/>
  <c r="R1736" i="3"/>
  <c r="Q1737" i="3"/>
  <c r="R1737" i="3"/>
  <c r="Q1738" i="3"/>
  <c r="R1738" i="3"/>
  <c r="Q1739" i="3"/>
  <c r="R1739" i="3"/>
  <c r="Q1740" i="3"/>
  <c r="R1740" i="3"/>
  <c r="Q1741" i="3"/>
  <c r="R1741" i="3"/>
  <c r="Q1742" i="3"/>
  <c r="R1742" i="3"/>
  <c r="Q1743" i="3"/>
  <c r="R1743" i="3"/>
  <c r="Q1744" i="3"/>
  <c r="R1744" i="3"/>
  <c r="Q1745" i="3"/>
  <c r="R1745" i="3"/>
  <c r="Q1746" i="3"/>
  <c r="R1746" i="3"/>
  <c r="Q1747" i="3"/>
  <c r="R1747" i="3"/>
  <c r="Q1748" i="3"/>
  <c r="R1748" i="3"/>
  <c r="Q1749" i="3"/>
  <c r="R1749" i="3"/>
  <c r="Q1750" i="3"/>
  <c r="R1750" i="3"/>
  <c r="Q1751" i="3"/>
  <c r="R1751" i="3"/>
  <c r="Q1752" i="3"/>
  <c r="R1752" i="3"/>
  <c r="Q1753" i="3"/>
  <c r="R1753" i="3"/>
  <c r="Q1754" i="3"/>
  <c r="R1754" i="3"/>
  <c r="Q1755" i="3"/>
  <c r="R1755" i="3"/>
  <c r="Q1756" i="3"/>
  <c r="R1756" i="3"/>
  <c r="Q1757" i="3"/>
  <c r="R1757" i="3"/>
  <c r="Q1758" i="3"/>
  <c r="R1758" i="3"/>
  <c r="Q1759" i="3"/>
  <c r="R1759" i="3"/>
  <c r="Q1760" i="3"/>
  <c r="R1760" i="3"/>
  <c r="Q1761" i="3"/>
  <c r="R1761" i="3"/>
  <c r="Q1762" i="3"/>
  <c r="R1762" i="3"/>
  <c r="Q1763" i="3"/>
  <c r="R1763" i="3"/>
  <c r="Q1764" i="3"/>
  <c r="R1764" i="3"/>
  <c r="Q1765" i="3"/>
  <c r="R1765" i="3"/>
  <c r="Q1766" i="3"/>
  <c r="R1766" i="3"/>
  <c r="Q1767" i="3"/>
  <c r="R1767" i="3"/>
  <c r="Q1768" i="3"/>
  <c r="R1768" i="3"/>
  <c r="Q1769" i="3"/>
  <c r="R1769" i="3"/>
  <c r="Q1770" i="3"/>
  <c r="R1770" i="3"/>
  <c r="Q1771" i="3"/>
  <c r="R1771" i="3"/>
  <c r="Q1772" i="3"/>
  <c r="R1772" i="3"/>
  <c r="Q1773" i="3"/>
  <c r="R1773" i="3"/>
  <c r="Q1774" i="3"/>
  <c r="R1774" i="3"/>
  <c r="Q1775" i="3"/>
  <c r="R1775" i="3"/>
  <c r="Q1776" i="3"/>
  <c r="R1776" i="3"/>
  <c r="Q1777" i="3"/>
  <c r="R1777" i="3"/>
  <c r="Q1778" i="3"/>
  <c r="R1778" i="3"/>
  <c r="Q1779" i="3"/>
  <c r="R1779" i="3"/>
  <c r="Q1780" i="3"/>
  <c r="R1780" i="3"/>
  <c r="Q1781" i="3"/>
  <c r="R1781" i="3"/>
  <c r="Q1782" i="3"/>
  <c r="R1782" i="3"/>
  <c r="Q1783" i="3"/>
  <c r="R1783" i="3"/>
  <c r="Q1784" i="3"/>
  <c r="R1784" i="3"/>
  <c r="Q1785" i="3"/>
  <c r="R1785" i="3"/>
  <c r="Q1786" i="3"/>
  <c r="R1786" i="3"/>
  <c r="Q1787" i="3"/>
  <c r="R1787" i="3"/>
  <c r="Q1788" i="3"/>
  <c r="R1788" i="3"/>
  <c r="Q1789" i="3"/>
  <c r="R1789" i="3"/>
  <c r="Q1790" i="3"/>
  <c r="R1790" i="3"/>
  <c r="Q1791" i="3"/>
  <c r="R1791" i="3"/>
  <c r="Q1792" i="3"/>
  <c r="R1792" i="3"/>
  <c r="Q1793" i="3"/>
  <c r="R1793" i="3"/>
  <c r="Q1794" i="3"/>
  <c r="R1794" i="3"/>
  <c r="Q1795" i="3"/>
  <c r="R1795" i="3"/>
  <c r="Q1796" i="3"/>
  <c r="R1796" i="3"/>
  <c r="Q1797" i="3"/>
  <c r="R1797" i="3"/>
  <c r="Q1798" i="3"/>
  <c r="R1798" i="3"/>
  <c r="Q1799" i="3"/>
  <c r="R1799" i="3"/>
  <c r="Q1800" i="3"/>
  <c r="R1800" i="3"/>
  <c r="Q1801" i="3"/>
  <c r="R1801" i="3"/>
  <c r="Q1802" i="3"/>
  <c r="R1802" i="3"/>
  <c r="Q1803" i="3"/>
  <c r="R1803" i="3"/>
  <c r="Q1804" i="3"/>
  <c r="R1804" i="3"/>
  <c r="Q1805" i="3"/>
  <c r="R1805" i="3"/>
  <c r="Q1806" i="3"/>
  <c r="R1806" i="3"/>
  <c r="Q1807" i="3"/>
  <c r="R1807" i="3"/>
  <c r="Q1808" i="3"/>
  <c r="R1808" i="3"/>
  <c r="Q1809" i="3"/>
  <c r="R1809" i="3"/>
  <c r="Q1810" i="3"/>
  <c r="R1810" i="3"/>
  <c r="Q1811" i="3"/>
  <c r="R1811" i="3"/>
  <c r="Q1812" i="3"/>
  <c r="R1812" i="3"/>
  <c r="Q1813" i="3"/>
  <c r="R1813" i="3"/>
  <c r="Q1814" i="3"/>
  <c r="R1814" i="3"/>
  <c r="Q1815" i="3"/>
  <c r="R1815" i="3"/>
  <c r="Q1816" i="3"/>
  <c r="R1816" i="3"/>
  <c r="Q1817" i="3"/>
  <c r="R1817" i="3"/>
  <c r="Q1818" i="3"/>
  <c r="R1818" i="3"/>
  <c r="Q1819" i="3"/>
  <c r="R1819" i="3"/>
  <c r="Q1820" i="3"/>
  <c r="R1820" i="3"/>
  <c r="Q1821" i="3"/>
  <c r="R1821" i="3"/>
  <c r="Q1822" i="3"/>
  <c r="R1822" i="3"/>
  <c r="Q1823" i="3"/>
  <c r="R1823" i="3"/>
  <c r="Q1824" i="3"/>
  <c r="R1824" i="3"/>
  <c r="Q1825" i="3"/>
  <c r="R1825" i="3"/>
  <c r="Q1826" i="3"/>
  <c r="R1826" i="3"/>
  <c r="Q1827" i="3"/>
  <c r="R1827" i="3"/>
  <c r="Q1828" i="3"/>
  <c r="R1828" i="3"/>
  <c r="Q1829" i="3"/>
  <c r="R1829" i="3"/>
  <c r="Q1830" i="3"/>
  <c r="R1830" i="3"/>
  <c r="Q1831" i="3"/>
  <c r="R1831" i="3"/>
  <c r="Q1832" i="3"/>
  <c r="R1832" i="3"/>
  <c r="Q1833" i="3"/>
  <c r="R1833" i="3"/>
  <c r="Q1834" i="3"/>
  <c r="R1834" i="3"/>
  <c r="Q1835" i="3"/>
  <c r="R1835" i="3"/>
  <c r="Q1836" i="3"/>
  <c r="R1836" i="3"/>
  <c r="Q1837" i="3"/>
  <c r="R1837" i="3"/>
  <c r="Q1838" i="3"/>
  <c r="R1838" i="3"/>
  <c r="Q1839" i="3"/>
  <c r="R1839" i="3"/>
  <c r="Q1840" i="3"/>
  <c r="R1840" i="3"/>
  <c r="Q1841" i="3"/>
  <c r="R1841" i="3"/>
  <c r="Q1842" i="3"/>
  <c r="R1842" i="3"/>
  <c r="Q1843" i="3"/>
  <c r="R1843" i="3"/>
  <c r="Q1844" i="3"/>
  <c r="R1844" i="3"/>
  <c r="Q1845" i="3"/>
  <c r="R1845" i="3"/>
  <c r="Q1846" i="3"/>
  <c r="R1846" i="3"/>
  <c r="Q1847" i="3"/>
  <c r="R1847" i="3"/>
  <c r="Q1848" i="3"/>
  <c r="R1848" i="3"/>
  <c r="Q1849" i="3"/>
  <c r="R1849" i="3"/>
  <c r="Q1850" i="3"/>
  <c r="R1850" i="3"/>
  <c r="Q1851" i="3"/>
  <c r="R1851" i="3"/>
  <c r="Q1852" i="3"/>
  <c r="R1852" i="3"/>
  <c r="Q1853" i="3"/>
  <c r="R1853" i="3"/>
  <c r="Q1854" i="3"/>
  <c r="R1854" i="3"/>
  <c r="Q1855" i="3"/>
  <c r="R1855" i="3"/>
  <c r="Q1856" i="3"/>
  <c r="R1856" i="3"/>
  <c r="Q1857" i="3"/>
  <c r="R1857" i="3"/>
  <c r="Q1858" i="3"/>
  <c r="R1858" i="3"/>
  <c r="Q1859" i="3"/>
  <c r="R1859" i="3"/>
  <c r="Q1860" i="3"/>
  <c r="R1860" i="3"/>
  <c r="Q1861" i="3"/>
  <c r="R1861" i="3"/>
  <c r="Q1862" i="3"/>
  <c r="R1862" i="3"/>
  <c r="Q1863" i="3"/>
  <c r="R1863" i="3"/>
  <c r="Q1864" i="3"/>
  <c r="R1864" i="3"/>
  <c r="Q1865" i="3"/>
  <c r="R1865" i="3"/>
  <c r="Q1866" i="3"/>
  <c r="R1866" i="3"/>
  <c r="Q1867" i="3"/>
  <c r="R1867" i="3"/>
  <c r="Q1868" i="3"/>
  <c r="R1868" i="3"/>
  <c r="Q1869" i="3"/>
  <c r="R1869" i="3"/>
  <c r="Q1870" i="3"/>
  <c r="R1870" i="3"/>
  <c r="Q1871" i="3"/>
  <c r="R1871" i="3"/>
  <c r="Q1872" i="3"/>
  <c r="R1872" i="3"/>
  <c r="Q1873" i="3"/>
  <c r="R1873" i="3"/>
  <c r="Q1874" i="3"/>
  <c r="R1874" i="3"/>
  <c r="Q1875" i="3"/>
  <c r="R1875" i="3"/>
  <c r="Q1876" i="3"/>
  <c r="R1876" i="3"/>
  <c r="Q1877" i="3"/>
  <c r="R1877" i="3"/>
  <c r="Q1878" i="3"/>
  <c r="R1878" i="3"/>
  <c r="Q1879" i="3"/>
  <c r="R1879" i="3"/>
  <c r="Q1880" i="3"/>
  <c r="R1880" i="3"/>
  <c r="Q1881" i="3"/>
  <c r="R1881" i="3"/>
  <c r="Q1882" i="3"/>
  <c r="R1882" i="3"/>
  <c r="Q1883" i="3"/>
  <c r="R1883" i="3"/>
  <c r="Q1884" i="3"/>
  <c r="R1884" i="3"/>
  <c r="Q1885" i="3"/>
  <c r="R1885" i="3"/>
  <c r="Q1886" i="3"/>
  <c r="R1886" i="3"/>
  <c r="Q1887" i="3"/>
  <c r="R1887" i="3"/>
  <c r="Q1888" i="3"/>
  <c r="R1888" i="3"/>
  <c r="Q1889" i="3"/>
  <c r="R1889" i="3"/>
  <c r="Q1890" i="3"/>
  <c r="R1890" i="3"/>
  <c r="Q1891" i="3"/>
  <c r="R1891" i="3"/>
  <c r="Q1892" i="3"/>
  <c r="R1892" i="3"/>
  <c r="Q1893" i="3"/>
  <c r="R1893" i="3"/>
  <c r="Q1894" i="3"/>
  <c r="R1894" i="3"/>
  <c r="Q1895" i="3"/>
  <c r="R1895" i="3"/>
  <c r="Q1896" i="3"/>
  <c r="R1896" i="3"/>
  <c r="Q1897" i="3"/>
  <c r="R1897" i="3"/>
  <c r="Q1898" i="3"/>
  <c r="R1898" i="3"/>
  <c r="Q1899" i="3"/>
  <c r="R1899" i="3"/>
  <c r="Q1900" i="3"/>
  <c r="R1900" i="3"/>
  <c r="Q1901" i="3"/>
  <c r="R1901" i="3"/>
  <c r="Q1902" i="3"/>
  <c r="R1902" i="3"/>
  <c r="Q1903" i="3"/>
  <c r="R1903" i="3"/>
  <c r="Q1904" i="3"/>
  <c r="R1904" i="3"/>
  <c r="Q1905" i="3"/>
  <c r="R1905" i="3"/>
  <c r="Q1906" i="3"/>
  <c r="R1906" i="3"/>
  <c r="Q1907" i="3"/>
  <c r="R1907" i="3"/>
  <c r="Q1908" i="3"/>
  <c r="R1908" i="3"/>
  <c r="Q1909" i="3"/>
  <c r="R1909" i="3"/>
  <c r="Q1910" i="3"/>
  <c r="R1910" i="3"/>
  <c r="Q1911" i="3"/>
  <c r="R1911" i="3"/>
  <c r="Q1912" i="3"/>
  <c r="R1912" i="3"/>
  <c r="Q1913" i="3"/>
  <c r="R1913" i="3"/>
  <c r="Q1914" i="3"/>
  <c r="R1914" i="3"/>
  <c r="Q1915" i="3"/>
  <c r="R1915" i="3"/>
  <c r="Q1916" i="3"/>
  <c r="R1916" i="3"/>
  <c r="Q1917" i="3"/>
  <c r="R1917" i="3"/>
  <c r="Q1918" i="3"/>
  <c r="R1918" i="3"/>
  <c r="Q1919" i="3"/>
  <c r="R1919" i="3"/>
  <c r="Q1920" i="3"/>
  <c r="R1920" i="3"/>
  <c r="Q1921" i="3"/>
  <c r="R1921" i="3"/>
  <c r="Q1922" i="3"/>
  <c r="R1922" i="3"/>
  <c r="Q1923" i="3"/>
  <c r="R1923" i="3"/>
  <c r="Q1924" i="3"/>
  <c r="R1924" i="3"/>
  <c r="Q1925" i="3"/>
  <c r="R1925" i="3"/>
  <c r="Q1926" i="3"/>
  <c r="R1926" i="3"/>
  <c r="Q1927" i="3"/>
  <c r="R1927" i="3"/>
  <c r="Q1928" i="3"/>
  <c r="R1928" i="3"/>
  <c r="Q1929" i="3"/>
  <c r="R1929" i="3"/>
  <c r="Q1930" i="3"/>
  <c r="R1930" i="3"/>
  <c r="Q1931" i="3"/>
  <c r="R1931" i="3"/>
  <c r="Q1932" i="3"/>
  <c r="R1932" i="3"/>
  <c r="Q1933" i="3"/>
  <c r="R1933" i="3"/>
  <c r="Q1934" i="3"/>
  <c r="R1934" i="3"/>
  <c r="Q1935" i="3"/>
  <c r="R1935" i="3"/>
  <c r="Q1936" i="3"/>
  <c r="R1936" i="3"/>
  <c r="Q1937" i="3"/>
  <c r="R1937" i="3"/>
  <c r="Q1938" i="3"/>
  <c r="R1938" i="3"/>
  <c r="Q1939" i="3"/>
  <c r="R1939" i="3"/>
  <c r="Q1940" i="3"/>
  <c r="R1940" i="3"/>
  <c r="Q1941" i="3"/>
  <c r="R1941" i="3"/>
  <c r="Q1942" i="3"/>
  <c r="R1942" i="3"/>
  <c r="Q1943" i="3"/>
  <c r="R1943" i="3"/>
  <c r="Q1944" i="3"/>
  <c r="R1944" i="3"/>
  <c r="Q1945" i="3"/>
  <c r="R1945" i="3"/>
  <c r="Q1946" i="3"/>
  <c r="R1946" i="3"/>
  <c r="Q1947" i="3"/>
  <c r="R1947" i="3"/>
  <c r="Q1948" i="3"/>
  <c r="R1948" i="3"/>
  <c r="Q1949" i="3"/>
  <c r="R1949" i="3"/>
  <c r="Q1950" i="3"/>
  <c r="R1950" i="3"/>
  <c r="Q1951" i="3"/>
  <c r="R1951" i="3"/>
  <c r="Q1952" i="3"/>
  <c r="R1952" i="3"/>
  <c r="Q1953" i="3"/>
  <c r="R1953" i="3"/>
  <c r="Q1954" i="3"/>
  <c r="R1954" i="3"/>
  <c r="Q1955" i="3"/>
  <c r="R1955" i="3"/>
  <c r="Q1956" i="3"/>
  <c r="R1956" i="3"/>
  <c r="Q1957" i="3"/>
  <c r="R1957" i="3"/>
  <c r="Q1958" i="3"/>
  <c r="R1958" i="3"/>
  <c r="Q1959" i="3"/>
  <c r="R1959" i="3"/>
  <c r="Q1960" i="3"/>
  <c r="R1960" i="3"/>
  <c r="Q1961" i="3"/>
  <c r="R1961" i="3"/>
  <c r="Q1962" i="3"/>
  <c r="R1962" i="3"/>
  <c r="Q1963" i="3"/>
  <c r="R1963" i="3"/>
  <c r="Q1964" i="3"/>
  <c r="R1964" i="3"/>
  <c r="Q1965" i="3"/>
  <c r="R1965" i="3"/>
  <c r="Q1966" i="3"/>
  <c r="R1966" i="3"/>
  <c r="Q1967" i="3"/>
  <c r="R1967" i="3"/>
  <c r="Q1968" i="3"/>
  <c r="R1968" i="3"/>
  <c r="Q1969" i="3"/>
  <c r="R1969" i="3"/>
  <c r="Q1970" i="3"/>
  <c r="R1970" i="3"/>
  <c r="Q1971" i="3"/>
  <c r="R1971" i="3"/>
  <c r="Q1972" i="3"/>
  <c r="R1972" i="3"/>
  <c r="Q1973" i="3"/>
  <c r="R1973" i="3"/>
  <c r="Q1974" i="3"/>
  <c r="R1974" i="3"/>
  <c r="Q1975" i="3"/>
  <c r="R1975" i="3"/>
  <c r="Q1976" i="3"/>
  <c r="R1976" i="3"/>
  <c r="Q1977" i="3"/>
  <c r="R1977" i="3"/>
  <c r="Q1978" i="3"/>
  <c r="R1978" i="3"/>
  <c r="Q1979" i="3"/>
  <c r="R1979" i="3"/>
  <c r="Q1980" i="3"/>
  <c r="R1980" i="3"/>
  <c r="Q1981" i="3"/>
  <c r="R1981" i="3"/>
  <c r="Q1982" i="3"/>
  <c r="R1982" i="3"/>
  <c r="Q1983" i="3"/>
  <c r="R1983" i="3"/>
  <c r="Q1984" i="3"/>
  <c r="R1984" i="3"/>
  <c r="Q1985" i="3"/>
  <c r="R1985" i="3"/>
  <c r="Q1986" i="3"/>
  <c r="R1986" i="3"/>
  <c r="Q1987" i="3"/>
  <c r="R1987" i="3"/>
  <c r="Q1988" i="3"/>
  <c r="R1988" i="3"/>
  <c r="Q1989" i="3"/>
  <c r="R1989" i="3"/>
  <c r="Q1990" i="3"/>
  <c r="R1990" i="3"/>
  <c r="Q1991" i="3"/>
  <c r="R1991" i="3"/>
  <c r="Q1992" i="3"/>
  <c r="R1992" i="3"/>
  <c r="Q1993" i="3"/>
  <c r="R1993" i="3"/>
  <c r="Q1994" i="3"/>
  <c r="R1994" i="3"/>
  <c r="Q1995" i="3"/>
  <c r="R1995" i="3"/>
  <c r="Q1996" i="3"/>
  <c r="R1996" i="3"/>
  <c r="Q1997" i="3"/>
  <c r="R1997" i="3"/>
  <c r="Q1998" i="3"/>
  <c r="R1998" i="3"/>
  <c r="Q1999" i="3"/>
  <c r="R1999" i="3"/>
  <c r="Q2000" i="3"/>
  <c r="R2000" i="3"/>
  <c r="Q2001" i="3"/>
  <c r="R2001" i="3"/>
  <c r="Q2002" i="3"/>
  <c r="R2002" i="3"/>
  <c r="Q2003" i="3"/>
  <c r="R2003" i="3"/>
  <c r="Q2004" i="3"/>
  <c r="R2004" i="3"/>
  <c r="Q2005" i="3"/>
  <c r="R2005" i="3"/>
  <c r="Q2006" i="3"/>
  <c r="R2006" i="3"/>
  <c r="Q2007" i="3"/>
  <c r="R2007" i="3"/>
  <c r="Q2008" i="3"/>
  <c r="R2008" i="3"/>
  <c r="Q2009" i="3"/>
  <c r="R2009" i="3"/>
  <c r="Q2010" i="3"/>
  <c r="R2010" i="3"/>
  <c r="Q2011" i="3"/>
  <c r="R2011" i="3"/>
  <c r="Q2012" i="3"/>
  <c r="R2012" i="3"/>
  <c r="Q2013" i="3"/>
  <c r="R2013" i="3"/>
  <c r="Q2014" i="3"/>
  <c r="R2014" i="3"/>
  <c r="Q2015" i="3"/>
  <c r="R2015" i="3"/>
  <c r="Q2016" i="3"/>
  <c r="R2016" i="3"/>
  <c r="Q2017" i="3"/>
  <c r="R2017" i="3"/>
  <c r="Q2018" i="3"/>
  <c r="R2018" i="3"/>
  <c r="Q2019" i="3"/>
  <c r="R2019" i="3"/>
  <c r="Q2020" i="3"/>
  <c r="R2020" i="3"/>
  <c r="Q2021" i="3"/>
  <c r="R2021" i="3"/>
  <c r="Q2022" i="3"/>
  <c r="R2022" i="3"/>
  <c r="Q2023" i="3"/>
  <c r="R2023" i="3"/>
  <c r="Q2024" i="3"/>
  <c r="R2024" i="3"/>
  <c r="Q2025" i="3"/>
  <c r="R2025" i="3"/>
  <c r="Q2026" i="3"/>
  <c r="R2026" i="3"/>
  <c r="Q2027" i="3"/>
  <c r="R2027" i="3"/>
  <c r="Q2028" i="3"/>
  <c r="R2028" i="3"/>
  <c r="Q2029" i="3"/>
  <c r="R2029" i="3"/>
  <c r="Q2030" i="3"/>
  <c r="R2030" i="3"/>
  <c r="Q2031" i="3"/>
  <c r="R2031" i="3"/>
  <c r="Q2032" i="3"/>
  <c r="R2032" i="3"/>
  <c r="Q2033" i="3"/>
  <c r="R2033" i="3"/>
  <c r="Q2034" i="3"/>
  <c r="R2034" i="3"/>
  <c r="Q2035" i="3"/>
  <c r="R2035" i="3"/>
  <c r="Q2036" i="3"/>
  <c r="R2036" i="3"/>
  <c r="Q2037" i="3"/>
  <c r="R2037" i="3"/>
  <c r="Q2038" i="3"/>
  <c r="R2038" i="3"/>
  <c r="Q2039" i="3"/>
  <c r="R2039" i="3"/>
  <c r="Q2040" i="3"/>
  <c r="R2040" i="3"/>
  <c r="Q2041" i="3"/>
  <c r="R2041" i="3"/>
  <c r="Q2042" i="3"/>
  <c r="R2042" i="3"/>
  <c r="Q2043" i="3"/>
  <c r="R2043" i="3"/>
  <c r="Q2044" i="3"/>
  <c r="R2044" i="3"/>
  <c r="Q2045" i="3"/>
  <c r="R2045" i="3"/>
  <c r="Q2046" i="3"/>
  <c r="R2046" i="3"/>
  <c r="Q2047" i="3"/>
  <c r="R2047" i="3"/>
  <c r="Q2048" i="3"/>
  <c r="R2048" i="3"/>
  <c r="Q2049" i="3"/>
  <c r="R2049" i="3"/>
  <c r="Q2050" i="3"/>
  <c r="R2050" i="3"/>
  <c r="Q2051" i="3"/>
  <c r="R2051" i="3"/>
  <c r="Q2052" i="3"/>
  <c r="R2052" i="3"/>
  <c r="Q2053" i="3"/>
  <c r="R2053" i="3"/>
  <c r="Q2054" i="3"/>
  <c r="R2054" i="3"/>
  <c r="Q2055" i="3"/>
  <c r="R2055" i="3"/>
  <c r="Q2056" i="3"/>
  <c r="R2056" i="3"/>
  <c r="Q2057" i="3"/>
  <c r="R2057" i="3"/>
  <c r="Q2058" i="3"/>
  <c r="R2058" i="3"/>
  <c r="Q2059" i="3"/>
  <c r="R2059" i="3"/>
  <c r="Q2060" i="3"/>
  <c r="R2060" i="3"/>
  <c r="Q2061" i="3"/>
  <c r="R2061" i="3"/>
  <c r="Q2062" i="3"/>
  <c r="R2062" i="3"/>
  <c r="Q2063" i="3"/>
  <c r="R2063" i="3"/>
  <c r="Q2064" i="3"/>
  <c r="R2064" i="3"/>
  <c r="Q2065" i="3"/>
  <c r="R2065" i="3"/>
  <c r="Q2066" i="3"/>
  <c r="R2066" i="3"/>
  <c r="Q2067" i="3"/>
  <c r="R2067" i="3"/>
  <c r="Q2068" i="3"/>
  <c r="R2068" i="3"/>
  <c r="Q2069" i="3"/>
  <c r="R2069" i="3"/>
  <c r="Q2070" i="3"/>
  <c r="R2070" i="3"/>
  <c r="Q2071" i="3"/>
  <c r="R2071" i="3"/>
  <c r="Q2072" i="3"/>
  <c r="R2072" i="3"/>
  <c r="Q2073" i="3"/>
  <c r="R2073" i="3"/>
  <c r="Q2074" i="3"/>
  <c r="R2074" i="3"/>
  <c r="Q2075" i="3"/>
  <c r="R2075" i="3"/>
  <c r="Q2076" i="3"/>
  <c r="R2076" i="3"/>
  <c r="Q2077" i="3"/>
  <c r="R2077" i="3"/>
  <c r="Q2078" i="3"/>
  <c r="R2078" i="3"/>
  <c r="Q2079" i="3"/>
  <c r="R2079" i="3"/>
  <c r="Q2080" i="3"/>
  <c r="R2080" i="3"/>
  <c r="Q2081" i="3"/>
  <c r="R2081" i="3"/>
  <c r="Q2082" i="3"/>
  <c r="R2082" i="3"/>
  <c r="Q2083" i="3"/>
  <c r="R2083" i="3"/>
  <c r="Q2084" i="3"/>
  <c r="R2084" i="3"/>
  <c r="Q2085" i="3"/>
  <c r="R2085" i="3"/>
  <c r="Q2086" i="3"/>
  <c r="R2086" i="3"/>
  <c r="Q2087" i="3"/>
  <c r="R2087" i="3"/>
  <c r="Q2088" i="3"/>
  <c r="R2088" i="3"/>
  <c r="Q2089" i="3"/>
  <c r="R2089" i="3"/>
  <c r="Q2090" i="3"/>
  <c r="R2090" i="3"/>
  <c r="Q2091" i="3"/>
  <c r="R2091" i="3"/>
  <c r="Q2092" i="3"/>
  <c r="R2092" i="3"/>
  <c r="Q2093" i="3"/>
  <c r="R2093" i="3"/>
  <c r="Q2094" i="3"/>
  <c r="R2094" i="3"/>
  <c r="Q2095" i="3"/>
  <c r="R2095" i="3"/>
  <c r="Q2096" i="3"/>
  <c r="R2096" i="3"/>
  <c r="Q2097" i="3"/>
  <c r="R2097" i="3"/>
  <c r="Q2098" i="3"/>
  <c r="R2098" i="3"/>
  <c r="Q2099" i="3"/>
  <c r="R2099" i="3"/>
  <c r="Q2100" i="3"/>
  <c r="R2100" i="3"/>
  <c r="Q2101" i="3"/>
  <c r="R2101" i="3"/>
  <c r="Q2102" i="3"/>
  <c r="R2102" i="3"/>
  <c r="Q2103" i="3"/>
  <c r="R2103" i="3"/>
  <c r="Q2104" i="3"/>
  <c r="R2104" i="3"/>
  <c r="Q2105" i="3"/>
  <c r="R2105" i="3"/>
  <c r="Q2106" i="3"/>
  <c r="R2106" i="3"/>
  <c r="Q2107" i="3"/>
  <c r="R2107" i="3"/>
  <c r="Q2108" i="3"/>
  <c r="R2108" i="3"/>
  <c r="Q2109" i="3"/>
  <c r="R2109" i="3"/>
  <c r="Q2110" i="3"/>
  <c r="R2110" i="3"/>
  <c r="Q2111" i="3"/>
  <c r="R2111" i="3"/>
  <c r="Q2112" i="3"/>
  <c r="R2112" i="3"/>
  <c r="Q2113" i="3"/>
  <c r="R2113" i="3"/>
  <c r="Q2114" i="3"/>
  <c r="R2114" i="3"/>
  <c r="Q2115" i="3"/>
  <c r="R2115" i="3"/>
  <c r="Q2116" i="3"/>
  <c r="R2116" i="3"/>
  <c r="Q2117" i="3"/>
  <c r="R2117" i="3"/>
  <c r="Q2118" i="3"/>
  <c r="R2118" i="3"/>
  <c r="Q2119" i="3"/>
  <c r="R2119" i="3"/>
  <c r="Q2120" i="3"/>
  <c r="R2120" i="3"/>
  <c r="Q2121" i="3"/>
  <c r="R2121" i="3"/>
  <c r="Q2122" i="3"/>
  <c r="R2122" i="3"/>
  <c r="Q2123" i="3"/>
  <c r="R2123" i="3"/>
  <c r="Q2124" i="3"/>
  <c r="R2124" i="3"/>
  <c r="Q2125" i="3"/>
  <c r="R2125" i="3"/>
  <c r="Q2126" i="3"/>
  <c r="R2126" i="3"/>
  <c r="Q2127" i="3"/>
  <c r="R2127" i="3"/>
  <c r="Q2128" i="3"/>
  <c r="R2128" i="3"/>
  <c r="Q2129" i="3"/>
  <c r="R2129" i="3"/>
  <c r="Q2130" i="3"/>
  <c r="R2130" i="3"/>
  <c r="Q2131" i="3"/>
  <c r="R2131" i="3"/>
  <c r="Q2132" i="3"/>
  <c r="R2132" i="3"/>
  <c r="Q2133" i="3"/>
  <c r="R2133" i="3"/>
  <c r="Q2134" i="3"/>
  <c r="R2134" i="3"/>
  <c r="Q2135" i="3"/>
  <c r="R2135" i="3"/>
  <c r="Q2136" i="3"/>
  <c r="R2136" i="3"/>
  <c r="Q2137" i="3"/>
  <c r="R2137" i="3"/>
  <c r="Q2138" i="3"/>
  <c r="R2138" i="3"/>
  <c r="Q2139" i="3"/>
  <c r="R2139" i="3"/>
  <c r="Q2140" i="3"/>
  <c r="R2140" i="3"/>
  <c r="Q2141" i="3"/>
  <c r="R2141" i="3"/>
  <c r="Q2142" i="3"/>
  <c r="R2142" i="3"/>
  <c r="Q2143" i="3"/>
  <c r="R2143" i="3"/>
  <c r="Q2144" i="3"/>
  <c r="R2144" i="3"/>
  <c r="Q2145" i="3"/>
  <c r="R2145" i="3"/>
  <c r="Q2146" i="3"/>
  <c r="R2146" i="3"/>
  <c r="Q2147" i="3"/>
  <c r="R2147" i="3"/>
  <c r="Q2148" i="3"/>
  <c r="R2148" i="3"/>
  <c r="Q2149" i="3"/>
  <c r="R2149" i="3"/>
  <c r="Q2150" i="3"/>
  <c r="R2150" i="3"/>
  <c r="Q2151" i="3"/>
  <c r="R2151" i="3"/>
  <c r="Q2152" i="3"/>
  <c r="R2152" i="3"/>
  <c r="Q2153" i="3"/>
  <c r="R2153" i="3"/>
  <c r="Q2154" i="3"/>
  <c r="R2154" i="3"/>
  <c r="Q2155" i="3"/>
  <c r="R2155" i="3"/>
  <c r="Q2156" i="3"/>
  <c r="R2156" i="3"/>
  <c r="Q2157" i="3"/>
  <c r="R2157" i="3"/>
  <c r="Q2158" i="3"/>
  <c r="R2158" i="3"/>
  <c r="Q2159" i="3"/>
  <c r="R2159" i="3"/>
  <c r="Q2160" i="3"/>
  <c r="R2160" i="3"/>
  <c r="Q2161" i="3"/>
  <c r="R2161" i="3"/>
  <c r="Q2162" i="3"/>
  <c r="R2162" i="3"/>
  <c r="Q2163" i="3"/>
  <c r="R2163" i="3"/>
  <c r="Q2164" i="3"/>
  <c r="R2164" i="3"/>
  <c r="Q2165" i="3"/>
  <c r="R2165" i="3"/>
  <c r="Q2166" i="3"/>
  <c r="R2166" i="3"/>
  <c r="Q2167" i="3"/>
  <c r="R2167" i="3"/>
  <c r="Q2168" i="3"/>
  <c r="R2168" i="3"/>
  <c r="Q2169" i="3"/>
  <c r="R2169" i="3"/>
  <c r="Q2170" i="3"/>
  <c r="R2170" i="3"/>
  <c r="Q2171" i="3"/>
  <c r="R2171" i="3"/>
  <c r="Q2172" i="3"/>
  <c r="R2172" i="3"/>
  <c r="Q2173" i="3"/>
  <c r="R2173" i="3"/>
  <c r="Q2174" i="3"/>
  <c r="R2174" i="3"/>
  <c r="Q2175" i="3"/>
  <c r="R2175" i="3"/>
  <c r="Q2176" i="3"/>
  <c r="R2176" i="3"/>
  <c r="Q2177" i="3"/>
  <c r="R2177" i="3"/>
  <c r="Q2178" i="3"/>
  <c r="R2178" i="3"/>
  <c r="Q2179" i="3"/>
  <c r="R2179" i="3"/>
  <c r="Q2180" i="3"/>
  <c r="R2180" i="3"/>
  <c r="Q2181" i="3"/>
  <c r="R2181" i="3"/>
  <c r="Q2182" i="3"/>
  <c r="R2182" i="3"/>
  <c r="Q2183" i="3"/>
  <c r="R2183" i="3"/>
  <c r="Q2184" i="3"/>
  <c r="R2184" i="3"/>
  <c r="Q2185" i="3"/>
  <c r="R2185" i="3"/>
  <c r="Q2186" i="3"/>
  <c r="R2186" i="3"/>
  <c r="Q2187" i="3"/>
  <c r="R2187" i="3"/>
  <c r="Q2188" i="3"/>
  <c r="R2188" i="3"/>
  <c r="Q2189" i="3"/>
  <c r="R2189" i="3"/>
  <c r="Q2190" i="3"/>
  <c r="R2190" i="3"/>
  <c r="Q2191" i="3"/>
  <c r="R2191" i="3"/>
  <c r="Q2192" i="3"/>
  <c r="R2192" i="3"/>
  <c r="Q2193" i="3"/>
  <c r="R2193" i="3"/>
  <c r="Q2194" i="3"/>
  <c r="R2194" i="3"/>
  <c r="Q2195" i="3"/>
  <c r="R2195" i="3"/>
  <c r="Q2196" i="3"/>
  <c r="R2196" i="3"/>
  <c r="Q2197" i="3"/>
  <c r="R2197" i="3"/>
  <c r="Q2198" i="3"/>
  <c r="R2198" i="3"/>
  <c r="Q2199" i="3"/>
  <c r="R2199" i="3"/>
  <c r="Q2200" i="3"/>
  <c r="R2200" i="3"/>
  <c r="Q2201" i="3"/>
  <c r="R2201" i="3"/>
  <c r="Q2202" i="3"/>
  <c r="R2202" i="3"/>
  <c r="Q2203" i="3"/>
  <c r="R2203" i="3"/>
  <c r="Q2204" i="3"/>
  <c r="R2204" i="3"/>
  <c r="Q2205" i="3"/>
  <c r="R2205" i="3"/>
  <c r="Q2206" i="3"/>
  <c r="R2206" i="3"/>
  <c r="Q2207" i="3"/>
  <c r="R2207" i="3"/>
  <c r="Q2208" i="3"/>
  <c r="R2208" i="3"/>
  <c r="Q2209" i="3"/>
  <c r="R2209" i="3"/>
  <c r="Q2210" i="3"/>
  <c r="R2210" i="3"/>
  <c r="Q2211" i="3"/>
  <c r="R2211" i="3"/>
  <c r="Q2212" i="3"/>
  <c r="R2212" i="3"/>
  <c r="Q2213" i="3"/>
  <c r="R2213" i="3"/>
  <c r="Q2214" i="3"/>
  <c r="R2214" i="3"/>
  <c r="Q2215" i="3"/>
  <c r="R2215" i="3"/>
  <c r="Q2216" i="3"/>
  <c r="R2216" i="3"/>
  <c r="Q2217" i="3"/>
  <c r="R2217" i="3"/>
  <c r="Q2218" i="3"/>
  <c r="R2218" i="3"/>
  <c r="Q2219" i="3"/>
  <c r="R2219" i="3"/>
  <c r="Q2220" i="3"/>
  <c r="R2220" i="3"/>
  <c r="Q2221" i="3"/>
  <c r="R2221" i="3"/>
  <c r="Q2222" i="3"/>
  <c r="R2222" i="3"/>
  <c r="Q2223" i="3"/>
  <c r="R2223" i="3"/>
  <c r="Q2224" i="3"/>
  <c r="R2224" i="3"/>
  <c r="Q2225" i="3"/>
  <c r="R2225" i="3"/>
  <c r="Q2226" i="3"/>
  <c r="R2226" i="3"/>
  <c r="Q2227" i="3"/>
  <c r="R2227" i="3"/>
  <c r="Q2228" i="3"/>
  <c r="R2228" i="3"/>
  <c r="Q2229" i="3"/>
  <c r="R2229" i="3"/>
  <c r="Q2230" i="3"/>
  <c r="R2230" i="3"/>
  <c r="Q2231" i="3"/>
  <c r="R2231" i="3"/>
  <c r="Q2232" i="3"/>
  <c r="R2232" i="3"/>
  <c r="Q2233" i="3"/>
  <c r="R2233" i="3"/>
  <c r="Q2234" i="3"/>
  <c r="R2234" i="3"/>
  <c r="Q2235" i="3"/>
  <c r="R2235" i="3"/>
  <c r="Q2236" i="3"/>
  <c r="R2236" i="3"/>
  <c r="Q2237" i="3"/>
  <c r="R2237" i="3"/>
  <c r="Q2238" i="3"/>
  <c r="R2238" i="3"/>
  <c r="Q2239" i="3"/>
  <c r="R2239" i="3"/>
  <c r="Q2240" i="3"/>
  <c r="R2240" i="3"/>
  <c r="Q2241" i="3"/>
  <c r="R2241" i="3"/>
  <c r="Q2242" i="3"/>
  <c r="R2242" i="3"/>
  <c r="Q2243" i="3"/>
  <c r="R2243" i="3"/>
  <c r="Q2244" i="3"/>
  <c r="R2244" i="3"/>
  <c r="Q2245" i="3"/>
  <c r="R2245" i="3"/>
  <c r="Q2246" i="3"/>
  <c r="R2246" i="3"/>
  <c r="Q2247" i="3"/>
  <c r="R2247" i="3"/>
  <c r="Q2248" i="3"/>
  <c r="R2248" i="3"/>
  <c r="Q2249" i="3"/>
  <c r="R2249" i="3"/>
  <c r="Q2250" i="3"/>
  <c r="R2250" i="3"/>
  <c r="Q2251" i="3"/>
  <c r="R2251" i="3"/>
  <c r="Q2252" i="3"/>
  <c r="R2252" i="3"/>
  <c r="Q2253" i="3"/>
  <c r="R2253" i="3"/>
  <c r="Q2254" i="3"/>
  <c r="R2254" i="3"/>
  <c r="Q2255" i="3"/>
  <c r="R2255" i="3"/>
  <c r="Q2256" i="3"/>
  <c r="R2256" i="3"/>
  <c r="Q2257" i="3"/>
  <c r="R2257" i="3"/>
  <c r="Q2258" i="3"/>
  <c r="R2258" i="3"/>
  <c r="Q2259" i="3"/>
  <c r="R2259" i="3"/>
  <c r="Q2260" i="3"/>
  <c r="R2260" i="3"/>
  <c r="Q2261" i="3"/>
  <c r="R2261" i="3"/>
  <c r="Q2262" i="3"/>
  <c r="R2262" i="3"/>
  <c r="Q2263" i="3"/>
  <c r="R2263" i="3"/>
  <c r="Q2264" i="3"/>
  <c r="R2264" i="3"/>
  <c r="Q2265" i="3"/>
  <c r="R2265" i="3"/>
  <c r="Q2266" i="3"/>
  <c r="R2266" i="3"/>
  <c r="Q2267" i="3"/>
  <c r="R2267" i="3"/>
  <c r="Q2268" i="3"/>
  <c r="R2268" i="3"/>
  <c r="Q2269" i="3"/>
  <c r="R2269" i="3"/>
  <c r="Q2270" i="3"/>
  <c r="R2270" i="3"/>
  <c r="Q2271" i="3"/>
  <c r="R2271" i="3"/>
  <c r="Q2272" i="3"/>
  <c r="R2272" i="3"/>
  <c r="Q2273" i="3"/>
  <c r="R2273" i="3"/>
  <c r="Q2274" i="3"/>
  <c r="R2274" i="3"/>
  <c r="Q2275" i="3"/>
  <c r="R2275" i="3"/>
  <c r="Q2276" i="3"/>
  <c r="R2276" i="3"/>
  <c r="Q2277" i="3"/>
  <c r="R2277" i="3"/>
  <c r="Q2278" i="3"/>
  <c r="R2278" i="3"/>
  <c r="Q2279" i="3"/>
  <c r="R2279" i="3"/>
  <c r="Q2280" i="3"/>
  <c r="R2280" i="3"/>
  <c r="Q2281" i="3"/>
  <c r="R2281" i="3"/>
  <c r="Q2282" i="3"/>
  <c r="R2282" i="3"/>
  <c r="Q2283" i="3"/>
  <c r="R2283" i="3"/>
  <c r="Q2284" i="3"/>
  <c r="R2284" i="3"/>
  <c r="Q2285" i="3"/>
  <c r="R2285" i="3"/>
  <c r="Q2286" i="3"/>
  <c r="R2286" i="3"/>
  <c r="Q2287" i="3"/>
  <c r="R2287" i="3"/>
  <c r="Q2288" i="3"/>
  <c r="R2288" i="3"/>
  <c r="Q2289" i="3"/>
  <c r="R2289" i="3"/>
  <c r="Q2290" i="3"/>
  <c r="R2290" i="3"/>
  <c r="Q2291" i="3"/>
  <c r="R2291" i="3"/>
  <c r="Q2292" i="3"/>
  <c r="R2292" i="3"/>
  <c r="Q2293" i="3"/>
  <c r="R2293" i="3"/>
  <c r="Q2294" i="3"/>
  <c r="R2294" i="3"/>
  <c r="Q2295" i="3"/>
  <c r="R2295" i="3"/>
  <c r="Q2296" i="3"/>
  <c r="R2296" i="3"/>
  <c r="Q2297" i="3"/>
  <c r="R2297" i="3"/>
  <c r="Q2298" i="3"/>
  <c r="R2298" i="3"/>
  <c r="Q2299" i="3"/>
  <c r="R2299" i="3"/>
  <c r="Q2300" i="3"/>
  <c r="R2300" i="3"/>
  <c r="Q2301" i="3"/>
  <c r="R2301" i="3"/>
  <c r="Q2302" i="3"/>
  <c r="R2302" i="3"/>
  <c r="Q2303" i="3"/>
  <c r="R2303" i="3"/>
  <c r="Q2304" i="3"/>
  <c r="R2304" i="3"/>
  <c r="Q2305" i="3"/>
  <c r="R2305" i="3"/>
  <c r="Q2306" i="3"/>
  <c r="R2306" i="3"/>
  <c r="Q2307" i="3"/>
  <c r="R2307" i="3"/>
  <c r="Q2308" i="3"/>
  <c r="R2308" i="3"/>
  <c r="Q2309" i="3"/>
  <c r="R2309" i="3"/>
  <c r="Q2310" i="3"/>
  <c r="R2310" i="3"/>
  <c r="Q2311" i="3"/>
  <c r="R2311" i="3"/>
  <c r="Q2312" i="3"/>
  <c r="R2312" i="3"/>
  <c r="Q2313" i="3"/>
  <c r="R2313" i="3"/>
  <c r="Q2314" i="3"/>
  <c r="R2314" i="3"/>
  <c r="Q2315" i="3"/>
  <c r="R2315" i="3"/>
  <c r="Q2316" i="3"/>
  <c r="R2316" i="3"/>
  <c r="Q2317" i="3"/>
  <c r="R2317" i="3"/>
  <c r="Q2318" i="3"/>
  <c r="R2318" i="3"/>
  <c r="Q2319" i="3"/>
  <c r="R2319" i="3"/>
  <c r="Q2320" i="3"/>
  <c r="R2320" i="3"/>
  <c r="Q2321" i="3"/>
  <c r="R2321" i="3"/>
  <c r="Q2322" i="3"/>
  <c r="R2322" i="3"/>
  <c r="Q2323" i="3"/>
  <c r="R2323" i="3"/>
  <c r="Q2324" i="3"/>
  <c r="R2324" i="3"/>
  <c r="Q2325" i="3"/>
  <c r="R2325" i="3"/>
  <c r="Q2326" i="3"/>
  <c r="R2326" i="3"/>
  <c r="Q2327" i="3"/>
  <c r="R2327" i="3"/>
  <c r="Q2328" i="3"/>
  <c r="R2328" i="3"/>
  <c r="Q2329" i="3"/>
  <c r="R2329" i="3"/>
  <c r="Q2330" i="3"/>
  <c r="R2330" i="3"/>
  <c r="Q2331" i="3"/>
  <c r="R2331" i="3"/>
  <c r="Q2332" i="3"/>
  <c r="R2332" i="3"/>
  <c r="Q2333" i="3"/>
  <c r="R2333" i="3"/>
  <c r="Q2334" i="3"/>
  <c r="R2334" i="3"/>
  <c r="Q2335" i="3"/>
  <c r="R2335" i="3"/>
  <c r="Q2336" i="3"/>
  <c r="R2336" i="3"/>
  <c r="Q2337" i="3"/>
  <c r="R2337" i="3"/>
  <c r="Q2338" i="3"/>
  <c r="R2338" i="3"/>
  <c r="Q2339" i="3"/>
  <c r="R2339" i="3"/>
  <c r="Q2340" i="3"/>
  <c r="R2340" i="3"/>
  <c r="Q2341" i="3"/>
  <c r="R2341" i="3"/>
  <c r="Q2342" i="3"/>
  <c r="R2342" i="3"/>
  <c r="Q2343" i="3"/>
  <c r="R2343" i="3"/>
  <c r="Q2344" i="3"/>
  <c r="R2344" i="3"/>
  <c r="Q2345" i="3"/>
  <c r="R2345" i="3"/>
  <c r="Q2346" i="3"/>
  <c r="R2346" i="3"/>
  <c r="Q2347" i="3"/>
  <c r="R2347" i="3"/>
  <c r="Q2348" i="3"/>
  <c r="R2348" i="3"/>
  <c r="Q2349" i="3"/>
  <c r="R2349" i="3"/>
  <c r="Q2350" i="3"/>
  <c r="R2350" i="3"/>
  <c r="Q2351" i="3"/>
  <c r="R2351" i="3"/>
  <c r="Q2352" i="3"/>
  <c r="R2352" i="3"/>
  <c r="Q2353" i="3"/>
  <c r="R2353" i="3"/>
  <c r="Q2354" i="3"/>
  <c r="R2354" i="3"/>
  <c r="Q2355" i="3"/>
  <c r="R2355" i="3"/>
  <c r="Q2356" i="3"/>
  <c r="R2356" i="3"/>
  <c r="Q2357" i="3"/>
  <c r="R2357" i="3"/>
  <c r="Q2358" i="3"/>
  <c r="R2358" i="3"/>
  <c r="Q2359" i="3"/>
  <c r="R2359" i="3"/>
  <c r="Q2360" i="3"/>
  <c r="R2360" i="3"/>
  <c r="Q2361" i="3"/>
  <c r="R2361" i="3"/>
  <c r="Q2362" i="3"/>
  <c r="R2362" i="3"/>
  <c r="Q2363" i="3"/>
  <c r="R2363" i="3"/>
  <c r="Q2364" i="3"/>
  <c r="R2364" i="3"/>
  <c r="Q2365" i="3"/>
  <c r="R2365" i="3"/>
  <c r="Q2366" i="3"/>
  <c r="R2366" i="3"/>
  <c r="Q2367" i="3"/>
  <c r="R2367" i="3"/>
  <c r="Q2368" i="3"/>
  <c r="R2368" i="3"/>
  <c r="Q2369" i="3"/>
  <c r="R2369" i="3"/>
  <c r="Q2370" i="3"/>
  <c r="R2370" i="3"/>
  <c r="Q2371" i="3"/>
  <c r="R2371" i="3"/>
  <c r="Q2372" i="3"/>
  <c r="R2372" i="3"/>
  <c r="Q2373" i="3"/>
  <c r="R2373" i="3"/>
  <c r="Q2374" i="3"/>
  <c r="R2374" i="3"/>
  <c r="Q2375" i="3"/>
  <c r="R2375" i="3"/>
  <c r="Q2376" i="3"/>
  <c r="R2376" i="3"/>
  <c r="Q2377" i="3"/>
  <c r="R2377" i="3"/>
  <c r="Q2378" i="3"/>
  <c r="R2378" i="3"/>
  <c r="Q2379" i="3"/>
  <c r="R2379" i="3"/>
  <c r="Q2380" i="3"/>
  <c r="R2380" i="3"/>
  <c r="Q2381" i="3"/>
  <c r="R2381" i="3"/>
  <c r="Q2382" i="3"/>
  <c r="R2382" i="3"/>
  <c r="Q2383" i="3"/>
  <c r="R2383" i="3"/>
  <c r="Q2384" i="3"/>
  <c r="R2384" i="3"/>
  <c r="Q2385" i="3"/>
  <c r="R2385" i="3"/>
  <c r="Q2386" i="3"/>
  <c r="R2386" i="3"/>
  <c r="Q2387" i="3"/>
  <c r="R2387" i="3"/>
  <c r="Q2388" i="3"/>
  <c r="R2388" i="3"/>
  <c r="Q2389" i="3"/>
  <c r="R2389" i="3"/>
  <c r="Q2390" i="3"/>
  <c r="R2390" i="3"/>
  <c r="Q2391" i="3"/>
  <c r="R2391" i="3"/>
  <c r="Q2392" i="3"/>
  <c r="R2392" i="3"/>
  <c r="Q2393" i="3"/>
  <c r="R2393" i="3"/>
  <c r="Q2394" i="3"/>
  <c r="R2394" i="3"/>
  <c r="Q2395" i="3"/>
  <c r="R2395" i="3"/>
  <c r="Q2396" i="3"/>
  <c r="R2396" i="3"/>
  <c r="Q2397" i="3"/>
  <c r="R2397" i="3"/>
  <c r="Q2398" i="3"/>
  <c r="R2398" i="3"/>
  <c r="Q2399" i="3"/>
  <c r="R2399" i="3"/>
  <c r="Q2400" i="3"/>
  <c r="R2400" i="3"/>
  <c r="Q2401" i="3"/>
  <c r="R2401" i="3"/>
  <c r="Q2402" i="3"/>
  <c r="R2402" i="3"/>
  <c r="Q2403" i="3"/>
  <c r="R2403" i="3"/>
  <c r="Q2404" i="3"/>
  <c r="R2404" i="3"/>
  <c r="Q2405" i="3"/>
  <c r="R2405" i="3"/>
  <c r="Q2406" i="3"/>
  <c r="R2406" i="3"/>
  <c r="Q2407" i="3"/>
  <c r="R2407" i="3"/>
  <c r="Q2408" i="3"/>
  <c r="R2408" i="3"/>
  <c r="Q2409" i="3"/>
  <c r="R2409" i="3"/>
  <c r="Q2410" i="3"/>
  <c r="R2410" i="3"/>
  <c r="Q2411" i="3"/>
  <c r="R2411" i="3"/>
  <c r="Q2412" i="3"/>
  <c r="R2412" i="3"/>
  <c r="Q2413" i="3"/>
  <c r="R2413" i="3"/>
  <c r="Q2414" i="3"/>
  <c r="R2414" i="3"/>
  <c r="Q2415" i="3"/>
  <c r="R2415" i="3"/>
  <c r="Q2416" i="3"/>
  <c r="R2416" i="3"/>
  <c r="Q2417" i="3"/>
  <c r="R2417" i="3"/>
  <c r="Q2418" i="3"/>
  <c r="R2418" i="3"/>
  <c r="Q2419" i="3"/>
  <c r="R2419" i="3"/>
  <c r="Q2420" i="3"/>
  <c r="R2420" i="3"/>
  <c r="Q2421" i="3"/>
  <c r="R2421" i="3"/>
  <c r="Q2422" i="3"/>
  <c r="R2422" i="3"/>
  <c r="Q2423" i="3"/>
  <c r="R2423" i="3"/>
  <c r="Q2424" i="3"/>
  <c r="R2424" i="3"/>
  <c r="Q2425" i="3"/>
  <c r="R2425" i="3"/>
  <c r="Q2426" i="3"/>
  <c r="R2426" i="3"/>
  <c r="Q2427" i="3"/>
  <c r="R2427" i="3"/>
  <c r="Q2428" i="3"/>
  <c r="R2428" i="3"/>
  <c r="Q2429" i="3"/>
  <c r="R2429" i="3"/>
  <c r="Q2430" i="3"/>
  <c r="R2430" i="3"/>
  <c r="Q2431" i="3"/>
  <c r="R2431" i="3"/>
  <c r="Q2432" i="3"/>
  <c r="R2432" i="3"/>
  <c r="Q2433" i="3"/>
  <c r="R2433" i="3"/>
  <c r="Q2434" i="3"/>
  <c r="R2434" i="3"/>
  <c r="Q2435" i="3"/>
  <c r="R2435" i="3"/>
  <c r="Q2436" i="3"/>
  <c r="R2436" i="3"/>
  <c r="Q2437" i="3"/>
  <c r="R2437" i="3"/>
  <c r="Q2438" i="3"/>
  <c r="R2438" i="3"/>
  <c r="Q2439" i="3"/>
  <c r="R2439" i="3"/>
  <c r="Q2440" i="3"/>
  <c r="R2440" i="3"/>
  <c r="Q2441" i="3"/>
  <c r="R2441" i="3"/>
  <c r="Q2442" i="3"/>
  <c r="R2442" i="3"/>
  <c r="Q2443" i="3"/>
  <c r="R2443" i="3"/>
  <c r="Q2444" i="3"/>
  <c r="R2444" i="3"/>
  <c r="Q2445" i="3"/>
  <c r="R2445" i="3"/>
  <c r="Q2446" i="3"/>
  <c r="R2446" i="3"/>
  <c r="Q2447" i="3"/>
  <c r="R2447" i="3"/>
  <c r="Q2448" i="3"/>
  <c r="R2448" i="3"/>
  <c r="Q2449" i="3"/>
  <c r="R2449" i="3"/>
  <c r="Q2450" i="3"/>
  <c r="R2450" i="3"/>
  <c r="Q2451" i="3"/>
  <c r="R2451" i="3"/>
  <c r="Q2452" i="3"/>
  <c r="R2452" i="3"/>
  <c r="Q2453" i="3"/>
  <c r="R2453" i="3"/>
  <c r="Q2454" i="3"/>
  <c r="R2454" i="3"/>
  <c r="Q2455" i="3"/>
  <c r="R2455" i="3"/>
  <c r="Q2456" i="3"/>
  <c r="R2456" i="3"/>
  <c r="Q2457" i="3"/>
  <c r="R2457" i="3"/>
  <c r="Q2458" i="3"/>
  <c r="R2458" i="3"/>
  <c r="Q2459" i="3"/>
  <c r="R2459" i="3"/>
  <c r="Q2460" i="3"/>
  <c r="R2460" i="3"/>
  <c r="Q2461" i="3"/>
  <c r="R2461" i="3"/>
  <c r="Q2462" i="3"/>
  <c r="R2462" i="3"/>
  <c r="Q2463" i="3"/>
  <c r="R2463" i="3"/>
  <c r="Q2464" i="3"/>
  <c r="R2464" i="3"/>
  <c r="Q2465" i="3"/>
  <c r="R2465" i="3"/>
  <c r="Q2466" i="3"/>
  <c r="R2466" i="3"/>
  <c r="Q2467" i="3"/>
  <c r="R2467" i="3"/>
  <c r="Q2468" i="3"/>
  <c r="R2468" i="3"/>
  <c r="Q2469" i="3"/>
  <c r="R2469" i="3"/>
  <c r="Q2470" i="3"/>
  <c r="R2470" i="3"/>
  <c r="Q2471" i="3"/>
  <c r="R2471" i="3"/>
  <c r="Q2472" i="3"/>
  <c r="R2472" i="3"/>
  <c r="Q2473" i="3"/>
  <c r="R2473" i="3"/>
  <c r="Q2474" i="3"/>
  <c r="R2474" i="3"/>
  <c r="Q2475" i="3"/>
  <c r="R2475" i="3"/>
  <c r="Q2476" i="3"/>
  <c r="R2476" i="3"/>
  <c r="Q2477" i="3"/>
  <c r="R2477" i="3"/>
  <c r="Q2478" i="3"/>
  <c r="R2478" i="3"/>
  <c r="Q2479" i="3"/>
  <c r="R2479" i="3"/>
  <c r="Q2480" i="3"/>
  <c r="R2480" i="3"/>
  <c r="Q2481" i="3"/>
  <c r="R2481" i="3"/>
  <c r="Q2482" i="3"/>
  <c r="R2482" i="3"/>
  <c r="Q2483" i="3"/>
  <c r="R2483" i="3"/>
  <c r="Q2484" i="3"/>
  <c r="R2484" i="3"/>
  <c r="Q2485" i="3"/>
  <c r="R2485" i="3"/>
  <c r="Q2486" i="3"/>
  <c r="R2486" i="3"/>
  <c r="Q2487" i="3"/>
  <c r="R2487" i="3"/>
  <c r="Q2488" i="3"/>
  <c r="R2488" i="3"/>
  <c r="Q2489" i="3"/>
  <c r="R2489" i="3"/>
  <c r="Q2490" i="3"/>
  <c r="R2490" i="3"/>
  <c r="Q2491" i="3"/>
  <c r="R2491" i="3"/>
  <c r="Q2492" i="3"/>
  <c r="R2492" i="3"/>
  <c r="Q2493" i="3"/>
  <c r="R2493" i="3"/>
  <c r="Q2494" i="3"/>
  <c r="R2494" i="3"/>
  <c r="Q2495" i="3"/>
  <c r="R2495" i="3"/>
  <c r="Q2496" i="3"/>
  <c r="R2496" i="3"/>
  <c r="Q2497" i="3"/>
  <c r="R2497" i="3"/>
  <c r="Q2498" i="3"/>
  <c r="R2498" i="3"/>
  <c r="Q2499" i="3"/>
  <c r="R2499" i="3"/>
  <c r="Q2500" i="3"/>
  <c r="R2500" i="3"/>
  <c r="Q2501" i="3"/>
  <c r="R2501" i="3"/>
  <c r="Q2502" i="3"/>
  <c r="R2502" i="3"/>
  <c r="Q2503" i="3"/>
  <c r="R2503" i="3"/>
  <c r="Q2504" i="3"/>
  <c r="R2504" i="3"/>
  <c r="Q2505" i="3"/>
  <c r="R2505" i="3"/>
  <c r="Q2506" i="3"/>
  <c r="R2506" i="3"/>
  <c r="Q2507" i="3"/>
  <c r="R2507" i="3"/>
  <c r="Q2508" i="3"/>
  <c r="R2508" i="3"/>
  <c r="Q2509" i="3"/>
  <c r="R2509" i="3"/>
  <c r="Q2510" i="3"/>
  <c r="R2510" i="3"/>
  <c r="Q2511" i="3"/>
  <c r="R2511" i="3"/>
  <c r="Q2512" i="3"/>
  <c r="R2512" i="3"/>
  <c r="Q2513" i="3"/>
  <c r="R2513" i="3"/>
  <c r="Q2514" i="3"/>
  <c r="R2514" i="3"/>
  <c r="Q2515" i="3"/>
  <c r="R2515" i="3"/>
  <c r="Q2516" i="3"/>
  <c r="R2516" i="3"/>
  <c r="Q2517" i="3"/>
  <c r="R2517" i="3"/>
  <c r="Q2518" i="3"/>
  <c r="R2518" i="3"/>
  <c r="Q2519" i="3"/>
  <c r="R2519" i="3"/>
  <c r="Q2520" i="3"/>
  <c r="R2520" i="3"/>
  <c r="Q2521" i="3"/>
  <c r="R2521" i="3"/>
  <c r="Q2522" i="3"/>
  <c r="R2522" i="3"/>
  <c r="Q2523" i="3"/>
  <c r="R2523" i="3"/>
  <c r="Q2524" i="3"/>
  <c r="R2524" i="3"/>
  <c r="Q2525" i="3"/>
  <c r="R2525" i="3"/>
  <c r="Q2526" i="3"/>
  <c r="R2526" i="3"/>
  <c r="Q2527" i="3"/>
  <c r="R2527" i="3"/>
  <c r="Q2528" i="3"/>
  <c r="R2528" i="3"/>
  <c r="Q2529" i="3"/>
  <c r="R2529" i="3"/>
  <c r="Q2530" i="3"/>
  <c r="R2530" i="3"/>
  <c r="Q2531" i="3"/>
  <c r="R2531" i="3"/>
  <c r="Q2532" i="3"/>
  <c r="R2532" i="3"/>
  <c r="Q2533" i="3"/>
  <c r="R2533" i="3"/>
  <c r="Q2534" i="3"/>
  <c r="R2534" i="3"/>
  <c r="Q2535" i="3"/>
  <c r="R2535" i="3"/>
  <c r="Q2536" i="3"/>
  <c r="R2536" i="3"/>
  <c r="Q2537" i="3"/>
  <c r="R2537" i="3"/>
  <c r="Q2538" i="3"/>
  <c r="R2538" i="3"/>
  <c r="Q2539" i="3"/>
  <c r="R2539" i="3"/>
  <c r="Q2540" i="3"/>
  <c r="R2540" i="3"/>
  <c r="Q2541" i="3"/>
  <c r="R2541" i="3"/>
  <c r="Q2542" i="3"/>
  <c r="R2542" i="3"/>
  <c r="Q2543" i="3"/>
  <c r="R2543" i="3"/>
  <c r="Q2544" i="3"/>
  <c r="R2544" i="3"/>
  <c r="Q2545" i="3"/>
  <c r="R2545" i="3"/>
  <c r="Q2546" i="3"/>
  <c r="R2546" i="3"/>
  <c r="Q2547" i="3"/>
  <c r="R2547" i="3"/>
  <c r="Q2548" i="3"/>
  <c r="R2548" i="3"/>
  <c r="Q2549" i="3"/>
  <c r="R2549" i="3"/>
  <c r="Q2550" i="3"/>
  <c r="R2550" i="3"/>
  <c r="Q2551" i="3"/>
  <c r="R2551" i="3"/>
  <c r="Q2552" i="3"/>
  <c r="R2552" i="3"/>
  <c r="Q2553" i="3"/>
  <c r="R2553" i="3"/>
  <c r="Q2554" i="3"/>
  <c r="R2554" i="3"/>
  <c r="Q2555" i="3"/>
  <c r="R2555" i="3"/>
  <c r="Q2556" i="3"/>
  <c r="R2556" i="3"/>
  <c r="Q2557" i="3"/>
  <c r="R2557" i="3"/>
  <c r="Q2558" i="3"/>
  <c r="R2558" i="3"/>
  <c r="Q2559" i="3"/>
  <c r="R2559" i="3"/>
  <c r="Q2560" i="3"/>
  <c r="R2560" i="3"/>
  <c r="Q2561" i="3"/>
  <c r="R2561" i="3"/>
  <c r="Q2562" i="3"/>
  <c r="R2562" i="3"/>
  <c r="Q2563" i="3"/>
  <c r="R2563" i="3"/>
  <c r="Q2564" i="3"/>
  <c r="R2564" i="3"/>
  <c r="Q2565" i="3"/>
  <c r="R2565" i="3"/>
  <c r="Q2566" i="3"/>
  <c r="R2566" i="3"/>
  <c r="Q2567" i="3"/>
  <c r="R2567" i="3"/>
  <c r="Q2568" i="3"/>
  <c r="R2568" i="3"/>
  <c r="Q2569" i="3"/>
  <c r="R2569" i="3"/>
  <c r="Q2570" i="3"/>
  <c r="R2570" i="3"/>
  <c r="Q2571" i="3"/>
  <c r="R2571" i="3"/>
  <c r="Q2572" i="3"/>
  <c r="R2572" i="3"/>
  <c r="Q2573" i="3"/>
  <c r="R2573" i="3"/>
  <c r="Q2574" i="3"/>
  <c r="R2574" i="3"/>
  <c r="Q2575" i="3"/>
  <c r="R2575" i="3"/>
  <c r="Q2576" i="3"/>
  <c r="R2576" i="3"/>
  <c r="Q2577" i="3"/>
  <c r="R2577" i="3"/>
  <c r="Q2578" i="3"/>
  <c r="R2578" i="3"/>
  <c r="Q2579" i="3"/>
  <c r="R2579" i="3"/>
  <c r="Q2580" i="3"/>
  <c r="R2580" i="3"/>
  <c r="Q2581" i="3"/>
  <c r="R2581" i="3"/>
  <c r="Q2582" i="3"/>
  <c r="R2582" i="3"/>
  <c r="Q2583" i="3"/>
  <c r="R2583" i="3"/>
  <c r="Q2584" i="3"/>
  <c r="R2584" i="3"/>
  <c r="Q2585" i="3"/>
  <c r="R2585" i="3"/>
  <c r="Q2586" i="3"/>
  <c r="R2586" i="3"/>
  <c r="Q2587" i="3"/>
  <c r="R2587" i="3"/>
  <c r="Q2588" i="3"/>
  <c r="R2588" i="3"/>
  <c r="Q2589" i="3"/>
  <c r="R2589" i="3"/>
  <c r="Q2590" i="3"/>
  <c r="R2590" i="3"/>
  <c r="Q2591" i="3"/>
  <c r="R2591" i="3"/>
  <c r="Q2592" i="3"/>
  <c r="R2592" i="3"/>
  <c r="Q2593" i="3"/>
  <c r="R2593" i="3"/>
  <c r="Q2594" i="3"/>
  <c r="R2594" i="3"/>
  <c r="Q2595" i="3"/>
  <c r="R2595" i="3"/>
  <c r="Q2596" i="3"/>
  <c r="R2596" i="3"/>
  <c r="Q2597" i="3"/>
  <c r="R2597" i="3"/>
  <c r="Q2598" i="3"/>
  <c r="R2598" i="3"/>
  <c r="Q2599" i="3"/>
  <c r="R2599" i="3"/>
  <c r="Q2600" i="3"/>
  <c r="R2600" i="3"/>
  <c r="Q2601" i="3"/>
  <c r="R2601" i="3"/>
  <c r="Q2602" i="3"/>
  <c r="R2602" i="3"/>
  <c r="Q2603" i="3"/>
  <c r="R2603" i="3"/>
  <c r="Q2604" i="3"/>
  <c r="R2604" i="3"/>
  <c r="Q2605" i="3"/>
  <c r="R2605" i="3"/>
  <c r="Q2606" i="3"/>
  <c r="R2606" i="3"/>
  <c r="Q2607" i="3"/>
  <c r="R2607" i="3"/>
  <c r="Q2608" i="3"/>
  <c r="R2608" i="3"/>
  <c r="Q2609" i="3"/>
  <c r="R2609" i="3"/>
  <c r="Q2610" i="3"/>
  <c r="R2610" i="3"/>
  <c r="Q2611" i="3"/>
  <c r="R2611" i="3"/>
  <c r="Q2612" i="3"/>
  <c r="R2612" i="3"/>
  <c r="Q2613" i="3"/>
  <c r="R2613" i="3"/>
  <c r="Q2614" i="3"/>
  <c r="R2614" i="3"/>
  <c r="Q2615" i="3"/>
  <c r="R2615" i="3"/>
  <c r="Q2616" i="3"/>
  <c r="R2616" i="3"/>
  <c r="Q2617" i="3"/>
  <c r="R2617" i="3"/>
  <c r="Q2618" i="3"/>
  <c r="R2618" i="3"/>
  <c r="Q2619" i="3"/>
  <c r="R2619" i="3"/>
  <c r="Q2620" i="3"/>
  <c r="R2620" i="3"/>
  <c r="Q2621" i="3"/>
  <c r="R2621" i="3"/>
  <c r="Q2622" i="3"/>
  <c r="R2622" i="3"/>
  <c r="Q2623" i="3"/>
  <c r="R2623" i="3"/>
  <c r="Q2624" i="3"/>
  <c r="R2624" i="3"/>
  <c r="Q2625" i="3"/>
  <c r="R2625" i="3"/>
  <c r="Q2626" i="3"/>
  <c r="R2626" i="3"/>
  <c r="Q2627" i="3"/>
  <c r="R2627" i="3"/>
  <c r="Q2628" i="3"/>
  <c r="R2628" i="3"/>
  <c r="Q2629" i="3"/>
  <c r="R2629" i="3"/>
  <c r="Q2630" i="3"/>
  <c r="R2630" i="3"/>
  <c r="Q2631" i="3"/>
  <c r="R2631" i="3"/>
  <c r="Q2632" i="3"/>
  <c r="R2632" i="3"/>
  <c r="Q2633" i="3"/>
  <c r="R2633" i="3"/>
  <c r="Q2634" i="3"/>
  <c r="R2634" i="3"/>
  <c r="Q2635" i="3"/>
  <c r="R2635" i="3"/>
  <c r="Q2636" i="3"/>
  <c r="R2636" i="3"/>
  <c r="Q2637" i="3"/>
  <c r="R2637" i="3"/>
  <c r="Q2638" i="3"/>
  <c r="R2638" i="3"/>
  <c r="Q2639" i="3"/>
  <c r="R2639" i="3"/>
  <c r="Q2640" i="3"/>
  <c r="R2640" i="3"/>
  <c r="Q2641" i="3"/>
  <c r="R2641" i="3"/>
  <c r="Q2642" i="3"/>
  <c r="R2642" i="3"/>
  <c r="Q2643" i="3"/>
  <c r="R2643" i="3"/>
  <c r="Q2644" i="3"/>
  <c r="R2644" i="3"/>
  <c r="Q2645" i="3"/>
  <c r="R2645" i="3"/>
  <c r="Q2646" i="3"/>
  <c r="R2646" i="3"/>
  <c r="Q2647" i="3"/>
  <c r="R2647" i="3"/>
  <c r="Q2648" i="3"/>
  <c r="R2648" i="3"/>
  <c r="Q2649" i="3"/>
  <c r="R2649" i="3"/>
  <c r="Q2650" i="3"/>
  <c r="R2650" i="3"/>
  <c r="Q2651" i="3"/>
  <c r="R2651" i="3"/>
  <c r="Q2652" i="3"/>
  <c r="R2652" i="3"/>
  <c r="Q2653" i="3"/>
  <c r="R2653" i="3"/>
  <c r="Q2654" i="3"/>
  <c r="R2654" i="3"/>
  <c r="Q2655" i="3"/>
  <c r="R2655" i="3"/>
  <c r="Q2656" i="3"/>
  <c r="R2656" i="3"/>
  <c r="Q2657" i="3"/>
  <c r="R2657" i="3"/>
  <c r="Q2658" i="3"/>
  <c r="R2658" i="3"/>
  <c r="Q2659" i="3"/>
  <c r="R2659" i="3"/>
  <c r="Q2660" i="3"/>
  <c r="R2660" i="3"/>
  <c r="Q2661" i="3"/>
  <c r="R2661" i="3"/>
  <c r="Q2662" i="3"/>
  <c r="R2662" i="3"/>
  <c r="Q2663" i="3"/>
  <c r="R2663" i="3"/>
  <c r="Q2664" i="3"/>
  <c r="R2664" i="3"/>
  <c r="Q2665" i="3"/>
  <c r="R2665" i="3"/>
  <c r="Q2666" i="3"/>
  <c r="R2666" i="3"/>
  <c r="Q2667" i="3"/>
  <c r="R2667" i="3"/>
  <c r="Q2668" i="3"/>
  <c r="R2668" i="3"/>
  <c r="Q2669" i="3"/>
  <c r="R2669" i="3"/>
  <c r="Q2670" i="3"/>
  <c r="R2670" i="3"/>
  <c r="Q2671" i="3"/>
  <c r="R2671" i="3"/>
  <c r="Q2672" i="3"/>
  <c r="R2672" i="3"/>
  <c r="Q2673" i="3"/>
  <c r="R2673" i="3"/>
  <c r="Q2674" i="3"/>
  <c r="R2674" i="3"/>
  <c r="Q2675" i="3"/>
  <c r="R2675" i="3"/>
  <c r="Q2676" i="3"/>
  <c r="R2676" i="3"/>
  <c r="Q2677" i="3"/>
  <c r="R2677" i="3"/>
  <c r="Q2678" i="3"/>
  <c r="R2678" i="3"/>
  <c r="Q2679" i="3"/>
  <c r="R2679" i="3"/>
  <c r="Q2680" i="3"/>
  <c r="R2680" i="3"/>
  <c r="Q2681" i="3"/>
  <c r="R2681" i="3"/>
  <c r="Q2682" i="3"/>
  <c r="R2682" i="3"/>
  <c r="Q2683" i="3"/>
  <c r="R2683" i="3"/>
  <c r="Q2684" i="3"/>
  <c r="R2684" i="3"/>
  <c r="Q2685" i="3"/>
  <c r="R2685" i="3"/>
  <c r="Q2686" i="3"/>
  <c r="R2686" i="3"/>
  <c r="Q2687" i="3"/>
  <c r="R2687" i="3"/>
  <c r="Q2688" i="3"/>
  <c r="R2688" i="3"/>
  <c r="Q2689" i="3"/>
  <c r="R2689" i="3"/>
  <c r="Q2690" i="3"/>
  <c r="R2690" i="3"/>
  <c r="Q2691" i="3"/>
  <c r="R2691" i="3"/>
  <c r="Q2692" i="3"/>
  <c r="R2692" i="3"/>
  <c r="Q2693" i="3"/>
  <c r="R2693" i="3"/>
  <c r="Q2694" i="3"/>
  <c r="R2694" i="3"/>
  <c r="Q2695" i="3"/>
  <c r="R2695" i="3"/>
  <c r="Q2696" i="3"/>
  <c r="R2696" i="3"/>
  <c r="Q2697" i="3"/>
  <c r="R2697" i="3"/>
  <c r="Q2698" i="3"/>
  <c r="R2698" i="3"/>
  <c r="Q2699" i="3"/>
  <c r="R2699" i="3"/>
  <c r="Q2700" i="3"/>
  <c r="R2700" i="3"/>
  <c r="Q2701" i="3"/>
  <c r="R2701" i="3"/>
  <c r="Q2702" i="3"/>
  <c r="R2702" i="3"/>
  <c r="Q2703" i="3"/>
  <c r="R2703" i="3"/>
  <c r="Q2704" i="3"/>
  <c r="R2704" i="3"/>
  <c r="Q2705" i="3"/>
  <c r="R2705" i="3"/>
  <c r="Q2706" i="3"/>
  <c r="R2706" i="3"/>
  <c r="Q2707" i="3"/>
  <c r="R2707" i="3"/>
  <c r="Q2708" i="3"/>
  <c r="R2708" i="3"/>
  <c r="Q2709" i="3"/>
  <c r="R2709" i="3"/>
  <c r="Q2710" i="3"/>
  <c r="R2710" i="3"/>
  <c r="Q2711" i="3"/>
  <c r="R2711" i="3"/>
  <c r="Q2712" i="3"/>
  <c r="R2712" i="3"/>
  <c r="Q2713" i="3"/>
  <c r="R2713" i="3"/>
  <c r="Q2714" i="3"/>
  <c r="R2714" i="3"/>
  <c r="Q2715" i="3"/>
  <c r="R2715" i="3"/>
  <c r="Q2716" i="3"/>
  <c r="R2716" i="3"/>
  <c r="Q2717" i="3"/>
  <c r="R2717" i="3"/>
  <c r="Q2718" i="3"/>
  <c r="R2718" i="3"/>
  <c r="Q2719" i="3"/>
  <c r="R2719" i="3"/>
  <c r="Q2720" i="3"/>
  <c r="R2720" i="3"/>
  <c r="Q2721" i="3"/>
  <c r="R2721" i="3"/>
  <c r="Q2722" i="3"/>
  <c r="R2722" i="3"/>
  <c r="Q2723" i="3"/>
  <c r="R2723" i="3"/>
  <c r="Q2724" i="3"/>
  <c r="R2724" i="3"/>
  <c r="Q2725" i="3"/>
  <c r="R2725" i="3"/>
  <c r="Q2726" i="3"/>
  <c r="R2726" i="3"/>
  <c r="Q2727" i="3"/>
  <c r="R2727" i="3"/>
  <c r="Q2728" i="3"/>
  <c r="R2728" i="3"/>
  <c r="Q2729" i="3"/>
  <c r="R2729" i="3"/>
  <c r="Q2730" i="3"/>
  <c r="R2730" i="3"/>
  <c r="Q2731" i="3"/>
  <c r="R2731" i="3"/>
  <c r="Q2732" i="3"/>
  <c r="R2732" i="3"/>
  <c r="Q2733" i="3"/>
  <c r="R2733" i="3"/>
  <c r="Q2734" i="3"/>
  <c r="R2734" i="3"/>
  <c r="Q2735" i="3"/>
  <c r="R2735" i="3"/>
  <c r="Q2736" i="3"/>
  <c r="R2736" i="3"/>
  <c r="Q2737" i="3"/>
  <c r="R2737" i="3"/>
  <c r="Q2738" i="3"/>
  <c r="R2738" i="3"/>
  <c r="Q2739" i="3"/>
  <c r="R2739" i="3"/>
  <c r="Q2740" i="3"/>
  <c r="R2740" i="3"/>
  <c r="Q2741" i="3"/>
  <c r="R2741" i="3"/>
  <c r="Q2742" i="3"/>
  <c r="R2742" i="3"/>
  <c r="Q2743" i="3"/>
  <c r="R2743" i="3"/>
  <c r="Q2744" i="3"/>
  <c r="R2744" i="3"/>
  <c r="Q2745" i="3"/>
  <c r="R2745" i="3"/>
  <c r="Q2746" i="3"/>
  <c r="R2746" i="3"/>
  <c r="Q2747" i="3"/>
  <c r="R2747" i="3"/>
  <c r="Q2748" i="3"/>
  <c r="R2748" i="3"/>
  <c r="Q2749" i="3"/>
  <c r="R2749" i="3"/>
  <c r="Q2750" i="3"/>
  <c r="R2750" i="3"/>
  <c r="Q2751" i="3"/>
  <c r="R2751" i="3"/>
  <c r="Q2752" i="3"/>
  <c r="R2752" i="3"/>
  <c r="Q2753" i="3"/>
  <c r="R2753" i="3"/>
  <c r="Q2754" i="3"/>
  <c r="R2754" i="3"/>
  <c r="Q2755" i="3"/>
  <c r="R2755" i="3"/>
  <c r="Q2756" i="3"/>
  <c r="R2756" i="3"/>
  <c r="Q2757" i="3"/>
  <c r="R2757" i="3"/>
  <c r="Q2758" i="3"/>
  <c r="R2758" i="3"/>
  <c r="Q2759" i="3"/>
  <c r="R2759" i="3"/>
  <c r="Q2760" i="3"/>
  <c r="R2760" i="3"/>
  <c r="Q2761" i="3"/>
  <c r="R2761" i="3"/>
  <c r="Q2762" i="3"/>
  <c r="R2762" i="3"/>
  <c r="Q2763" i="3"/>
  <c r="R2763" i="3"/>
  <c r="Q2764" i="3"/>
  <c r="R2764" i="3"/>
  <c r="Q2765" i="3"/>
  <c r="R2765" i="3"/>
  <c r="Q2766" i="3"/>
  <c r="R2766" i="3"/>
  <c r="Q2767" i="3"/>
  <c r="R2767" i="3"/>
  <c r="Q2768" i="3"/>
  <c r="R2768" i="3"/>
  <c r="Q2769" i="3"/>
  <c r="R2769" i="3"/>
  <c r="Q2770" i="3"/>
  <c r="R2770" i="3"/>
  <c r="Q2771" i="3"/>
  <c r="R2771" i="3"/>
  <c r="Q2772" i="3"/>
  <c r="R2772" i="3"/>
  <c r="Q2773" i="3"/>
  <c r="R2773" i="3"/>
  <c r="Q2774" i="3"/>
  <c r="R2774" i="3"/>
  <c r="Q2775" i="3"/>
  <c r="R2775" i="3"/>
  <c r="Q2776" i="3"/>
  <c r="R2776" i="3"/>
  <c r="Q2777" i="3"/>
  <c r="R2777" i="3"/>
  <c r="Q2778" i="3"/>
  <c r="R2778" i="3"/>
  <c r="Q2779" i="3"/>
  <c r="R2779" i="3"/>
  <c r="Q2780" i="3"/>
  <c r="R2780" i="3"/>
  <c r="Q2781" i="3"/>
  <c r="R2781" i="3"/>
  <c r="Q2782" i="3"/>
  <c r="R2782" i="3"/>
  <c r="Q2783" i="3"/>
  <c r="R2783" i="3"/>
  <c r="Q2784" i="3"/>
  <c r="R2784" i="3"/>
  <c r="Q2785" i="3"/>
  <c r="R2785" i="3"/>
  <c r="Q2786" i="3"/>
  <c r="R2786" i="3"/>
  <c r="Q2787" i="3"/>
  <c r="R2787" i="3"/>
  <c r="Q2788" i="3"/>
  <c r="R2788" i="3"/>
  <c r="Q2789" i="3"/>
  <c r="R2789" i="3"/>
  <c r="Q2790" i="3"/>
  <c r="R2790" i="3"/>
  <c r="Q2791" i="3"/>
  <c r="R2791" i="3"/>
  <c r="Q2792" i="3"/>
  <c r="R2792" i="3"/>
  <c r="Q2793" i="3"/>
  <c r="R2793" i="3"/>
  <c r="Q2794" i="3"/>
  <c r="R2794" i="3"/>
  <c r="Q2795" i="3"/>
  <c r="R2795" i="3"/>
  <c r="Q2796" i="3"/>
  <c r="R2796" i="3"/>
  <c r="Q2797" i="3"/>
  <c r="R2797" i="3"/>
  <c r="Q2798" i="3"/>
  <c r="R2798" i="3"/>
  <c r="Q2799" i="3"/>
  <c r="R2799" i="3"/>
  <c r="Q2800" i="3"/>
  <c r="R2800" i="3"/>
  <c r="Q2801" i="3"/>
  <c r="R2801" i="3"/>
  <c r="Q2802" i="3"/>
  <c r="R2802" i="3"/>
  <c r="Q2803" i="3"/>
  <c r="R2803" i="3"/>
  <c r="Q2804" i="3"/>
  <c r="R2804" i="3"/>
  <c r="Q2805" i="3"/>
  <c r="R2805" i="3"/>
  <c r="Q2806" i="3"/>
  <c r="R2806" i="3"/>
  <c r="Q2807" i="3"/>
  <c r="R2807" i="3"/>
  <c r="Q2808" i="3"/>
  <c r="R2808" i="3"/>
  <c r="Q2809" i="3"/>
  <c r="R2809" i="3"/>
  <c r="Q2810" i="3"/>
  <c r="R2810" i="3"/>
  <c r="Q2811" i="3"/>
  <c r="R2811" i="3"/>
  <c r="Q2812" i="3"/>
  <c r="R2812" i="3"/>
  <c r="Q2813" i="3"/>
  <c r="R2813" i="3"/>
  <c r="Q2814" i="3"/>
  <c r="R2814" i="3"/>
  <c r="Q2815" i="3"/>
  <c r="R2815" i="3"/>
  <c r="Q2816" i="3"/>
  <c r="R2816" i="3"/>
  <c r="Q2817" i="3"/>
  <c r="R2817" i="3"/>
  <c r="Q2818" i="3"/>
  <c r="R2818" i="3"/>
  <c r="Q2819" i="3"/>
  <c r="R2819" i="3"/>
  <c r="Q2820" i="3"/>
  <c r="R2820" i="3"/>
  <c r="Q2821" i="3"/>
  <c r="R2821" i="3"/>
  <c r="Q2822" i="3"/>
  <c r="R2822" i="3"/>
  <c r="Q2823" i="3"/>
  <c r="R2823" i="3"/>
  <c r="Q2824" i="3"/>
  <c r="R2824" i="3"/>
  <c r="Q2825" i="3"/>
  <c r="R2825" i="3"/>
  <c r="Q2826" i="3"/>
  <c r="R2826" i="3"/>
  <c r="Q2827" i="3"/>
  <c r="R2827" i="3"/>
  <c r="Q2828" i="3"/>
  <c r="R2828" i="3"/>
  <c r="Q2829" i="3"/>
  <c r="R2829" i="3"/>
  <c r="Q2830" i="3"/>
  <c r="R2830" i="3"/>
  <c r="Q2831" i="3"/>
  <c r="R2831" i="3"/>
  <c r="Q2832" i="3"/>
  <c r="R2832" i="3"/>
  <c r="Q2833" i="3"/>
  <c r="R2833" i="3"/>
  <c r="Q2834" i="3"/>
  <c r="R2834" i="3"/>
  <c r="Q2835" i="3"/>
  <c r="R2835" i="3"/>
  <c r="Q2836" i="3"/>
  <c r="R2836" i="3"/>
  <c r="Q2837" i="3"/>
  <c r="R2837" i="3"/>
  <c r="Q2838" i="3"/>
  <c r="R2838" i="3"/>
  <c r="Q2839" i="3"/>
  <c r="R2839" i="3"/>
  <c r="Q2840" i="3"/>
  <c r="R2840" i="3"/>
  <c r="Q2841" i="3"/>
  <c r="R2841" i="3"/>
  <c r="Q2842" i="3"/>
  <c r="R2842" i="3"/>
  <c r="Q2843" i="3"/>
  <c r="R2843" i="3"/>
  <c r="Q2844" i="3"/>
  <c r="R2844" i="3"/>
  <c r="Q2845" i="3"/>
  <c r="R2845" i="3"/>
  <c r="Q2846" i="3"/>
  <c r="R2846" i="3"/>
  <c r="Q2847" i="3"/>
  <c r="R2847" i="3"/>
  <c r="Q2848" i="3"/>
  <c r="R2848" i="3"/>
  <c r="Q2849" i="3"/>
  <c r="R2849" i="3"/>
  <c r="Q2850" i="3"/>
  <c r="R2850" i="3"/>
  <c r="Q2851" i="3"/>
  <c r="R2851" i="3"/>
  <c r="Q2852" i="3"/>
  <c r="R2852" i="3"/>
  <c r="Q2853" i="3"/>
  <c r="R2853" i="3"/>
  <c r="Q2854" i="3"/>
  <c r="R2854" i="3"/>
  <c r="Q2855" i="3"/>
  <c r="R2855" i="3"/>
  <c r="Q2856" i="3"/>
  <c r="R2856" i="3"/>
  <c r="Q2857" i="3"/>
  <c r="R2857" i="3"/>
  <c r="Q2858" i="3"/>
  <c r="R2858" i="3"/>
  <c r="Q2859" i="3"/>
  <c r="R2859" i="3"/>
  <c r="Q2860" i="3"/>
  <c r="R2860" i="3"/>
  <c r="Q2861" i="3"/>
  <c r="R2861" i="3"/>
  <c r="Q2862" i="3"/>
  <c r="R2862" i="3"/>
  <c r="Q2863" i="3"/>
  <c r="R2863" i="3"/>
  <c r="Q2864" i="3"/>
  <c r="R2864" i="3"/>
  <c r="Q2865" i="3"/>
  <c r="R2865" i="3"/>
  <c r="Q2866" i="3"/>
  <c r="R2866" i="3"/>
  <c r="Q2867" i="3"/>
  <c r="R2867" i="3"/>
  <c r="Q2868" i="3"/>
  <c r="R2868" i="3"/>
  <c r="Q2869" i="3"/>
  <c r="R2869" i="3"/>
  <c r="Q2870" i="3"/>
  <c r="R2870" i="3"/>
  <c r="Q2871" i="3"/>
  <c r="R2871" i="3"/>
  <c r="Q2872" i="3"/>
  <c r="R2872" i="3"/>
  <c r="Q2873" i="3"/>
  <c r="R2873" i="3"/>
  <c r="Q2874" i="3"/>
  <c r="R2874" i="3"/>
  <c r="Q2875" i="3"/>
  <c r="R2875" i="3"/>
  <c r="Q2876" i="3"/>
  <c r="R2876" i="3"/>
  <c r="Q2877" i="3"/>
  <c r="R2877" i="3"/>
  <c r="Q2878" i="3"/>
  <c r="R2878" i="3"/>
  <c r="Q2879" i="3"/>
  <c r="R2879" i="3"/>
  <c r="Q2880" i="3"/>
  <c r="R2880" i="3"/>
  <c r="Q2881" i="3"/>
  <c r="R2881" i="3"/>
  <c r="Q2882" i="3"/>
  <c r="R2882" i="3"/>
  <c r="Q2883" i="3"/>
  <c r="R2883" i="3"/>
  <c r="Q2884" i="3"/>
  <c r="R2884" i="3"/>
  <c r="Q2885" i="3"/>
  <c r="R2885" i="3"/>
  <c r="Q2886" i="3"/>
  <c r="R2886" i="3"/>
  <c r="Q2887" i="3"/>
  <c r="R2887" i="3"/>
  <c r="Q2888" i="3"/>
  <c r="R2888" i="3"/>
  <c r="Q2889" i="3"/>
  <c r="R2889" i="3"/>
  <c r="Q2890" i="3"/>
  <c r="R2890" i="3"/>
  <c r="Q2891" i="3"/>
  <c r="R2891" i="3"/>
  <c r="Q2892" i="3"/>
  <c r="R2892" i="3"/>
  <c r="Q2893" i="3"/>
  <c r="R2893" i="3"/>
  <c r="Q2894" i="3"/>
  <c r="R2894" i="3"/>
  <c r="Q2895" i="3"/>
  <c r="R2895" i="3"/>
  <c r="Q2896" i="3"/>
  <c r="R2896" i="3"/>
  <c r="Q2897" i="3"/>
  <c r="R2897" i="3"/>
  <c r="Q2898" i="3"/>
  <c r="R2898" i="3"/>
  <c r="Q2899" i="3"/>
  <c r="R2899" i="3"/>
  <c r="Q2900" i="3"/>
  <c r="R2900" i="3"/>
  <c r="Q2901" i="3"/>
  <c r="R2901" i="3"/>
  <c r="Q2902" i="3"/>
  <c r="R2902" i="3"/>
  <c r="Q2903" i="3"/>
  <c r="R2903" i="3"/>
  <c r="Q2904" i="3"/>
  <c r="R2904" i="3"/>
  <c r="Q2905" i="3"/>
  <c r="R2905" i="3"/>
  <c r="Q2906" i="3"/>
  <c r="R2906" i="3"/>
  <c r="Q2907" i="3"/>
  <c r="R2907" i="3"/>
  <c r="Q2908" i="3"/>
  <c r="R2908" i="3"/>
  <c r="Q2909" i="3"/>
  <c r="R2909" i="3"/>
  <c r="Q2910" i="3"/>
  <c r="R2910" i="3"/>
  <c r="Q2911" i="3"/>
  <c r="R2911" i="3"/>
  <c r="Q2912" i="3"/>
  <c r="R2912" i="3"/>
  <c r="Q2913" i="3"/>
  <c r="R2913" i="3"/>
  <c r="Q2914" i="3"/>
  <c r="R2914" i="3"/>
  <c r="Q2915" i="3"/>
  <c r="R2915" i="3"/>
  <c r="Q2916" i="3"/>
  <c r="R2916" i="3"/>
  <c r="Q2917" i="3"/>
  <c r="R2917" i="3"/>
  <c r="Q2918" i="3"/>
  <c r="R2918" i="3"/>
  <c r="Q2919" i="3"/>
  <c r="R2919" i="3"/>
  <c r="Q2920" i="3"/>
  <c r="R2920" i="3"/>
  <c r="Q2921" i="3"/>
  <c r="R2921" i="3"/>
  <c r="Q2922" i="3"/>
  <c r="R2922" i="3"/>
  <c r="Q2923" i="3"/>
  <c r="R2923" i="3"/>
  <c r="Q2924" i="3"/>
  <c r="R2924" i="3"/>
  <c r="Q2925" i="3"/>
  <c r="R2925" i="3"/>
  <c r="Q2926" i="3"/>
  <c r="R2926" i="3"/>
  <c r="Q2927" i="3"/>
  <c r="R2927" i="3"/>
  <c r="Q2928" i="3"/>
  <c r="R2928" i="3"/>
  <c r="Q2929" i="3"/>
  <c r="R2929" i="3"/>
  <c r="Q2930" i="3"/>
  <c r="R2930" i="3"/>
  <c r="Q2931" i="3"/>
  <c r="R2931" i="3"/>
  <c r="Q2932" i="3"/>
  <c r="R2932" i="3"/>
  <c r="Q2933" i="3"/>
  <c r="R2933" i="3"/>
  <c r="Q2934" i="3"/>
  <c r="R2934" i="3"/>
  <c r="Q2935" i="3"/>
  <c r="R2935" i="3"/>
  <c r="Q2936" i="3"/>
  <c r="R2936" i="3"/>
  <c r="Q2937" i="3"/>
  <c r="R2937" i="3"/>
  <c r="Q2938" i="3"/>
  <c r="R2938" i="3"/>
  <c r="Q2939" i="3"/>
  <c r="R2939" i="3"/>
  <c r="Q2940" i="3"/>
  <c r="R2940" i="3"/>
  <c r="Q2941" i="3"/>
  <c r="R2941" i="3"/>
  <c r="Q2942" i="3"/>
  <c r="R2942" i="3"/>
  <c r="Q2943" i="3"/>
  <c r="R2943" i="3"/>
  <c r="Q2944" i="3"/>
  <c r="R2944" i="3"/>
  <c r="Q2945" i="3"/>
  <c r="R2945" i="3"/>
  <c r="Q2946" i="3"/>
  <c r="R2946" i="3"/>
  <c r="Q2947" i="3"/>
  <c r="R2947" i="3"/>
  <c r="Q2948" i="3"/>
  <c r="R2948" i="3"/>
  <c r="Q2949" i="3"/>
  <c r="R2949" i="3"/>
  <c r="Q2950" i="3"/>
  <c r="R2950" i="3"/>
  <c r="Q2951" i="3"/>
  <c r="R2951" i="3"/>
  <c r="Q2952" i="3"/>
  <c r="R2952" i="3"/>
  <c r="Q2953" i="3"/>
  <c r="R2953" i="3"/>
  <c r="Q2954" i="3"/>
  <c r="R2954" i="3"/>
  <c r="Q2955" i="3"/>
  <c r="R2955" i="3"/>
  <c r="Q2956" i="3"/>
  <c r="R2956" i="3"/>
  <c r="Q2957" i="3"/>
  <c r="R2957" i="3"/>
  <c r="Q2958" i="3"/>
  <c r="R2958" i="3"/>
  <c r="Q2959" i="3"/>
  <c r="R2959" i="3"/>
  <c r="Q2960" i="3"/>
  <c r="R2960" i="3"/>
  <c r="Q2961" i="3"/>
  <c r="R2961" i="3"/>
  <c r="Q2962" i="3"/>
  <c r="R2962" i="3"/>
  <c r="Q2963" i="3"/>
  <c r="R2963" i="3"/>
  <c r="Q2964" i="3"/>
  <c r="R2964" i="3"/>
  <c r="Q2965" i="3"/>
  <c r="R2965" i="3"/>
  <c r="Q2966" i="3"/>
  <c r="R2966" i="3"/>
  <c r="Q2967" i="3"/>
  <c r="R2967" i="3"/>
  <c r="Q2968" i="3"/>
  <c r="R2968" i="3"/>
  <c r="Q2969" i="3"/>
  <c r="R2969" i="3"/>
  <c r="Q2970" i="3"/>
  <c r="R2970" i="3"/>
  <c r="Q2971" i="3"/>
  <c r="R2971" i="3"/>
  <c r="Q2972" i="3"/>
  <c r="R2972" i="3"/>
  <c r="Q2973" i="3"/>
  <c r="R2973" i="3"/>
  <c r="Q2974" i="3"/>
  <c r="R2974" i="3"/>
  <c r="Q2975" i="3"/>
  <c r="R2975" i="3"/>
  <c r="Q2976" i="3"/>
  <c r="R2976" i="3"/>
  <c r="Q2977" i="3"/>
  <c r="R2977" i="3"/>
  <c r="Q2978" i="3"/>
  <c r="R2978" i="3"/>
  <c r="Q2979" i="3"/>
  <c r="R2979" i="3"/>
  <c r="Q2980" i="3"/>
  <c r="R2980" i="3"/>
  <c r="Q2981" i="3"/>
  <c r="R2981" i="3"/>
  <c r="R2" i="3"/>
  <c r="Q2" i="3"/>
  <c r="L2958" i="3"/>
  <c r="M2958" i="3" s="1"/>
  <c r="N2958" i="3" s="1"/>
  <c r="L2959" i="3"/>
  <c r="M2959" i="3" s="1"/>
  <c r="L2960" i="3"/>
  <c r="M2960" i="3" s="1"/>
  <c r="L2961" i="3"/>
  <c r="L2962" i="3"/>
  <c r="M2962" i="3" s="1"/>
  <c r="L2963" i="3"/>
  <c r="M2963" i="3" s="1"/>
  <c r="L2964" i="3"/>
  <c r="M2964" i="3" s="1"/>
  <c r="L2965" i="3"/>
  <c r="M2965" i="3" s="1"/>
  <c r="L2966" i="3"/>
  <c r="M2966" i="3" s="1"/>
  <c r="N2966" i="3" s="1"/>
  <c r="L2967" i="3"/>
  <c r="M2967" i="3" s="1"/>
  <c r="L2968" i="3"/>
  <c r="M2968" i="3" s="1"/>
  <c r="L2969" i="3"/>
  <c r="L2970" i="3"/>
  <c r="M2970" i="3" s="1"/>
  <c r="L2971" i="3"/>
  <c r="M2971" i="3" s="1"/>
  <c r="L2972" i="3"/>
  <c r="M2972" i="3" s="1"/>
  <c r="L2973" i="3"/>
  <c r="M2973" i="3" s="1"/>
  <c r="L2974" i="3"/>
  <c r="M2974" i="3" s="1"/>
  <c r="L2975" i="3"/>
  <c r="M2975" i="3" s="1"/>
  <c r="L2976" i="3"/>
  <c r="M2976" i="3" s="1"/>
  <c r="L2977" i="3"/>
  <c r="L2978" i="3"/>
  <c r="M2978" i="3" s="1"/>
  <c r="L2979" i="3"/>
  <c r="M2979" i="3" s="1"/>
  <c r="L2980" i="3"/>
  <c r="L2981" i="3"/>
  <c r="M2981" i="3" s="1"/>
  <c r="L2945" i="3"/>
  <c r="M2945" i="3" s="1"/>
  <c r="N2945" i="3" s="1"/>
  <c r="L2946" i="3"/>
  <c r="M2946" i="3" s="1"/>
  <c r="L2947" i="3"/>
  <c r="M2947" i="3" s="1"/>
  <c r="N2947" i="3" s="1"/>
  <c r="L2948" i="3"/>
  <c r="M2948" i="3" s="1"/>
  <c r="L2949" i="3"/>
  <c r="M2949" i="3" s="1"/>
  <c r="N2949" i="3" s="1"/>
  <c r="L2950" i="3"/>
  <c r="M2950" i="3" s="1"/>
  <c r="L2951" i="3"/>
  <c r="M2951" i="3" s="1"/>
  <c r="N2951" i="3" s="1"/>
  <c r="L2952" i="3"/>
  <c r="M2952" i="3" s="1"/>
  <c r="L2953" i="3"/>
  <c r="M2953" i="3" s="1"/>
  <c r="N2953" i="3" s="1"/>
  <c r="L2954" i="3"/>
  <c r="M2954" i="3" s="1"/>
  <c r="L2955" i="3"/>
  <c r="M2955" i="3" s="1"/>
  <c r="N2955" i="3" s="1"/>
  <c r="L2956" i="3"/>
  <c r="M2956" i="3" s="1"/>
  <c r="L2957" i="3"/>
  <c r="M2957" i="3" s="1"/>
  <c r="N2957" i="3" s="1"/>
  <c r="L329" i="3"/>
  <c r="M329" i="3" s="1"/>
  <c r="L330" i="3"/>
  <c r="L331" i="3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L339" i="3"/>
  <c r="M339" i="3" s="1"/>
  <c r="L340" i="3"/>
  <c r="L341" i="3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L357" i="3"/>
  <c r="M357" i="3" s="1"/>
  <c r="L358" i="3"/>
  <c r="M358" i="3" s="1"/>
  <c r="L359" i="3"/>
  <c r="M359" i="3" s="1"/>
  <c r="L360" i="3"/>
  <c r="M360" i="3" s="1"/>
  <c r="L361" i="3"/>
  <c r="M361" i="3" s="1"/>
  <c r="L362" i="3"/>
  <c r="M362" i="3" s="1"/>
  <c r="L363" i="3"/>
  <c r="M363" i="3" s="1"/>
  <c r="L364" i="3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L373" i="3"/>
  <c r="L374" i="3"/>
  <c r="M374" i="3" s="1"/>
  <c r="L375" i="3"/>
  <c r="L376" i="3"/>
  <c r="M376" i="3" s="1"/>
  <c r="L377" i="3"/>
  <c r="L378" i="3"/>
  <c r="L379" i="3"/>
  <c r="M379" i="3" s="1"/>
  <c r="L380" i="3"/>
  <c r="L381" i="3"/>
  <c r="M381" i="3" s="1"/>
  <c r="L382" i="3"/>
  <c r="M382" i="3" s="1"/>
  <c r="L383" i="3"/>
  <c r="M383" i="3" s="1"/>
  <c r="L384" i="3"/>
  <c r="M384" i="3" s="1"/>
  <c r="L385" i="3"/>
  <c r="L386" i="3"/>
  <c r="L387" i="3"/>
  <c r="M387" i="3" s="1"/>
  <c r="L388" i="3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L395" i="3"/>
  <c r="M395" i="3" s="1"/>
  <c r="L396" i="3"/>
  <c r="L397" i="3"/>
  <c r="L398" i="3"/>
  <c r="M398" i="3" s="1"/>
  <c r="L399" i="3"/>
  <c r="M399" i="3" s="1"/>
  <c r="L400" i="3"/>
  <c r="M400" i="3" s="1"/>
  <c r="L401" i="3"/>
  <c r="M401" i="3" s="1"/>
  <c r="L402" i="3"/>
  <c r="L403" i="3"/>
  <c r="M403" i="3" s="1"/>
  <c r="L404" i="3"/>
  <c r="M404" i="3" s="1"/>
  <c r="L405" i="3"/>
  <c r="M405" i="3" s="1"/>
  <c r="L406" i="3"/>
  <c r="M406" i="3" s="1"/>
  <c r="N406" i="3" s="1"/>
  <c r="L407" i="3"/>
  <c r="M407" i="3" s="1"/>
  <c r="L408" i="3"/>
  <c r="L409" i="3"/>
  <c r="M409" i="3" s="1"/>
  <c r="L410" i="3"/>
  <c r="M410" i="3" s="1"/>
  <c r="L411" i="3"/>
  <c r="M411" i="3" s="1"/>
  <c r="L412" i="3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L419" i="3"/>
  <c r="M419" i="3" s="1"/>
  <c r="L420" i="3"/>
  <c r="L421" i="3"/>
  <c r="M421" i="3" s="1"/>
  <c r="L422" i="3"/>
  <c r="M422" i="3" s="1"/>
  <c r="L423" i="3"/>
  <c r="M423" i="3" s="1"/>
  <c r="L424" i="3"/>
  <c r="M424" i="3" s="1"/>
  <c r="L425" i="3"/>
  <c r="M425" i="3" s="1"/>
  <c r="L426" i="3"/>
  <c r="L427" i="3"/>
  <c r="M427" i="3" s="1"/>
  <c r="L428" i="3"/>
  <c r="L429" i="3"/>
  <c r="M429" i="3" s="1"/>
  <c r="L430" i="3"/>
  <c r="L431" i="3"/>
  <c r="M431" i="3" s="1"/>
  <c r="L432" i="3"/>
  <c r="L433" i="3"/>
  <c r="M433" i="3" s="1"/>
  <c r="L434" i="3"/>
  <c r="L435" i="3"/>
  <c r="M435" i="3" s="1"/>
  <c r="L436" i="3"/>
  <c r="L437" i="3"/>
  <c r="M437" i="3" s="1"/>
  <c r="L438" i="3"/>
  <c r="M438" i="3" s="1"/>
  <c r="L439" i="3"/>
  <c r="M439" i="3" s="1"/>
  <c r="L440" i="3"/>
  <c r="M440" i="3" s="1"/>
  <c r="L441" i="3"/>
  <c r="M441" i="3" s="1"/>
  <c r="L442" i="3"/>
  <c r="L443" i="3"/>
  <c r="M443" i="3" s="1"/>
  <c r="L444" i="3"/>
  <c r="L445" i="3"/>
  <c r="M445" i="3" s="1"/>
  <c r="L446" i="3"/>
  <c r="L447" i="3"/>
  <c r="M447" i="3" s="1"/>
  <c r="L448" i="3"/>
  <c r="L449" i="3"/>
  <c r="M449" i="3" s="1"/>
  <c r="L450" i="3"/>
  <c r="L451" i="3"/>
  <c r="L452" i="3"/>
  <c r="L453" i="3"/>
  <c r="L454" i="3"/>
  <c r="M454" i="3" s="1"/>
  <c r="L455" i="3"/>
  <c r="L456" i="3"/>
  <c r="M456" i="3" s="1"/>
  <c r="L457" i="3"/>
  <c r="L458" i="3"/>
  <c r="L459" i="3"/>
  <c r="L460" i="3"/>
  <c r="L461" i="3"/>
  <c r="L462" i="3"/>
  <c r="L463" i="3"/>
  <c r="L464" i="3"/>
  <c r="L465" i="3"/>
  <c r="L466" i="3"/>
  <c r="L467" i="3"/>
  <c r="L468" i="3"/>
  <c r="M468" i="3" s="1"/>
  <c r="L469" i="3"/>
  <c r="L470" i="3"/>
  <c r="M470" i="3" s="1"/>
  <c r="N470" i="3" s="1"/>
  <c r="O470" i="3" s="1"/>
  <c r="L471" i="3"/>
  <c r="L472" i="3"/>
  <c r="M472" i="3" s="1"/>
  <c r="L473" i="3"/>
  <c r="L474" i="3"/>
  <c r="M474" i="3" s="1"/>
  <c r="L475" i="3"/>
  <c r="L476" i="3"/>
  <c r="L477" i="3"/>
  <c r="L478" i="3"/>
  <c r="L479" i="3"/>
  <c r="L480" i="3"/>
  <c r="M480" i="3" s="1"/>
  <c r="L481" i="3"/>
  <c r="L482" i="3"/>
  <c r="L483" i="3"/>
  <c r="L484" i="3"/>
  <c r="L485" i="3"/>
  <c r="L486" i="3"/>
  <c r="M486" i="3" s="1"/>
  <c r="L487" i="3"/>
  <c r="L488" i="3"/>
  <c r="L489" i="3"/>
  <c r="L490" i="3"/>
  <c r="L491" i="3"/>
  <c r="L492" i="3"/>
  <c r="L493" i="3"/>
  <c r="L494" i="3"/>
  <c r="M494" i="3" s="1"/>
  <c r="L495" i="3"/>
  <c r="L496" i="3"/>
  <c r="L497" i="3"/>
  <c r="L498" i="3"/>
  <c r="L499" i="3"/>
  <c r="M499" i="3" s="1"/>
  <c r="L500" i="3"/>
  <c r="M500" i="3" s="1"/>
  <c r="L501" i="3"/>
  <c r="L502" i="3"/>
  <c r="M502" i="3" s="1"/>
  <c r="L503" i="3"/>
  <c r="M503" i="3" s="1"/>
  <c r="L504" i="3"/>
  <c r="M504" i="3" s="1"/>
  <c r="N504" i="3" s="1"/>
  <c r="L505" i="3"/>
  <c r="M505" i="3" s="1"/>
  <c r="L506" i="3"/>
  <c r="L507" i="3"/>
  <c r="M507" i="3" s="1"/>
  <c r="L508" i="3"/>
  <c r="M508" i="3" s="1"/>
  <c r="N508" i="3" s="1"/>
  <c r="L509" i="3"/>
  <c r="M509" i="3" s="1"/>
  <c r="N509" i="3" s="1"/>
  <c r="L510" i="3"/>
  <c r="L511" i="3"/>
  <c r="M511" i="3" s="1"/>
  <c r="L512" i="3"/>
  <c r="M512" i="3" s="1"/>
  <c r="L513" i="3"/>
  <c r="M513" i="3" s="1"/>
  <c r="L514" i="3"/>
  <c r="M514" i="3" s="1"/>
  <c r="L515" i="3"/>
  <c r="M515" i="3" s="1"/>
  <c r="N515" i="3" s="1"/>
  <c r="O515" i="3" s="1"/>
  <c r="L516" i="3"/>
  <c r="M516" i="3" s="1"/>
  <c r="L517" i="3"/>
  <c r="M517" i="3" s="1"/>
  <c r="L518" i="3"/>
  <c r="M518" i="3" s="1"/>
  <c r="N518" i="3" s="1"/>
  <c r="L519" i="3"/>
  <c r="L520" i="3"/>
  <c r="M520" i="3" s="1"/>
  <c r="L521" i="3"/>
  <c r="M521" i="3" s="1"/>
  <c r="L522" i="3"/>
  <c r="L523" i="3"/>
  <c r="L524" i="3"/>
  <c r="M524" i="3" s="1"/>
  <c r="N524" i="3" s="1"/>
  <c r="L525" i="3"/>
  <c r="M525" i="3" s="1"/>
  <c r="N525" i="3" s="1"/>
  <c r="L526" i="3"/>
  <c r="L527" i="3"/>
  <c r="M527" i="3" s="1"/>
  <c r="L528" i="3"/>
  <c r="M528" i="3" s="1"/>
  <c r="L529" i="3"/>
  <c r="M529" i="3" s="1"/>
  <c r="N529" i="3" s="1"/>
  <c r="O529" i="3" s="1"/>
  <c r="L530" i="3"/>
  <c r="L531" i="3"/>
  <c r="M531" i="3" s="1"/>
  <c r="L532" i="3"/>
  <c r="M532" i="3" s="1"/>
  <c r="L533" i="3"/>
  <c r="M533" i="3" s="1"/>
  <c r="N533" i="3" s="1"/>
  <c r="O533" i="3" s="1"/>
  <c r="L534" i="3"/>
  <c r="M534" i="3" s="1"/>
  <c r="L535" i="3"/>
  <c r="M535" i="3" s="1"/>
  <c r="N535" i="3" s="1"/>
  <c r="L536" i="3"/>
  <c r="M536" i="3" s="1"/>
  <c r="L537" i="3"/>
  <c r="M537" i="3" s="1"/>
  <c r="L538" i="3"/>
  <c r="L539" i="3"/>
  <c r="M539" i="3" s="1"/>
  <c r="L540" i="3"/>
  <c r="M540" i="3" s="1"/>
  <c r="N540" i="3" s="1"/>
  <c r="L541" i="3"/>
  <c r="M541" i="3" s="1"/>
  <c r="L542" i="3"/>
  <c r="L543" i="3"/>
  <c r="M543" i="3" s="1"/>
  <c r="L544" i="3"/>
  <c r="M544" i="3" s="1"/>
  <c r="L545" i="3"/>
  <c r="M545" i="3" s="1"/>
  <c r="N545" i="3" s="1"/>
  <c r="O545" i="3" s="1"/>
  <c r="L546" i="3"/>
  <c r="M546" i="3" s="1"/>
  <c r="N546" i="3" s="1"/>
  <c r="L547" i="3"/>
  <c r="M547" i="3" s="1"/>
  <c r="L548" i="3"/>
  <c r="M548" i="3" s="1"/>
  <c r="L549" i="3"/>
  <c r="L550" i="3"/>
  <c r="M550" i="3" s="1"/>
  <c r="N550" i="3" s="1"/>
  <c r="L551" i="3"/>
  <c r="M551" i="3" s="1"/>
  <c r="N551" i="3" s="1"/>
  <c r="L552" i="3"/>
  <c r="L553" i="3"/>
  <c r="M553" i="3" s="1"/>
  <c r="L554" i="3"/>
  <c r="L555" i="3"/>
  <c r="M555" i="3" s="1"/>
  <c r="L556" i="3"/>
  <c r="M556" i="3" s="1"/>
  <c r="N556" i="3" s="1"/>
  <c r="L557" i="3"/>
  <c r="M557" i="3" s="1"/>
  <c r="N557" i="3" s="1"/>
  <c r="L558" i="3"/>
  <c r="L559" i="3"/>
  <c r="M559" i="3" s="1"/>
  <c r="N559" i="3" s="1"/>
  <c r="O559" i="3" s="1"/>
  <c r="L560" i="3"/>
  <c r="M560" i="3" s="1"/>
  <c r="L561" i="3"/>
  <c r="M561" i="3" s="1"/>
  <c r="N561" i="3" s="1"/>
  <c r="O561" i="3" s="1"/>
  <c r="L562" i="3"/>
  <c r="L563" i="3"/>
  <c r="M563" i="3" s="1"/>
  <c r="L564" i="3"/>
  <c r="M564" i="3" s="1"/>
  <c r="L565" i="3"/>
  <c r="L566" i="3"/>
  <c r="M566" i="3" s="1"/>
  <c r="N566" i="3" s="1"/>
  <c r="L567" i="3"/>
  <c r="M567" i="3" s="1"/>
  <c r="N567" i="3" s="1"/>
  <c r="L568" i="3"/>
  <c r="L569" i="3"/>
  <c r="M569" i="3" s="1"/>
  <c r="N569" i="3" s="1"/>
  <c r="L570" i="3"/>
  <c r="L571" i="3"/>
  <c r="M571" i="3" s="1"/>
  <c r="L572" i="3"/>
  <c r="M572" i="3" s="1"/>
  <c r="N572" i="3" s="1"/>
  <c r="L573" i="3"/>
  <c r="M573" i="3" s="1"/>
  <c r="L574" i="3"/>
  <c r="L575" i="3"/>
  <c r="M575" i="3" s="1"/>
  <c r="L576" i="3"/>
  <c r="M576" i="3" s="1"/>
  <c r="L577" i="3"/>
  <c r="M577" i="3" s="1"/>
  <c r="N577" i="3" s="1"/>
  <c r="O577" i="3" s="1"/>
  <c r="L578" i="3"/>
  <c r="M578" i="3" s="1"/>
  <c r="N578" i="3" s="1"/>
  <c r="L579" i="3"/>
  <c r="M579" i="3" s="1"/>
  <c r="L580" i="3"/>
  <c r="M580" i="3" s="1"/>
  <c r="L581" i="3"/>
  <c r="M581" i="3" s="1"/>
  <c r="N581" i="3" s="1"/>
  <c r="O581" i="3" s="1"/>
  <c r="L582" i="3"/>
  <c r="M582" i="3" s="1"/>
  <c r="N582" i="3" s="1"/>
  <c r="L583" i="3"/>
  <c r="M583" i="3" s="1"/>
  <c r="L584" i="3"/>
  <c r="M584" i="3" s="1"/>
  <c r="N584" i="3" s="1"/>
  <c r="L585" i="3"/>
  <c r="M585" i="3" s="1"/>
  <c r="L586" i="3"/>
  <c r="L587" i="3"/>
  <c r="L588" i="3"/>
  <c r="M588" i="3" s="1"/>
  <c r="N588" i="3" s="1"/>
  <c r="L589" i="3"/>
  <c r="M589" i="3" s="1"/>
  <c r="L590" i="3"/>
  <c r="L591" i="3"/>
  <c r="L592" i="3"/>
  <c r="M592" i="3" s="1"/>
  <c r="L593" i="3"/>
  <c r="M593" i="3" s="1"/>
  <c r="N593" i="3" s="1"/>
  <c r="L594" i="3"/>
  <c r="L595" i="3"/>
  <c r="M595" i="3" s="1"/>
  <c r="L596" i="3"/>
  <c r="M596" i="3" s="1"/>
  <c r="L597" i="3"/>
  <c r="M597" i="3" s="1"/>
  <c r="L598" i="3"/>
  <c r="M598" i="3" s="1"/>
  <c r="L599" i="3"/>
  <c r="M599" i="3" s="1"/>
  <c r="L600" i="3"/>
  <c r="M600" i="3" s="1"/>
  <c r="L601" i="3"/>
  <c r="M601" i="3" s="1"/>
  <c r="L602" i="3"/>
  <c r="M602" i="3" s="1"/>
  <c r="L603" i="3"/>
  <c r="M603" i="3" s="1"/>
  <c r="L604" i="3"/>
  <c r="M604" i="3" s="1"/>
  <c r="L605" i="3"/>
  <c r="M605" i="3" s="1"/>
  <c r="L606" i="3"/>
  <c r="M606" i="3" s="1"/>
  <c r="N606" i="3" s="1"/>
  <c r="O606" i="3" s="1"/>
  <c r="L607" i="3"/>
  <c r="M607" i="3" s="1"/>
  <c r="L608" i="3"/>
  <c r="M608" i="3" s="1"/>
  <c r="L609" i="3"/>
  <c r="M609" i="3" s="1"/>
  <c r="L610" i="3"/>
  <c r="M610" i="3" s="1"/>
  <c r="L611" i="3"/>
  <c r="M611" i="3" s="1"/>
  <c r="L612" i="3"/>
  <c r="M612" i="3" s="1"/>
  <c r="L613" i="3"/>
  <c r="M613" i="3" s="1"/>
  <c r="L614" i="3"/>
  <c r="L615" i="3"/>
  <c r="M615" i="3" s="1"/>
  <c r="L616" i="3"/>
  <c r="L617" i="3"/>
  <c r="M617" i="3" s="1"/>
  <c r="L618" i="3"/>
  <c r="M618" i="3" s="1"/>
  <c r="L619" i="3"/>
  <c r="M619" i="3" s="1"/>
  <c r="L620" i="3"/>
  <c r="M620" i="3" s="1"/>
  <c r="L621" i="3"/>
  <c r="M621" i="3" s="1"/>
  <c r="L622" i="3"/>
  <c r="M622" i="3" s="1"/>
  <c r="N622" i="3" s="1"/>
  <c r="O622" i="3" s="1"/>
  <c r="L623" i="3"/>
  <c r="M623" i="3" s="1"/>
  <c r="L624" i="3"/>
  <c r="M624" i="3" s="1"/>
  <c r="L625" i="3"/>
  <c r="M625" i="3" s="1"/>
  <c r="L626" i="3"/>
  <c r="M626" i="3" s="1"/>
  <c r="L627" i="3"/>
  <c r="M627" i="3" s="1"/>
  <c r="L628" i="3"/>
  <c r="M628" i="3" s="1"/>
  <c r="L629" i="3"/>
  <c r="M629" i="3" s="1"/>
  <c r="L630" i="3"/>
  <c r="M630" i="3" s="1"/>
  <c r="L631" i="3"/>
  <c r="M631" i="3" s="1"/>
  <c r="L632" i="3"/>
  <c r="M632" i="3" s="1"/>
  <c r="L633" i="3"/>
  <c r="M633" i="3" s="1"/>
  <c r="L634" i="3"/>
  <c r="M634" i="3" s="1"/>
  <c r="L635" i="3"/>
  <c r="M635" i="3" s="1"/>
  <c r="L636" i="3"/>
  <c r="M636" i="3" s="1"/>
  <c r="L637" i="3"/>
  <c r="M637" i="3" s="1"/>
  <c r="L638" i="3"/>
  <c r="L639" i="3"/>
  <c r="M639" i="3" s="1"/>
  <c r="L640" i="3"/>
  <c r="M640" i="3" s="1"/>
  <c r="L641" i="3"/>
  <c r="M641" i="3" s="1"/>
  <c r="L642" i="3"/>
  <c r="L643" i="3"/>
  <c r="M643" i="3" s="1"/>
  <c r="L644" i="3"/>
  <c r="L645" i="3"/>
  <c r="M645" i="3" s="1"/>
  <c r="L646" i="3"/>
  <c r="M646" i="3" s="1"/>
  <c r="L647" i="3"/>
  <c r="M647" i="3" s="1"/>
  <c r="L648" i="3"/>
  <c r="M648" i="3" s="1"/>
  <c r="L649" i="3"/>
  <c r="M649" i="3" s="1"/>
  <c r="L650" i="3"/>
  <c r="M650" i="3" s="1"/>
  <c r="L651" i="3"/>
  <c r="M651" i="3" s="1"/>
  <c r="L652" i="3"/>
  <c r="L653" i="3"/>
  <c r="M653" i="3" s="1"/>
  <c r="L654" i="3"/>
  <c r="M654" i="3" s="1"/>
  <c r="N654" i="3" s="1"/>
  <c r="O654" i="3" s="1"/>
  <c r="L655" i="3"/>
  <c r="M655" i="3" s="1"/>
  <c r="L656" i="3"/>
  <c r="L657" i="3"/>
  <c r="M657" i="3" s="1"/>
  <c r="L658" i="3"/>
  <c r="M658" i="3" s="1"/>
  <c r="L659" i="3"/>
  <c r="M659" i="3" s="1"/>
  <c r="L660" i="3"/>
  <c r="M660" i="3" s="1"/>
  <c r="N660" i="3" s="1"/>
  <c r="L661" i="3"/>
  <c r="M661" i="3" s="1"/>
  <c r="N661" i="3" s="1"/>
  <c r="L662" i="3"/>
  <c r="L663" i="3"/>
  <c r="M663" i="3" s="1"/>
  <c r="L664" i="3"/>
  <c r="M664" i="3" s="1"/>
  <c r="N664" i="3" s="1"/>
  <c r="L665" i="3"/>
  <c r="M665" i="3" s="1"/>
  <c r="N665" i="3" s="1"/>
  <c r="L666" i="3"/>
  <c r="M666" i="3" s="1"/>
  <c r="L667" i="3"/>
  <c r="M667" i="3" s="1"/>
  <c r="L668" i="3"/>
  <c r="M668" i="3" s="1"/>
  <c r="L669" i="3"/>
  <c r="M669" i="3" s="1"/>
  <c r="L670" i="3"/>
  <c r="M670" i="3" s="1"/>
  <c r="L671" i="3"/>
  <c r="M671" i="3" s="1"/>
  <c r="N671" i="3" s="1"/>
  <c r="L672" i="3"/>
  <c r="L673" i="3"/>
  <c r="M673" i="3" s="1"/>
  <c r="N673" i="3" s="1"/>
  <c r="O673" i="3" s="1"/>
  <c r="L674" i="3"/>
  <c r="L675" i="3"/>
  <c r="M675" i="3" s="1"/>
  <c r="L676" i="3"/>
  <c r="L677" i="3"/>
  <c r="L678" i="3"/>
  <c r="L679" i="3"/>
  <c r="L680" i="3"/>
  <c r="L681" i="3"/>
  <c r="M681" i="3" s="1"/>
  <c r="N681" i="3" s="1"/>
  <c r="O681" i="3" s="1"/>
  <c r="L682" i="3"/>
  <c r="L683" i="3"/>
  <c r="M683" i="3" s="1"/>
  <c r="L684" i="3"/>
  <c r="L685" i="3"/>
  <c r="M685" i="3" s="1"/>
  <c r="L686" i="3"/>
  <c r="L687" i="3"/>
  <c r="M687" i="3" s="1"/>
  <c r="L688" i="3"/>
  <c r="L689" i="3"/>
  <c r="M689" i="3" s="1"/>
  <c r="N689" i="3" s="1"/>
  <c r="O689" i="3" s="1"/>
  <c r="L690" i="3"/>
  <c r="L691" i="3"/>
  <c r="M691" i="3" s="1"/>
  <c r="L692" i="3"/>
  <c r="L693" i="3"/>
  <c r="M693" i="3" s="1"/>
  <c r="N693" i="3" s="1"/>
  <c r="L694" i="3"/>
  <c r="L695" i="3"/>
  <c r="M695" i="3" s="1"/>
  <c r="L696" i="3"/>
  <c r="L697" i="3"/>
  <c r="M697" i="3" s="1"/>
  <c r="N697" i="3" s="1"/>
  <c r="O697" i="3" s="1"/>
  <c r="L698" i="3"/>
  <c r="L699" i="3"/>
  <c r="M699" i="3" s="1"/>
  <c r="L700" i="3"/>
  <c r="L701" i="3"/>
  <c r="L702" i="3"/>
  <c r="L703" i="3"/>
  <c r="M703" i="3" s="1"/>
  <c r="N703" i="3" s="1"/>
  <c r="L704" i="3"/>
  <c r="L705" i="3"/>
  <c r="M705" i="3" s="1"/>
  <c r="N705" i="3" s="1"/>
  <c r="O705" i="3" s="1"/>
  <c r="L706" i="3"/>
  <c r="L707" i="3"/>
  <c r="M707" i="3" s="1"/>
  <c r="L708" i="3"/>
  <c r="L709" i="3"/>
  <c r="M709" i="3" s="1"/>
  <c r="L710" i="3"/>
  <c r="L711" i="3"/>
  <c r="M711" i="3" s="1"/>
  <c r="L712" i="3"/>
  <c r="L713" i="3"/>
  <c r="M713" i="3" s="1"/>
  <c r="N713" i="3" s="1"/>
  <c r="O713" i="3" s="1"/>
  <c r="L714" i="3"/>
  <c r="L715" i="3"/>
  <c r="M715" i="3" s="1"/>
  <c r="L716" i="3"/>
  <c r="L717" i="3"/>
  <c r="L718" i="3"/>
  <c r="L719" i="3"/>
  <c r="M719" i="3" s="1"/>
  <c r="L720" i="3"/>
  <c r="L721" i="3"/>
  <c r="M721" i="3" s="1"/>
  <c r="N721" i="3" s="1"/>
  <c r="O721" i="3" s="1"/>
  <c r="L722" i="3"/>
  <c r="L723" i="3"/>
  <c r="M723" i="3" s="1"/>
  <c r="L724" i="3"/>
  <c r="L725" i="3"/>
  <c r="M725" i="3" s="1"/>
  <c r="L726" i="3"/>
  <c r="L727" i="3"/>
  <c r="M727" i="3" s="1"/>
  <c r="L728" i="3"/>
  <c r="L729" i="3"/>
  <c r="M729" i="3" s="1"/>
  <c r="N729" i="3" s="1"/>
  <c r="O729" i="3" s="1"/>
  <c r="L730" i="3"/>
  <c r="L731" i="3"/>
  <c r="M731" i="3" s="1"/>
  <c r="L732" i="3"/>
  <c r="L733" i="3"/>
  <c r="M733" i="3" s="1"/>
  <c r="L734" i="3"/>
  <c r="L735" i="3"/>
  <c r="M735" i="3" s="1"/>
  <c r="L736" i="3"/>
  <c r="L737" i="3"/>
  <c r="M737" i="3" s="1"/>
  <c r="N737" i="3" s="1"/>
  <c r="O737" i="3" s="1"/>
  <c r="L738" i="3"/>
  <c r="L739" i="3"/>
  <c r="M739" i="3" s="1"/>
  <c r="L740" i="3"/>
  <c r="L741" i="3"/>
  <c r="M741" i="3" s="1"/>
  <c r="L742" i="3"/>
  <c r="L743" i="3"/>
  <c r="L744" i="3"/>
  <c r="L745" i="3"/>
  <c r="M745" i="3" s="1"/>
  <c r="N745" i="3" s="1"/>
  <c r="O745" i="3" s="1"/>
  <c r="L746" i="3"/>
  <c r="L747" i="3"/>
  <c r="M747" i="3" s="1"/>
  <c r="L748" i="3"/>
  <c r="L749" i="3"/>
  <c r="L750" i="3"/>
  <c r="L751" i="3"/>
  <c r="M751" i="3" s="1"/>
  <c r="L752" i="3"/>
  <c r="L753" i="3"/>
  <c r="M753" i="3" s="1"/>
  <c r="N753" i="3" s="1"/>
  <c r="O753" i="3" s="1"/>
  <c r="L754" i="3"/>
  <c r="L755" i="3"/>
  <c r="M755" i="3" s="1"/>
  <c r="L756" i="3"/>
  <c r="L757" i="3"/>
  <c r="M757" i="3" s="1"/>
  <c r="N757" i="3" s="1"/>
  <c r="O757" i="3" s="1"/>
  <c r="L758" i="3"/>
  <c r="L759" i="3"/>
  <c r="L760" i="3"/>
  <c r="L761" i="3"/>
  <c r="M761" i="3" s="1"/>
  <c r="N761" i="3" s="1"/>
  <c r="O761" i="3" s="1"/>
  <c r="L762" i="3"/>
  <c r="L763" i="3"/>
  <c r="M763" i="3" s="1"/>
  <c r="L764" i="3"/>
  <c r="L765" i="3"/>
  <c r="L766" i="3"/>
  <c r="L767" i="3"/>
  <c r="M767" i="3" s="1"/>
  <c r="L768" i="3"/>
  <c r="M768" i="3" s="1"/>
  <c r="L769" i="3"/>
  <c r="L770" i="3"/>
  <c r="M770" i="3" s="1"/>
  <c r="N770" i="3" s="1"/>
  <c r="L771" i="3"/>
  <c r="M771" i="3" s="1"/>
  <c r="L772" i="3"/>
  <c r="M772" i="3" s="1"/>
  <c r="N772" i="3" s="1"/>
  <c r="L773" i="3"/>
  <c r="L774" i="3"/>
  <c r="M774" i="3" s="1"/>
  <c r="L775" i="3"/>
  <c r="M775" i="3" s="1"/>
  <c r="L776" i="3"/>
  <c r="M776" i="3" s="1"/>
  <c r="N776" i="3" s="1"/>
  <c r="L777" i="3"/>
  <c r="M777" i="3" s="1"/>
  <c r="L778" i="3"/>
  <c r="M778" i="3" s="1"/>
  <c r="N778" i="3" s="1"/>
  <c r="L779" i="3"/>
  <c r="M779" i="3" s="1"/>
  <c r="L780" i="3"/>
  <c r="M780" i="3" s="1"/>
  <c r="N780" i="3" s="1"/>
  <c r="L781" i="3"/>
  <c r="M781" i="3" s="1"/>
  <c r="L782" i="3"/>
  <c r="M782" i="3" s="1"/>
  <c r="N782" i="3" s="1"/>
  <c r="L783" i="3"/>
  <c r="M783" i="3" s="1"/>
  <c r="N783" i="3" s="1"/>
  <c r="L784" i="3"/>
  <c r="M784" i="3" s="1"/>
  <c r="L785" i="3"/>
  <c r="L786" i="3"/>
  <c r="M786" i="3" s="1"/>
  <c r="N786" i="3" s="1"/>
  <c r="L787" i="3"/>
  <c r="M787" i="3" s="1"/>
  <c r="L788" i="3"/>
  <c r="M788" i="3" s="1"/>
  <c r="N788" i="3" s="1"/>
  <c r="L789" i="3"/>
  <c r="L790" i="3"/>
  <c r="M790" i="3" s="1"/>
  <c r="L791" i="3"/>
  <c r="L792" i="3"/>
  <c r="M792" i="3" s="1"/>
  <c r="N792" i="3" s="1"/>
  <c r="L793" i="3"/>
  <c r="M793" i="3" s="1"/>
  <c r="N793" i="3" s="1"/>
  <c r="L794" i="3"/>
  <c r="M794" i="3" s="1"/>
  <c r="N794" i="3" s="1"/>
  <c r="L795" i="3"/>
  <c r="L796" i="3"/>
  <c r="L797" i="3"/>
  <c r="M797" i="3" s="1"/>
  <c r="N797" i="3" s="1"/>
  <c r="O797" i="3" s="1"/>
  <c r="L798" i="3"/>
  <c r="M798" i="3" s="1"/>
  <c r="N798" i="3" s="1"/>
  <c r="L799" i="3"/>
  <c r="L800" i="3"/>
  <c r="M800" i="3" s="1"/>
  <c r="L801" i="3"/>
  <c r="L802" i="3"/>
  <c r="M802" i="3" s="1"/>
  <c r="N802" i="3" s="1"/>
  <c r="L803" i="3"/>
  <c r="M803" i="3" s="1"/>
  <c r="L804" i="3"/>
  <c r="M804" i="3" s="1"/>
  <c r="L805" i="3"/>
  <c r="L806" i="3"/>
  <c r="M806" i="3" s="1"/>
  <c r="N806" i="3" s="1"/>
  <c r="L807" i="3"/>
  <c r="M807" i="3" s="1"/>
  <c r="L808" i="3"/>
  <c r="M808" i="3" s="1"/>
  <c r="N808" i="3" s="1"/>
  <c r="L809" i="3"/>
  <c r="M809" i="3" s="1"/>
  <c r="N809" i="3" s="1"/>
  <c r="L810" i="3"/>
  <c r="M810" i="3" s="1"/>
  <c r="N810" i="3" s="1"/>
  <c r="L811" i="3"/>
  <c r="M811" i="3" s="1"/>
  <c r="L812" i="3"/>
  <c r="L813" i="3"/>
  <c r="M813" i="3" s="1"/>
  <c r="L814" i="3"/>
  <c r="M814" i="3" s="1"/>
  <c r="N814" i="3" s="1"/>
  <c r="L815" i="3"/>
  <c r="L816" i="3"/>
  <c r="M816" i="3" s="1"/>
  <c r="N816" i="3" s="1"/>
  <c r="L817" i="3"/>
  <c r="M817" i="3" s="1"/>
  <c r="N817" i="3" s="1"/>
  <c r="L818" i="3"/>
  <c r="M818" i="3" s="1"/>
  <c r="L819" i="3"/>
  <c r="M819" i="3" s="1"/>
  <c r="L820" i="3"/>
  <c r="M820" i="3" s="1"/>
  <c r="N820" i="3" s="1"/>
  <c r="L821" i="3"/>
  <c r="L822" i="3"/>
  <c r="M822" i="3" s="1"/>
  <c r="N822" i="3" s="1"/>
  <c r="L823" i="3"/>
  <c r="M823" i="3" s="1"/>
  <c r="N823" i="3" s="1"/>
  <c r="O823" i="3" s="1"/>
  <c r="L824" i="3"/>
  <c r="M824" i="3" s="1"/>
  <c r="N824" i="3" s="1"/>
  <c r="L825" i="3"/>
  <c r="M825" i="3" s="1"/>
  <c r="N825" i="3" s="1"/>
  <c r="L826" i="3"/>
  <c r="M826" i="3" s="1"/>
  <c r="L827" i="3"/>
  <c r="M827" i="3" s="1"/>
  <c r="L828" i="3"/>
  <c r="M828" i="3" s="1"/>
  <c r="N828" i="3" s="1"/>
  <c r="L829" i="3"/>
  <c r="M829" i="3" s="1"/>
  <c r="N829" i="3" s="1"/>
  <c r="O829" i="3" s="1"/>
  <c r="L830" i="3"/>
  <c r="M830" i="3" s="1"/>
  <c r="N830" i="3" s="1"/>
  <c r="L831" i="3"/>
  <c r="L832" i="3"/>
  <c r="M832" i="3" s="1"/>
  <c r="N832" i="3" s="1"/>
  <c r="L833" i="3"/>
  <c r="M833" i="3" s="1"/>
  <c r="N833" i="3" s="1"/>
  <c r="L834" i="3"/>
  <c r="M834" i="3" s="1"/>
  <c r="L835" i="3"/>
  <c r="M835" i="3" s="1"/>
  <c r="L836" i="3"/>
  <c r="M836" i="3" s="1"/>
  <c r="L837" i="3"/>
  <c r="M837" i="3" s="1"/>
  <c r="L838" i="3"/>
  <c r="M838" i="3" s="1"/>
  <c r="L839" i="3"/>
  <c r="M839" i="3" s="1"/>
  <c r="L840" i="3"/>
  <c r="M840" i="3" s="1"/>
  <c r="L841" i="3"/>
  <c r="M841" i="3" s="1"/>
  <c r="N841" i="3" s="1"/>
  <c r="L842" i="3"/>
  <c r="M842" i="3" s="1"/>
  <c r="L843" i="3"/>
  <c r="M843" i="3" s="1"/>
  <c r="L844" i="3"/>
  <c r="M844" i="3" s="1"/>
  <c r="L845" i="3"/>
  <c r="L846" i="3"/>
  <c r="L847" i="3"/>
  <c r="L848" i="3"/>
  <c r="M848" i="3" s="1"/>
  <c r="L849" i="3"/>
  <c r="M849" i="3" s="1"/>
  <c r="N849" i="3" s="1"/>
  <c r="L850" i="3"/>
  <c r="M850" i="3" s="1"/>
  <c r="L851" i="3"/>
  <c r="M851" i="3" s="1"/>
  <c r="L852" i="3"/>
  <c r="M852" i="3" s="1"/>
  <c r="L853" i="3"/>
  <c r="L854" i="3"/>
  <c r="M854" i="3" s="1"/>
  <c r="L855" i="3"/>
  <c r="M855" i="3" s="1"/>
  <c r="L856" i="3"/>
  <c r="M856" i="3" s="1"/>
  <c r="L857" i="3"/>
  <c r="M857" i="3" s="1"/>
  <c r="L858" i="3"/>
  <c r="M858" i="3" s="1"/>
  <c r="L859" i="3"/>
  <c r="L860" i="3"/>
  <c r="L861" i="3"/>
  <c r="M861" i="3" s="1"/>
  <c r="L862" i="3"/>
  <c r="L863" i="3"/>
  <c r="L864" i="3"/>
  <c r="M864" i="3" s="1"/>
  <c r="L865" i="3"/>
  <c r="M865" i="3" s="1"/>
  <c r="L866" i="3"/>
  <c r="M866" i="3" s="1"/>
  <c r="L867" i="3"/>
  <c r="L868" i="3"/>
  <c r="M868" i="3" s="1"/>
  <c r="L869" i="3"/>
  <c r="M869" i="3" s="1"/>
  <c r="L870" i="3"/>
  <c r="M870" i="3" s="1"/>
  <c r="L871" i="3"/>
  <c r="L872" i="3"/>
  <c r="M872" i="3" s="1"/>
  <c r="L873" i="3"/>
  <c r="M873" i="3" s="1"/>
  <c r="L874" i="3"/>
  <c r="M874" i="3" s="1"/>
  <c r="L875" i="3"/>
  <c r="L876" i="3"/>
  <c r="M876" i="3" s="1"/>
  <c r="N876" i="3" s="1"/>
  <c r="L877" i="3"/>
  <c r="L878" i="3"/>
  <c r="M878" i="3" s="1"/>
  <c r="L879" i="3"/>
  <c r="M879" i="3" s="1"/>
  <c r="L880" i="3"/>
  <c r="M880" i="3" s="1"/>
  <c r="L881" i="3"/>
  <c r="M881" i="3" s="1"/>
  <c r="L882" i="3"/>
  <c r="M882" i="3" s="1"/>
  <c r="L883" i="3"/>
  <c r="L884" i="3"/>
  <c r="M884" i="3" s="1"/>
  <c r="N884" i="3" s="1"/>
  <c r="L885" i="3"/>
  <c r="L886" i="3"/>
  <c r="M886" i="3" s="1"/>
  <c r="L887" i="3"/>
  <c r="M887" i="3" s="1"/>
  <c r="L888" i="3"/>
  <c r="M888" i="3" s="1"/>
  <c r="L889" i="3"/>
  <c r="L890" i="3"/>
  <c r="M890" i="3" s="1"/>
  <c r="L891" i="3"/>
  <c r="L892" i="3"/>
  <c r="M892" i="3" s="1"/>
  <c r="L893" i="3"/>
  <c r="L894" i="3"/>
  <c r="M894" i="3" s="1"/>
  <c r="L895" i="3"/>
  <c r="M895" i="3" s="1"/>
  <c r="L896" i="3"/>
  <c r="M896" i="3" s="1"/>
  <c r="L897" i="3"/>
  <c r="L898" i="3"/>
  <c r="M898" i="3" s="1"/>
  <c r="L899" i="3"/>
  <c r="L900" i="3"/>
  <c r="M900" i="3" s="1"/>
  <c r="N900" i="3" s="1"/>
  <c r="L901" i="3"/>
  <c r="L902" i="3"/>
  <c r="M902" i="3" s="1"/>
  <c r="L903" i="3"/>
  <c r="M903" i="3" s="1"/>
  <c r="L904" i="3"/>
  <c r="M904" i="3" s="1"/>
  <c r="L905" i="3"/>
  <c r="L906" i="3"/>
  <c r="M906" i="3" s="1"/>
  <c r="L907" i="3"/>
  <c r="L908" i="3"/>
  <c r="M908" i="3" s="1"/>
  <c r="L909" i="3"/>
  <c r="M909" i="3" s="1"/>
  <c r="L910" i="3"/>
  <c r="L911" i="3"/>
  <c r="L912" i="3"/>
  <c r="M912" i="3" s="1"/>
  <c r="L913" i="3"/>
  <c r="M913" i="3" s="1"/>
  <c r="L914" i="3"/>
  <c r="L915" i="3"/>
  <c r="M915" i="3" s="1"/>
  <c r="L916" i="3"/>
  <c r="M916" i="3" s="1"/>
  <c r="L917" i="3"/>
  <c r="L918" i="3"/>
  <c r="M918" i="3" s="1"/>
  <c r="L919" i="3"/>
  <c r="L920" i="3"/>
  <c r="M920" i="3" s="1"/>
  <c r="L921" i="3"/>
  <c r="M921" i="3" s="1"/>
  <c r="L922" i="3"/>
  <c r="L923" i="3"/>
  <c r="L924" i="3"/>
  <c r="L925" i="3"/>
  <c r="L926" i="3"/>
  <c r="L927" i="3"/>
  <c r="L928" i="3"/>
  <c r="M928" i="3" s="1"/>
  <c r="L929" i="3"/>
  <c r="M929" i="3" s="1"/>
  <c r="L930" i="3"/>
  <c r="L931" i="3"/>
  <c r="L932" i="3"/>
  <c r="M932" i="3" s="1"/>
  <c r="L933" i="3"/>
  <c r="L934" i="3"/>
  <c r="M934" i="3" s="1"/>
  <c r="L935" i="3"/>
  <c r="L936" i="3"/>
  <c r="L937" i="3"/>
  <c r="M937" i="3" s="1"/>
  <c r="L938" i="3"/>
  <c r="M938" i="3" s="1"/>
  <c r="L939" i="3"/>
  <c r="L940" i="3"/>
  <c r="L941" i="3"/>
  <c r="L942" i="3"/>
  <c r="L943" i="3"/>
  <c r="L944" i="3"/>
  <c r="M944" i="3" s="1"/>
  <c r="L945" i="3"/>
  <c r="L946" i="3"/>
  <c r="L947" i="3"/>
  <c r="L948" i="3"/>
  <c r="M948" i="3" s="1"/>
  <c r="L949" i="3"/>
  <c r="L950" i="3"/>
  <c r="M950" i="3" s="1"/>
  <c r="N950" i="3" s="1"/>
  <c r="L951" i="3"/>
  <c r="L952" i="3"/>
  <c r="L953" i="3"/>
  <c r="M953" i="3" s="1"/>
  <c r="L954" i="3"/>
  <c r="M954" i="3" s="1"/>
  <c r="L955" i="3"/>
  <c r="L956" i="3"/>
  <c r="M956" i="3" s="1"/>
  <c r="N956" i="3" s="1"/>
  <c r="L957" i="3"/>
  <c r="L958" i="3"/>
  <c r="L959" i="3"/>
  <c r="M959" i="3" s="1"/>
  <c r="L960" i="3"/>
  <c r="M960" i="3" s="1"/>
  <c r="L961" i="3"/>
  <c r="L962" i="3"/>
  <c r="L963" i="3"/>
  <c r="M963" i="3" s="1"/>
  <c r="L964" i="3"/>
  <c r="M964" i="3" s="1"/>
  <c r="L965" i="3"/>
  <c r="M965" i="3" s="1"/>
  <c r="L966" i="3"/>
  <c r="L967" i="3"/>
  <c r="L968" i="3"/>
  <c r="L969" i="3"/>
  <c r="L970" i="3"/>
  <c r="M970" i="3" s="1"/>
  <c r="L971" i="3"/>
  <c r="L972" i="3"/>
  <c r="M972" i="3" s="1"/>
  <c r="L973" i="3"/>
  <c r="L974" i="3"/>
  <c r="L975" i="3"/>
  <c r="L976" i="3"/>
  <c r="M976" i="3" s="1"/>
  <c r="L977" i="3"/>
  <c r="L978" i="3"/>
  <c r="L979" i="3"/>
  <c r="L980" i="3"/>
  <c r="M980" i="3" s="1"/>
  <c r="L981" i="3"/>
  <c r="M981" i="3" s="1"/>
  <c r="L982" i="3"/>
  <c r="M982" i="3" s="1"/>
  <c r="N982" i="3" s="1"/>
  <c r="L983" i="3"/>
  <c r="L984" i="3"/>
  <c r="L985" i="3"/>
  <c r="L986" i="3"/>
  <c r="M986" i="3" s="1"/>
  <c r="L987" i="3"/>
  <c r="L988" i="3"/>
  <c r="M988" i="3" s="1"/>
  <c r="N988" i="3" s="1"/>
  <c r="L989" i="3"/>
  <c r="L990" i="3"/>
  <c r="L991" i="3"/>
  <c r="L992" i="3"/>
  <c r="M992" i="3" s="1"/>
  <c r="L993" i="3"/>
  <c r="L994" i="3"/>
  <c r="L995" i="3"/>
  <c r="L996" i="3"/>
  <c r="M996" i="3" s="1"/>
  <c r="L997" i="3"/>
  <c r="M997" i="3" s="1"/>
  <c r="L998" i="3"/>
  <c r="M998" i="3" s="1"/>
  <c r="N998" i="3" s="1"/>
  <c r="L999" i="3"/>
  <c r="L1000" i="3"/>
  <c r="M1000" i="3" s="1"/>
  <c r="L1001" i="3"/>
  <c r="L1002" i="3"/>
  <c r="M1002" i="3" s="1"/>
  <c r="L1003" i="3"/>
  <c r="L1004" i="3"/>
  <c r="M1004" i="3" s="1"/>
  <c r="L1005" i="3"/>
  <c r="L1006" i="3"/>
  <c r="L1007" i="3"/>
  <c r="L1008" i="3"/>
  <c r="M1008" i="3" s="1"/>
  <c r="L1009" i="3"/>
  <c r="L1010" i="3"/>
  <c r="L1011" i="3"/>
  <c r="L1012" i="3"/>
  <c r="M1012" i="3" s="1"/>
  <c r="L1013" i="3"/>
  <c r="L1014" i="3"/>
  <c r="L1015" i="3"/>
  <c r="L1016" i="3"/>
  <c r="L1017" i="3"/>
  <c r="M1017" i="3" s="1"/>
  <c r="L1018" i="3"/>
  <c r="L1019" i="3"/>
  <c r="L1020" i="3"/>
  <c r="M1020" i="3" s="1"/>
  <c r="L1021" i="3"/>
  <c r="L1022" i="3"/>
  <c r="L1023" i="3"/>
  <c r="L1024" i="3"/>
  <c r="M1024" i="3" s="1"/>
  <c r="L1025" i="3"/>
  <c r="L1026" i="3"/>
  <c r="L1027" i="3"/>
  <c r="M1027" i="3" s="1"/>
  <c r="L1028" i="3"/>
  <c r="L1029" i="3"/>
  <c r="L1030" i="3"/>
  <c r="M1030" i="3" s="1"/>
  <c r="N1030" i="3" s="1"/>
  <c r="L1031" i="3"/>
  <c r="L1032" i="3"/>
  <c r="L1033" i="3"/>
  <c r="L1034" i="3"/>
  <c r="M1034" i="3" s="1"/>
  <c r="L1035" i="3"/>
  <c r="L1036" i="3"/>
  <c r="M1036" i="3" s="1"/>
  <c r="L1037" i="3"/>
  <c r="L1038" i="3"/>
  <c r="L1039" i="3"/>
  <c r="L1040" i="3"/>
  <c r="M1040" i="3" s="1"/>
  <c r="L1041" i="3"/>
  <c r="L1042" i="3"/>
  <c r="L1043" i="3"/>
  <c r="L1044" i="3"/>
  <c r="M1044" i="3" s="1"/>
  <c r="L1045" i="3"/>
  <c r="M1045" i="3" s="1"/>
  <c r="L1046" i="3"/>
  <c r="M1046" i="3" s="1"/>
  <c r="N1046" i="3" s="1"/>
  <c r="L1047" i="3"/>
  <c r="L1048" i="3"/>
  <c r="L1049" i="3"/>
  <c r="M1049" i="3" s="1"/>
  <c r="N1049" i="3" s="1"/>
  <c r="L1050" i="3"/>
  <c r="M1050" i="3" s="1"/>
  <c r="L1051" i="3"/>
  <c r="L1052" i="3"/>
  <c r="M1052" i="3" s="1"/>
  <c r="L1053" i="3"/>
  <c r="L1054" i="3"/>
  <c r="L1055" i="3"/>
  <c r="L1056" i="3"/>
  <c r="M1056" i="3" s="1"/>
  <c r="L1057" i="3"/>
  <c r="L1058" i="3"/>
  <c r="L1059" i="3"/>
  <c r="L1060" i="3"/>
  <c r="M1060" i="3" s="1"/>
  <c r="L1061" i="3"/>
  <c r="M1061" i="3" s="1"/>
  <c r="L1062" i="3"/>
  <c r="M1062" i="3" s="1"/>
  <c r="L1063" i="3"/>
  <c r="L1064" i="3"/>
  <c r="L1065" i="3"/>
  <c r="M1065" i="3" s="1"/>
  <c r="L1066" i="3"/>
  <c r="M1066" i="3" s="1"/>
  <c r="L1067" i="3"/>
  <c r="L1068" i="3"/>
  <c r="M1068" i="3" s="1"/>
  <c r="N1068" i="3" s="1"/>
  <c r="L1069" i="3"/>
  <c r="L1070" i="3"/>
  <c r="L1071" i="3"/>
  <c r="M1071" i="3" s="1"/>
  <c r="N1071" i="3" s="1"/>
  <c r="O1071" i="3" s="1"/>
  <c r="L1072" i="3"/>
  <c r="L1073" i="3"/>
  <c r="L1074" i="3"/>
  <c r="L1075" i="3"/>
  <c r="L1076" i="3"/>
  <c r="M1076" i="3" s="1"/>
  <c r="L1077" i="3"/>
  <c r="M1077" i="3" s="1"/>
  <c r="L1078" i="3"/>
  <c r="M1078" i="3" s="1"/>
  <c r="L1079" i="3"/>
  <c r="M1079" i="3" s="1"/>
  <c r="L1080" i="3"/>
  <c r="M1080" i="3" s="1"/>
  <c r="L1081" i="3"/>
  <c r="M1081" i="3" s="1"/>
  <c r="L1082" i="3"/>
  <c r="L1083" i="3"/>
  <c r="L1084" i="3"/>
  <c r="M1084" i="3" s="1"/>
  <c r="L1085" i="3"/>
  <c r="M1085" i="3" s="1"/>
  <c r="L1086" i="3"/>
  <c r="M1086" i="3" s="1"/>
  <c r="L1087" i="3"/>
  <c r="M1087" i="3" s="1"/>
  <c r="L1088" i="3"/>
  <c r="M1088" i="3" s="1"/>
  <c r="L1089" i="3"/>
  <c r="M1089" i="3" s="1"/>
  <c r="L1090" i="3"/>
  <c r="L1091" i="3"/>
  <c r="M1091" i="3" s="1"/>
  <c r="N1091" i="3" s="1"/>
  <c r="O1091" i="3" s="1"/>
  <c r="L1092" i="3"/>
  <c r="M1092" i="3" s="1"/>
  <c r="L1093" i="3"/>
  <c r="M1093" i="3" s="1"/>
  <c r="N1093" i="3" s="1"/>
  <c r="O1093" i="3" s="1"/>
  <c r="L1094" i="3"/>
  <c r="M1094" i="3" s="1"/>
  <c r="L1095" i="3"/>
  <c r="L1096" i="3"/>
  <c r="M1096" i="3" s="1"/>
  <c r="L1097" i="3"/>
  <c r="M1097" i="3" s="1"/>
  <c r="N1097" i="3" s="1"/>
  <c r="L1098" i="3"/>
  <c r="M1098" i="3" s="1"/>
  <c r="L1099" i="3"/>
  <c r="M1099" i="3" s="1"/>
  <c r="L1100" i="3"/>
  <c r="M1100" i="3" s="1"/>
  <c r="L1101" i="3"/>
  <c r="M1101" i="3" s="1"/>
  <c r="N1101" i="3" s="1"/>
  <c r="O1101" i="3" s="1"/>
  <c r="L1102" i="3"/>
  <c r="M1102" i="3" s="1"/>
  <c r="L1103" i="3"/>
  <c r="L1104" i="3"/>
  <c r="M1104" i="3" s="1"/>
  <c r="L1105" i="3"/>
  <c r="M1105" i="3" s="1"/>
  <c r="N1105" i="3" s="1"/>
  <c r="O1105" i="3" s="1"/>
  <c r="L1106" i="3"/>
  <c r="L1107" i="3"/>
  <c r="L1108" i="3"/>
  <c r="M1108" i="3" s="1"/>
  <c r="L1109" i="3"/>
  <c r="M1109" i="3" s="1"/>
  <c r="N1109" i="3" s="1"/>
  <c r="O1109" i="3" s="1"/>
  <c r="L1110" i="3"/>
  <c r="M1110" i="3" s="1"/>
  <c r="L1111" i="3"/>
  <c r="L1112" i="3"/>
  <c r="M1112" i="3" s="1"/>
  <c r="L1113" i="3"/>
  <c r="M1113" i="3" s="1"/>
  <c r="N1113" i="3" s="1"/>
  <c r="L1114" i="3"/>
  <c r="M1114" i="3" s="1"/>
  <c r="L1115" i="3"/>
  <c r="M1115" i="3" s="1"/>
  <c r="L1116" i="3"/>
  <c r="M1116" i="3" s="1"/>
  <c r="L1117" i="3"/>
  <c r="L1118" i="3"/>
  <c r="M1118" i="3" s="1"/>
  <c r="L1119" i="3"/>
  <c r="M1119" i="3" s="1"/>
  <c r="N1119" i="3" s="1"/>
  <c r="L1120" i="3"/>
  <c r="M1120" i="3" s="1"/>
  <c r="L1121" i="3"/>
  <c r="M1121" i="3" s="1"/>
  <c r="N1121" i="3" s="1"/>
  <c r="O1121" i="3" s="1"/>
  <c r="L1122" i="3"/>
  <c r="L1123" i="3"/>
  <c r="M1123" i="3" s="1"/>
  <c r="N1123" i="3" s="1"/>
  <c r="O1123" i="3" s="1"/>
  <c r="L1124" i="3"/>
  <c r="M1124" i="3" s="1"/>
  <c r="L1125" i="3"/>
  <c r="M1125" i="3" s="1"/>
  <c r="N1125" i="3" s="1"/>
  <c r="O1125" i="3" s="1"/>
  <c r="L1126" i="3"/>
  <c r="M1126" i="3" s="1"/>
  <c r="L1127" i="3"/>
  <c r="M1127" i="3" s="1"/>
  <c r="L1128" i="3"/>
  <c r="M1128" i="3" s="1"/>
  <c r="L1129" i="3"/>
  <c r="M1129" i="3" s="1"/>
  <c r="N1129" i="3" s="1"/>
  <c r="L1130" i="3"/>
  <c r="M1130" i="3" s="1"/>
  <c r="L1131" i="3"/>
  <c r="M1131" i="3" s="1"/>
  <c r="L1132" i="3"/>
  <c r="M1132" i="3" s="1"/>
  <c r="L1133" i="3"/>
  <c r="M1133" i="3" s="1"/>
  <c r="L1134" i="3"/>
  <c r="M1134" i="3" s="1"/>
  <c r="L1135" i="3"/>
  <c r="M1135" i="3" s="1"/>
  <c r="N1135" i="3" s="1"/>
  <c r="O1135" i="3" s="1"/>
  <c r="L1136" i="3"/>
  <c r="M1136" i="3" s="1"/>
  <c r="L1137" i="3"/>
  <c r="M1137" i="3" s="1"/>
  <c r="N1137" i="3" s="1"/>
  <c r="O1137" i="3" s="1"/>
  <c r="L1138" i="3"/>
  <c r="L1139" i="3"/>
  <c r="M1139" i="3" s="1"/>
  <c r="N1139" i="3" s="1"/>
  <c r="O1139" i="3" s="1"/>
  <c r="L1140" i="3"/>
  <c r="M1140" i="3" s="1"/>
  <c r="L1141" i="3"/>
  <c r="M1141" i="3" s="1"/>
  <c r="N1141" i="3" s="1"/>
  <c r="O1141" i="3" s="1"/>
  <c r="L1142" i="3"/>
  <c r="M1142" i="3" s="1"/>
  <c r="L1143" i="3"/>
  <c r="M1143" i="3" s="1"/>
  <c r="N1143" i="3" s="1"/>
  <c r="L1144" i="3"/>
  <c r="M1144" i="3" s="1"/>
  <c r="L1145" i="3"/>
  <c r="M1145" i="3" s="1"/>
  <c r="N1145" i="3" s="1"/>
  <c r="L1146" i="3"/>
  <c r="M1146" i="3" s="1"/>
  <c r="L1147" i="3"/>
  <c r="M1147" i="3" s="1"/>
  <c r="L1148" i="3"/>
  <c r="M1148" i="3" s="1"/>
  <c r="L1149" i="3"/>
  <c r="M1149" i="3" s="1"/>
  <c r="L1150" i="3"/>
  <c r="M1150" i="3" s="1"/>
  <c r="L1151" i="3"/>
  <c r="M1151" i="3" s="1"/>
  <c r="L1152" i="3"/>
  <c r="M1152" i="3" s="1"/>
  <c r="L1153" i="3"/>
  <c r="M1153" i="3" s="1"/>
  <c r="N1153" i="3" s="1"/>
  <c r="O1153" i="3" s="1"/>
  <c r="L1154" i="3"/>
  <c r="L1155" i="3"/>
  <c r="M1155" i="3" s="1"/>
  <c r="L1156" i="3"/>
  <c r="M1156" i="3" s="1"/>
  <c r="L1157" i="3"/>
  <c r="M1157" i="3" s="1"/>
  <c r="N1157" i="3" s="1"/>
  <c r="O1157" i="3" s="1"/>
  <c r="L1158" i="3"/>
  <c r="M1158" i="3" s="1"/>
  <c r="L1159" i="3"/>
  <c r="M1159" i="3" s="1"/>
  <c r="N1159" i="3" s="1"/>
  <c r="L1160" i="3"/>
  <c r="M1160" i="3" s="1"/>
  <c r="L1161" i="3"/>
  <c r="M1161" i="3" s="1"/>
  <c r="N1161" i="3" s="1"/>
  <c r="L1162" i="3"/>
  <c r="M1162" i="3" s="1"/>
  <c r="L1163" i="3"/>
  <c r="M1163" i="3" s="1"/>
  <c r="L1164" i="3"/>
  <c r="M1164" i="3" s="1"/>
  <c r="L1165" i="3"/>
  <c r="M1165" i="3" s="1"/>
  <c r="N1165" i="3" s="1"/>
  <c r="O1165" i="3" s="1"/>
  <c r="L1166" i="3"/>
  <c r="M1166" i="3" s="1"/>
  <c r="L1167" i="3"/>
  <c r="M1167" i="3" s="1"/>
  <c r="L1168" i="3"/>
  <c r="M1168" i="3" s="1"/>
  <c r="L1169" i="3"/>
  <c r="M1169" i="3" s="1"/>
  <c r="N1169" i="3" s="1"/>
  <c r="O1169" i="3" s="1"/>
  <c r="L1170" i="3"/>
  <c r="L1171" i="3"/>
  <c r="M1171" i="3" s="1"/>
  <c r="L1172" i="3"/>
  <c r="M1172" i="3" s="1"/>
  <c r="L1173" i="3"/>
  <c r="M1173" i="3" s="1"/>
  <c r="N1173" i="3" s="1"/>
  <c r="O1173" i="3" s="1"/>
  <c r="L1174" i="3"/>
  <c r="M1174" i="3" s="1"/>
  <c r="L1175" i="3"/>
  <c r="M1175" i="3" s="1"/>
  <c r="L1176" i="3"/>
  <c r="M1176" i="3" s="1"/>
  <c r="L1177" i="3"/>
  <c r="M1177" i="3" s="1"/>
  <c r="N1177" i="3" s="1"/>
  <c r="L1178" i="3"/>
  <c r="M1178" i="3" s="1"/>
  <c r="L1179" i="3"/>
  <c r="M1179" i="3" s="1"/>
  <c r="L1180" i="3"/>
  <c r="M1180" i="3" s="1"/>
  <c r="L1181" i="3"/>
  <c r="L1182" i="3"/>
  <c r="M1182" i="3" s="1"/>
  <c r="L1183" i="3"/>
  <c r="L1184" i="3"/>
  <c r="M1184" i="3" s="1"/>
  <c r="L1185" i="3"/>
  <c r="M1185" i="3" s="1"/>
  <c r="N1185" i="3" s="1"/>
  <c r="O1185" i="3" s="1"/>
  <c r="L1186" i="3"/>
  <c r="L1187" i="3"/>
  <c r="M1187" i="3" s="1"/>
  <c r="L1188" i="3"/>
  <c r="M1188" i="3" s="1"/>
  <c r="L1189" i="3"/>
  <c r="M1189" i="3" s="1"/>
  <c r="N1189" i="3" s="1"/>
  <c r="O1189" i="3" s="1"/>
  <c r="L1190" i="3"/>
  <c r="M1190" i="3" s="1"/>
  <c r="L1191" i="3"/>
  <c r="M1191" i="3" s="1"/>
  <c r="L1192" i="3"/>
  <c r="M1192" i="3" s="1"/>
  <c r="L1193" i="3"/>
  <c r="M1193" i="3" s="1"/>
  <c r="N1193" i="3" s="1"/>
  <c r="L1194" i="3"/>
  <c r="M1194" i="3" s="1"/>
  <c r="L1195" i="3"/>
  <c r="M1195" i="3" s="1"/>
  <c r="L1196" i="3"/>
  <c r="M1196" i="3" s="1"/>
  <c r="L1197" i="3"/>
  <c r="M1197" i="3" s="1"/>
  <c r="N1197" i="3" s="1"/>
  <c r="O1197" i="3" s="1"/>
  <c r="L1198" i="3"/>
  <c r="M1198" i="3" s="1"/>
  <c r="L1199" i="3"/>
  <c r="L1200" i="3"/>
  <c r="M1200" i="3" s="1"/>
  <c r="L1201" i="3"/>
  <c r="M1201" i="3" s="1"/>
  <c r="N1201" i="3" s="1"/>
  <c r="O1201" i="3" s="1"/>
  <c r="L1202" i="3"/>
  <c r="L1203" i="3"/>
  <c r="L1204" i="3"/>
  <c r="M1204" i="3" s="1"/>
  <c r="N1204" i="3" s="1"/>
  <c r="L1205" i="3"/>
  <c r="M1205" i="3" s="1"/>
  <c r="N1205" i="3" s="1"/>
  <c r="O1205" i="3" s="1"/>
  <c r="L1206" i="3"/>
  <c r="L1207" i="3"/>
  <c r="L1208" i="3"/>
  <c r="M1208" i="3" s="1"/>
  <c r="N1208" i="3" s="1"/>
  <c r="L1209" i="3"/>
  <c r="M1209" i="3" s="1"/>
  <c r="L1210" i="3"/>
  <c r="M1210" i="3" s="1"/>
  <c r="N1210" i="3" s="1"/>
  <c r="L1211" i="3"/>
  <c r="M1211" i="3" s="1"/>
  <c r="N1211" i="3" s="1"/>
  <c r="O1211" i="3" s="1"/>
  <c r="L1212" i="3"/>
  <c r="M1212" i="3" s="1"/>
  <c r="N1212" i="3" s="1"/>
  <c r="L1213" i="3"/>
  <c r="M1213" i="3" s="1"/>
  <c r="N1213" i="3" s="1"/>
  <c r="O1213" i="3" s="1"/>
  <c r="L1214" i="3"/>
  <c r="M1214" i="3" s="1"/>
  <c r="N1214" i="3" s="1"/>
  <c r="L1215" i="3"/>
  <c r="M1215" i="3" s="1"/>
  <c r="L1216" i="3"/>
  <c r="M1216" i="3" s="1"/>
  <c r="N1216" i="3" s="1"/>
  <c r="L1217" i="3"/>
  <c r="M1217" i="3" s="1"/>
  <c r="N1217" i="3" s="1"/>
  <c r="O1217" i="3" s="1"/>
  <c r="L1218" i="3"/>
  <c r="M1218" i="3" s="1"/>
  <c r="N1218" i="3" s="1"/>
  <c r="L1219" i="3"/>
  <c r="M1219" i="3" s="1"/>
  <c r="L1220" i="3"/>
  <c r="M1220" i="3" s="1"/>
  <c r="N1220" i="3" s="1"/>
  <c r="L1221" i="3"/>
  <c r="M1221" i="3" s="1"/>
  <c r="N1221" i="3" s="1"/>
  <c r="O1221" i="3" s="1"/>
  <c r="L1222" i="3"/>
  <c r="L1223" i="3"/>
  <c r="L1224" i="3"/>
  <c r="M1224" i="3" s="1"/>
  <c r="N1224" i="3" s="1"/>
  <c r="L1225" i="3"/>
  <c r="M1225" i="3" s="1"/>
  <c r="L1226" i="3"/>
  <c r="M1226" i="3" s="1"/>
  <c r="N1226" i="3" s="1"/>
  <c r="L1227" i="3"/>
  <c r="M1227" i="3" s="1"/>
  <c r="N1227" i="3" s="1"/>
  <c r="O1227" i="3" s="1"/>
  <c r="L1228" i="3"/>
  <c r="M1228" i="3" s="1"/>
  <c r="N1228" i="3" s="1"/>
  <c r="L1229" i="3"/>
  <c r="M1229" i="3" s="1"/>
  <c r="N1229" i="3" s="1"/>
  <c r="O1229" i="3" s="1"/>
  <c r="L1230" i="3"/>
  <c r="M1230" i="3" s="1"/>
  <c r="N1230" i="3" s="1"/>
  <c r="L1231" i="3"/>
  <c r="M1231" i="3" s="1"/>
  <c r="L1232" i="3"/>
  <c r="M1232" i="3" s="1"/>
  <c r="N1232" i="3" s="1"/>
  <c r="L1233" i="3"/>
  <c r="M1233" i="3" s="1"/>
  <c r="N1233" i="3" s="1"/>
  <c r="O1233" i="3" s="1"/>
  <c r="L1234" i="3"/>
  <c r="M1234" i="3" s="1"/>
  <c r="N1234" i="3" s="1"/>
  <c r="L1235" i="3"/>
  <c r="M1235" i="3" s="1"/>
  <c r="L1236" i="3"/>
  <c r="M1236" i="3" s="1"/>
  <c r="N1236" i="3" s="1"/>
  <c r="L1237" i="3"/>
  <c r="M1237" i="3" s="1"/>
  <c r="N1237" i="3" s="1"/>
  <c r="O1237" i="3" s="1"/>
  <c r="L1238" i="3"/>
  <c r="L1239" i="3"/>
  <c r="L1240" i="3"/>
  <c r="M1240" i="3" s="1"/>
  <c r="N1240" i="3" s="1"/>
  <c r="L1241" i="3"/>
  <c r="M1241" i="3" s="1"/>
  <c r="L1242" i="3"/>
  <c r="M1242" i="3" s="1"/>
  <c r="N1242" i="3" s="1"/>
  <c r="L1243" i="3"/>
  <c r="M1243" i="3" s="1"/>
  <c r="N1243" i="3" s="1"/>
  <c r="O1243" i="3" s="1"/>
  <c r="L1244" i="3"/>
  <c r="M1244" i="3" s="1"/>
  <c r="N1244" i="3" s="1"/>
  <c r="L1245" i="3"/>
  <c r="M1245" i="3" s="1"/>
  <c r="N1245" i="3" s="1"/>
  <c r="O1245" i="3" s="1"/>
  <c r="L1246" i="3"/>
  <c r="M1246" i="3" s="1"/>
  <c r="N1246" i="3" s="1"/>
  <c r="L1247" i="3"/>
  <c r="M1247" i="3" s="1"/>
  <c r="L1248" i="3"/>
  <c r="M1248" i="3" s="1"/>
  <c r="N1248" i="3" s="1"/>
  <c r="L1249" i="3"/>
  <c r="M1249" i="3" s="1"/>
  <c r="N1249" i="3" s="1"/>
  <c r="O1249" i="3" s="1"/>
  <c r="L1250" i="3"/>
  <c r="M1250" i="3" s="1"/>
  <c r="N1250" i="3" s="1"/>
  <c r="L1251" i="3"/>
  <c r="L1252" i="3"/>
  <c r="M1252" i="3" s="1"/>
  <c r="N1252" i="3" s="1"/>
  <c r="L1253" i="3"/>
  <c r="L1254" i="3"/>
  <c r="L1255" i="3"/>
  <c r="L1256" i="3"/>
  <c r="M1256" i="3" s="1"/>
  <c r="N1256" i="3" s="1"/>
  <c r="L1257" i="3"/>
  <c r="M1257" i="3" s="1"/>
  <c r="L1258" i="3"/>
  <c r="M1258" i="3" s="1"/>
  <c r="N1258" i="3" s="1"/>
  <c r="L1259" i="3"/>
  <c r="M1259" i="3" s="1"/>
  <c r="L1260" i="3"/>
  <c r="M1260" i="3" s="1"/>
  <c r="N1260" i="3" s="1"/>
  <c r="L1261" i="3"/>
  <c r="M1261" i="3" s="1"/>
  <c r="N1261" i="3" s="1"/>
  <c r="O1261" i="3" s="1"/>
  <c r="L1262" i="3"/>
  <c r="M1262" i="3" s="1"/>
  <c r="N1262" i="3" s="1"/>
  <c r="L1263" i="3"/>
  <c r="L1264" i="3"/>
  <c r="M1264" i="3" s="1"/>
  <c r="N1264" i="3" s="1"/>
  <c r="L1265" i="3"/>
  <c r="M1265" i="3" s="1"/>
  <c r="N1265" i="3" s="1"/>
  <c r="O1265" i="3" s="1"/>
  <c r="L1266" i="3"/>
  <c r="M1266" i="3" s="1"/>
  <c r="N1266" i="3" s="1"/>
  <c r="L1267" i="3"/>
  <c r="M1267" i="3" s="1"/>
  <c r="L1268" i="3"/>
  <c r="M1268" i="3" s="1"/>
  <c r="N1268" i="3" s="1"/>
  <c r="L1269" i="3"/>
  <c r="M1269" i="3" s="1"/>
  <c r="N1269" i="3" s="1"/>
  <c r="O1269" i="3" s="1"/>
  <c r="L1270" i="3"/>
  <c r="L1271" i="3"/>
  <c r="M1271" i="3" s="1"/>
  <c r="L1272" i="3"/>
  <c r="M1272" i="3" s="1"/>
  <c r="N1272" i="3" s="1"/>
  <c r="L1273" i="3"/>
  <c r="L1274" i="3"/>
  <c r="M1274" i="3" s="1"/>
  <c r="N1274" i="3" s="1"/>
  <c r="L1275" i="3"/>
  <c r="M1275" i="3" s="1"/>
  <c r="L1276" i="3"/>
  <c r="M1276" i="3" s="1"/>
  <c r="N1276" i="3" s="1"/>
  <c r="L1277" i="3"/>
  <c r="M1277" i="3" s="1"/>
  <c r="N1277" i="3" s="1"/>
  <c r="O1277" i="3" s="1"/>
  <c r="L1278" i="3"/>
  <c r="M1278" i="3" s="1"/>
  <c r="N1278" i="3" s="1"/>
  <c r="L1279" i="3"/>
  <c r="M1279" i="3" s="1"/>
  <c r="N1279" i="3" s="1"/>
  <c r="O1279" i="3" s="1"/>
  <c r="L1280" i="3"/>
  <c r="M1280" i="3" s="1"/>
  <c r="N1280" i="3" s="1"/>
  <c r="L1281" i="3"/>
  <c r="M1281" i="3" s="1"/>
  <c r="L1282" i="3"/>
  <c r="M1282" i="3" s="1"/>
  <c r="N1282" i="3" s="1"/>
  <c r="L1283" i="3"/>
  <c r="L1284" i="3"/>
  <c r="M1284" i="3" s="1"/>
  <c r="N1284" i="3" s="1"/>
  <c r="L1285" i="3"/>
  <c r="M1285" i="3" s="1"/>
  <c r="L1286" i="3"/>
  <c r="L1287" i="3"/>
  <c r="M1287" i="3" s="1"/>
  <c r="L1288" i="3"/>
  <c r="M1288" i="3" s="1"/>
  <c r="N1288" i="3" s="1"/>
  <c r="L1289" i="3"/>
  <c r="M1289" i="3" s="1"/>
  <c r="L1290" i="3"/>
  <c r="M1290" i="3" s="1"/>
  <c r="N1290" i="3" s="1"/>
  <c r="L1291" i="3"/>
  <c r="L1292" i="3"/>
  <c r="M1292" i="3" s="1"/>
  <c r="N1292" i="3" s="1"/>
  <c r="L1293" i="3"/>
  <c r="M1293" i="3" s="1"/>
  <c r="N1293" i="3" s="1"/>
  <c r="O1293" i="3" s="1"/>
  <c r="L1294" i="3"/>
  <c r="M1294" i="3" s="1"/>
  <c r="N1294" i="3" s="1"/>
  <c r="L1295" i="3"/>
  <c r="M1295" i="3" s="1"/>
  <c r="L1296" i="3"/>
  <c r="M1296" i="3" s="1"/>
  <c r="N1296" i="3" s="1"/>
  <c r="L1297" i="3"/>
  <c r="M1297" i="3" s="1"/>
  <c r="L1298" i="3"/>
  <c r="M1298" i="3" s="1"/>
  <c r="N1298" i="3" s="1"/>
  <c r="L1299" i="3"/>
  <c r="M1299" i="3" s="1"/>
  <c r="L1300" i="3"/>
  <c r="M1300" i="3" s="1"/>
  <c r="N1300" i="3" s="1"/>
  <c r="L1301" i="3"/>
  <c r="M1301" i="3" s="1"/>
  <c r="L1302" i="3"/>
  <c r="L1303" i="3"/>
  <c r="L1304" i="3"/>
  <c r="M1304" i="3" s="1"/>
  <c r="N1304" i="3" s="1"/>
  <c r="L1305" i="3"/>
  <c r="M1305" i="3" s="1"/>
  <c r="L1306" i="3"/>
  <c r="L1307" i="3"/>
  <c r="M1307" i="3" s="1"/>
  <c r="L1308" i="3"/>
  <c r="M1308" i="3" s="1"/>
  <c r="N1308" i="3" s="1"/>
  <c r="L1309" i="3"/>
  <c r="L1310" i="3"/>
  <c r="L1311" i="3"/>
  <c r="M1311" i="3" s="1"/>
  <c r="L1312" i="3"/>
  <c r="M1312" i="3" s="1"/>
  <c r="N1312" i="3" s="1"/>
  <c r="L1313" i="3"/>
  <c r="L1314" i="3"/>
  <c r="L1315" i="3"/>
  <c r="M1315" i="3" s="1"/>
  <c r="L1316" i="3"/>
  <c r="M1316" i="3" s="1"/>
  <c r="N1316" i="3" s="1"/>
  <c r="L1317" i="3"/>
  <c r="M1317" i="3" s="1"/>
  <c r="L1318" i="3"/>
  <c r="L1319" i="3"/>
  <c r="M1319" i="3" s="1"/>
  <c r="L1320" i="3"/>
  <c r="M1320" i="3" s="1"/>
  <c r="N1320" i="3" s="1"/>
  <c r="L1321" i="3"/>
  <c r="M1321" i="3" s="1"/>
  <c r="L1322" i="3"/>
  <c r="L1323" i="3"/>
  <c r="L1324" i="3"/>
  <c r="M1324" i="3" s="1"/>
  <c r="N1324" i="3" s="1"/>
  <c r="L1325" i="3"/>
  <c r="M1325" i="3" s="1"/>
  <c r="N1325" i="3" s="1"/>
  <c r="L1326" i="3"/>
  <c r="L1327" i="3"/>
  <c r="L1328" i="3"/>
  <c r="M1328" i="3" s="1"/>
  <c r="N1328" i="3" s="1"/>
  <c r="L1329" i="3"/>
  <c r="M1329" i="3" s="1"/>
  <c r="L1330" i="3"/>
  <c r="L1331" i="3"/>
  <c r="M1331" i="3" s="1"/>
  <c r="L1332" i="3"/>
  <c r="M1332" i="3" s="1"/>
  <c r="N1332" i="3" s="1"/>
  <c r="L1333" i="3"/>
  <c r="M1333" i="3" s="1"/>
  <c r="L1334" i="3"/>
  <c r="L1335" i="3"/>
  <c r="M1335" i="3" s="1"/>
  <c r="L1336" i="3"/>
  <c r="M1336" i="3" s="1"/>
  <c r="N1336" i="3" s="1"/>
  <c r="L1337" i="3"/>
  <c r="M1337" i="3" s="1"/>
  <c r="L1338" i="3"/>
  <c r="L1339" i="3"/>
  <c r="M1339" i="3" s="1"/>
  <c r="N1339" i="3" s="1"/>
  <c r="L1340" i="3"/>
  <c r="M1340" i="3" s="1"/>
  <c r="N1340" i="3" s="1"/>
  <c r="L1341" i="3"/>
  <c r="L1342" i="3"/>
  <c r="L1343" i="3"/>
  <c r="M1343" i="3" s="1"/>
  <c r="L1344" i="3"/>
  <c r="M1344" i="3" s="1"/>
  <c r="N1344" i="3" s="1"/>
  <c r="L1345" i="3"/>
  <c r="M1345" i="3" s="1"/>
  <c r="L1346" i="3"/>
  <c r="L1347" i="3"/>
  <c r="M1347" i="3" s="1"/>
  <c r="L1348" i="3"/>
  <c r="M1348" i="3" s="1"/>
  <c r="N1348" i="3" s="1"/>
  <c r="L1349" i="3"/>
  <c r="L1350" i="3"/>
  <c r="L1351" i="3"/>
  <c r="M1351" i="3" s="1"/>
  <c r="L1352" i="3"/>
  <c r="M1352" i="3" s="1"/>
  <c r="N1352" i="3" s="1"/>
  <c r="L1353" i="3"/>
  <c r="L1354" i="3"/>
  <c r="L1355" i="3"/>
  <c r="L1356" i="3"/>
  <c r="M1356" i="3" s="1"/>
  <c r="N1356" i="3" s="1"/>
  <c r="L1357" i="3"/>
  <c r="M1357" i="3" s="1"/>
  <c r="L1358" i="3"/>
  <c r="L1359" i="3"/>
  <c r="L1360" i="3"/>
  <c r="M1360" i="3" s="1"/>
  <c r="N1360" i="3" s="1"/>
  <c r="L1361" i="3"/>
  <c r="M1361" i="3" s="1"/>
  <c r="L1362" i="3"/>
  <c r="L1363" i="3"/>
  <c r="M1363" i="3" s="1"/>
  <c r="N1363" i="3" s="1"/>
  <c r="L1364" i="3"/>
  <c r="M1364" i="3" s="1"/>
  <c r="N1364" i="3" s="1"/>
  <c r="L1365" i="3"/>
  <c r="M1365" i="3" s="1"/>
  <c r="N1365" i="3" s="1"/>
  <c r="L1366" i="3"/>
  <c r="M1366" i="3" s="1"/>
  <c r="L1367" i="3"/>
  <c r="M1367" i="3" s="1"/>
  <c r="L1368" i="3"/>
  <c r="L1369" i="3"/>
  <c r="L1370" i="3"/>
  <c r="L1371" i="3"/>
  <c r="M1371" i="3" s="1"/>
  <c r="L1372" i="3"/>
  <c r="L1373" i="3"/>
  <c r="M1373" i="3" s="1"/>
  <c r="L1374" i="3"/>
  <c r="M1374" i="3" s="1"/>
  <c r="L1375" i="3"/>
  <c r="L1376" i="3"/>
  <c r="M1376" i="3" s="1"/>
  <c r="N1376" i="3" s="1"/>
  <c r="L1377" i="3"/>
  <c r="M1377" i="3" s="1"/>
  <c r="L1378" i="3"/>
  <c r="M1378" i="3" s="1"/>
  <c r="L1379" i="3"/>
  <c r="M1379" i="3" s="1"/>
  <c r="N1379" i="3" s="1"/>
  <c r="L1380" i="3"/>
  <c r="M1380" i="3" s="1"/>
  <c r="L1381" i="3"/>
  <c r="M1381" i="3" s="1"/>
  <c r="N1381" i="3" s="1"/>
  <c r="L1382" i="3"/>
  <c r="L1383" i="3"/>
  <c r="L1384" i="3"/>
  <c r="L1385" i="3"/>
  <c r="L1386" i="3"/>
  <c r="M1386" i="3" s="1"/>
  <c r="N1386" i="3" s="1"/>
  <c r="L1387" i="3"/>
  <c r="M1387" i="3" s="1"/>
  <c r="L1388" i="3"/>
  <c r="L1389" i="3"/>
  <c r="M1389" i="3" s="1"/>
  <c r="L1390" i="3"/>
  <c r="L1391" i="3"/>
  <c r="M1391" i="3" s="1"/>
  <c r="L1392" i="3"/>
  <c r="M1392" i="3" s="1"/>
  <c r="L1393" i="3"/>
  <c r="M1393" i="3" s="1"/>
  <c r="N1393" i="3" s="1"/>
  <c r="L1394" i="3"/>
  <c r="M1394" i="3" s="1"/>
  <c r="N1394" i="3" s="1"/>
  <c r="L1395" i="3"/>
  <c r="M1395" i="3" s="1"/>
  <c r="L1396" i="3"/>
  <c r="M1396" i="3" s="1"/>
  <c r="L1397" i="3"/>
  <c r="L1398" i="3"/>
  <c r="M1398" i="3" s="1"/>
  <c r="L1399" i="3"/>
  <c r="L1400" i="3"/>
  <c r="M1400" i="3" s="1"/>
  <c r="L1401" i="3"/>
  <c r="M1401" i="3" s="1"/>
  <c r="L1402" i="3"/>
  <c r="L1403" i="3"/>
  <c r="M1403" i="3" s="1"/>
  <c r="N1403" i="3" s="1"/>
  <c r="O1403" i="3" s="1"/>
  <c r="L1404" i="3"/>
  <c r="M1404" i="3" s="1"/>
  <c r="L1405" i="3"/>
  <c r="L1406" i="3"/>
  <c r="M1406" i="3" s="1"/>
  <c r="N1406" i="3" s="1"/>
  <c r="L1407" i="3"/>
  <c r="M1407" i="3" s="1"/>
  <c r="L1408" i="3"/>
  <c r="M1408" i="3" s="1"/>
  <c r="L1409" i="3"/>
  <c r="M1409" i="3" s="1"/>
  <c r="N1409" i="3" s="1"/>
  <c r="L1410" i="3"/>
  <c r="M1410" i="3" s="1"/>
  <c r="N1410" i="3" s="1"/>
  <c r="L1411" i="3"/>
  <c r="M1411" i="3" s="1"/>
  <c r="L1412" i="3"/>
  <c r="M1412" i="3" s="1"/>
  <c r="L1413" i="3"/>
  <c r="L1414" i="3"/>
  <c r="L1415" i="3"/>
  <c r="M1415" i="3" s="1"/>
  <c r="L1416" i="3"/>
  <c r="M1416" i="3" s="1"/>
  <c r="L1417" i="3"/>
  <c r="M1417" i="3" s="1"/>
  <c r="L1418" i="3"/>
  <c r="L1419" i="3"/>
  <c r="M1419" i="3" s="1"/>
  <c r="N1419" i="3" s="1"/>
  <c r="O1419" i="3" s="1"/>
  <c r="L1420" i="3"/>
  <c r="M1420" i="3" s="1"/>
  <c r="L1421" i="3"/>
  <c r="L1422" i="3"/>
  <c r="M1422" i="3" s="1"/>
  <c r="N1422" i="3" s="1"/>
  <c r="L1423" i="3"/>
  <c r="L1424" i="3"/>
  <c r="M1424" i="3" s="1"/>
  <c r="L1425" i="3"/>
  <c r="M1425" i="3" s="1"/>
  <c r="N1425" i="3" s="1"/>
  <c r="L1426" i="3"/>
  <c r="M1426" i="3" s="1"/>
  <c r="N1426" i="3" s="1"/>
  <c r="O1426" i="3" s="1"/>
  <c r="L1427" i="3"/>
  <c r="M1427" i="3" s="1"/>
  <c r="L1428" i="3"/>
  <c r="M1428" i="3" s="1"/>
  <c r="L1429" i="3"/>
  <c r="M1429" i="3" s="1"/>
  <c r="L1430" i="3"/>
  <c r="L1431" i="3"/>
  <c r="M1431" i="3" s="1"/>
  <c r="L1432" i="3"/>
  <c r="M1432" i="3" s="1"/>
  <c r="L1433" i="3"/>
  <c r="L1434" i="3"/>
  <c r="L1435" i="3"/>
  <c r="M1435" i="3" s="1"/>
  <c r="N1435" i="3" s="1"/>
  <c r="O1435" i="3" s="1"/>
  <c r="L1436" i="3"/>
  <c r="M1436" i="3" s="1"/>
  <c r="L1437" i="3"/>
  <c r="M1437" i="3" s="1"/>
  <c r="L1438" i="3"/>
  <c r="M1438" i="3" s="1"/>
  <c r="N1438" i="3" s="1"/>
  <c r="L1439" i="3"/>
  <c r="M1439" i="3" s="1"/>
  <c r="L1440" i="3"/>
  <c r="L1441" i="3"/>
  <c r="M1441" i="3" s="1"/>
  <c r="N1441" i="3" s="1"/>
  <c r="L1442" i="3"/>
  <c r="M1442" i="3" s="1"/>
  <c r="L1443" i="3"/>
  <c r="M1443" i="3" s="1"/>
  <c r="L1444" i="3"/>
  <c r="L1445" i="3"/>
  <c r="L1446" i="3"/>
  <c r="M1446" i="3" s="1"/>
  <c r="L1447" i="3"/>
  <c r="L1448" i="3"/>
  <c r="L1449" i="3"/>
  <c r="L1450" i="3"/>
  <c r="M1450" i="3" s="1"/>
  <c r="L1451" i="3"/>
  <c r="M1451" i="3" s="1"/>
  <c r="N1451" i="3" s="1"/>
  <c r="O1451" i="3" s="1"/>
  <c r="L1452" i="3"/>
  <c r="M1452" i="3" s="1"/>
  <c r="L1453" i="3"/>
  <c r="M1453" i="3" s="1"/>
  <c r="L1454" i="3"/>
  <c r="M1454" i="3" s="1"/>
  <c r="L1455" i="3"/>
  <c r="L1456" i="3"/>
  <c r="M1456" i="3" s="1"/>
  <c r="N1456" i="3" s="1"/>
  <c r="O1456" i="3" s="1"/>
  <c r="L1457" i="3"/>
  <c r="M1457" i="3" s="1"/>
  <c r="L1458" i="3"/>
  <c r="M1458" i="3" s="1"/>
  <c r="L1459" i="3"/>
  <c r="M1459" i="3" s="1"/>
  <c r="L1460" i="3"/>
  <c r="M1460" i="3" s="1"/>
  <c r="L1461" i="3"/>
  <c r="L1462" i="3"/>
  <c r="M1462" i="3" s="1"/>
  <c r="N1462" i="3" s="1"/>
  <c r="L1463" i="3"/>
  <c r="M1463" i="3" s="1"/>
  <c r="N1463" i="3" s="1"/>
  <c r="L1464" i="3"/>
  <c r="L1465" i="3"/>
  <c r="M1465" i="3" s="1"/>
  <c r="L1466" i="3"/>
  <c r="M1466" i="3" s="1"/>
  <c r="L1467" i="3"/>
  <c r="M1467" i="3" s="1"/>
  <c r="N1467" i="3" s="1"/>
  <c r="L1468" i="3"/>
  <c r="M1468" i="3" s="1"/>
  <c r="L1469" i="3"/>
  <c r="M1469" i="3" s="1"/>
  <c r="L1470" i="3"/>
  <c r="M1470" i="3" s="1"/>
  <c r="L1471" i="3"/>
  <c r="M1471" i="3" s="1"/>
  <c r="L1472" i="3"/>
  <c r="M1472" i="3" s="1"/>
  <c r="N1472" i="3" s="1"/>
  <c r="L1473" i="3"/>
  <c r="M1473" i="3" s="1"/>
  <c r="L1474" i="3"/>
  <c r="L1475" i="3"/>
  <c r="M1475" i="3" s="1"/>
  <c r="L1476" i="3"/>
  <c r="M1476" i="3" s="1"/>
  <c r="L1477" i="3"/>
  <c r="M1477" i="3" s="1"/>
  <c r="L1478" i="3"/>
  <c r="M1478" i="3" s="1"/>
  <c r="N1478" i="3" s="1"/>
  <c r="L1479" i="3"/>
  <c r="M1479" i="3" s="1"/>
  <c r="L1480" i="3"/>
  <c r="L1481" i="3"/>
  <c r="L1482" i="3"/>
  <c r="M1482" i="3" s="1"/>
  <c r="L1483" i="3"/>
  <c r="M1483" i="3" s="1"/>
  <c r="L1484" i="3"/>
  <c r="M1484" i="3" s="1"/>
  <c r="N1484" i="3" s="1"/>
  <c r="L1485" i="3"/>
  <c r="M1485" i="3" s="1"/>
  <c r="L1486" i="3"/>
  <c r="M1486" i="3" s="1"/>
  <c r="L1487" i="3"/>
  <c r="L1488" i="3"/>
  <c r="M1488" i="3" s="1"/>
  <c r="L1489" i="3"/>
  <c r="M1489" i="3" s="1"/>
  <c r="L1490" i="3"/>
  <c r="M1490" i="3" s="1"/>
  <c r="L1491" i="3"/>
  <c r="L1492" i="3"/>
  <c r="L1493" i="3"/>
  <c r="L1494" i="3"/>
  <c r="M1494" i="3" s="1"/>
  <c r="L1495" i="3"/>
  <c r="M1495" i="3" s="1"/>
  <c r="L1496" i="3"/>
  <c r="M1496" i="3" s="1"/>
  <c r="L1497" i="3"/>
  <c r="L1498" i="3"/>
  <c r="M1498" i="3" s="1"/>
  <c r="L1499" i="3"/>
  <c r="L1500" i="3"/>
  <c r="M1500" i="3" s="1"/>
  <c r="L1501" i="3"/>
  <c r="M1501" i="3" s="1"/>
  <c r="N1501" i="3" s="1"/>
  <c r="L1502" i="3"/>
  <c r="M1502" i="3" s="1"/>
  <c r="L1503" i="3"/>
  <c r="M1503" i="3" s="1"/>
  <c r="L1504" i="3"/>
  <c r="M1504" i="3" s="1"/>
  <c r="N1504" i="3" s="1"/>
  <c r="L1505" i="3"/>
  <c r="M1505" i="3" s="1"/>
  <c r="N1505" i="3" s="1"/>
  <c r="L1506" i="3"/>
  <c r="M1506" i="3" s="1"/>
  <c r="L1507" i="3"/>
  <c r="M1507" i="3" s="1"/>
  <c r="N1507" i="3" s="1"/>
  <c r="L1508" i="3"/>
  <c r="M1508" i="3" s="1"/>
  <c r="L1509" i="3"/>
  <c r="M1509" i="3" s="1"/>
  <c r="L1510" i="3"/>
  <c r="M1510" i="3" s="1"/>
  <c r="L1511" i="3"/>
  <c r="M1511" i="3" s="1"/>
  <c r="L1512" i="3"/>
  <c r="M1512" i="3" s="1"/>
  <c r="N1512" i="3" s="1"/>
  <c r="L1513" i="3"/>
  <c r="M1513" i="3" s="1"/>
  <c r="L1514" i="3"/>
  <c r="M1514" i="3" s="1"/>
  <c r="L1515" i="3"/>
  <c r="M1515" i="3" s="1"/>
  <c r="L1516" i="3"/>
  <c r="M1516" i="3" s="1"/>
  <c r="N1516" i="3" s="1"/>
  <c r="L1517" i="3"/>
  <c r="M1517" i="3" s="1"/>
  <c r="L1518" i="3"/>
  <c r="L1519" i="3"/>
  <c r="M1519" i="3" s="1"/>
  <c r="N1519" i="3" s="1"/>
  <c r="L1520" i="3"/>
  <c r="M1520" i="3" s="1"/>
  <c r="L1521" i="3"/>
  <c r="M1521" i="3" s="1"/>
  <c r="N1521" i="3" s="1"/>
  <c r="L1522" i="3"/>
  <c r="M1522" i="3" s="1"/>
  <c r="L1523" i="3"/>
  <c r="M1523" i="3" s="1"/>
  <c r="N1523" i="3" s="1"/>
  <c r="L1524" i="3"/>
  <c r="M1524" i="3" s="1"/>
  <c r="N1524" i="3" s="1"/>
  <c r="L1525" i="3"/>
  <c r="M1525" i="3" s="1"/>
  <c r="N1525" i="3" s="1"/>
  <c r="L1526" i="3"/>
  <c r="M1526" i="3" s="1"/>
  <c r="N1526" i="3" s="1"/>
  <c r="L1527" i="3"/>
  <c r="M1527" i="3" s="1"/>
  <c r="N1527" i="3" s="1"/>
  <c r="L1528" i="3"/>
  <c r="M1528" i="3" s="1"/>
  <c r="N1528" i="3" s="1"/>
  <c r="L1529" i="3"/>
  <c r="M1529" i="3" s="1"/>
  <c r="N1529" i="3" s="1"/>
  <c r="L1530" i="3"/>
  <c r="L1531" i="3"/>
  <c r="M1531" i="3" s="1"/>
  <c r="N1531" i="3" s="1"/>
  <c r="L1532" i="3"/>
  <c r="M1532" i="3" s="1"/>
  <c r="N1532" i="3" s="1"/>
  <c r="L1533" i="3"/>
  <c r="M1533" i="3" s="1"/>
  <c r="N1533" i="3" s="1"/>
  <c r="L1534" i="3"/>
  <c r="L1535" i="3"/>
  <c r="M1535" i="3" s="1"/>
  <c r="N1535" i="3" s="1"/>
  <c r="L1536" i="3"/>
  <c r="M1536" i="3" s="1"/>
  <c r="N1536" i="3" s="1"/>
  <c r="L1537" i="3"/>
  <c r="M1537" i="3" s="1"/>
  <c r="N1537" i="3" s="1"/>
  <c r="L1538" i="3"/>
  <c r="M1538" i="3" s="1"/>
  <c r="L1539" i="3"/>
  <c r="M1539" i="3" s="1"/>
  <c r="N1539" i="3" s="1"/>
  <c r="L1540" i="3"/>
  <c r="M1540" i="3" s="1"/>
  <c r="N1540" i="3" s="1"/>
  <c r="L1541" i="3"/>
  <c r="M1541" i="3" s="1"/>
  <c r="N1541" i="3" s="1"/>
  <c r="L1542" i="3"/>
  <c r="L1543" i="3"/>
  <c r="M1543" i="3" s="1"/>
  <c r="N1543" i="3" s="1"/>
  <c r="L1544" i="3"/>
  <c r="M1544" i="3" s="1"/>
  <c r="N1544" i="3" s="1"/>
  <c r="L1545" i="3"/>
  <c r="M1545" i="3" s="1"/>
  <c r="N1545" i="3" s="1"/>
  <c r="L1546" i="3"/>
  <c r="M1546" i="3" s="1"/>
  <c r="L1547" i="3"/>
  <c r="M1547" i="3" s="1"/>
  <c r="N1547" i="3" s="1"/>
  <c r="L1548" i="3"/>
  <c r="M1548" i="3" s="1"/>
  <c r="N1548" i="3" s="1"/>
  <c r="L1549" i="3"/>
  <c r="M1549" i="3" s="1"/>
  <c r="N1549" i="3" s="1"/>
  <c r="L1550" i="3"/>
  <c r="M1550" i="3" s="1"/>
  <c r="L1551" i="3"/>
  <c r="M1551" i="3" s="1"/>
  <c r="N1551" i="3" s="1"/>
  <c r="L1552" i="3"/>
  <c r="M1552" i="3" s="1"/>
  <c r="N1552" i="3" s="1"/>
  <c r="L1553" i="3"/>
  <c r="M1553" i="3" s="1"/>
  <c r="N1553" i="3" s="1"/>
  <c r="L1554" i="3"/>
  <c r="M1554" i="3" s="1"/>
  <c r="L1555" i="3"/>
  <c r="M1555" i="3" s="1"/>
  <c r="N1555" i="3" s="1"/>
  <c r="L1556" i="3"/>
  <c r="M1556" i="3" s="1"/>
  <c r="N1556" i="3" s="1"/>
  <c r="L1557" i="3"/>
  <c r="M1557" i="3" s="1"/>
  <c r="N1557" i="3" s="1"/>
  <c r="L1558" i="3"/>
  <c r="M1558" i="3" s="1"/>
  <c r="N1558" i="3" s="1"/>
  <c r="L1559" i="3"/>
  <c r="M1559" i="3" s="1"/>
  <c r="N1559" i="3" s="1"/>
  <c r="L1560" i="3"/>
  <c r="M1560" i="3" s="1"/>
  <c r="N1560" i="3" s="1"/>
  <c r="L1561" i="3"/>
  <c r="M1561" i="3" s="1"/>
  <c r="N1561" i="3" s="1"/>
  <c r="L1562" i="3"/>
  <c r="M1562" i="3" s="1"/>
  <c r="L1563" i="3"/>
  <c r="M1563" i="3" s="1"/>
  <c r="N1563" i="3" s="1"/>
  <c r="L1564" i="3"/>
  <c r="M1564" i="3" s="1"/>
  <c r="N1564" i="3" s="1"/>
  <c r="L1565" i="3"/>
  <c r="M1565" i="3" s="1"/>
  <c r="N1565" i="3" s="1"/>
  <c r="L1566" i="3"/>
  <c r="M1566" i="3" s="1"/>
  <c r="N1566" i="3" s="1"/>
  <c r="L1567" i="3"/>
  <c r="M1567" i="3" s="1"/>
  <c r="N1567" i="3" s="1"/>
  <c r="L1568" i="3"/>
  <c r="M1568" i="3" s="1"/>
  <c r="N1568" i="3" s="1"/>
  <c r="L1569" i="3"/>
  <c r="M1569" i="3" s="1"/>
  <c r="N1569" i="3" s="1"/>
  <c r="L1570" i="3"/>
  <c r="M1570" i="3" s="1"/>
  <c r="N1570" i="3" s="1"/>
  <c r="L1571" i="3"/>
  <c r="M1571" i="3" s="1"/>
  <c r="N1571" i="3" s="1"/>
  <c r="L1572" i="3"/>
  <c r="M1572" i="3" s="1"/>
  <c r="N1572" i="3" s="1"/>
  <c r="L1573" i="3"/>
  <c r="M1573" i="3" s="1"/>
  <c r="N1573" i="3" s="1"/>
  <c r="L1574" i="3"/>
  <c r="L1575" i="3"/>
  <c r="M1575" i="3" s="1"/>
  <c r="N1575" i="3" s="1"/>
  <c r="L1576" i="3"/>
  <c r="M1576" i="3" s="1"/>
  <c r="L1577" i="3"/>
  <c r="M1577" i="3" s="1"/>
  <c r="N1577" i="3" s="1"/>
  <c r="L1578" i="3"/>
  <c r="M1578" i="3" s="1"/>
  <c r="L1579" i="3"/>
  <c r="M1579" i="3" s="1"/>
  <c r="N1579" i="3" s="1"/>
  <c r="L1580" i="3"/>
  <c r="L1581" i="3"/>
  <c r="M1581" i="3" s="1"/>
  <c r="N1581" i="3" s="1"/>
  <c r="L1582" i="3"/>
  <c r="M1582" i="3" s="1"/>
  <c r="N1582" i="3" s="1"/>
  <c r="L1583" i="3"/>
  <c r="M1583" i="3" s="1"/>
  <c r="N1583" i="3" s="1"/>
  <c r="L1584" i="3"/>
  <c r="L1585" i="3"/>
  <c r="M1585" i="3" s="1"/>
  <c r="N1585" i="3" s="1"/>
  <c r="L1586" i="3"/>
  <c r="M1586" i="3" s="1"/>
  <c r="L1587" i="3"/>
  <c r="M1587" i="3" s="1"/>
  <c r="N1587" i="3" s="1"/>
  <c r="L1588" i="3"/>
  <c r="M1588" i="3" s="1"/>
  <c r="L1589" i="3"/>
  <c r="M1589" i="3" s="1"/>
  <c r="N1589" i="3" s="1"/>
  <c r="L1590" i="3"/>
  <c r="M1590" i="3" s="1"/>
  <c r="N1590" i="3" s="1"/>
  <c r="L1591" i="3"/>
  <c r="M1591" i="3" s="1"/>
  <c r="N1591" i="3" s="1"/>
  <c r="L1592" i="3"/>
  <c r="L1593" i="3"/>
  <c r="M1593" i="3" s="1"/>
  <c r="N1593" i="3" s="1"/>
  <c r="L1594" i="3"/>
  <c r="M1594" i="3" s="1"/>
  <c r="N1594" i="3" s="1"/>
  <c r="L1595" i="3"/>
  <c r="M1595" i="3" s="1"/>
  <c r="N1595" i="3" s="1"/>
  <c r="L1596" i="3"/>
  <c r="M1596" i="3" s="1"/>
  <c r="L1597" i="3"/>
  <c r="M1597" i="3" s="1"/>
  <c r="N1597" i="3" s="1"/>
  <c r="L1598" i="3"/>
  <c r="M1598" i="3" s="1"/>
  <c r="N1598" i="3" s="1"/>
  <c r="L1599" i="3"/>
  <c r="M1599" i="3" s="1"/>
  <c r="N1599" i="3" s="1"/>
  <c r="L1600" i="3"/>
  <c r="L1601" i="3"/>
  <c r="M1601" i="3" s="1"/>
  <c r="N1601" i="3" s="1"/>
  <c r="L1602" i="3"/>
  <c r="M1602" i="3" s="1"/>
  <c r="L1603" i="3"/>
  <c r="M1603" i="3" s="1"/>
  <c r="N1603" i="3" s="1"/>
  <c r="L1604" i="3"/>
  <c r="M1604" i="3" s="1"/>
  <c r="L1605" i="3"/>
  <c r="M1605" i="3" s="1"/>
  <c r="N1605" i="3" s="1"/>
  <c r="L1606" i="3"/>
  <c r="L1607" i="3"/>
  <c r="M1607" i="3" s="1"/>
  <c r="N1607" i="3" s="1"/>
  <c r="L1608" i="3"/>
  <c r="M1608" i="3" s="1"/>
  <c r="L1609" i="3"/>
  <c r="M1609" i="3" s="1"/>
  <c r="N1609" i="3" s="1"/>
  <c r="L1610" i="3"/>
  <c r="M1610" i="3" s="1"/>
  <c r="L1611" i="3"/>
  <c r="M1611" i="3" s="1"/>
  <c r="N1611" i="3" s="1"/>
  <c r="L1612" i="3"/>
  <c r="L1613" i="3"/>
  <c r="M1613" i="3" s="1"/>
  <c r="N1613" i="3" s="1"/>
  <c r="L1614" i="3"/>
  <c r="M1614" i="3" s="1"/>
  <c r="N1614" i="3" s="1"/>
  <c r="L1615" i="3"/>
  <c r="M1615" i="3" s="1"/>
  <c r="N1615" i="3" s="1"/>
  <c r="L1616" i="3"/>
  <c r="M1616" i="3" s="1"/>
  <c r="L1617" i="3"/>
  <c r="M1617" i="3" s="1"/>
  <c r="N1617" i="3" s="1"/>
  <c r="L1618" i="3"/>
  <c r="M1618" i="3" s="1"/>
  <c r="L1619" i="3"/>
  <c r="M1619" i="3" s="1"/>
  <c r="N1619" i="3" s="1"/>
  <c r="L1620" i="3"/>
  <c r="M1620" i="3" s="1"/>
  <c r="L1621" i="3"/>
  <c r="M1621" i="3" s="1"/>
  <c r="N1621" i="3" s="1"/>
  <c r="L1622" i="3"/>
  <c r="M1622" i="3" s="1"/>
  <c r="N1622" i="3" s="1"/>
  <c r="L1623" i="3"/>
  <c r="M1623" i="3" s="1"/>
  <c r="N1623" i="3" s="1"/>
  <c r="L1624" i="3"/>
  <c r="M1624" i="3" s="1"/>
  <c r="L1625" i="3"/>
  <c r="M1625" i="3" s="1"/>
  <c r="N1625" i="3" s="1"/>
  <c r="L1626" i="3"/>
  <c r="M1626" i="3" s="1"/>
  <c r="N1626" i="3" s="1"/>
  <c r="L1627" i="3"/>
  <c r="M1627" i="3" s="1"/>
  <c r="N1627" i="3" s="1"/>
  <c r="L1628" i="3"/>
  <c r="M1628" i="3" s="1"/>
  <c r="L1629" i="3"/>
  <c r="M1629" i="3" s="1"/>
  <c r="N1629" i="3" s="1"/>
  <c r="L1630" i="3"/>
  <c r="M1630" i="3" s="1"/>
  <c r="L1631" i="3"/>
  <c r="M1631" i="3" s="1"/>
  <c r="N1631" i="3" s="1"/>
  <c r="L1632" i="3"/>
  <c r="L1633" i="3"/>
  <c r="M1633" i="3" s="1"/>
  <c r="N1633" i="3" s="1"/>
  <c r="L1634" i="3"/>
  <c r="M1634" i="3" s="1"/>
  <c r="L1635" i="3"/>
  <c r="M1635" i="3" s="1"/>
  <c r="N1635" i="3" s="1"/>
  <c r="L1636" i="3"/>
  <c r="M1636" i="3" s="1"/>
  <c r="L1637" i="3"/>
  <c r="M1637" i="3" s="1"/>
  <c r="N1637" i="3" s="1"/>
  <c r="L1638" i="3"/>
  <c r="L1639" i="3"/>
  <c r="M1639" i="3" s="1"/>
  <c r="N1639" i="3" s="1"/>
  <c r="L1640" i="3"/>
  <c r="M1640" i="3" s="1"/>
  <c r="L1641" i="3"/>
  <c r="M1641" i="3" s="1"/>
  <c r="N1641" i="3" s="1"/>
  <c r="L1642" i="3"/>
  <c r="L1643" i="3"/>
  <c r="M1643" i="3" s="1"/>
  <c r="N1643" i="3" s="1"/>
  <c r="L1644" i="3"/>
  <c r="M1644" i="3" s="1"/>
  <c r="L1645" i="3"/>
  <c r="M1645" i="3" s="1"/>
  <c r="N1645" i="3" s="1"/>
  <c r="L1646" i="3"/>
  <c r="M1646" i="3" s="1"/>
  <c r="N1646" i="3" s="1"/>
  <c r="L1647" i="3"/>
  <c r="M1647" i="3" s="1"/>
  <c r="N1647" i="3" s="1"/>
  <c r="L1648" i="3"/>
  <c r="M1648" i="3" s="1"/>
  <c r="L1649" i="3"/>
  <c r="M1649" i="3" s="1"/>
  <c r="N1649" i="3" s="1"/>
  <c r="L1650" i="3"/>
  <c r="L1651" i="3"/>
  <c r="M1651" i="3" s="1"/>
  <c r="N1651" i="3" s="1"/>
  <c r="L1652" i="3"/>
  <c r="M1652" i="3" s="1"/>
  <c r="L1653" i="3"/>
  <c r="M1653" i="3" s="1"/>
  <c r="L1654" i="3"/>
  <c r="M1654" i="3" s="1"/>
  <c r="N1654" i="3" s="1"/>
  <c r="L1655" i="3"/>
  <c r="M1655" i="3" s="1"/>
  <c r="L1656" i="3"/>
  <c r="L1657" i="3"/>
  <c r="M1657" i="3" s="1"/>
  <c r="L1658" i="3"/>
  <c r="M1658" i="3" s="1"/>
  <c r="L1659" i="3"/>
  <c r="M1659" i="3" s="1"/>
  <c r="L1660" i="3"/>
  <c r="M1660" i="3" s="1"/>
  <c r="L1661" i="3"/>
  <c r="M1661" i="3" s="1"/>
  <c r="L1662" i="3"/>
  <c r="M1662" i="3" s="1"/>
  <c r="N1662" i="3" s="1"/>
  <c r="L1663" i="3"/>
  <c r="M1663" i="3" s="1"/>
  <c r="L1664" i="3"/>
  <c r="M1664" i="3" s="1"/>
  <c r="L1665" i="3"/>
  <c r="M1665" i="3" s="1"/>
  <c r="L1666" i="3"/>
  <c r="M1666" i="3" s="1"/>
  <c r="L1667" i="3"/>
  <c r="M1667" i="3" s="1"/>
  <c r="L1668" i="3"/>
  <c r="L1669" i="3"/>
  <c r="M1669" i="3" s="1"/>
  <c r="L1670" i="3"/>
  <c r="L1671" i="3"/>
  <c r="M1671" i="3" s="1"/>
  <c r="L1672" i="3"/>
  <c r="M1672" i="3" s="1"/>
  <c r="L1673" i="3"/>
  <c r="M1673" i="3" s="1"/>
  <c r="L1674" i="3"/>
  <c r="M1674" i="3" s="1"/>
  <c r="L1675" i="3"/>
  <c r="M1675" i="3" s="1"/>
  <c r="L1676" i="3"/>
  <c r="M1676" i="3" s="1"/>
  <c r="L1677" i="3"/>
  <c r="M1677" i="3" s="1"/>
  <c r="L1678" i="3"/>
  <c r="M1678" i="3" s="1"/>
  <c r="N1678" i="3" s="1"/>
  <c r="L1679" i="3"/>
  <c r="M1679" i="3" s="1"/>
  <c r="L1680" i="3"/>
  <c r="M1680" i="3" s="1"/>
  <c r="L1681" i="3"/>
  <c r="M1681" i="3" s="1"/>
  <c r="L1682" i="3"/>
  <c r="L1683" i="3"/>
  <c r="M1683" i="3" s="1"/>
  <c r="L1684" i="3"/>
  <c r="M1684" i="3" s="1"/>
  <c r="L1685" i="3"/>
  <c r="M1685" i="3" s="1"/>
  <c r="L1686" i="3"/>
  <c r="M1686" i="3" s="1"/>
  <c r="N1686" i="3" s="1"/>
  <c r="L1687" i="3"/>
  <c r="M1687" i="3" s="1"/>
  <c r="L1688" i="3"/>
  <c r="M1688" i="3" s="1"/>
  <c r="L1689" i="3"/>
  <c r="M1689" i="3" s="1"/>
  <c r="L1690" i="3"/>
  <c r="M1690" i="3" s="1"/>
  <c r="L1691" i="3"/>
  <c r="M1691" i="3" s="1"/>
  <c r="L1692" i="3"/>
  <c r="L1693" i="3"/>
  <c r="M1693" i="3" s="1"/>
  <c r="L1694" i="3"/>
  <c r="L1695" i="3"/>
  <c r="M1695" i="3" s="1"/>
  <c r="L1696" i="3"/>
  <c r="M1696" i="3" s="1"/>
  <c r="L1697" i="3"/>
  <c r="M1697" i="3" s="1"/>
  <c r="L1698" i="3"/>
  <c r="L1699" i="3"/>
  <c r="M1699" i="3" s="1"/>
  <c r="L1700" i="3"/>
  <c r="M1700" i="3" s="1"/>
  <c r="L1701" i="3"/>
  <c r="M1701" i="3" s="1"/>
  <c r="L1702" i="3"/>
  <c r="L1703" i="3"/>
  <c r="M1703" i="3" s="1"/>
  <c r="L1704" i="3"/>
  <c r="L1705" i="3"/>
  <c r="M1705" i="3" s="1"/>
  <c r="L1706" i="3"/>
  <c r="M1706" i="3" s="1"/>
  <c r="L1707" i="3"/>
  <c r="M1707" i="3" s="1"/>
  <c r="L1708" i="3"/>
  <c r="M1708" i="3" s="1"/>
  <c r="L1709" i="3"/>
  <c r="M1709" i="3" s="1"/>
  <c r="L1710" i="3"/>
  <c r="M1710" i="3" s="1"/>
  <c r="L1711" i="3"/>
  <c r="M1711" i="3" s="1"/>
  <c r="L1712" i="3"/>
  <c r="M1712" i="3" s="1"/>
  <c r="L1713" i="3"/>
  <c r="M1713" i="3" s="1"/>
  <c r="L1714" i="3"/>
  <c r="M1714" i="3" s="1"/>
  <c r="L1715" i="3"/>
  <c r="M1715" i="3" s="1"/>
  <c r="L1716" i="3"/>
  <c r="M1716" i="3" s="1"/>
  <c r="L1717" i="3"/>
  <c r="M1717" i="3" s="1"/>
  <c r="L1718" i="3"/>
  <c r="M1718" i="3" s="1"/>
  <c r="N1718" i="3" s="1"/>
  <c r="L1719" i="3"/>
  <c r="M1719" i="3" s="1"/>
  <c r="L1720" i="3"/>
  <c r="M1720" i="3" s="1"/>
  <c r="L1721" i="3"/>
  <c r="M1721" i="3" s="1"/>
  <c r="L1722" i="3"/>
  <c r="M1722" i="3" s="1"/>
  <c r="L1723" i="3"/>
  <c r="M1723" i="3" s="1"/>
  <c r="L1724" i="3"/>
  <c r="M1724" i="3" s="1"/>
  <c r="L1725" i="3"/>
  <c r="M1725" i="3" s="1"/>
  <c r="L1726" i="3"/>
  <c r="M1726" i="3" s="1"/>
  <c r="L1727" i="3"/>
  <c r="M1727" i="3" s="1"/>
  <c r="L1728" i="3"/>
  <c r="M1728" i="3" s="1"/>
  <c r="L1729" i="3"/>
  <c r="M1729" i="3" s="1"/>
  <c r="L1730" i="3"/>
  <c r="M1730" i="3" s="1"/>
  <c r="N1730" i="3" s="1"/>
  <c r="L1731" i="3"/>
  <c r="M1731" i="3" s="1"/>
  <c r="L1732" i="3"/>
  <c r="M1732" i="3" s="1"/>
  <c r="L1733" i="3"/>
  <c r="M1733" i="3" s="1"/>
  <c r="L1734" i="3"/>
  <c r="L1735" i="3"/>
  <c r="M1735" i="3" s="1"/>
  <c r="L1736" i="3"/>
  <c r="M1736" i="3" s="1"/>
  <c r="L1737" i="3"/>
  <c r="M1737" i="3" s="1"/>
  <c r="L1738" i="3"/>
  <c r="M1738" i="3" s="1"/>
  <c r="L1739" i="3"/>
  <c r="M1739" i="3" s="1"/>
  <c r="L1740" i="3"/>
  <c r="M1740" i="3" s="1"/>
  <c r="L1741" i="3"/>
  <c r="M1741" i="3" s="1"/>
  <c r="L1742" i="3"/>
  <c r="M1742" i="3" s="1"/>
  <c r="L1743" i="3"/>
  <c r="M1743" i="3" s="1"/>
  <c r="L1744" i="3"/>
  <c r="M1744" i="3" s="1"/>
  <c r="L1745" i="3"/>
  <c r="M1745" i="3" s="1"/>
  <c r="L1746" i="3"/>
  <c r="L1747" i="3"/>
  <c r="L1748" i="3"/>
  <c r="L1749" i="3"/>
  <c r="M1749" i="3" s="1"/>
  <c r="N1749" i="3" s="1"/>
  <c r="L1750" i="3"/>
  <c r="M1750" i="3" s="1"/>
  <c r="L1751" i="3"/>
  <c r="L1752" i="3"/>
  <c r="M1752" i="3" s="1"/>
  <c r="N1752" i="3" s="1"/>
  <c r="L1753" i="3"/>
  <c r="L1754" i="3"/>
  <c r="M1754" i="3" s="1"/>
  <c r="N1754" i="3" s="1"/>
  <c r="L1755" i="3"/>
  <c r="M1755" i="3" s="1"/>
  <c r="L1756" i="3"/>
  <c r="M1756" i="3" s="1"/>
  <c r="L1757" i="3"/>
  <c r="M1757" i="3" s="1"/>
  <c r="N1757" i="3" s="1"/>
  <c r="O1757" i="3" s="1"/>
  <c r="L1758" i="3"/>
  <c r="M1758" i="3" s="1"/>
  <c r="N1758" i="3" s="1"/>
  <c r="O1758" i="3" s="1"/>
  <c r="L1759" i="3"/>
  <c r="M1759" i="3" s="1"/>
  <c r="N1759" i="3" s="1"/>
  <c r="L1760" i="3"/>
  <c r="M1760" i="3" s="1"/>
  <c r="L1761" i="3"/>
  <c r="L1762" i="3"/>
  <c r="M1762" i="3" s="1"/>
  <c r="N1762" i="3" s="1"/>
  <c r="L1763" i="3"/>
  <c r="M1763" i="3" s="1"/>
  <c r="L1764" i="3"/>
  <c r="M1764" i="3" s="1"/>
  <c r="L1765" i="3"/>
  <c r="L1766" i="3"/>
  <c r="M1766" i="3" s="1"/>
  <c r="L1767" i="3"/>
  <c r="M1767" i="3" s="1"/>
  <c r="N1767" i="3" s="1"/>
  <c r="L1768" i="3"/>
  <c r="M1768" i="3" s="1"/>
  <c r="L1769" i="3"/>
  <c r="L1770" i="3"/>
  <c r="M1770" i="3" s="1"/>
  <c r="N1770" i="3" s="1"/>
  <c r="L1771" i="3"/>
  <c r="M1771" i="3" s="1"/>
  <c r="L1772" i="3"/>
  <c r="M1772" i="3" s="1"/>
  <c r="L1773" i="3"/>
  <c r="L1774" i="3"/>
  <c r="M1774" i="3" s="1"/>
  <c r="N1774" i="3" s="1"/>
  <c r="L1775" i="3"/>
  <c r="M1775" i="3" s="1"/>
  <c r="N1775" i="3" s="1"/>
  <c r="L1776" i="3"/>
  <c r="M1776" i="3" s="1"/>
  <c r="L1777" i="3"/>
  <c r="M1777" i="3" s="1"/>
  <c r="N1777" i="3" s="1"/>
  <c r="L1778" i="3"/>
  <c r="M1778" i="3" s="1"/>
  <c r="N1778" i="3" s="1"/>
  <c r="L1779" i="3"/>
  <c r="M1779" i="3" s="1"/>
  <c r="L1780" i="3"/>
  <c r="M1780" i="3" s="1"/>
  <c r="L1781" i="3"/>
  <c r="M1781" i="3" s="1"/>
  <c r="N1781" i="3" s="1"/>
  <c r="O1781" i="3" s="1"/>
  <c r="L1782" i="3"/>
  <c r="L1783" i="3"/>
  <c r="L1784" i="3"/>
  <c r="M1784" i="3" s="1"/>
  <c r="L1785" i="3"/>
  <c r="M1785" i="3" s="1"/>
  <c r="N1785" i="3" s="1"/>
  <c r="L1786" i="3"/>
  <c r="M1786" i="3" s="1"/>
  <c r="N1786" i="3" s="1"/>
  <c r="L1787" i="3"/>
  <c r="M1787" i="3" s="1"/>
  <c r="L1788" i="3"/>
  <c r="L1789" i="3"/>
  <c r="M1789" i="3" s="1"/>
  <c r="N1789" i="3" s="1"/>
  <c r="L1790" i="3"/>
  <c r="M1790" i="3" s="1"/>
  <c r="N1790" i="3" s="1"/>
  <c r="L1791" i="3"/>
  <c r="M1791" i="3" s="1"/>
  <c r="N1791" i="3" s="1"/>
  <c r="L1792" i="3"/>
  <c r="M1792" i="3" s="1"/>
  <c r="L1793" i="3"/>
  <c r="L1794" i="3"/>
  <c r="M1794" i="3" s="1"/>
  <c r="N1794" i="3" s="1"/>
  <c r="L1795" i="3"/>
  <c r="M1795" i="3" s="1"/>
  <c r="L1796" i="3"/>
  <c r="L1797" i="3"/>
  <c r="M1797" i="3" s="1"/>
  <c r="L1798" i="3"/>
  <c r="M1798" i="3" s="1"/>
  <c r="L1799" i="3"/>
  <c r="M1799" i="3" s="1"/>
  <c r="N1799" i="3" s="1"/>
  <c r="L1800" i="3"/>
  <c r="M1800" i="3" s="1"/>
  <c r="L1801" i="3"/>
  <c r="M1801" i="3" s="1"/>
  <c r="L1802" i="3"/>
  <c r="M1802" i="3" s="1"/>
  <c r="L1803" i="3"/>
  <c r="L1804" i="3"/>
  <c r="M1804" i="3" s="1"/>
  <c r="N1804" i="3" s="1"/>
  <c r="L1805" i="3"/>
  <c r="M1805" i="3" s="1"/>
  <c r="L1806" i="3"/>
  <c r="M1806" i="3" s="1"/>
  <c r="L1807" i="3"/>
  <c r="L1808" i="3"/>
  <c r="M1808" i="3" s="1"/>
  <c r="N1808" i="3" s="1"/>
  <c r="L1809" i="3"/>
  <c r="M1809" i="3" s="1"/>
  <c r="L1810" i="3"/>
  <c r="M1810" i="3" s="1"/>
  <c r="N1810" i="3" s="1"/>
  <c r="L1811" i="3"/>
  <c r="L1812" i="3"/>
  <c r="M1812" i="3" s="1"/>
  <c r="L1813" i="3"/>
  <c r="L1814" i="3"/>
  <c r="M1814" i="3" s="1"/>
  <c r="L1815" i="3"/>
  <c r="M1815" i="3" s="1"/>
  <c r="N1815" i="3" s="1"/>
  <c r="L1816" i="3"/>
  <c r="M1816" i="3" s="1"/>
  <c r="L1817" i="3"/>
  <c r="M1817" i="3" s="1"/>
  <c r="L1818" i="3"/>
  <c r="M1818" i="3" s="1"/>
  <c r="L1819" i="3"/>
  <c r="L1820" i="3"/>
  <c r="M1820" i="3" s="1"/>
  <c r="N1820" i="3" s="1"/>
  <c r="L1821" i="3"/>
  <c r="M1821" i="3" s="1"/>
  <c r="L1822" i="3"/>
  <c r="L1823" i="3"/>
  <c r="M1823" i="3" s="1"/>
  <c r="L1824" i="3"/>
  <c r="M1824" i="3" s="1"/>
  <c r="N1824" i="3" s="1"/>
  <c r="L1825" i="3"/>
  <c r="L1826" i="3"/>
  <c r="M1826" i="3" s="1"/>
  <c r="N1826" i="3" s="1"/>
  <c r="L1827" i="3"/>
  <c r="M1827" i="3" s="1"/>
  <c r="L1828" i="3"/>
  <c r="M1828" i="3" s="1"/>
  <c r="L1829" i="3"/>
  <c r="L1830" i="3"/>
  <c r="M1830" i="3" s="1"/>
  <c r="N1830" i="3" s="1"/>
  <c r="L1831" i="3"/>
  <c r="M1831" i="3" s="1"/>
  <c r="L1832" i="3"/>
  <c r="M1832" i="3" s="1"/>
  <c r="L1833" i="3"/>
  <c r="M1833" i="3" s="1"/>
  <c r="L1834" i="3"/>
  <c r="M1834" i="3" s="1"/>
  <c r="L1835" i="3"/>
  <c r="L1836" i="3"/>
  <c r="M1836" i="3" s="1"/>
  <c r="L1837" i="3"/>
  <c r="M1837" i="3" s="1"/>
  <c r="L1838" i="3"/>
  <c r="M1838" i="3" s="1"/>
  <c r="L1839" i="3"/>
  <c r="L1840" i="3"/>
  <c r="M1840" i="3" s="1"/>
  <c r="N1840" i="3" s="1"/>
  <c r="L1841" i="3"/>
  <c r="L1842" i="3"/>
  <c r="M1842" i="3" s="1"/>
  <c r="L1843" i="3"/>
  <c r="M1843" i="3" s="1"/>
  <c r="L1844" i="3"/>
  <c r="M1844" i="3" s="1"/>
  <c r="L1845" i="3"/>
  <c r="L1846" i="3"/>
  <c r="L1847" i="3"/>
  <c r="M1847" i="3" s="1"/>
  <c r="L1848" i="3"/>
  <c r="L1849" i="3"/>
  <c r="L1850" i="3"/>
  <c r="M1850" i="3" s="1"/>
  <c r="L1851" i="3"/>
  <c r="M1851" i="3" s="1"/>
  <c r="L1852" i="3"/>
  <c r="L1853" i="3"/>
  <c r="M1853" i="3" s="1"/>
  <c r="L1854" i="3"/>
  <c r="M1854" i="3" s="1"/>
  <c r="L1855" i="3"/>
  <c r="M1855" i="3" s="1"/>
  <c r="L1856" i="3"/>
  <c r="M1856" i="3" s="1"/>
  <c r="L1857" i="3"/>
  <c r="L1858" i="3"/>
  <c r="M1858" i="3" s="1"/>
  <c r="N1858" i="3" s="1"/>
  <c r="L1859" i="3"/>
  <c r="M1859" i="3" s="1"/>
  <c r="L1860" i="3"/>
  <c r="L1861" i="3"/>
  <c r="M1861" i="3" s="1"/>
  <c r="L1862" i="3"/>
  <c r="L1863" i="3"/>
  <c r="M1863" i="3" s="1"/>
  <c r="L1864" i="3"/>
  <c r="L1865" i="3"/>
  <c r="M1865" i="3" s="1"/>
  <c r="L1866" i="3"/>
  <c r="M1866" i="3" s="1"/>
  <c r="L1867" i="3"/>
  <c r="M1867" i="3" s="1"/>
  <c r="L1868" i="3"/>
  <c r="L1869" i="3"/>
  <c r="L1870" i="3"/>
  <c r="M1870" i="3" s="1"/>
  <c r="L1871" i="3"/>
  <c r="M1871" i="3" s="1"/>
  <c r="L1872" i="3"/>
  <c r="L1873" i="3"/>
  <c r="L1874" i="3"/>
  <c r="M1874" i="3" s="1"/>
  <c r="L1875" i="3"/>
  <c r="M1875" i="3" s="1"/>
  <c r="L1876" i="3"/>
  <c r="L1877" i="3"/>
  <c r="L1878" i="3"/>
  <c r="M1878" i="3" s="1"/>
  <c r="L1879" i="3"/>
  <c r="M1879" i="3" s="1"/>
  <c r="L1880" i="3"/>
  <c r="L1881" i="3"/>
  <c r="M1881" i="3" s="1"/>
  <c r="N1881" i="3" s="1"/>
  <c r="L1882" i="3"/>
  <c r="M1882" i="3" s="1"/>
  <c r="L1883" i="3"/>
  <c r="L1884" i="3"/>
  <c r="M1884" i="3" s="1"/>
  <c r="L1885" i="3"/>
  <c r="M1885" i="3" s="1"/>
  <c r="N1885" i="3" s="1"/>
  <c r="O1885" i="3" s="1"/>
  <c r="L1886" i="3"/>
  <c r="M1886" i="3" s="1"/>
  <c r="L1887" i="3"/>
  <c r="M1887" i="3" s="1"/>
  <c r="L1888" i="3"/>
  <c r="M1888" i="3" s="1"/>
  <c r="L1889" i="3"/>
  <c r="L1890" i="3"/>
  <c r="L1891" i="3"/>
  <c r="M1891" i="3" s="1"/>
  <c r="L1892" i="3"/>
  <c r="M1892" i="3" s="1"/>
  <c r="L1893" i="3"/>
  <c r="M1893" i="3" s="1"/>
  <c r="L1894" i="3"/>
  <c r="L1895" i="3"/>
  <c r="M1895" i="3" s="1"/>
  <c r="L1896" i="3"/>
  <c r="L1897" i="3"/>
  <c r="M1897" i="3" s="1"/>
  <c r="L1898" i="3"/>
  <c r="M1898" i="3" s="1"/>
  <c r="L1899" i="3"/>
  <c r="L1900" i="3"/>
  <c r="M1900" i="3" s="1"/>
  <c r="N1900" i="3" s="1"/>
  <c r="L1901" i="3"/>
  <c r="M1901" i="3" s="1"/>
  <c r="L1902" i="3"/>
  <c r="M1902" i="3" s="1"/>
  <c r="L1903" i="3"/>
  <c r="L1904" i="3"/>
  <c r="M1904" i="3" s="1"/>
  <c r="L1905" i="3"/>
  <c r="L1906" i="3"/>
  <c r="M1906" i="3" s="1"/>
  <c r="N1906" i="3" s="1"/>
  <c r="L1907" i="3"/>
  <c r="M1907" i="3" s="1"/>
  <c r="L1908" i="3"/>
  <c r="M1908" i="3" s="1"/>
  <c r="L1909" i="3"/>
  <c r="L1910" i="3"/>
  <c r="M1910" i="3" s="1"/>
  <c r="L1911" i="3"/>
  <c r="M1911" i="3" s="1"/>
  <c r="L1912" i="3"/>
  <c r="L1913" i="3"/>
  <c r="L1914" i="3"/>
  <c r="M1914" i="3" s="1"/>
  <c r="L1915" i="3"/>
  <c r="L1916" i="3"/>
  <c r="L1917" i="3"/>
  <c r="L1918" i="3"/>
  <c r="M1918" i="3" s="1"/>
  <c r="L1919" i="3"/>
  <c r="L1920" i="3"/>
  <c r="L1921" i="3"/>
  <c r="L1922" i="3"/>
  <c r="M1922" i="3" s="1"/>
  <c r="L1923" i="3"/>
  <c r="L1924" i="3"/>
  <c r="M1924" i="3" s="1"/>
  <c r="N1924" i="3" s="1"/>
  <c r="L1925" i="3"/>
  <c r="M1925" i="3" s="1"/>
  <c r="L1926" i="3"/>
  <c r="M1926" i="3" s="1"/>
  <c r="L1927" i="3"/>
  <c r="M1927" i="3" s="1"/>
  <c r="L1928" i="3"/>
  <c r="L1929" i="3"/>
  <c r="L1930" i="3"/>
  <c r="M1930" i="3" s="1"/>
  <c r="L1931" i="3"/>
  <c r="L1932" i="3"/>
  <c r="M1932" i="3" s="1"/>
  <c r="L1933" i="3"/>
  <c r="L1934" i="3"/>
  <c r="M1934" i="3" s="1"/>
  <c r="L1935" i="3"/>
  <c r="L1936" i="3"/>
  <c r="L1937" i="3"/>
  <c r="L1938" i="3"/>
  <c r="M1938" i="3" s="1"/>
  <c r="N1938" i="3" s="1"/>
  <c r="L1939" i="3"/>
  <c r="L1940" i="3"/>
  <c r="L1941" i="3"/>
  <c r="M1941" i="3" s="1"/>
  <c r="L1942" i="3"/>
  <c r="M1942" i="3" s="1"/>
  <c r="N1942" i="3" s="1"/>
  <c r="L1943" i="3"/>
  <c r="M1943" i="3" s="1"/>
  <c r="L1944" i="3"/>
  <c r="L1945" i="3"/>
  <c r="M1945" i="3" s="1"/>
  <c r="N1945" i="3" s="1"/>
  <c r="L1946" i="3"/>
  <c r="M1946" i="3" s="1"/>
  <c r="L1947" i="3"/>
  <c r="L1948" i="3"/>
  <c r="M1948" i="3" s="1"/>
  <c r="N1948" i="3" s="1"/>
  <c r="L1949" i="3"/>
  <c r="M1949" i="3" s="1"/>
  <c r="L1950" i="3"/>
  <c r="M1950" i="3" s="1"/>
  <c r="L1951" i="3"/>
  <c r="L1952" i="3"/>
  <c r="M1952" i="3" s="1"/>
  <c r="L1953" i="3"/>
  <c r="L1954" i="3"/>
  <c r="M1954" i="3" s="1"/>
  <c r="L1955" i="3"/>
  <c r="L1956" i="3"/>
  <c r="M1956" i="3" s="1"/>
  <c r="L1957" i="3"/>
  <c r="L1958" i="3"/>
  <c r="M1958" i="3" s="1"/>
  <c r="L1959" i="3"/>
  <c r="M1959" i="3" s="1"/>
  <c r="L1960" i="3"/>
  <c r="L1961" i="3"/>
  <c r="L1962" i="3"/>
  <c r="M1962" i="3" s="1"/>
  <c r="L1963" i="3"/>
  <c r="L1964" i="3"/>
  <c r="M1964" i="3" s="1"/>
  <c r="N1964" i="3" s="1"/>
  <c r="L1965" i="3"/>
  <c r="M1965" i="3" s="1"/>
  <c r="L1966" i="3"/>
  <c r="M1966" i="3" s="1"/>
  <c r="N1966" i="3" s="1"/>
  <c r="L1967" i="3"/>
  <c r="M1967" i="3" s="1"/>
  <c r="L1968" i="3"/>
  <c r="L1969" i="3"/>
  <c r="L1970" i="3"/>
  <c r="M1970" i="3" s="1"/>
  <c r="N1970" i="3" s="1"/>
  <c r="L1971" i="3"/>
  <c r="L1972" i="3"/>
  <c r="M1972" i="3" s="1"/>
  <c r="L1973" i="3"/>
  <c r="M1973" i="3" s="1"/>
  <c r="L1974" i="3"/>
  <c r="L1975" i="3"/>
  <c r="M1975" i="3" s="1"/>
  <c r="L1976" i="3"/>
  <c r="L1977" i="3"/>
  <c r="L1978" i="3"/>
  <c r="M1978" i="3" s="1"/>
  <c r="L1979" i="3"/>
  <c r="L1980" i="3"/>
  <c r="M1980" i="3" s="1"/>
  <c r="L1981" i="3"/>
  <c r="L1982" i="3"/>
  <c r="M1982" i="3" s="1"/>
  <c r="L1983" i="3"/>
  <c r="M1983" i="3" s="1"/>
  <c r="L1984" i="3"/>
  <c r="L1985" i="3"/>
  <c r="L1986" i="3"/>
  <c r="M1986" i="3" s="1"/>
  <c r="N1986" i="3" s="1"/>
  <c r="L1987" i="3"/>
  <c r="L1988" i="3"/>
  <c r="M1988" i="3" s="1"/>
  <c r="L1989" i="3"/>
  <c r="M1989" i="3" s="1"/>
  <c r="L1990" i="3"/>
  <c r="M1990" i="3" s="1"/>
  <c r="N1990" i="3" s="1"/>
  <c r="O1990" i="3" s="1"/>
  <c r="L1991" i="3"/>
  <c r="L1992" i="3"/>
  <c r="L1993" i="3"/>
  <c r="M1993" i="3" s="1"/>
  <c r="L1994" i="3"/>
  <c r="M1994" i="3" s="1"/>
  <c r="L1995" i="3"/>
  <c r="M1995" i="3" s="1"/>
  <c r="L1996" i="3"/>
  <c r="L1997" i="3"/>
  <c r="M1997" i="3" s="1"/>
  <c r="L1998" i="3"/>
  <c r="M1998" i="3" s="1"/>
  <c r="L1999" i="3"/>
  <c r="M1999" i="3" s="1"/>
  <c r="L2000" i="3"/>
  <c r="M2000" i="3" s="1"/>
  <c r="L2001" i="3"/>
  <c r="L2002" i="3"/>
  <c r="M2002" i="3" s="1"/>
  <c r="L2003" i="3"/>
  <c r="L2004" i="3"/>
  <c r="M2004" i="3" s="1"/>
  <c r="L2005" i="3"/>
  <c r="M2005" i="3" s="1"/>
  <c r="L2006" i="3"/>
  <c r="M2006" i="3" s="1"/>
  <c r="L2007" i="3"/>
  <c r="L2008" i="3"/>
  <c r="L2009" i="3"/>
  <c r="M2009" i="3" s="1"/>
  <c r="L2010" i="3"/>
  <c r="M2010" i="3" s="1"/>
  <c r="L2011" i="3"/>
  <c r="M2011" i="3" s="1"/>
  <c r="L2012" i="3"/>
  <c r="L2013" i="3"/>
  <c r="L2014" i="3"/>
  <c r="L2015" i="3"/>
  <c r="M2015" i="3" s="1"/>
  <c r="L2016" i="3"/>
  <c r="M2016" i="3" s="1"/>
  <c r="L2017" i="3"/>
  <c r="L2018" i="3"/>
  <c r="M2018" i="3" s="1"/>
  <c r="N2018" i="3" s="1"/>
  <c r="L2019" i="3"/>
  <c r="L2020" i="3"/>
  <c r="M2020" i="3" s="1"/>
  <c r="L2021" i="3"/>
  <c r="M2021" i="3" s="1"/>
  <c r="L2022" i="3"/>
  <c r="M2022" i="3" s="1"/>
  <c r="L2023" i="3"/>
  <c r="L2024" i="3"/>
  <c r="L2025" i="3"/>
  <c r="M2025" i="3" s="1"/>
  <c r="L2026" i="3"/>
  <c r="M2026" i="3" s="1"/>
  <c r="L2027" i="3"/>
  <c r="L2028" i="3"/>
  <c r="M2028" i="3" s="1"/>
  <c r="N2028" i="3" s="1"/>
  <c r="L2029" i="3"/>
  <c r="M2029" i="3" s="1"/>
  <c r="L2030" i="3"/>
  <c r="M2030" i="3" s="1"/>
  <c r="L2031" i="3"/>
  <c r="L2032" i="3"/>
  <c r="M2032" i="3" s="1"/>
  <c r="L2033" i="3"/>
  <c r="L2034" i="3"/>
  <c r="L2035" i="3"/>
  <c r="L2036" i="3"/>
  <c r="M2036" i="3" s="1"/>
  <c r="N2036" i="3" s="1"/>
  <c r="L2037" i="3"/>
  <c r="L2038" i="3"/>
  <c r="M2038" i="3" s="1"/>
  <c r="L2039" i="3"/>
  <c r="L2040" i="3"/>
  <c r="L2041" i="3"/>
  <c r="M2041" i="3" s="1"/>
  <c r="N2041" i="3" s="1"/>
  <c r="L2042" i="3"/>
  <c r="M2042" i="3" s="1"/>
  <c r="L2043" i="3"/>
  <c r="M2043" i="3" s="1"/>
  <c r="L2044" i="3"/>
  <c r="M2044" i="3" s="1"/>
  <c r="N2044" i="3" s="1"/>
  <c r="L2045" i="3"/>
  <c r="M2045" i="3" s="1"/>
  <c r="L2046" i="3"/>
  <c r="L2047" i="3"/>
  <c r="M2047" i="3" s="1"/>
  <c r="L2048" i="3"/>
  <c r="M2048" i="3" s="1"/>
  <c r="L2049" i="3"/>
  <c r="L2050" i="3"/>
  <c r="M2050" i="3" s="1"/>
  <c r="N2050" i="3" s="1"/>
  <c r="L2051" i="3"/>
  <c r="L2052" i="3"/>
  <c r="L2053" i="3"/>
  <c r="M2053" i="3" s="1"/>
  <c r="L2054" i="3"/>
  <c r="M2054" i="3" s="1"/>
  <c r="L2055" i="3"/>
  <c r="L2056" i="3"/>
  <c r="L2057" i="3"/>
  <c r="L2058" i="3"/>
  <c r="M2058" i="3" s="1"/>
  <c r="L2059" i="3"/>
  <c r="L2060" i="3"/>
  <c r="M2060" i="3" s="1"/>
  <c r="N2060" i="3" s="1"/>
  <c r="L2061" i="3"/>
  <c r="L2062" i="3"/>
  <c r="M2062" i="3" s="1"/>
  <c r="L2063" i="3"/>
  <c r="M2063" i="3" s="1"/>
  <c r="L2064" i="3"/>
  <c r="M2064" i="3" s="1"/>
  <c r="L2065" i="3"/>
  <c r="L2066" i="3"/>
  <c r="L2067" i="3"/>
  <c r="L2068" i="3"/>
  <c r="M2068" i="3" s="1"/>
  <c r="L2069" i="3"/>
  <c r="M2069" i="3" s="1"/>
  <c r="L2070" i="3"/>
  <c r="M2070" i="3" s="1"/>
  <c r="L2071" i="3"/>
  <c r="L2072" i="3"/>
  <c r="L2073" i="3"/>
  <c r="L2074" i="3"/>
  <c r="M2074" i="3" s="1"/>
  <c r="L2075" i="3"/>
  <c r="M2075" i="3" s="1"/>
  <c r="L2076" i="3"/>
  <c r="L2077" i="3"/>
  <c r="M2077" i="3" s="1"/>
  <c r="L2078" i="3"/>
  <c r="L2079" i="3"/>
  <c r="M2079" i="3" s="1"/>
  <c r="L2080" i="3"/>
  <c r="M2080" i="3" s="1"/>
  <c r="L2081" i="3"/>
  <c r="L2082" i="3"/>
  <c r="L2083" i="3"/>
  <c r="L2084" i="3"/>
  <c r="M2084" i="3" s="1"/>
  <c r="L2085" i="3"/>
  <c r="M2085" i="3" s="1"/>
  <c r="L2086" i="3"/>
  <c r="M2086" i="3" s="1"/>
  <c r="N2086" i="3" s="1"/>
  <c r="L2087" i="3"/>
  <c r="L2088" i="3"/>
  <c r="L2089" i="3"/>
  <c r="L2090" i="3"/>
  <c r="M2090" i="3" s="1"/>
  <c r="L2091" i="3"/>
  <c r="L2092" i="3"/>
  <c r="M2092" i="3" s="1"/>
  <c r="N2092" i="3" s="1"/>
  <c r="L2093" i="3"/>
  <c r="M2093" i="3" s="1"/>
  <c r="L2094" i="3"/>
  <c r="M2094" i="3" s="1"/>
  <c r="L2095" i="3"/>
  <c r="L2096" i="3"/>
  <c r="L2097" i="3"/>
  <c r="L2098" i="3"/>
  <c r="M2098" i="3" s="1"/>
  <c r="N2098" i="3" s="1"/>
  <c r="L2099" i="3"/>
  <c r="L2100" i="3"/>
  <c r="M2100" i="3" s="1"/>
  <c r="L2101" i="3"/>
  <c r="M2101" i="3" s="1"/>
  <c r="L2102" i="3"/>
  <c r="M2102" i="3" s="1"/>
  <c r="N2102" i="3" s="1"/>
  <c r="L2103" i="3"/>
  <c r="L2104" i="3"/>
  <c r="L2105" i="3"/>
  <c r="L2106" i="3"/>
  <c r="M2106" i="3" s="1"/>
  <c r="L2107" i="3"/>
  <c r="L2108" i="3"/>
  <c r="M2108" i="3" s="1"/>
  <c r="N2108" i="3" s="1"/>
  <c r="L2109" i="3"/>
  <c r="M2109" i="3" s="1"/>
  <c r="L2110" i="3"/>
  <c r="L2111" i="3"/>
  <c r="L2112" i="3"/>
  <c r="M2112" i="3" s="1"/>
  <c r="L2113" i="3"/>
  <c r="L2114" i="3"/>
  <c r="M2114" i="3" s="1"/>
  <c r="L2115" i="3"/>
  <c r="L2116" i="3"/>
  <c r="L2117" i="3"/>
  <c r="M2117" i="3" s="1"/>
  <c r="L2118" i="3"/>
  <c r="L2119" i="3"/>
  <c r="L2120" i="3"/>
  <c r="L2121" i="3"/>
  <c r="L2122" i="3"/>
  <c r="M2122" i="3" s="1"/>
  <c r="L2123" i="3"/>
  <c r="L2124" i="3"/>
  <c r="M2124" i="3" s="1"/>
  <c r="N2124" i="3" s="1"/>
  <c r="L2125" i="3"/>
  <c r="M2125" i="3" s="1"/>
  <c r="L2126" i="3"/>
  <c r="M2126" i="3" s="1"/>
  <c r="L2127" i="3"/>
  <c r="M2127" i="3" s="1"/>
  <c r="L2128" i="3"/>
  <c r="M2128" i="3" s="1"/>
  <c r="L2129" i="3"/>
  <c r="L2130" i="3"/>
  <c r="L2131" i="3"/>
  <c r="L2132" i="3"/>
  <c r="M2132" i="3" s="1"/>
  <c r="N2132" i="3" s="1"/>
  <c r="L2133" i="3"/>
  <c r="M2133" i="3" s="1"/>
  <c r="L2134" i="3"/>
  <c r="L2135" i="3"/>
  <c r="L2136" i="3"/>
  <c r="L2137" i="3"/>
  <c r="L2138" i="3"/>
  <c r="M2138" i="3" s="1"/>
  <c r="L2139" i="3"/>
  <c r="L2140" i="3"/>
  <c r="M2140" i="3" s="1"/>
  <c r="L2141" i="3"/>
  <c r="L2142" i="3"/>
  <c r="L2143" i="3"/>
  <c r="M2143" i="3" s="1"/>
  <c r="L2144" i="3"/>
  <c r="M2144" i="3" s="1"/>
  <c r="L2145" i="3"/>
  <c r="L2146" i="3"/>
  <c r="M2146" i="3" s="1"/>
  <c r="N2146" i="3" s="1"/>
  <c r="L2147" i="3"/>
  <c r="L2148" i="3"/>
  <c r="M2148" i="3" s="1"/>
  <c r="L2149" i="3"/>
  <c r="M2149" i="3" s="1"/>
  <c r="N2149" i="3" s="1"/>
  <c r="L2150" i="3"/>
  <c r="L2151" i="3"/>
  <c r="L2152" i="3"/>
  <c r="L2153" i="3"/>
  <c r="L2154" i="3"/>
  <c r="M2154" i="3" s="1"/>
  <c r="L2155" i="3"/>
  <c r="M2155" i="3" s="1"/>
  <c r="L2156" i="3"/>
  <c r="M2156" i="3" s="1"/>
  <c r="N2156" i="3" s="1"/>
  <c r="L2157" i="3"/>
  <c r="L2158" i="3"/>
  <c r="M2158" i="3" s="1"/>
  <c r="L2159" i="3"/>
  <c r="L2160" i="3"/>
  <c r="L2161" i="3"/>
  <c r="L2162" i="3"/>
  <c r="M2162" i="3" s="1"/>
  <c r="N2162" i="3" s="1"/>
  <c r="L2163" i="3"/>
  <c r="L2164" i="3"/>
  <c r="M2164" i="3" s="1"/>
  <c r="L2165" i="3"/>
  <c r="M2165" i="3" s="1"/>
  <c r="L2166" i="3"/>
  <c r="M2166" i="3" s="1"/>
  <c r="N2166" i="3" s="1"/>
  <c r="L2167" i="3"/>
  <c r="L2168" i="3"/>
  <c r="L2169" i="3"/>
  <c r="M2169" i="3" s="1"/>
  <c r="L2170" i="3"/>
  <c r="L2171" i="3"/>
  <c r="M2171" i="3" s="1"/>
  <c r="L2172" i="3"/>
  <c r="L2173" i="3"/>
  <c r="M2173" i="3" s="1"/>
  <c r="L2174" i="3"/>
  <c r="L2175" i="3"/>
  <c r="M2175" i="3" s="1"/>
  <c r="L2176" i="3"/>
  <c r="L2177" i="3"/>
  <c r="M2177" i="3" s="1"/>
  <c r="L2178" i="3"/>
  <c r="L2179" i="3"/>
  <c r="M2179" i="3" s="1"/>
  <c r="L2180" i="3"/>
  <c r="L2181" i="3"/>
  <c r="M2181" i="3" s="1"/>
  <c r="L2182" i="3"/>
  <c r="L2183" i="3"/>
  <c r="M2183" i="3" s="1"/>
  <c r="L2184" i="3"/>
  <c r="L2185" i="3"/>
  <c r="M2185" i="3" s="1"/>
  <c r="L2186" i="3"/>
  <c r="L2187" i="3"/>
  <c r="M2187" i="3" s="1"/>
  <c r="L2188" i="3"/>
  <c r="L2189" i="3"/>
  <c r="M2189" i="3" s="1"/>
  <c r="L2190" i="3"/>
  <c r="L2191" i="3"/>
  <c r="M2191" i="3" s="1"/>
  <c r="L2192" i="3"/>
  <c r="L2193" i="3"/>
  <c r="M2193" i="3" s="1"/>
  <c r="L2194" i="3"/>
  <c r="L2195" i="3"/>
  <c r="M2195" i="3" s="1"/>
  <c r="L2196" i="3"/>
  <c r="L2197" i="3"/>
  <c r="M2197" i="3" s="1"/>
  <c r="L2198" i="3"/>
  <c r="L2199" i="3"/>
  <c r="M2199" i="3" s="1"/>
  <c r="L2200" i="3"/>
  <c r="L2201" i="3"/>
  <c r="M2201" i="3" s="1"/>
  <c r="L2202" i="3"/>
  <c r="L2203" i="3"/>
  <c r="M2203" i="3" s="1"/>
  <c r="L2204" i="3"/>
  <c r="L2205" i="3"/>
  <c r="M2205" i="3" s="1"/>
  <c r="L2206" i="3"/>
  <c r="L2207" i="3"/>
  <c r="M2207" i="3" s="1"/>
  <c r="L2208" i="3"/>
  <c r="L2209" i="3"/>
  <c r="M2209" i="3" s="1"/>
  <c r="L2210" i="3"/>
  <c r="L2211" i="3"/>
  <c r="M2211" i="3" s="1"/>
  <c r="L2212" i="3"/>
  <c r="L2213" i="3"/>
  <c r="M2213" i="3" s="1"/>
  <c r="L2214" i="3"/>
  <c r="L2215" i="3"/>
  <c r="M2215" i="3" s="1"/>
  <c r="L2216" i="3"/>
  <c r="L2217" i="3"/>
  <c r="M2217" i="3" s="1"/>
  <c r="L2218" i="3"/>
  <c r="L2219" i="3"/>
  <c r="M2219" i="3" s="1"/>
  <c r="L2220" i="3"/>
  <c r="L2221" i="3"/>
  <c r="M2221" i="3" s="1"/>
  <c r="L2222" i="3"/>
  <c r="L2223" i="3"/>
  <c r="M2223" i="3" s="1"/>
  <c r="L2224" i="3"/>
  <c r="L2225" i="3"/>
  <c r="M2225" i="3" s="1"/>
  <c r="L2226" i="3"/>
  <c r="L2227" i="3"/>
  <c r="M2227" i="3" s="1"/>
  <c r="L2228" i="3"/>
  <c r="L2229" i="3"/>
  <c r="M2229" i="3" s="1"/>
  <c r="L2230" i="3"/>
  <c r="L2231" i="3"/>
  <c r="M2231" i="3" s="1"/>
  <c r="L2232" i="3"/>
  <c r="L2233" i="3"/>
  <c r="M2233" i="3" s="1"/>
  <c r="L2234" i="3"/>
  <c r="L2235" i="3"/>
  <c r="M2235" i="3" s="1"/>
  <c r="L2236" i="3"/>
  <c r="L2237" i="3"/>
  <c r="M2237" i="3" s="1"/>
  <c r="L2238" i="3"/>
  <c r="L2239" i="3"/>
  <c r="M2239" i="3" s="1"/>
  <c r="L2240" i="3"/>
  <c r="L2241" i="3"/>
  <c r="M2241" i="3" s="1"/>
  <c r="L2242" i="3"/>
  <c r="L2243" i="3"/>
  <c r="M2243" i="3" s="1"/>
  <c r="L2244" i="3"/>
  <c r="L2245" i="3"/>
  <c r="M2245" i="3" s="1"/>
  <c r="L2246" i="3"/>
  <c r="L2247" i="3"/>
  <c r="M2247" i="3" s="1"/>
  <c r="L2248" i="3"/>
  <c r="L2249" i="3"/>
  <c r="M2249" i="3" s="1"/>
  <c r="L2250" i="3"/>
  <c r="L2251" i="3"/>
  <c r="M2251" i="3" s="1"/>
  <c r="L2252" i="3"/>
  <c r="L2253" i="3"/>
  <c r="M2253" i="3" s="1"/>
  <c r="L2254" i="3"/>
  <c r="L2255" i="3"/>
  <c r="M2255" i="3" s="1"/>
  <c r="L2256" i="3"/>
  <c r="L2257" i="3"/>
  <c r="M2257" i="3" s="1"/>
  <c r="L2258" i="3"/>
  <c r="L2259" i="3"/>
  <c r="M2259" i="3" s="1"/>
  <c r="L2260" i="3"/>
  <c r="L2261" i="3"/>
  <c r="M2261" i="3" s="1"/>
  <c r="L2262" i="3"/>
  <c r="L2263" i="3"/>
  <c r="M2263" i="3" s="1"/>
  <c r="L2264" i="3"/>
  <c r="L2265" i="3"/>
  <c r="M2265" i="3" s="1"/>
  <c r="L2266" i="3"/>
  <c r="L2267" i="3"/>
  <c r="M2267" i="3" s="1"/>
  <c r="L2268" i="3"/>
  <c r="L2269" i="3"/>
  <c r="M2269" i="3" s="1"/>
  <c r="L2270" i="3"/>
  <c r="L2271" i="3"/>
  <c r="M2271" i="3" s="1"/>
  <c r="L2272" i="3"/>
  <c r="L2273" i="3"/>
  <c r="M2273" i="3" s="1"/>
  <c r="L2274" i="3"/>
  <c r="L2275" i="3"/>
  <c r="M2275" i="3" s="1"/>
  <c r="L2276" i="3"/>
  <c r="L2277" i="3"/>
  <c r="M2277" i="3" s="1"/>
  <c r="L2278" i="3"/>
  <c r="L2279" i="3"/>
  <c r="M2279" i="3" s="1"/>
  <c r="L2280" i="3"/>
  <c r="L2281" i="3"/>
  <c r="M2281" i="3" s="1"/>
  <c r="L2282" i="3"/>
  <c r="L2283" i="3"/>
  <c r="M2283" i="3" s="1"/>
  <c r="L2284" i="3"/>
  <c r="L2285" i="3"/>
  <c r="M2285" i="3" s="1"/>
  <c r="L2286" i="3"/>
  <c r="L2287" i="3"/>
  <c r="M2287" i="3" s="1"/>
  <c r="L2288" i="3"/>
  <c r="L2289" i="3"/>
  <c r="M2289" i="3" s="1"/>
  <c r="L2290" i="3"/>
  <c r="L2291" i="3"/>
  <c r="M2291" i="3" s="1"/>
  <c r="L2292" i="3"/>
  <c r="L2293" i="3"/>
  <c r="M2293" i="3" s="1"/>
  <c r="L2294" i="3"/>
  <c r="L2295" i="3"/>
  <c r="M2295" i="3" s="1"/>
  <c r="L2296" i="3"/>
  <c r="L2297" i="3"/>
  <c r="M2297" i="3" s="1"/>
  <c r="L2298" i="3"/>
  <c r="L2299" i="3"/>
  <c r="M2299" i="3" s="1"/>
  <c r="L2300" i="3"/>
  <c r="L2301" i="3"/>
  <c r="M2301" i="3" s="1"/>
  <c r="L2302" i="3"/>
  <c r="L2303" i="3"/>
  <c r="M2303" i="3" s="1"/>
  <c r="L2304" i="3"/>
  <c r="L2305" i="3"/>
  <c r="M2305" i="3" s="1"/>
  <c r="L2306" i="3"/>
  <c r="L2307" i="3"/>
  <c r="M2307" i="3" s="1"/>
  <c r="L2308" i="3"/>
  <c r="L2309" i="3"/>
  <c r="L2310" i="3"/>
  <c r="L2311" i="3"/>
  <c r="M2311" i="3" s="1"/>
  <c r="L2312" i="3"/>
  <c r="L2313" i="3"/>
  <c r="M2313" i="3" s="1"/>
  <c r="L2314" i="3"/>
  <c r="L2315" i="3"/>
  <c r="M2315" i="3" s="1"/>
  <c r="L2316" i="3"/>
  <c r="L2317" i="3"/>
  <c r="M2317" i="3" s="1"/>
  <c r="L2318" i="3"/>
  <c r="L2319" i="3"/>
  <c r="M2319" i="3" s="1"/>
  <c r="L2320" i="3"/>
  <c r="L2321" i="3"/>
  <c r="M2321" i="3" s="1"/>
  <c r="L2322" i="3"/>
  <c r="L2323" i="3"/>
  <c r="M2323" i="3" s="1"/>
  <c r="L2324" i="3"/>
  <c r="L2325" i="3"/>
  <c r="M2325" i="3" s="1"/>
  <c r="L2326" i="3"/>
  <c r="M2326" i="3" s="1"/>
  <c r="L2327" i="3"/>
  <c r="M2327" i="3" s="1"/>
  <c r="L2328" i="3"/>
  <c r="M2328" i="3" s="1"/>
  <c r="L2329" i="3"/>
  <c r="L2330" i="3"/>
  <c r="M2330" i="3" s="1"/>
  <c r="L2331" i="3"/>
  <c r="M2331" i="3" s="1"/>
  <c r="L2332" i="3"/>
  <c r="M2332" i="3" s="1"/>
  <c r="L2333" i="3"/>
  <c r="L2334" i="3"/>
  <c r="M2334" i="3" s="1"/>
  <c r="L2335" i="3"/>
  <c r="M2335" i="3" s="1"/>
  <c r="N2335" i="3" s="1"/>
  <c r="L2336" i="3"/>
  <c r="L2337" i="3"/>
  <c r="M2337" i="3" s="1"/>
  <c r="N2337" i="3" s="1"/>
  <c r="L2338" i="3"/>
  <c r="M2338" i="3" s="1"/>
  <c r="L2339" i="3"/>
  <c r="M2339" i="3" s="1"/>
  <c r="L2340" i="3"/>
  <c r="M2340" i="3" s="1"/>
  <c r="L2341" i="3"/>
  <c r="M2341" i="3" s="1"/>
  <c r="L2342" i="3"/>
  <c r="M2342" i="3" s="1"/>
  <c r="L2343" i="3"/>
  <c r="M2343" i="3" s="1"/>
  <c r="L2344" i="3"/>
  <c r="M2344" i="3" s="1"/>
  <c r="L2345" i="3"/>
  <c r="L2346" i="3"/>
  <c r="M2346" i="3" s="1"/>
  <c r="L2347" i="3"/>
  <c r="M2347" i="3" s="1"/>
  <c r="N2347" i="3" s="1"/>
  <c r="L2348" i="3"/>
  <c r="M2348" i="3" s="1"/>
  <c r="L2349" i="3"/>
  <c r="L2350" i="3"/>
  <c r="M2350" i="3" s="1"/>
  <c r="L2351" i="3"/>
  <c r="M2351" i="3" s="1"/>
  <c r="N2351" i="3" s="1"/>
  <c r="L2352" i="3"/>
  <c r="L2353" i="3"/>
  <c r="M2353" i="3" s="1"/>
  <c r="L2354" i="3"/>
  <c r="L2355" i="3"/>
  <c r="M2355" i="3" s="1"/>
  <c r="L2356" i="3"/>
  <c r="M2356" i="3" s="1"/>
  <c r="L2357" i="3"/>
  <c r="M2357" i="3" s="1"/>
  <c r="L2358" i="3"/>
  <c r="M2358" i="3" s="1"/>
  <c r="L2359" i="3"/>
  <c r="M2359" i="3" s="1"/>
  <c r="L2360" i="3"/>
  <c r="M2360" i="3" s="1"/>
  <c r="L2361" i="3"/>
  <c r="L2362" i="3"/>
  <c r="M2362" i="3" s="1"/>
  <c r="L2363" i="3"/>
  <c r="M2363" i="3" s="1"/>
  <c r="L2364" i="3"/>
  <c r="M2364" i="3" s="1"/>
  <c r="L2365" i="3"/>
  <c r="L2366" i="3"/>
  <c r="M2366" i="3" s="1"/>
  <c r="L2367" i="3"/>
  <c r="M2367" i="3" s="1"/>
  <c r="N2367" i="3" s="1"/>
  <c r="L2368" i="3"/>
  <c r="L2369" i="3"/>
  <c r="M2369" i="3" s="1"/>
  <c r="N2369" i="3" s="1"/>
  <c r="L2370" i="3"/>
  <c r="M2370" i="3" s="1"/>
  <c r="L2371" i="3"/>
  <c r="M2371" i="3" s="1"/>
  <c r="L2372" i="3"/>
  <c r="M2372" i="3" s="1"/>
  <c r="L2373" i="3"/>
  <c r="M2373" i="3" s="1"/>
  <c r="L2374" i="3"/>
  <c r="M2374" i="3" s="1"/>
  <c r="L2375" i="3"/>
  <c r="M2375" i="3" s="1"/>
  <c r="N2375" i="3" s="1"/>
  <c r="L2376" i="3"/>
  <c r="M2376" i="3" s="1"/>
  <c r="L2377" i="3"/>
  <c r="L2378" i="3"/>
  <c r="M2378" i="3" s="1"/>
  <c r="L2379" i="3"/>
  <c r="M2379" i="3" s="1"/>
  <c r="N2379" i="3" s="1"/>
  <c r="L2380" i="3"/>
  <c r="M2380" i="3" s="1"/>
  <c r="L2381" i="3"/>
  <c r="L2382" i="3"/>
  <c r="L2383" i="3"/>
  <c r="M2383" i="3" s="1"/>
  <c r="L2384" i="3"/>
  <c r="L2385" i="3"/>
  <c r="M2385" i="3" s="1"/>
  <c r="L2386" i="3"/>
  <c r="L2387" i="3"/>
  <c r="M2387" i="3" s="1"/>
  <c r="L2388" i="3"/>
  <c r="M2388" i="3" s="1"/>
  <c r="L2389" i="3"/>
  <c r="M2389" i="3" s="1"/>
  <c r="L2390" i="3"/>
  <c r="M2390" i="3" s="1"/>
  <c r="L2391" i="3"/>
  <c r="M2391" i="3" s="1"/>
  <c r="N2391" i="3" s="1"/>
  <c r="L2392" i="3"/>
  <c r="M2392" i="3" s="1"/>
  <c r="L2393" i="3"/>
  <c r="L2394" i="3"/>
  <c r="M2394" i="3" s="1"/>
  <c r="L2395" i="3"/>
  <c r="M2395" i="3" s="1"/>
  <c r="N2395" i="3" s="1"/>
  <c r="L2396" i="3"/>
  <c r="M2396" i="3" s="1"/>
  <c r="L2397" i="3"/>
  <c r="L2398" i="3"/>
  <c r="L2399" i="3"/>
  <c r="M2399" i="3" s="1"/>
  <c r="N2399" i="3" s="1"/>
  <c r="L2400" i="3"/>
  <c r="L2401" i="3"/>
  <c r="M2401" i="3" s="1"/>
  <c r="L2402" i="3"/>
  <c r="M2402" i="3" s="1"/>
  <c r="L2403" i="3"/>
  <c r="M2403" i="3" s="1"/>
  <c r="L2404" i="3"/>
  <c r="M2404" i="3" s="1"/>
  <c r="L2405" i="3"/>
  <c r="M2405" i="3" s="1"/>
  <c r="L2406" i="3"/>
  <c r="M2406" i="3" s="1"/>
  <c r="L2407" i="3"/>
  <c r="M2407" i="3" s="1"/>
  <c r="N2407" i="3" s="1"/>
  <c r="L2408" i="3"/>
  <c r="M2408" i="3" s="1"/>
  <c r="L2409" i="3"/>
  <c r="M2409" i="3" s="1"/>
  <c r="L2410" i="3"/>
  <c r="M2410" i="3" s="1"/>
  <c r="L2411" i="3"/>
  <c r="M2411" i="3" s="1"/>
  <c r="N2411" i="3" s="1"/>
  <c r="L2412" i="3"/>
  <c r="M2412" i="3" s="1"/>
  <c r="L2413" i="3"/>
  <c r="L2414" i="3"/>
  <c r="M2414" i="3" s="1"/>
  <c r="L2415" i="3"/>
  <c r="M2415" i="3" s="1"/>
  <c r="L2416" i="3"/>
  <c r="M2416" i="3" s="1"/>
  <c r="L2417" i="3"/>
  <c r="M2417" i="3" s="1"/>
  <c r="L2418" i="3"/>
  <c r="M2418" i="3" s="1"/>
  <c r="L2419" i="3"/>
  <c r="L2420" i="3"/>
  <c r="M2420" i="3" s="1"/>
  <c r="L2421" i="3"/>
  <c r="M2421" i="3" s="1"/>
  <c r="L2422" i="3"/>
  <c r="L2423" i="3"/>
  <c r="L2424" i="3"/>
  <c r="M2424" i="3" s="1"/>
  <c r="L2425" i="3"/>
  <c r="L2426" i="3"/>
  <c r="M2426" i="3" s="1"/>
  <c r="L2427" i="3"/>
  <c r="L2428" i="3"/>
  <c r="L2429" i="3"/>
  <c r="M2429" i="3" s="1"/>
  <c r="L2430" i="3"/>
  <c r="M2430" i="3" s="1"/>
  <c r="L2431" i="3"/>
  <c r="M2431" i="3" s="1"/>
  <c r="L2432" i="3"/>
  <c r="M2432" i="3" s="1"/>
  <c r="L2433" i="3"/>
  <c r="M2433" i="3" s="1"/>
  <c r="L2434" i="3"/>
  <c r="M2434" i="3" s="1"/>
  <c r="L2435" i="3"/>
  <c r="M2435" i="3" s="1"/>
  <c r="N2435" i="3" s="1"/>
  <c r="L2436" i="3"/>
  <c r="L2437" i="3"/>
  <c r="M2437" i="3" s="1"/>
  <c r="L2438" i="3"/>
  <c r="M2438" i="3" s="1"/>
  <c r="L2439" i="3"/>
  <c r="M2439" i="3" s="1"/>
  <c r="L2440" i="3"/>
  <c r="L2441" i="3"/>
  <c r="L2442" i="3"/>
  <c r="M2442" i="3" s="1"/>
  <c r="L2443" i="3"/>
  <c r="M2443" i="3" s="1"/>
  <c r="L2444" i="3"/>
  <c r="M2444" i="3" s="1"/>
  <c r="L2445" i="3"/>
  <c r="M2445" i="3" s="1"/>
  <c r="N2445" i="3" s="1"/>
  <c r="L2446" i="3"/>
  <c r="M2446" i="3" s="1"/>
  <c r="L2447" i="3"/>
  <c r="M2447" i="3" s="1"/>
  <c r="N2447" i="3" s="1"/>
  <c r="L2448" i="3"/>
  <c r="M2448" i="3" s="1"/>
  <c r="L2449" i="3"/>
  <c r="M2449" i="3" s="1"/>
  <c r="L2450" i="3"/>
  <c r="M2450" i="3" s="1"/>
  <c r="L2451" i="3"/>
  <c r="M2451" i="3" s="1"/>
  <c r="L2452" i="3"/>
  <c r="M2452" i="3" s="1"/>
  <c r="L2453" i="3"/>
  <c r="M2453" i="3" s="1"/>
  <c r="N2453" i="3" s="1"/>
  <c r="L2454" i="3"/>
  <c r="M2454" i="3" s="1"/>
  <c r="L2455" i="3"/>
  <c r="M2455" i="3" s="1"/>
  <c r="L2456" i="3"/>
  <c r="M2456" i="3" s="1"/>
  <c r="L2457" i="3"/>
  <c r="M2457" i="3" s="1"/>
  <c r="L2458" i="3"/>
  <c r="M2458" i="3" s="1"/>
  <c r="L2459" i="3"/>
  <c r="M2459" i="3" s="1"/>
  <c r="N2459" i="3" s="1"/>
  <c r="L2460" i="3"/>
  <c r="L2461" i="3"/>
  <c r="M2461" i="3" s="1"/>
  <c r="L2462" i="3"/>
  <c r="M2462" i="3" s="1"/>
  <c r="L2463" i="3"/>
  <c r="L2464" i="3"/>
  <c r="L2465" i="3"/>
  <c r="L2466" i="3"/>
  <c r="L2467" i="3"/>
  <c r="L2468" i="3"/>
  <c r="M2468" i="3" s="1"/>
  <c r="L2469" i="3"/>
  <c r="L2470" i="3"/>
  <c r="L2471" i="3"/>
  <c r="M2471" i="3" s="1"/>
  <c r="L2472" i="3"/>
  <c r="M2472" i="3" s="1"/>
  <c r="L2473" i="3"/>
  <c r="L2474" i="3"/>
  <c r="M2474" i="3" s="1"/>
  <c r="L2475" i="3"/>
  <c r="M2475" i="3" s="1"/>
  <c r="N2475" i="3" s="1"/>
  <c r="L2476" i="3"/>
  <c r="M2476" i="3" s="1"/>
  <c r="L2477" i="3"/>
  <c r="M2477" i="3" s="1"/>
  <c r="N2477" i="3" s="1"/>
  <c r="L2478" i="3"/>
  <c r="M2478" i="3" s="1"/>
  <c r="L2479" i="3"/>
  <c r="M2479" i="3" s="1"/>
  <c r="L2480" i="3"/>
  <c r="M2480" i="3" s="1"/>
  <c r="L2481" i="3"/>
  <c r="M2481" i="3" s="1"/>
  <c r="L2482" i="3"/>
  <c r="M2482" i="3" s="1"/>
  <c r="L2483" i="3"/>
  <c r="M2483" i="3" s="1"/>
  <c r="L2484" i="3"/>
  <c r="L2485" i="3"/>
  <c r="L2486" i="3"/>
  <c r="M2486" i="3" s="1"/>
  <c r="L2487" i="3"/>
  <c r="M2487" i="3" s="1"/>
  <c r="L2488" i="3"/>
  <c r="L2489" i="3"/>
  <c r="L2490" i="3"/>
  <c r="M2490" i="3" s="1"/>
  <c r="L2491" i="3"/>
  <c r="M2491" i="3" s="1"/>
  <c r="L2492" i="3"/>
  <c r="L2493" i="3"/>
  <c r="L2494" i="3"/>
  <c r="M2494" i="3" s="1"/>
  <c r="L2495" i="3"/>
  <c r="L2496" i="3"/>
  <c r="L2497" i="3"/>
  <c r="L2498" i="3"/>
  <c r="M2498" i="3" s="1"/>
  <c r="L2499" i="3"/>
  <c r="M2499" i="3" s="1"/>
  <c r="L2500" i="3"/>
  <c r="L2501" i="3"/>
  <c r="L2502" i="3"/>
  <c r="M2502" i="3" s="1"/>
  <c r="L2503" i="3"/>
  <c r="M2503" i="3" s="1"/>
  <c r="L2504" i="3"/>
  <c r="L2505" i="3"/>
  <c r="L2506" i="3"/>
  <c r="M2506" i="3" s="1"/>
  <c r="L2507" i="3"/>
  <c r="M2507" i="3" s="1"/>
  <c r="L2508" i="3"/>
  <c r="L2509" i="3"/>
  <c r="L2510" i="3"/>
  <c r="M2510" i="3" s="1"/>
  <c r="L2511" i="3"/>
  <c r="M2511" i="3" s="1"/>
  <c r="L2512" i="3"/>
  <c r="L2513" i="3"/>
  <c r="L2514" i="3"/>
  <c r="M2514" i="3" s="1"/>
  <c r="L2515" i="3"/>
  <c r="M2515" i="3" s="1"/>
  <c r="L2516" i="3"/>
  <c r="L2517" i="3"/>
  <c r="L2518" i="3"/>
  <c r="M2518" i="3" s="1"/>
  <c r="L2519" i="3"/>
  <c r="M2519" i="3" s="1"/>
  <c r="L2520" i="3"/>
  <c r="L2521" i="3"/>
  <c r="L2522" i="3"/>
  <c r="M2522" i="3" s="1"/>
  <c r="L2523" i="3"/>
  <c r="M2523" i="3" s="1"/>
  <c r="L2524" i="3"/>
  <c r="L2525" i="3"/>
  <c r="L2526" i="3"/>
  <c r="M2526" i="3" s="1"/>
  <c r="L2527" i="3"/>
  <c r="L2528" i="3"/>
  <c r="L2529" i="3"/>
  <c r="L2530" i="3"/>
  <c r="M2530" i="3" s="1"/>
  <c r="L2531" i="3"/>
  <c r="L2532" i="3"/>
  <c r="M2532" i="3" s="1"/>
  <c r="L2533" i="3"/>
  <c r="M2533" i="3" s="1"/>
  <c r="N2533" i="3" s="1"/>
  <c r="O2533" i="3" s="1"/>
  <c r="L2534" i="3"/>
  <c r="M2534" i="3" s="1"/>
  <c r="L2535" i="3"/>
  <c r="M2535" i="3" s="1"/>
  <c r="L2536" i="3"/>
  <c r="L2537" i="3"/>
  <c r="M2537" i="3" s="1"/>
  <c r="L2538" i="3"/>
  <c r="M2538" i="3" s="1"/>
  <c r="L2539" i="3"/>
  <c r="M2539" i="3" s="1"/>
  <c r="L2540" i="3"/>
  <c r="M2540" i="3" s="1"/>
  <c r="L2541" i="3"/>
  <c r="L2542" i="3"/>
  <c r="M2542" i="3" s="1"/>
  <c r="L2543" i="3"/>
  <c r="M2543" i="3" s="1"/>
  <c r="N2543" i="3" s="1"/>
  <c r="L2544" i="3"/>
  <c r="L2545" i="3"/>
  <c r="M2545" i="3" s="1"/>
  <c r="L2546" i="3"/>
  <c r="M2546" i="3" s="1"/>
  <c r="L2547" i="3"/>
  <c r="M2547" i="3" s="1"/>
  <c r="L2548" i="3"/>
  <c r="M2548" i="3" s="1"/>
  <c r="L2549" i="3"/>
  <c r="M2549" i="3" s="1"/>
  <c r="N2549" i="3" s="1"/>
  <c r="O2549" i="3" s="1"/>
  <c r="L2550" i="3"/>
  <c r="M2550" i="3" s="1"/>
  <c r="L2551" i="3"/>
  <c r="M2551" i="3" s="1"/>
  <c r="N2551" i="3" s="1"/>
  <c r="O2551" i="3" s="1"/>
  <c r="L2552" i="3"/>
  <c r="L2553" i="3"/>
  <c r="M2553" i="3" s="1"/>
  <c r="L2554" i="3"/>
  <c r="M2554" i="3" s="1"/>
  <c r="L2555" i="3"/>
  <c r="M2555" i="3" s="1"/>
  <c r="N2555" i="3" s="1"/>
  <c r="L2556" i="3"/>
  <c r="M2556" i="3" s="1"/>
  <c r="L2557" i="3"/>
  <c r="M2557" i="3" s="1"/>
  <c r="N2557" i="3" s="1"/>
  <c r="L2558" i="3"/>
  <c r="M2558" i="3" s="1"/>
  <c r="L2559" i="3"/>
  <c r="M2559" i="3" s="1"/>
  <c r="N2559" i="3" s="1"/>
  <c r="L2560" i="3"/>
  <c r="L2561" i="3"/>
  <c r="M2561" i="3" s="1"/>
  <c r="L2562" i="3"/>
  <c r="M2562" i="3" s="1"/>
  <c r="L2563" i="3"/>
  <c r="M2563" i="3" s="1"/>
  <c r="N2563" i="3" s="1"/>
  <c r="O2563" i="3" s="1"/>
  <c r="L2564" i="3"/>
  <c r="M2564" i="3" s="1"/>
  <c r="L2565" i="3"/>
  <c r="M2565" i="3" s="1"/>
  <c r="N2565" i="3" s="1"/>
  <c r="L2566" i="3"/>
  <c r="M2566" i="3" s="1"/>
  <c r="L2567" i="3"/>
  <c r="M2567" i="3" s="1"/>
  <c r="N2567" i="3" s="1"/>
  <c r="O2567" i="3" s="1"/>
  <c r="L2568" i="3"/>
  <c r="L2569" i="3"/>
  <c r="M2569" i="3" s="1"/>
  <c r="L2570" i="3"/>
  <c r="M2570" i="3" s="1"/>
  <c r="L2571" i="3"/>
  <c r="M2571" i="3" s="1"/>
  <c r="L2572" i="3"/>
  <c r="M2572" i="3" s="1"/>
  <c r="L2573" i="3"/>
  <c r="M2573" i="3" s="1"/>
  <c r="N2573" i="3" s="1"/>
  <c r="L2574" i="3"/>
  <c r="M2574" i="3" s="1"/>
  <c r="L2575" i="3"/>
  <c r="M2575" i="3" s="1"/>
  <c r="N2575" i="3" s="1"/>
  <c r="L2576" i="3"/>
  <c r="L2577" i="3"/>
  <c r="M2577" i="3" s="1"/>
  <c r="L2578" i="3"/>
  <c r="M2578" i="3" s="1"/>
  <c r="L2579" i="3"/>
  <c r="M2579" i="3" s="1"/>
  <c r="L2580" i="3"/>
  <c r="M2580" i="3" s="1"/>
  <c r="L2581" i="3"/>
  <c r="M2581" i="3" s="1"/>
  <c r="N2581" i="3" s="1"/>
  <c r="L2582" i="3"/>
  <c r="M2582" i="3" s="1"/>
  <c r="L2583" i="3"/>
  <c r="M2583" i="3" s="1"/>
  <c r="N2583" i="3" s="1"/>
  <c r="O2583" i="3" s="1"/>
  <c r="L2584" i="3"/>
  <c r="L2585" i="3"/>
  <c r="M2585" i="3" s="1"/>
  <c r="L2586" i="3"/>
  <c r="M2586" i="3" s="1"/>
  <c r="L2587" i="3"/>
  <c r="M2587" i="3" s="1"/>
  <c r="N2587" i="3" s="1"/>
  <c r="L2588" i="3"/>
  <c r="M2588" i="3" s="1"/>
  <c r="L2589" i="3"/>
  <c r="M2589" i="3" s="1"/>
  <c r="N2589" i="3" s="1"/>
  <c r="O2589" i="3" s="1"/>
  <c r="L2590" i="3"/>
  <c r="M2590" i="3" s="1"/>
  <c r="L2591" i="3"/>
  <c r="M2591" i="3" s="1"/>
  <c r="N2591" i="3" s="1"/>
  <c r="L2592" i="3"/>
  <c r="L2593" i="3"/>
  <c r="M2593" i="3" s="1"/>
  <c r="L2594" i="3"/>
  <c r="M2594" i="3" s="1"/>
  <c r="L2595" i="3"/>
  <c r="M2595" i="3" s="1"/>
  <c r="L2596" i="3"/>
  <c r="M2596" i="3" s="1"/>
  <c r="L2597" i="3"/>
  <c r="M2597" i="3" s="1"/>
  <c r="N2597" i="3" s="1"/>
  <c r="O2597" i="3" s="1"/>
  <c r="L2598" i="3"/>
  <c r="M2598" i="3" s="1"/>
  <c r="L2599" i="3"/>
  <c r="M2599" i="3" s="1"/>
  <c r="L2600" i="3"/>
  <c r="L2601" i="3"/>
  <c r="M2601" i="3" s="1"/>
  <c r="L2602" i="3"/>
  <c r="M2602" i="3" s="1"/>
  <c r="L2603" i="3"/>
  <c r="M2603" i="3" s="1"/>
  <c r="N2603" i="3" s="1"/>
  <c r="L2604" i="3"/>
  <c r="M2604" i="3" s="1"/>
  <c r="L2605" i="3"/>
  <c r="L2606" i="3"/>
  <c r="M2606" i="3" s="1"/>
  <c r="L2607" i="3"/>
  <c r="M2607" i="3" s="1"/>
  <c r="N2607" i="3" s="1"/>
  <c r="L2608" i="3"/>
  <c r="L2609" i="3"/>
  <c r="M2609" i="3" s="1"/>
  <c r="L2610" i="3"/>
  <c r="M2610" i="3" s="1"/>
  <c r="L2611" i="3"/>
  <c r="M2611" i="3" s="1"/>
  <c r="L2612" i="3"/>
  <c r="M2612" i="3" s="1"/>
  <c r="L2613" i="3"/>
  <c r="L2614" i="3"/>
  <c r="M2614" i="3" s="1"/>
  <c r="L2615" i="3"/>
  <c r="M2615" i="3" s="1"/>
  <c r="L2616" i="3"/>
  <c r="L2617" i="3"/>
  <c r="L2618" i="3"/>
  <c r="M2618" i="3" s="1"/>
  <c r="L2619" i="3"/>
  <c r="M2619" i="3" s="1"/>
  <c r="N2619" i="3" s="1"/>
  <c r="L2620" i="3"/>
  <c r="L2621" i="3"/>
  <c r="M2621" i="3" s="1"/>
  <c r="N2621" i="3" s="1"/>
  <c r="L2622" i="3"/>
  <c r="M2622" i="3" s="1"/>
  <c r="L2623" i="3"/>
  <c r="M2623" i="3" s="1"/>
  <c r="N2623" i="3" s="1"/>
  <c r="L2624" i="3"/>
  <c r="L2625" i="3"/>
  <c r="M2625" i="3" s="1"/>
  <c r="L2626" i="3"/>
  <c r="M2626" i="3" s="1"/>
  <c r="L2627" i="3"/>
  <c r="L2628" i="3"/>
  <c r="M2628" i="3" s="1"/>
  <c r="L2629" i="3"/>
  <c r="M2629" i="3" s="1"/>
  <c r="N2629" i="3" s="1"/>
  <c r="L2630" i="3"/>
  <c r="M2630" i="3" s="1"/>
  <c r="L2631" i="3"/>
  <c r="M2631" i="3" s="1"/>
  <c r="L2632" i="3"/>
  <c r="L2633" i="3"/>
  <c r="M2633" i="3" s="1"/>
  <c r="N2633" i="3" s="1"/>
  <c r="L2634" i="3"/>
  <c r="M2634" i="3" s="1"/>
  <c r="L2635" i="3"/>
  <c r="M2635" i="3" s="1"/>
  <c r="N2635" i="3" s="1"/>
  <c r="L2636" i="3"/>
  <c r="L2637" i="3"/>
  <c r="L2638" i="3"/>
  <c r="M2638" i="3" s="1"/>
  <c r="L2639" i="3"/>
  <c r="M2639" i="3" s="1"/>
  <c r="N2639" i="3" s="1"/>
  <c r="L2640" i="3"/>
  <c r="L2641" i="3"/>
  <c r="M2641" i="3" s="1"/>
  <c r="L2642" i="3"/>
  <c r="M2642" i="3" s="1"/>
  <c r="L2643" i="3"/>
  <c r="M2643" i="3" s="1"/>
  <c r="L2644" i="3"/>
  <c r="M2644" i="3" s="1"/>
  <c r="L2645" i="3"/>
  <c r="L2646" i="3"/>
  <c r="M2646" i="3" s="1"/>
  <c r="L2647" i="3"/>
  <c r="M2647" i="3" s="1"/>
  <c r="L2648" i="3"/>
  <c r="L2649" i="3"/>
  <c r="L2650" i="3"/>
  <c r="M2650" i="3" s="1"/>
  <c r="L2651" i="3"/>
  <c r="M2651" i="3" s="1"/>
  <c r="L2652" i="3"/>
  <c r="L2653" i="3"/>
  <c r="M2653" i="3" s="1"/>
  <c r="N2653" i="3" s="1"/>
  <c r="L2654" i="3"/>
  <c r="M2654" i="3" s="1"/>
  <c r="L2655" i="3"/>
  <c r="M2655" i="3" s="1"/>
  <c r="N2655" i="3" s="1"/>
  <c r="L2656" i="3"/>
  <c r="L2657" i="3"/>
  <c r="M2657" i="3" s="1"/>
  <c r="L2658" i="3"/>
  <c r="M2658" i="3" s="1"/>
  <c r="L2659" i="3"/>
  <c r="M2659" i="3" s="1"/>
  <c r="L2660" i="3"/>
  <c r="M2660" i="3" s="1"/>
  <c r="L2661" i="3"/>
  <c r="M2661" i="3" s="1"/>
  <c r="N2661" i="3" s="1"/>
  <c r="L2662" i="3"/>
  <c r="L2663" i="3"/>
  <c r="L2664" i="3"/>
  <c r="M2664" i="3" s="1"/>
  <c r="L2665" i="3"/>
  <c r="M2665" i="3" s="1"/>
  <c r="N2665" i="3" s="1"/>
  <c r="L2666" i="3"/>
  <c r="M2666" i="3" s="1"/>
  <c r="L2667" i="3"/>
  <c r="M2667" i="3" s="1"/>
  <c r="L2668" i="3"/>
  <c r="L2669" i="3"/>
  <c r="M2669" i="3" s="1"/>
  <c r="N2669" i="3" s="1"/>
  <c r="L2670" i="3"/>
  <c r="M2670" i="3" s="1"/>
  <c r="L2671" i="3"/>
  <c r="M2671" i="3" s="1"/>
  <c r="L2672" i="3"/>
  <c r="L2673" i="3"/>
  <c r="M2673" i="3" s="1"/>
  <c r="L2674" i="3"/>
  <c r="M2674" i="3" s="1"/>
  <c r="L2675" i="3"/>
  <c r="M2675" i="3" s="1"/>
  <c r="L2676" i="3"/>
  <c r="M2676" i="3" s="1"/>
  <c r="L2677" i="3"/>
  <c r="M2677" i="3" s="1"/>
  <c r="N2677" i="3" s="1"/>
  <c r="L2678" i="3"/>
  <c r="L2679" i="3"/>
  <c r="M2679" i="3" s="1"/>
  <c r="N2679" i="3" s="1"/>
  <c r="O2679" i="3" s="1"/>
  <c r="L2680" i="3"/>
  <c r="M2680" i="3" s="1"/>
  <c r="L2681" i="3"/>
  <c r="M2681" i="3" s="1"/>
  <c r="N2681" i="3" s="1"/>
  <c r="L2682" i="3"/>
  <c r="M2682" i="3" s="1"/>
  <c r="L2683" i="3"/>
  <c r="M2683" i="3" s="1"/>
  <c r="N2683" i="3" s="1"/>
  <c r="L2684" i="3"/>
  <c r="L2685" i="3"/>
  <c r="M2685" i="3" s="1"/>
  <c r="N2685" i="3" s="1"/>
  <c r="L2686" i="3"/>
  <c r="M2686" i="3" s="1"/>
  <c r="L2687" i="3"/>
  <c r="M2687" i="3" s="1"/>
  <c r="N2687" i="3" s="1"/>
  <c r="L2688" i="3"/>
  <c r="L2689" i="3"/>
  <c r="M2689" i="3" s="1"/>
  <c r="L2690" i="3"/>
  <c r="M2690" i="3" s="1"/>
  <c r="L2691" i="3"/>
  <c r="L2692" i="3"/>
  <c r="L2693" i="3"/>
  <c r="M2693" i="3" s="1"/>
  <c r="N2693" i="3" s="1"/>
  <c r="L2694" i="3"/>
  <c r="M2694" i="3" s="1"/>
  <c r="L2695" i="3"/>
  <c r="M2695" i="3" s="1"/>
  <c r="L2696" i="3"/>
  <c r="M2696" i="3" s="1"/>
  <c r="L2697" i="3"/>
  <c r="M2697" i="3" s="1"/>
  <c r="L2698" i="3"/>
  <c r="M2698" i="3" s="1"/>
  <c r="L2699" i="3"/>
  <c r="L2700" i="3"/>
  <c r="L2701" i="3"/>
  <c r="M2701" i="3" s="1"/>
  <c r="N2701" i="3" s="1"/>
  <c r="L2702" i="3"/>
  <c r="M2702" i="3" s="1"/>
  <c r="L2703" i="3"/>
  <c r="L2704" i="3"/>
  <c r="L2705" i="3"/>
  <c r="M2705" i="3" s="1"/>
  <c r="L2706" i="3"/>
  <c r="M2706" i="3" s="1"/>
  <c r="L2707" i="3"/>
  <c r="M2707" i="3" s="1"/>
  <c r="L2708" i="3"/>
  <c r="L2709" i="3"/>
  <c r="L2710" i="3"/>
  <c r="L2711" i="3"/>
  <c r="L2712" i="3"/>
  <c r="M2712" i="3" s="1"/>
  <c r="L2713" i="3"/>
  <c r="M2713" i="3" s="1"/>
  <c r="N2713" i="3" s="1"/>
  <c r="L2714" i="3"/>
  <c r="M2714" i="3" s="1"/>
  <c r="L2715" i="3"/>
  <c r="M2715" i="3" s="1"/>
  <c r="L2716" i="3"/>
  <c r="L2717" i="3"/>
  <c r="M2717" i="3" s="1"/>
  <c r="N2717" i="3" s="1"/>
  <c r="O2717" i="3" s="1"/>
  <c r="L2718" i="3"/>
  <c r="M2718" i="3" s="1"/>
  <c r="L2719" i="3"/>
  <c r="M2719" i="3" s="1"/>
  <c r="N2719" i="3" s="1"/>
  <c r="L2720" i="3"/>
  <c r="L2721" i="3"/>
  <c r="M2721" i="3" s="1"/>
  <c r="N2721" i="3" s="1"/>
  <c r="L2722" i="3"/>
  <c r="M2722" i="3" s="1"/>
  <c r="L2723" i="3"/>
  <c r="M2723" i="3" s="1"/>
  <c r="L2724" i="3"/>
  <c r="L2725" i="3"/>
  <c r="M2725" i="3" s="1"/>
  <c r="N2725" i="3" s="1"/>
  <c r="L2726" i="3"/>
  <c r="M2726" i="3" s="1"/>
  <c r="L2727" i="3"/>
  <c r="M2727" i="3" s="1"/>
  <c r="N2727" i="3" s="1"/>
  <c r="O2727" i="3" s="1"/>
  <c r="L2728" i="3"/>
  <c r="M2728" i="3" s="1"/>
  <c r="L2729" i="3"/>
  <c r="M2729" i="3" s="1"/>
  <c r="N2729" i="3" s="1"/>
  <c r="L2730" i="3"/>
  <c r="M2730" i="3" s="1"/>
  <c r="L2731" i="3"/>
  <c r="M2731" i="3" s="1"/>
  <c r="L2732" i="3"/>
  <c r="L2733" i="3"/>
  <c r="M2733" i="3" s="1"/>
  <c r="N2733" i="3" s="1"/>
  <c r="L2734" i="3"/>
  <c r="M2734" i="3" s="1"/>
  <c r="L2735" i="3"/>
  <c r="M2735" i="3" s="1"/>
  <c r="L2736" i="3"/>
  <c r="L2737" i="3"/>
  <c r="M2737" i="3" s="1"/>
  <c r="L2738" i="3"/>
  <c r="M2738" i="3" s="1"/>
  <c r="L2739" i="3"/>
  <c r="L2740" i="3"/>
  <c r="L2741" i="3"/>
  <c r="M2741" i="3" s="1"/>
  <c r="N2741" i="3" s="1"/>
  <c r="L2742" i="3"/>
  <c r="L2743" i="3"/>
  <c r="L2744" i="3"/>
  <c r="M2744" i="3" s="1"/>
  <c r="L2745" i="3"/>
  <c r="M2745" i="3" s="1"/>
  <c r="N2745" i="3" s="1"/>
  <c r="L2746" i="3"/>
  <c r="M2746" i="3" s="1"/>
  <c r="L2747" i="3"/>
  <c r="M2747" i="3" s="1"/>
  <c r="L2748" i="3"/>
  <c r="L2749" i="3"/>
  <c r="L2750" i="3"/>
  <c r="M2750" i="3" s="1"/>
  <c r="L2751" i="3"/>
  <c r="L2752" i="3"/>
  <c r="L2753" i="3"/>
  <c r="M2753" i="3" s="1"/>
  <c r="N2753" i="3" s="1"/>
  <c r="L2754" i="3"/>
  <c r="M2754" i="3" s="1"/>
  <c r="L2755" i="3"/>
  <c r="M2755" i="3" s="1"/>
  <c r="L2756" i="3"/>
  <c r="M2756" i="3" s="1"/>
  <c r="L2757" i="3"/>
  <c r="L2758" i="3"/>
  <c r="M2758" i="3" s="1"/>
  <c r="L2759" i="3"/>
  <c r="M2759" i="3" s="1"/>
  <c r="L2760" i="3"/>
  <c r="M2760" i="3" s="1"/>
  <c r="L2761" i="3"/>
  <c r="M2761" i="3" s="1"/>
  <c r="N2761" i="3" s="1"/>
  <c r="L2762" i="3"/>
  <c r="M2762" i="3" s="1"/>
  <c r="L2763" i="3"/>
  <c r="L2764" i="3"/>
  <c r="L2765" i="3"/>
  <c r="M2765" i="3" s="1"/>
  <c r="L2766" i="3"/>
  <c r="M2766" i="3" s="1"/>
  <c r="L2767" i="3"/>
  <c r="M2767" i="3" s="1"/>
  <c r="L2768" i="3"/>
  <c r="L2769" i="3"/>
  <c r="M2769" i="3" s="1"/>
  <c r="N2769" i="3" s="1"/>
  <c r="L2770" i="3"/>
  <c r="M2770" i="3" s="1"/>
  <c r="L2771" i="3"/>
  <c r="M2771" i="3" s="1"/>
  <c r="N2771" i="3" s="1"/>
  <c r="L2772" i="3"/>
  <c r="M2772" i="3" s="1"/>
  <c r="L2773" i="3"/>
  <c r="M2773" i="3" s="1"/>
  <c r="N2773" i="3" s="1"/>
  <c r="L2774" i="3"/>
  <c r="M2774" i="3" s="1"/>
  <c r="L2775" i="3"/>
  <c r="L2776" i="3"/>
  <c r="M2776" i="3" s="1"/>
  <c r="L2777" i="3"/>
  <c r="M2777" i="3" s="1"/>
  <c r="N2777" i="3" s="1"/>
  <c r="L2778" i="3"/>
  <c r="M2778" i="3" s="1"/>
  <c r="L2779" i="3"/>
  <c r="M2779" i="3" s="1"/>
  <c r="L2780" i="3"/>
  <c r="L2781" i="3"/>
  <c r="L2782" i="3"/>
  <c r="M2782" i="3" s="1"/>
  <c r="L2783" i="3"/>
  <c r="L2784" i="3"/>
  <c r="L2785" i="3"/>
  <c r="M2785" i="3" s="1"/>
  <c r="N2785" i="3" s="1"/>
  <c r="L2786" i="3"/>
  <c r="M2786" i="3" s="1"/>
  <c r="L2787" i="3"/>
  <c r="M2787" i="3" s="1"/>
  <c r="L2788" i="3"/>
  <c r="M2788" i="3" s="1"/>
  <c r="L2789" i="3"/>
  <c r="M2789" i="3" s="1"/>
  <c r="N2789" i="3" s="1"/>
  <c r="L2790" i="3"/>
  <c r="M2790" i="3" s="1"/>
  <c r="L2791" i="3"/>
  <c r="M2791" i="3" s="1"/>
  <c r="L2792" i="3"/>
  <c r="M2792" i="3" s="1"/>
  <c r="L2793" i="3"/>
  <c r="M2793" i="3" s="1"/>
  <c r="N2793" i="3" s="1"/>
  <c r="L2794" i="3"/>
  <c r="M2794" i="3" s="1"/>
  <c r="L2795" i="3"/>
  <c r="L2796" i="3"/>
  <c r="L2797" i="3"/>
  <c r="M2797" i="3" s="1"/>
  <c r="N2797" i="3" s="1"/>
  <c r="L2798" i="3"/>
  <c r="M2798" i="3" s="1"/>
  <c r="L2799" i="3"/>
  <c r="M2799" i="3" s="1"/>
  <c r="L2800" i="3"/>
  <c r="L2801" i="3"/>
  <c r="M2801" i="3" s="1"/>
  <c r="N2801" i="3" s="1"/>
  <c r="L2802" i="3"/>
  <c r="M2802" i="3" s="1"/>
  <c r="L2803" i="3"/>
  <c r="M2803" i="3" s="1"/>
  <c r="L2804" i="3"/>
  <c r="L2805" i="3"/>
  <c r="L2806" i="3"/>
  <c r="M2806" i="3" s="1"/>
  <c r="L2807" i="3"/>
  <c r="L2808" i="3"/>
  <c r="M2808" i="3" s="1"/>
  <c r="L2809" i="3"/>
  <c r="M2809" i="3" s="1"/>
  <c r="N2809" i="3" s="1"/>
  <c r="L2810" i="3"/>
  <c r="M2810" i="3" s="1"/>
  <c r="L2811" i="3"/>
  <c r="M2811" i="3" s="1"/>
  <c r="N2811" i="3" s="1"/>
  <c r="L2812" i="3"/>
  <c r="L2813" i="3"/>
  <c r="L2814" i="3"/>
  <c r="M2814" i="3" s="1"/>
  <c r="L2815" i="3"/>
  <c r="M2815" i="3" s="1"/>
  <c r="N2815" i="3" s="1"/>
  <c r="O2815" i="3" s="1"/>
  <c r="L2816" i="3"/>
  <c r="L2817" i="3"/>
  <c r="M2817" i="3" s="1"/>
  <c r="N2817" i="3" s="1"/>
  <c r="L2818" i="3"/>
  <c r="M2818" i="3" s="1"/>
  <c r="L2819" i="3"/>
  <c r="M2819" i="3" s="1"/>
  <c r="N2819" i="3" s="1"/>
  <c r="O2819" i="3" s="1"/>
  <c r="L2820" i="3"/>
  <c r="M2820" i="3" s="1"/>
  <c r="L2821" i="3"/>
  <c r="M2821" i="3" s="1"/>
  <c r="N2821" i="3" s="1"/>
  <c r="L2822" i="3"/>
  <c r="M2822" i="3" s="1"/>
  <c r="L2823" i="3"/>
  <c r="L2824" i="3"/>
  <c r="M2824" i="3" s="1"/>
  <c r="L2825" i="3"/>
  <c r="M2825" i="3" s="1"/>
  <c r="N2825" i="3" s="1"/>
  <c r="L2826" i="3"/>
  <c r="M2826" i="3" s="1"/>
  <c r="L2827" i="3"/>
  <c r="L2828" i="3"/>
  <c r="L2829" i="3"/>
  <c r="M2829" i="3" s="1"/>
  <c r="N2829" i="3" s="1"/>
  <c r="L2830" i="3"/>
  <c r="M2830" i="3" s="1"/>
  <c r="L2831" i="3"/>
  <c r="M2831" i="3" s="1"/>
  <c r="L2832" i="3"/>
  <c r="L2833" i="3"/>
  <c r="M2833" i="3" s="1"/>
  <c r="N2833" i="3" s="1"/>
  <c r="L2834" i="3"/>
  <c r="M2834" i="3" s="1"/>
  <c r="L2835" i="3"/>
  <c r="M2835" i="3" s="1"/>
  <c r="L2836" i="3"/>
  <c r="M2836" i="3" s="1"/>
  <c r="L2837" i="3"/>
  <c r="M2837" i="3" s="1"/>
  <c r="N2837" i="3" s="1"/>
  <c r="L2838" i="3"/>
  <c r="M2838" i="3" s="1"/>
  <c r="L2839" i="3"/>
  <c r="L2840" i="3"/>
  <c r="M2840" i="3" s="1"/>
  <c r="L2841" i="3"/>
  <c r="M2841" i="3" s="1"/>
  <c r="N2841" i="3" s="1"/>
  <c r="L2842" i="3"/>
  <c r="M2842" i="3" s="1"/>
  <c r="L2843" i="3"/>
  <c r="M2843" i="3" s="1"/>
  <c r="N2843" i="3" s="1"/>
  <c r="L2844" i="3"/>
  <c r="L2845" i="3"/>
  <c r="L2846" i="3"/>
  <c r="M2846" i="3" s="1"/>
  <c r="L2847" i="3"/>
  <c r="M2847" i="3" s="1"/>
  <c r="L2848" i="3"/>
  <c r="L2849" i="3"/>
  <c r="M2849" i="3" s="1"/>
  <c r="N2849" i="3" s="1"/>
  <c r="L2850" i="3"/>
  <c r="M2850" i="3" s="1"/>
  <c r="L2851" i="3"/>
  <c r="M2851" i="3" s="1"/>
  <c r="L2852" i="3"/>
  <c r="M2852" i="3" s="1"/>
  <c r="L2853" i="3"/>
  <c r="M2853" i="3" s="1"/>
  <c r="N2853" i="3" s="1"/>
  <c r="L2854" i="3"/>
  <c r="M2854" i="3" s="1"/>
  <c r="L2855" i="3"/>
  <c r="M2855" i="3" s="1"/>
  <c r="L2856" i="3"/>
  <c r="M2856" i="3" s="1"/>
  <c r="L2857" i="3"/>
  <c r="M2857" i="3" s="1"/>
  <c r="N2857" i="3" s="1"/>
  <c r="L2858" i="3"/>
  <c r="M2858" i="3" s="1"/>
  <c r="L2859" i="3"/>
  <c r="M2859" i="3" s="1"/>
  <c r="L2860" i="3"/>
  <c r="M2860" i="3" s="1"/>
  <c r="L2861" i="3"/>
  <c r="L2862" i="3"/>
  <c r="M2862" i="3" s="1"/>
  <c r="L2863" i="3"/>
  <c r="M2863" i="3" s="1"/>
  <c r="L2864" i="3"/>
  <c r="L2865" i="3"/>
  <c r="M2865" i="3" s="1"/>
  <c r="L2866" i="3"/>
  <c r="M2866" i="3" s="1"/>
  <c r="L2867" i="3"/>
  <c r="M2867" i="3" s="1"/>
  <c r="N2867" i="3" s="1"/>
  <c r="L2868" i="3"/>
  <c r="M2868" i="3" s="1"/>
  <c r="L2869" i="3"/>
  <c r="M2869" i="3" s="1"/>
  <c r="N2869" i="3" s="1"/>
  <c r="L2870" i="3"/>
  <c r="M2870" i="3" s="1"/>
  <c r="L2871" i="3"/>
  <c r="L2872" i="3"/>
  <c r="M2872" i="3" s="1"/>
  <c r="L2873" i="3"/>
  <c r="L2874" i="3"/>
  <c r="M2874" i="3" s="1"/>
  <c r="L2875" i="3"/>
  <c r="M2875" i="3" s="1"/>
  <c r="N2875" i="3" s="1"/>
  <c r="L2876" i="3"/>
  <c r="M2876" i="3" s="1"/>
  <c r="L2877" i="3"/>
  <c r="M2877" i="3" s="1"/>
  <c r="N2877" i="3" s="1"/>
  <c r="L2878" i="3"/>
  <c r="M2878" i="3" s="1"/>
  <c r="N2878" i="3" s="1"/>
  <c r="L2879" i="3"/>
  <c r="L2880" i="3"/>
  <c r="M2880" i="3" s="1"/>
  <c r="L2881" i="3"/>
  <c r="M2881" i="3" s="1"/>
  <c r="L2882" i="3"/>
  <c r="M2882" i="3" s="1"/>
  <c r="N2882" i="3" s="1"/>
  <c r="O2882" i="3" s="1"/>
  <c r="L2883" i="3"/>
  <c r="M2883" i="3" s="1"/>
  <c r="N2883" i="3" s="1"/>
  <c r="L2884" i="3"/>
  <c r="M2884" i="3" s="1"/>
  <c r="L2885" i="3"/>
  <c r="M2885" i="3" s="1"/>
  <c r="L2886" i="3"/>
  <c r="M2886" i="3" s="1"/>
  <c r="L2887" i="3"/>
  <c r="M2887" i="3" s="1"/>
  <c r="N2887" i="3" s="1"/>
  <c r="L2888" i="3"/>
  <c r="M2888" i="3" s="1"/>
  <c r="L2889" i="3"/>
  <c r="L2890" i="3"/>
  <c r="M2890" i="3" s="1"/>
  <c r="N2890" i="3" s="1"/>
  <c r="L2891" i="3"/>
  <c r="M2891" i="3" s="1"/>
  <c r="N2891" i="3" s="1"/>
  <c r="L2892" i="3"/>
  <c r="M2892" i="3" s="1"/>
  <c r="N2892" i="3" s="1"/>
  <c r="L2893" i="3"/>
  <c r="M2893" i="3" s="1"/>
  <c r="N2893" i="3" s="1"/>
  <c r="L2894" i="3"/>
  <c r="M2894" i="3" s="1"/>
  <c r="N2894" i="3" s="1"/>
  <c r="L2895" i="3"/>
  <c r="L2896" i="3"/>
  <c r="M2896" i="3" s="1"/>
  <c r="L2897" i="3"/>
  <c r="M2897" i="3" s="1"/>
  <c r="L2898" i="3"/>
  <c r="M2898" i="3" s="1"/>
  <c r="N2898" i="3" s="1"/>
  <c r="O2898" i="3" s="1"/>
  <c r="P2898" i="3" s="1"/>
  <c r="L2899" i="3"/>
  <c r="L2900" i="3"/>
  <c r="M2900" i="3" s="1"/>
  <c r="N2900" i="3" s="1"/>
  <c r="O2900" i="3" s="1"/>
  <c r="P2900" i="3" s="1"/>
  <c r="L2901" i="3"/>
  <c r="M2901" i="3" s="1"/>
  <c r="L2902" i="3"/>
  <c r="M2902" i="3" s="1"/>
  <c r="N2902" i="3" s="1"/>
  <c r="O2902" i="3" s="1"/>
  <c r="P2902" i="3" s="1"/>
  <c r="L2903" i="3"/>
  <c r="M2903" i="3" s="1"/>
  <c r="L2904" i="3"/>
  <c r="M2904" i="3" s="1"/>
  <c r="N2904" i="3" s="1"/>
  <c r="O2904" i="3" s="1"/>
  <c r="P2904" i="3" s="1"/>
  <c r="L2905" i="3"/>
  <c r="M2905" i="3" s="1"/>
  <c r="L2906" i="3"/>
  <c r="M2906" i="3" s="1"/>
  <c r="N2906" i="3" s="1"/>
  <c r="O2906" i="3" s="1"/>
  <c r="P2906" i="3" s="1"/>
  <c r="L2907" i="3"/>
  <c r="M2907" i="3" s="1"/>
  <c r="N2907" i="3" s="1"/>
  <c r="L2908" i="3"/>
  <c r="M2908" i="3" s="1"/>
  <c r="N2908" i="3" s="1"/>
  <c r="O2908" i="3" s="1"/>
  <c r="P2908" i="3" s="1"/>
  <c r="L2909" i="3"/>
  <c r="M2909" i="3" s="1"/>
  <c r="L2910" i="3"/>
  <c r="M2910" i="3" s="1"/>
  <c r="N2910" i="3" s="1"/>
  <c r="O2910" i="3" s="1"/>
  <c r="P2910" i="3" s="1"/>
  <c r="L2911" i="3"/>
  <c r="M2911" i="3" s="1"/>
  <c r="N2911" i="3" s="1"/>
  <c r="L2912" i="3"/>
  <c r="M2912" i="3" s="1"/>
  <c r="N2912" i="3" s="1"/>
  <c r="O2912" i="3" s="1"/>
  <c r="P2912" i="3" s="1"/>
  <c r="L2913" i="3"/>
  <c r="L2914" i="3"/>
  <c r="M2914" i="3" s="1"/>
  <c r="N2914" i="3" s="1"/>
  <c r="O2914" i="3" s="1"/>
  <c r="P2914" i="3" s="1"/>
  <c r="L2915" i="3"/>
  <c r="L2916" i="3"/>
  <c r="M2916" i="3" s="1"/>
  <c r="N2916" i="3" s="1"/>
  <c r="O2916" i="3" s="1"/>
  <c r="P2916" i="3" s="1"/>
  <c r="L2917" i="3"/>
  <c r="M2917" i="3" s="1"/>
  <c r="L2918" i="3"/>
  <c r="M2918" i="3" s="1"/>
  <c r="N2918" i="3" s="1"/>
  <c r="O2918" i="3" s="1"/>
  <c r="L2919" i="3"/>
  <c r="M2919" i="3" s="1"/>
  <c r="L2920" i="3"/>
  <c r="M2920" i="3" s="1"/>
  <c r="N2920" i="3" s="1"/>
  <c r="O2920" i="3" s="1"/>
  <c r="L2921" i="3"/>
  <c r="M2921" i="3" s="1"/>
  <c r="L2922" i="3"/>
  <c r="M2922" i="3" s="1"/>
  <c r="N2922" i="3" s="1"/>
  <c r="O2922" i="3" s="1"/>
  <c r="L2923" i="3"/>
  <c r="M2923" i="3" s="1"/>
  <c r="L2924" i="3"/>
  <c r="M2924" i="3" s="1"/>
  <c r="N2924" i="3" s="1"/>
  <c r="O2924" i="3" s="1"/>
  <c r="L2925" i="3"/>
  <c r="M2925" i="3" s="1"/>
  <c r="L2926" i="3"/>
  <c r="M2926" i="3" s="1"/>
  <c r="N2926" i="3" s="1"/>
  <c r="O2926" i="3" s="1"/>
  <c r="P2926" i="3" s="1"/>
  <c r="L2927" i="3"/>
  <c r="M2927" i="3" s="1"/>
  <c r="L2928" i="3"/>
  <c r="M2928" i="3" s="1"/>
  <c r="N2928" i="3" s="1"/>
  <c r="O2928" i="3" s="1"/>
  <c r="L2929" i="3"/>
  <c r="L2930" i="3"/>
  <c r="M2930" i="3" s="1"/>
  <c r="N2930" i="3" s="1"/>
  <c r="O2930" i="3" s="1"/>
  <c r="L2931" i="3"/>
  <c r="L2932" i="3"/>
  <c r="M2932" i="3" s="1"/>
  <c r="N2932" i="3" s="1"/>
  <c r="O2932" i="3" s="1"/>
  <c r="P2932" i="3" s="1"/>
  <c r="L2933" i="3"/>
  <c r="M2933" i="3" s="1"/>
  <c r="N2933" i="3" s="1"/>
  <c r="L2934" i="3"/>
  <c r="M2934" i="3" s="1"/>
  <c r="N2934" i="3" s="1"/>
  <c r="O2934" i="3" s="1"/>
  <c r="L2935" i="3"/>
  <c r="M2935" i="3" s="1"/>
  <c r="L2936" i="3"/>
  <c r="M2936" i="3" s="1"/>
  <c r="N2936" i="3" s="1"/>
  <c r="O2936" i="3" s="1"/>
  <c r="L2937" i="3"/>
  <c r="M2937" i="3" s="1"/>
  <c r="L2938" i="3"/>
  <c r="M2938" i="3" s="1"/>
  <c r="N2938" i="3" s="1"/>
  <c r="O2938" i="3" s="1"/>
  <c r="L2939" i="3"/>
  <c r="M2939" i="3" s="1"/>
  <c r="L2940" i="3"/>
  <c r="M2940" i="3" s="1"/>
  <c r="N2940" i="3" s="1"/>
  <c r="O2940" i="3" s="1"/>
  <c r="L2941" i="3"/>
  <c r="M2941" i="3" s="1"/>
  <c r="L2942" i="3"/>
  <c r="M2942" i="3" s="1"/>
  <c r="N2942" i="3" s="1"/>
  <c r="O2942" i="3" s="1"/>
  <c r="L2943" i="3"/>
  <c r="M2943" i="3" s="1"/>
  <c r="N2943" i="3" s="1"/>
  <c r="L2944" i="3"/>
  <c r="M2944" i="3" s="1"/>
  <c r="N2944" i="3" s="1"/>
  <c r="O2944" i="3" s="1"/>
  <c r="P2944" i="3" s="1"/>
  <c r="L328" i="3"/>
  <c r="M328" i="3" s="1"/>
  <c r="L327" i="3"/>
  <c r="L326" i="3"/>
  <c r="L325" i="3"/>
  <c r="L324" i="3"/>
  <c r="M324" i="3" s="1"/>
  <c r="L323" i="3"/>
  <c r="M323" i="3" s="1"/>
  <c r="N323" i="3" s="1"/>
  <c r="L322" i="3"/>
  <c r="L321" i="3"/>
  <c r="M321" i="3" s="1"/>
  <c r="L320" i="3"/>
  <c r="M320" i="3" s="1"/>
  <c r="L319" i="3"/>
  <c r="M319" i="3" s="1"/>
  <c r="L318" i="3"/>
  <c r="L317" i="3"/>
  <c r="L316" i="3"/>
  <c r="M316" i="3" s="1"/>
  <c r="L315" i="3"/>
  <c r="L314" i="3"/>
  <c r="L313" i="3"/>
  <c r="L312" i="3"/>
  <c r="M312" i="3" s="1"/>
  <c r="L311" i="3"/>
  <c r="L310" i="3"/>
  <c r="L309" i="3"/>
  <c r="M309" i="3" s="1"/>
  <c r="L308" i="3"/>
  <c r="L307" i="3"/>
  <c r="L306" i="3"/>
  <c r="L305" i="3"/>
  <c r="M305" i="3" s="1"/>
  <c r="L304" i="3"/>
  <c r="L303" i="3"/>
  <c r="L302" i="3"/>
  <c r="L301" i="3"/>
  <c r="L300" i="3"/>
  <c r="M300" i="3" s="1"/>
  <c r="L299" i="3"/>
  <c r="L298" i="3"/>
  <c r="L297" i="3"/>
  <c r="L296" i="3"/>
  <c r="M296" i="3" s="1"/>
  <c r="L295" i="3"/>
  <c r="L294" i="3"/>
  <c r="L293" i="3"/>
  <c r="M293" i="3" s="1"/>
  <c r="L292" i="3"/>
  <c r="L291" i="3"/>
  <c r="L290" i="3"/>
  <c r="L289" i="3"/>
  <c r="L288" i="3"/>
  <c r="L287" i="3"/>
  <c r="M287" i="3" s="1"/>
  <c r="L286" i="3"/>
  <c r="L285" i="3"/>
  <c r="L284" i="3"/>
  <c r="L283" i="3"/>
  <c r="L282" i="3"/>
  <c r="L281" i="3"/>
  <c r="L280" i="3"/>
  <c r="L279" i="3"/>
  <c r="L278" i="3"/>
  <c r="L277" i="3"/>
  <c r="L276" i="3"/>
  <c r="L275" i="3"/>
  <c r="M275" i="3" s="1"/>
  <c r="N275" i="3" s="1"/>
  <c r="L274" i="3"/>
  <c r="L273" i="3"/>
  <c r="M273" i="3" s="1"/>
  <c r="L272" i="3"/>
  <c r="L271" i="3"/>
  <c r="M271" i="3" s="1"/>
  <c r="L270" i="3"/>
  <c r="L269" i="3"/>
  <c r="L268" i="3"/>
  <c r="M268" i="3" s="1"/>
  <c r="L267" i="3"/>
  <c r="L266" i="3"/>
  <c r="L265" i="3"/>
  <c r="L264" i="3"/>
  <c r="M264" i="3" s="1"/>
  <c r="L263" i="3"/>
  <c r="L262" i="3"/>
  <c r="M262" i="3" s="1"/>
  <c r="L261" i="3"/>
  <c r="M261" i="3" s="1"/>
  <c r="L260" i="3"/>
  <c r="L259" i="3"/>
  <c r="M259" i="3" s="1"/>
  <c r="L258" i="3"/>
  <c r="L257" i="3"/>
  <c r="M257" i="3" s="1"/>
  <c r="L256" i="3"/>
  <c r="L255" i="3"/>
  <c r="L254" i="3"/>
  <c r="L253" i="3"/>
  <c r="L252" i="3"/>
  <c r="M252" i="3" s="1"/>
  <c r="L251" i="3"/>
  <c r="L250" i="3"/>
  <c r="L249" i="3"/>
  <c r="L248" i="3"/>
  <c r="M248" i="3" s="1"/>
  <c r="L247" i="3"/>
  <c r="L246" i="3"/>
  <c r="L245" i="3"/>
  <c r="M245" i="3" s="1"/>
  <c r="L244" i="3"/>
  <c r="M244" i="3" s="1"/>
  <c r="L243" i="3"/>
  <c r="M243" i="3" s="1"/>
  <c r="L242" i="3"/>
  <c r="L241" i="3"/>
  <c r="L240" i="3"/>
  <c r="L239" i="3"/>
  <c r="M239" i="3" s="1"/>
  <c r="N239" i="3" s="1"/>
  <c r="O239" i="3" s="1"/>
  <c r="L238" i="3"/>
  <c r="L237" i="3"/>
  <c r="L236" i="3"/>
  <c r="M236" i="3" s="1"/>
  <c r="L235" i="3"/>
  <c r="L234" i="3"/>
  <c r="L233" i="3"/>
  <c r="M233" i="3" s="1"/>
  <c r="L232" i="3"/>
  <c r="M232" i="3" s="1"/>
  <c r="L231" i="3"/>
  <c r="L230" i="3"/>
  <c r="L229" i="3"/>
  <c r="M229" i="3" s="1"/>
  <c r="L228" i="3"/>
  <c r="L227" i="3"/>
  <c r="M227" i="3" s="1"/>
  <c r="L226" i="3"/>
  <c r="L225" i="3"/>
  <c r="L224" i="3"/>
  <c r="M224" i="3" s="1"/>
  <c r="L223" i="3"/>
  <c r="M223" i="3" s="1"/>
  <c r="L222" i="3"/>
  <c r="L221" i="3"/>
  <c r="L220" i="3"/>
  <c r="M220" i="3" s="1"/>
  <c r="L219" i="3"/>
  <c r="M219" i="3" s="1"/>
  <c r="L218" i="3"/>
  <c r="M218" i="3" s="1"/>
  <c r="L217" i="3"/>
  <c r="M217" i="3" s="1"/>
  <c r="L216" i="3"/>
  <c r="L215" i="3"/>
  <c r="L214" i="3"/>
  <c r="M214" i="3" s="1"/>
  <c r="L213" i="3"/>
  <c r="M213" i="3" s="1"/>
  <c r="L212" i="3"/>
  <c r="L211" i="3"/>
  <c r="M211" i="3" s="1"/>
  <c r="N211" i="3" s="1"/>
  <c r="L210" i="3"/>
  <c r="L209" i="3"/>
  <c r="M209" i="3" s="1"/>
  <c r="L208" i="3"/>
  <c r="L207" i="3"/>
  <c r="M207" i="3" s="1"/>
  <c r="L206" i="3"/>
  <c r="L205" i="3"/>
  <c r="L204" i="3"/>
  <c r="M204" i="3" s="1"/>
  <c r="L203" i="3"/>
  <c r="M203" i="3" s="1"/>
  <c r="L202" i="3"/>
  <c r="L201" i="3"/>
  <c r="L200" i="3"/>
  <c r="L199" i="3"/>
  <c r="M199" i="3" s="1"/>
  <c r="L198" i="3"/>
  <c r="L197" i="3"/>
  <c r="L196" i="3"/>
  <c r="L195" i="3"/>
  <c r="M195" i="3" s="1"/>
  <c r="L194" i="3"/>
  <c r="M194" i="3" s="1"/>
  <c r="L193" i="3"/>
  <c r="M193" i="3" s="1"/>
  <c r="L192" i="3"/>
  <c r="L191" i="3"/>
  <c r="L190" i="3"/>
  <c r="L189" i="3"/>
  <c r="M189" i="3" s="1"/>
  <c r="L188" i="3"/>
  <c r="M188" i="3" s="1"/>
  <c r="L187" i="3"/>
  <c r="M187" i="3" s="1"/>
  <c r="L186" i="3"/>
  <c r="L185" i="3"/>
  <c r="L184" i="3"/>
  <c r="M184" i="3" s="1"/>
  <c r="L183" i="3"/>
  <c r="L182" i="3"/>
  <c r="L181" i="3"/>
  <c r="M181" i="3" s="1"/>
  <c r="L180" i="3"/>
  <c r="M180" i="3" s="1"/>
  <c r="L179" i="3"/>
  <c r="M179" i="3" s="1"/>
  <c r="L178" i="3"/>
  <c r="L177" i="3"/>
  <c r="L176" i="3"/>
  <c r="L175" i="3"/>
  <c r="L174" i="3"/>
  <c r="L173" i="3"/>
  <c r="L172" i="3"/>
  <c r="M172" i="3" s="1"/>
  <c r="L171" i="3"/>
  <c r="L170" i="3"/>
  <c r="L169" i="3"/>
  <c r="M169" i="3" s="1"/>
  <c r="N169" i="3" s="1"/>
  <c r="L168" i="3"/>
  <c r="L167" i="3"/>
  <c r="L166" i="3"/>
  <c r="L165" i="3"/>
  <c r="M165" i="3" s="1"/>
  <c r="L164" i="3"/>
  <c r="L163" i="3"/>
  <c r="M163" i="3" s="1"/>
  <c r="L162" i="3"/>
  <c r="L161" i="3"/>
  <c r="L160" i="3"/>
  <c r="M160" i="3" s="1"/>
  <c r="L159" i="3"/>
  <c r="M159" i="3" s="1"/>
  <c r="L158" i="3"/>
  <c r="L157" i="3"/>
  <c r="M157" i="3" s="1"/>
  <c r="L156" i="3"/>
  <c r="L155" i="3"/>
  <c r="L154" i="3"/>
  <c r="L153" i="3"/>
  <c r="L152" i="3"/>
  <c r="M152" i="3" s="1"/>
  <c r="L151" i="3"/>
  <c r="M151" i="3" s="1"/>
  <c r="L150" i="3"/>
  <c r="L149" i="3"/>
  <c r="L148" i="3"/>
  <c r="L147" i="3"/>
  <c r="L146" i="3"/>
  <c r="L145" i="3"/>
  <c r="M145" i="3" s="1"/>
  <c r="L144" i="3"/>
  <c r="M144" i="3" s="1"/>
  <c r="L143" i="3"/>
  <c r="M143" i="3" s="1"/>
  <c r="N143" i="3" s="1"/>
  <c r="O143" i="3" s="1"/>
  <c r="L142" i="3"/>
  <c r="L141" i="3"/>
  <c r="L140" i="3"/>
  <c r="L139" i="3"/>
  <c r="L138" i="3"/>
  <c r="L137" i="3"/>
  <c r="L136" i="3"/>
  <c r="M136" i="3" s="1"/>
  <c r="L135" i="3"/>
  <c r="M135" i="3" s="1"/>
  <c r="L134" i="3"/>
  <c r="L133" i="3"/>
  <c r="L132" i="3"/>
  <c r="M132" i="3" s="1"/>
  <c r="L131" i="3"/>
  <c r="L130" i="3"/>
  <c r="L129" i="3"/>
  <c r="L128" i="3"/>
  <c r="M128" i="3" s="1"/>
  <c r="L127" i="3"/>
  <c r="M127" i="3" s="1"/>
  <c r="L126" i="3"/>
  <c r="L125" i="3"/>
  <c r="L124" i="3"/>
  <c r="L123" i="3"/>
  <c r="L122" i="3"/>
  <c r="L121" i="3"/>
  <c r="L120" i="3"/>
  <c r="M120" i="3" s="1"/>
  <c r="L119" i="3"/>
  <c r="M119" i="3" s="1"/>
  <c r="L118" i="3"/>
  <c r="M118" i="3" s="1"/>
  <c r="L117" i="3"/>
  <c r="L116" i="3"/>
  <c r="M116" i="3" s="1"/>
  <c r="L115" i="3"/>
  <c r="L114" i="3"/>
  <c r="L113" i="3"/>
  <c r="M113" i="3" s="1"/>
  <c r="N113" i="3" s="1"/>
  <c r="O113" i="3" s="1"/>
  <c r="L112" i="3"/>
  <c r="L111" i="3"/>
  <c r="M111" i="3" s="1"/>
  <c r="L110" i="3"/>
  <c r="L109" i="3"/>
  <c r="M109" i="3" s="1"/>
  <c r="N109" i="3" s="1"/>
  <c r="O109" i="3" s="1"/>
  <c r="L108" i="3"/>
  <c r="L107" i="3"/>
  <c r="M107" i="3" s="1"/>
  <c r="L106" i="3"/>
  <c r="L105" i="3"/>
  <c r="M105" i="3" s="1"/>
  <c r="N105" i="3" s="1"/>
  <c r="O105" i="3" s="1"/>
  <c r="L104" i="3"/>
  <c r="L103" i="3"/>
  <c r="M103" i="3" s="1"/>
  <c r="L102" i="3"/>
  <c r="L101" i="3"/>
  <c r="M101" i="3" s="1"/>
  <c r="N101" i="3" s="1"/>
  <c r="O101" i="3" s="1"/>
  <c r="L100" i="3"/>
  <c r="L99" i="3"/>
  <c r="M99" i="3" s="1"/>
  <c r="L98" i="3"/>
  <c r="L97" i="3"/>
  <c r="M97" i="3" s="1"/>
  <c r="N97" i="3" s="1"/>
  <c r="O97" i="3" s="1"/>
  <c r="L96" i="3"/>
  <c r="L95" i="3"/>
  <c r="M95" i="3" s="1"/>
  <c r="L94" i="3"/>
  <c r="L93" i="3"/>
  <c r="M93" i="3" s="1"/>
  <c r="N93" i="3" s="1"/>
  <c r="O93" i="3" s="1"/>
  <c r="L92" i="3"/>
  <c r="L91" i="3"/>
  <c r="L90" i="3"/>
  <c r="L89" i="3"/>
  <c r="L88" i="3"/>
  <c r="M88" i="3" s="1"/>
  <c r="L87" i="3"/>
  <c r="M87" i="3" s="1"/>
  <c r="N87" i="3" s="1"/>
  <c r="O87" i="3" s="1"/>
  <c r="L86" i="3"/>
  <c r="M86" i="3" s="1"/>
  <c r="L85" i="3"/>
  <c r="M85" i="3" s="1"/>
  <c r="L84" i="3"/>
  <c r="L83" i="3"/>
  <c r="M83" i="3" s="1"/>
  <c r="N83" i="3" s="1"/>
  <c r="O83" i="3" s="1"/>
  <c r="L82" i="3"/>
  <c r="L81" i="3"/>
  <c r="M81" i="3" s="1"/>
  <c r="N81" i="3" s="1"/>
  <c r="O81" i="3" s="1"/>
  <c r="L80" i="3"/>
  <c r="L79" i="3"/>
  <c r="M79" i="3" s="1"/>
  <c r="L78" i="3"/>
  <c r="L77" i="3"/>
  <c r="M77" i="3" s="1"/>
  <c r="L76" i="3"/>
  <c r="M76" i="3" s="1"/>
  <c r="L75" i="3"/>
  <c r="M75" i="3" s="1"/>
  <c r="N75" i="3" s="1"/>
  <c r="O75" i="3" s="1"/>
  <c r="L74" i="3"/>
  <c r="M74" i="3" s="1"/>
  <c r="L73" i="3"/>
  <c r="M73" i="3" s="1"/>
  <c r="L72" i="3"/>
  <c r="M72" i="3" s="1"/>
  <c r="L71" i="3"/>
  <c r="M71" i="3" s="1"/>
  <c r="L70" i="3"/>
  <c r="L69" i="3"/>
  <c r="M69" i="3" s="1"/>
  <c r="L68" i="3"/>
  <c r="M68" i="3" s="1"/>
  <c r="L67" i="3"/>
  <c r="M67" i="3" s="1"/>
  <c r="N67" i="3" s="1"/>
  <c r="O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L60" i="3"/>
  <c r="M60" i="3" s="1"/>
  <c r="L59" i="3"/>
  <c r="M59" i="3" s="1"/>
  <c r="N59" i="3" s="1"/>
  <c r="O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L52" i="3"/>
  <c r="L51" i="3"/>
  <c r="M51" i="3" s="1"/>
  <c r="L50" i="3"/>
  <c r="M50" i="3" s="1"/>
  <c r="L49" i="3"/>
  <c r="M49" i="3" s="1"/>
  <c r="N49" i="3" s="1"/>
  <c r="O49" i="3" s="1"/>
  <c r="L48" i="3"/>
  <c r="L47" i="3"/>
  <c r="L46" i="3"/>
  <c r="M46" i="3" s="1"/>
  <c r="L45" i="3"/>
  <c r="M45" i="3" s="1"/>
  <c r="L44" i="3"/>
  <c r="M44" i="3" s="1"/>
  <c r="L43" i="3"/>
  <c r="M43" i="3" s="1"/>
  <c r="L42" i="3"/>
  <c r="L41" i="3"/>
  <c r="M41" i="3" s="1"/>
  <c r="L40" i="3"/>
  <c r="L39" i="3"/>
  <c r="M39" i="3" s="1"/>
  <c r="N39" i="3" s="1"/>
  <c r="O39" i="3" s="1"/>
  <c r="L38" i="3"/>
  <c r="M38" i="3" s="1"/>
  <c r="L37" i="3"/>
  <c r="M37" i="3" s="1"/>
  <c r="L36" i="3"/>
  <c r="L35" i="3"/>
  <c r="M35" i="3" s="1"/>
  <c r="L34" i="3"/>
  <c r="M34" i="3" s="1"/>
  <c r="L33" i="3"/>
  <c r="M33" i="3" s="1"/>
  <c r="N33" i="3" s="1"/>
  <c r="O33" i="3" s="1"/>
  <c r="L32" i="3"/>
  <c r="L31" i="3"/>
  <c r="M31" i="3" s="1"/>
  <c r="L30" i="3"/>
  <c r="M30" i="3" s="1"/>
  <c r="L29" i="3"/>
  <c r="M29" i="3" s="1"/>
  <c r="L28" i="3"/>
  <c r="M28" i="3" s="1"/>
  <c r="L27" i="3"/>
  <c r="M27" i="3" s="1"/>
  <c r="L26" i="3"/>
  <c r="L25" i="3"/>
  <c r="M25" i="3" s="1"/>
  <c r="L24" i="3"/>
  <c r="L23" i="3"/>
  <c r="M23" i="3" s="1"/>
  <c r="N23" i="3" s="1"/>
  <c r="O23" i="3" s="1"/>
  <c r="L22" i="3"/>
  <c r="M22" i="3" s="1"/>
  <c r="L21" i="3"/>
  <c r="M21" i="3" s="1"/>
  <c r="L20" i="3"/>
  <c r="L19" i="3"/>
  <c r="M19" i="3" s="1"/>
  <c r="L18" i="3"/>
  <c r="M18" i="3" s="1"/>
  <c r="L17" i="3"/>
  <c r="M17" i="3" s="1"/>
  <c r="N17" i="3" s="1"/>
  <c r="O17" i="3" s="1"/>
  <c r="L16" i="3"/>
  <c r="L15" i="3"/>
  <c r="M15" i="3" s="1"/>
  <c r="L14" i="3"/>
  <c r="M14" i="3" s="1"/>
  <c r="L13" i="3"/>
  <c r="M13" i="3" s="1"/>
  <c r="L12" i="3"/>
  <c r="M12" i="3" s="1"/>
  <c r="L11" i="3"/>
  <c r="M11" i="3" s="1"/>
  <c r="L10" i="3"/>
  <c r="L9" i="3"/>
  <c r="M9" i="3" s="1"/>
  <c r="L8" i="3"/>
  <c r="L7" i="3"/>
  <c r="M7" i="3" s="1"/>
  <c r="N7" i="3" s="1"/>
  <c r="O7" i="3" s="1"/>
  <c r="L6" i="3"/>
  <c r="M6" i="3" s="1"/>
  <c r="L5" i="3"/>
  <c r="M5" i="3" s="1"/>
  <c r="L4" i="3"/>
  <c r="L3" i="3"/>
  <c r="M3" i="3" s="1"/>
  <c r="L2" i="3"/>
  <c r="M2" i="3" s="1"/>
  <c r="I24" i="8" l="1"/>
  <c r="I25" i="8"/>
  <c r="D19" i="5"/>
  <c r="D35" i="5"/>
  <c r="D45" i="5"/>
  <c r="O3952" i="3"/>
  <c r="D119" i="5"/>
  <c r="D63" i="5"/>
  <c r="D79" i="5"/>
  <c r="D103" i="5"/>
  <c r="N2996" i="3"/>
  <c r="D49" i="5" s="1"/>
  <c r="D91" i="5"/>
  <c r="M285" i="3"/>
  <c r="D11" i="5"/>
  <c r="F31" i="5"/>
  <c r="D31" i="5"/>
  <c r="D115" i="5"/>
  <c r="M2980" i="3"/>
  <c r="D108" i="5" s="1"/>
  <c r="D107" i="5"/>
  <c r="O2996" i="3"/>
  <c r="D83" i="5"/>
  <c r="D7" i="5"/>
  <c r="M2889" i="3"/>
  <c r="D39" i="5"/>
  <c r="D67" i="5"/>
  <c r="D111" i="5"/>
  <c r="D23" i="5"/>
  <c r="D15" i="5"/>
  <c r="D27" i="5"/>
  <c r="D3" i="5"/>
  <c r="I26" i="8"/>
  <c r="J79" i="5"/>
  <c r="J1" i="5"/>
  <c r="I129" i="5"/>
  <c r="I127" i="5"/>
  <c r="I52" i="5"/>
  <c r="I55" i="5"/>
  <c r="I71" i="5"/>
  <c r="I130" i="5"/>
  <c r="I128" i="5"/>
  <c r="I61" i="5"/>
  <c r="I72" i="5"/>
  <c r="I75" i="5"/>
  <c r="I95" i="5"/>
  <c r="I78" i="5"/>
  <c r="I98" i="5"/>
  <c r="I125" i="5"/>
  <c r="I62" i="5"/>
  <c r="I73" i="5"/>
  <c r="I76" i="5"/>
  <c r="I96" i="5"/>
  <c r="I100" i="5"/>
  <c r="I56" i="5"/>
  <c r="I59" i="5"/>
  <c r="I89" i="5"/>
  <c r="I101" i="5"/>
  <c r="I77" i="5"/>
  <c r="I97" i="5"/>
  <c r="I124" i="5"/>
  <c r="I53" i="5"/>
  <c r="I87" i="5"/>
  <c r="I99" i="5"/>
  <c r="I123" i="5"/>
  <c r="I54" i="5"/>
  <c r="I57" i="5"/>
  <c r="I60" i="5"/>
  <c r="I74" i="5"/>
  <c r="I90" i="5"/>
  <c r="I102" i="5"/>
  <c r="I126" i="5"/>
  <c r="I58" i="5"/>
  <c r="I51" i="5"/>
  <c r="I88" i="5"/>
  <c r="J31" i="5"/>
  <c r="H31" i="5"/>
  <c r="I63" i="5"/>
  <c r="H83" i="5"/>
  <c r="G31" i="5"/>
  <c r="H103" i="5"/>
  <c r="I103" i="5"/>
  <c r="G103" i="5"/>
  <c r="F103" i="5"/>
  <c r="J103" i="5"/>
  <c r="M375" i="3"/>
  <c r="N375" i="3" s="1"/>
  <c r="G79" i="5"/>
  <c r="I79" i="5"/>
  <c r="F79" i="5"/>
  <c r="H79" i="5"/>
  <c r="G63" i="5"/>
  <c r="M303" i="3"/>
  <c r="N303" i="3" s="1"/>
  <c r="J63" i="5"/>
  <c r="H63" i="5"/>
  <c r="M338" i="3"/>
  <c r="N338" i="3" s="1"/>
  <c r="H119" i="5"/>
  <c r="I119" i="5"/>
  <c r="I31" i="5"/>
  <c r="G83" i="5"/>
  <c r="J83" i="5"/>
  <c r="I83" i="5"/>
  <c r="J35" i="5"/>
  <c r="G35" i="5"/>
  <c r="H35" i="5"/>
  <c r="F35" i="5"/>
  <c r="I35" i="5"/>
  <c r="F119" i="5"/>
  <c r="J119" i="5"/>
  <c r="M373" i="3"/>
  <c r="N373" i="3" s="1"/>
  <c r="M377" i="3"/>
  <c r="G67" i="5"/>
  <c r="H67" i="5"/>
  <c r="J67" i="5"/>
  <c r="F67" i="5"/>
  <c r="I67" i="5"/>
  <c r="F83" i="5"/>
  <c r="G119" i="5"/>
  <c r="F63" i="5"/>
  <c r="M341" i="3"/>
  <c r="D104" i="5" s="1"/>
  <c r="M331" i="3"/>
  <c r="M385" i="3"/>
  <c r="M280" i="3"/>
  <c r="M291" i="3"/>
  <c r="O3039" i="3"/>
  <c r="P3039" i="3" s="1"/>
  <c r="N3019" i="3"/>
  <c r="O3019" i="3" s="1"/>
  <c r="P3019" i="3" s="1"/>
  <c r="O2991" i="3"/>
  <c r="N2069" i="3"/>
  <c r="O2069" i="3" s="1"/>
  <c r="N2659" i="3"/>
  <c r="O2659" i="3" s="1"/>
  <c r="N1851" i="3"/>
  <c r="O1851" i="3" s="1"/>
  <c r="O2966" i="3"/>
  <c r="N2974" i="3"/>
  <c r="O2974" i="3" s="1"/>
  <c r="P2974" i="3" s="1"/>
  <c r="O2958" i="3"/>
  <c r="P2958" i="3" s="1"/>
  <c r="N2968" i="3"/>
  <c r="O2968" i="3" s="1"/>
  <c r="N2960" i="3"/>
  <c r="O2960" i="3" s="1"/>
  <c r="N2976" i="3"/>
  <c r="O2976" i="3" s="1"/>
  <c r="N2971" i="3"/>
  <c r="O2971" i="3" s="1"/>
  <c r="N2979" i="3"/>
  <c r="O2979" i="3" s="1"/>
  <c r="N2963" i="3"/>
  <c r="O2963" i="3" s="1"/>
  <c r="N2981" i="3"/>
  <c r="O2981" i="3" s="1"/>
  <c r="P2981" i="3" s="1"/>
  <c r="N2978" i="3"/>
  <c r="O2978" i="3" s="1"/>
  <c r="P2978" i="3" s="1"/>
  <c r="N2973" i="3"/>
  <c r="O2973" i="3" s="1"/>
  <c r="P2973" i="3" s="1"/>
  <c r="N2970" i="3"/>
  <c r="O2970" i="3" s="1"/>
  <c r="N2965" i="3"/>
  <c r="O2965" i="3" s="1"/>
  <c r="P2965" i="3" s="1"/>
  <c r="N2962" i="3"/>
  <c r="O2962" i="3" s="1"/>
  <c r="N2972" i="3"/>
  <c r="O2972" i="3" s="1"/>
  <c r="N2967" i="3"/>
  <c r="O2967" i="3" s="1"/>
  <c r="P2967" i="3" s="1"/>
  <c r="N2959" i="3"/>
  <c r="O2959" i="3" s="1"/>
  <c r="P2959" i="3" s="1"/>
  <c r="N2975" i="3"/>
  <c r="O2975" i="3" s="1"/>
  <c r="N2964" i="3"/>
  <c r="O2964" i="3" s="1"/>
  <c r="P2964" i="3" s="1"/>
  <c r="M2977" i="3"/>
  <c r="N2977" i="3" s="1"/>
  <c r="O2977" i="3" s="1"/>
  <c r="P2977" i="3" s="1"/>
  <c r="M2969" i="3"/>
  <c r="M2961" i="3"/>
  <c r="N2961" i="3" s="1"/>
  <c r="O2961" i="3" s="1"/>
  <c r="P2961" i="3" s="1"/>
  <c r="N2952" i="3"/>
  <c r="O2952" i="3" s="1"/>
  <c r="N2950" i="3"/>
  <c r="O2950" i="3" s="1"/>
  <c r="N2956" i="3"/>
  <c r="O2956" i="3" s="1"/>
  <c r="N2948" i="3"/>
  <c r="O2948" i="3" s="1"/>
  <c r="N2954" i="3"/>
  <c r="O2954" i="3" s="1"/>
  <c r="P2954" i="3" s="1"/>
  <c r="N2946" i="3"/>
  <c r="O2946" i="3" s="1"/>
  <c r="O2957" i="3"/>
  <c r="P2957" i="3" s="1"/>
  <c r="O2955" i="3"/>
  <c r="O2953" i="3"/>
  <c r="P2953" i="3" s="1"/>
  <c r="O2951" i="3"/>
  <c r="O2949" i="3"/>
  <c r="O2947" i="3"/>
  <c r="P2947" i="3" s="1"/>
  <c r="O2945" i="3"/>
  <c r="O1777" i="3"/>
  <c r="O2653" i="3"/>
  <c r="N2126" i="3"/>
  <c r="O2126" i="3" s="1"/>
  <c r="N505" i="3"/>
  <c r="O505" i="3" s="1"/>
  <c r="N2925" i="3"/>
  <c r="O2925" i="3" s="1"/>
  <c r="N1321" i="3"/>
  <c r="O1321" i="3" s="1"/>
  <c r="N668" i="3"/>
  <c r="O668" i="3" s="1"/>
  <c r="N348" i="3"/>
  <c r="O348" i="3" s="1"/>
  <c r="P348" i="3" s="1"/>
  <c r="N2075" i="3"/>
  <c r="O2075" i="3" s="1"/>
  <c r="N1982" i="3"/>
  <c r="O1982" i="3" s="1"/>
  <c r="O1749" i="3"/>
  <c r="N1357" i="3"/>
  <c r="O1357" i="3" s="1"/>
  <c r="N2431" i="3"/>
  <c r="O2431" i="3" s="1"/>
  <c r="O1759" i="3"/>
  <c r="N903" i="3"/>
  <c r="O903" i="3" s="1"/>
  <c r="N1827" i="3"/>
  <c r="O1827" i="3" s="1"/>
  <c r="N1797" i="3"/>
  <c r="O1797" i="3" s="1"/>
  <c r="N1495" i="3"/>
  <c r="O1495" i="3" s="1"/>
  <c r="N937" i="3"/>
  <c r="O937" i="3" s="1"/>
  <c r="N1479" i="3"/>
  <c r="O1479" i="3" s="1"/>
  <c r="O2725" i="3"/>
  <c r="N2125" i="3"/>
  <c r="O2125" i="3" s="1"/>
  <c r="O1789" i="3"/>
  <c r="N741" i="3"/>
  <c r="O741" i="3" s="1"/>
  <c r="N1859" i="3"/>
  <c r="O1859" i="3" s="1"/>
  <c r="N1367" i="3"/>
  <c r="O1367" i="3" s="1"/>
  <c r="N963" i="3"/>
  <c r="O963" i="3" s="1"/>
  <c r="N771" i="3"/>
  <c r="O771" i="3" s="1"/>
  <c r="N520" i="3"/>
  <c r="O520" i="3" s="1"/>
  <c r="N514" i="3"/>
  <c r="O514" i="3" s="1"/>
  <c r="N852" i="3"/>
  <c r="O852" i="3" s="1"/>
  <c r="N2765" i="3"/>
  <c r="O2765" i="3" s="1"/>
  <c r="N2737" i="3"/>
  <c r="O2737" i="3" s="1"/>
  <c r="N2101" i="3"/>
  <c r="O2101" i="3" s="1"/>
  <c r="N1843" i="3"/>
  <c r="O1843" i="3" s="1"/>
  <c r="N1837" i="3"/>
  <c r="O1837" i="3" s="1"/>
  <c r="N1437" i="3"/>
  <c r="O1437" i="3" s="1"/>
  <c r="N2401" i="3"/>
  <c r="O2401" i="3" s="1"/>
  <c r="N2093" i="3"/>
  <c r="O2093" i="3" s="1"/>
  <c r="N1949" i="3"/>
  <c r="O1949" i="3" s="1"/>
  <c r="N1475" i="3"/>
  <c r="O1475" i="3" s="1"/>
  <c r="N839" i="3"/>
  <c r="O839" i="3" s="1"/>
  <c r="N2651" i="3"/>
  <c r="O2651" i="3" s="1"/>
  <c r="N2615" i="3"/>
  <c r="O2615" i="3" s="1"/>
  <c r="N305" i="3"/>
  <c r="O305" i="3" s="1"/>
  <c r="N2579" i="3"/>
  <c r="O2579" i="3" s="1"/>
  <c r="N1630" i="3"/>
  <c r="O1630" i="3" s="1"/>
  <c r="N229" i="3"/>
  <c r="O229" i="3" s="1"/>
  <c r="N2917" i="3"/>
  <c r="O2917" i="3" s="1"/>
  <c r="P2917" i="3" s="1"/>
  <c r="N1726" i="3"/>
  <c r="O1726" i="3" s="1"/>
  <c r="N88" i="3"/>
  <c r="O88" i="3" s="1"/>
  <c r="N2941" i="3"/>
  <c r="N2043" i="3"/>
  <c r="O2043" i="3" s="1"/>
  <c r="N1998" i="3"/>
  <c r="O1998" i="3" s="1"/>
  <c r="N1941" i="3"/>
  <c r="O1941" i="3" s="1"/>
  <c r="N1918" i="3"/>
  <c r="O1918" i="3" s="1"/>
  <c r="M1846" i="3"/>
  <c r="N1846" i="3" s="1"/>
  <c r="O1846" i="3" s="1"/>
  <c r="N1391" i="3"/>
  <c r="O1391" i="3" s="1"/>
  <c r="N2923" i="3"/>
  <c r="O2923" i="3" s="1"/>
  <c r="N2863" i="3"/>
  <c r="O2863" i="3" s="1"/>
  <c r="P2863" i="3" s="1"/>
  <c r="N2327" i="3"/>
  <c r="O2327" i="3" s="1"/>
  <c r="O2621" i="3"/>
  <c r="N2331" i="3"/>
  <c r="O2331" i="3" s="1"/>
  <c r="N2029" i="3"/>
  <c r="O2029" i="3" s="1"/>
  <c r="N2004" i="3"/>
  <c r="O2004" i="3" s="1"/>
  <c r="O1924" i="3"/>
  <c r="N1634" i="3"/>
  <c r="O1634" i="3" s="1"/>
  <c r="N1550" i="3"/>
  <c r="O1550" i="3" s="1"/>
  <c r="O1467" i="3"/>
  <c r="N1429" i="3"/>
  <c r="O1429" i="3" s="1"/>
  <c r="N1417" i="3"/>
  <c r="O1417" i="3" s="1"/>
  <c r="N2433" i="3"/>
  <c r="O2433" i="3" s="1"/>
  <c r="N2117" i="3"/>
  <c r="O2117" i="3" s="1"/>
  <c r="N2079" i="3"/>
  <c r="O2079" i="3" s="1"/>
  <c r="N2054" i="3"/>
  <c r="O2054" i="3" s="1"/>
  <c r="N1768" i="3"/>
  <c r="O1768" i="3" s="1"/>
  <c r="N1562" i="3"/>
  <c r="O1562" i="3" s="1"/>
  <c r="N779" i="3"/>
  <c r="O779" i="3" s="1"/>
  <c r="N502" i="3"/>
  <c r="O502" i="3" s="1"/>
  <c r="N2779" i="3"/>
  <c r="O2779" i="3" s="1"/>
  <c r="N60" i="3"/>
  <c r="O60" i="3" s="1"/>
  <c r="N2851" i="3"/>
  <c r="O2851" i="3" s="1"/>
  <c r="O2669" i="3"/>
  <c r="N2085" i="3"/>
  <c r="O2085" i="3" s="1"/>
  <c r="N2053" i="3"/>
  <c r="O2053" i="3" s="1"/>
  <c r="N2021" i="3"/>
  <c r="O2021" i="3" s="1"/>
  <c r="N1997" i="3"/>
  <c r="O1997" i="3" s="1"/>
  <c r="N1965" i="3"/>
  <c r="O1965" i="3" s="1"/>
  <c r="N1934" i="3"/>
  <c r="O1934" i="3" s="1"/>
  <c r="N1908" i="3"/>
  <c r="O1908" i="3" s="1"/>
  <c r="N1893" i="3"/>
  <c r="O1893" i="3" s="1"/>
  <c r="N1861" i="3"/>
  <c r="O1861" i="3" s="1"/>
  <c r="N1658" i="3"/>
  <c r="O1658" i="3" s="1"/>
  <c r="N1602" i="3"/>
  <c r="O1602" i="3" s="1"/>
  <c r="N1506" i="3"/>
  <c r="O1506" i="3" s="1"/>
  <c r="N1485" i="3"/>
  <c r="O1485" i="3" s="1"/>
  <c r="N1401" i="3"/>
  <c r="O1401" i="3" s="1"/>
  <c r="N1389" i="3"/>
  <c r="O1389" i="3" s="1"/>
  <c r="N1347" i="3"/>
  <c r="O1347" i="3" s="1"/>
  <c r="N1333" i="3"/>
  <c r="O1333" i="3" s="1"/>
  <c r="N1065" i="3"/>
  <c r="O1065" i="3" s="1"/>
  <c r="N1027" i="3"/>
  <c r="O1027" i="3" s="1"/>
  <c r="N921" i="3"/>
  <c r="O921" i="3" s="1"/>
  <c r="N2715" i="3"/>
  <c r="O2715" i="3" s="1"/>
  <c r="N2359" i="3"/>
  <c r="O2359" i="3" s="1"/>
  <c r="N2133" i="3"/>
  <c r="O2133" i="3" s="1"/>
  <c r="N1806" i="3"/>
  <c r="O1806" i="3" s="1"/>
  <c r="N1454" i="3"/>
  <c r="O1454" i="3" s="1"/>
  <c r="N1415" i="3"/>
  <c r="O1415" i="3" s="1"/>
  <c r="O551" i="3"/>
  <c r="N2747" i="3"/>
  <c r="O2747" i="3" s="1"/>
  <c r="N2595" i="3"/>
  <c r="O2595" i="3" s="1"/>
  <c r="N2449" i="3"/>
  <c r="O2449" i="3" s="1"/>
  <c r="N2363" i="3"/>
  <c r="O2363" i="3" s="1"/>
  <c r="N2343" i="3"/>
  <c r="O2343" i="3" s="1"/>
  <c r="N2020" i="3"/>
  <c r="O2020" i="3" s="1"/>
  <c r="N1983" i="3"/>
  <c r="O1983" i="3" s="1"/>
  <c r="N1855" i="3"/>
  <c r="O1855" i="3" s="1"/>
  <c r="N1823" i="3"/>
  <c r="O1823" i="3" s="1"/>
  <c r="O1785" i="3"/>
  <c r="N1490" i="3"/>
  <c r="O1490" i="3" s="1"/>
  <c r="N1459" i="3"/>
  <c r="O1459" i="3" s="1"/>
  <c r="N2865" i="3"/>
  <c r="O2865" i="3" s="1"/>
  <c r="P2865" i="3" s="1"/>
  <c r="N2643" i="3"/>
  <c r="O2643" i="3" s="1"/>
  <c r="N1901" i="3"/>
  <c r="O1901" i="3" s="1"/>
  <c r="N1897" i="3"/>
  <c r="O1897" i="3" s="1"/>
  <c r="N1155" i="3"/>
  <c r="O1155" i="3" s="1"/>
  <c r="N1085" i="3"/>
  <c r="O1085" i="3" s="1"/>
  <c r="N997" i="3"/>
  <c r="O997" i="3" s="1"/>
  <c r="M2141" i="3"/>
  <c r="N2141" i="3" s="1"/>
  <c r="O2141" i="3" s="1"/>
  <c r="M2116" i="3"/>
  <c r="N2116" i="3" s="1"/>
  <c r="O2116" i="3" s="1"/>
  <c r="M2091" i="3"/>
  <c r="N2091" i="3" s="1"/>
  <c r="O2091" i="3" s="1"/>
  <c r="M2066" i="3"/>
  <c r="M1931" i="3"/>
  <c r="N1931" i="3" s="1"/>
  <c r="O1931" i="3" s="1"/>
  <c r="M1783" i="3"/>
  <c r="N1783" i="3" s="1"/>
  <c r="N54" i="3"/>
  <c r="O54" i="3" s="1"/>
  <c r="M2783" i="3"/>
  <c r="N2783" i="3" s="1"/>
  <c r="O2783" i="3" s="1"/>
  <c r="N2385" i="3"/>
  <c r="O2385" i="3" s="1"/>
  <c r="M2345" i="3"/>
  <c r="N2345" i="3" s="1"/>
  <c r="O2345" i="3" s="1"/>
  <c r="M2046" i="3"/>
  <c r="M769" i="3"/>
  <c r="N769" i="3" s="1"/>
  <c r="O769" i="3" s="1"/>
  <c r="N2835" i="3"/>
  <c r="O2835" i="3" s="1"/>
  <c r="M2751" i="3"/>
  <c r="N2751" i="3" s="1"/>
  <c r="O2751" i="3" s="1"/>
  <c r="N2611" i="3"/>
  <c r="O2611" i="3" s="1"/>
  <c r="N2599" i="3"/>
  <c r="O2599" i="3" s="1"/>
  <c r="N2389" i="3"/>
  <c r="O2389" i="3" s="1"/>
  <c r="M1877" i="3"/>
  <c r="N1877" i="3" s="1"/>
  <c r="M1835" i="3"/>
  <c r="N1835" i="3" s="1"/>
  <c r="O1835" i="3" s="1"/>
  <c r="N2927" i="3"/>
  <c r="O2927" i="3" s="1"/>
  <c r="O2829" i="3"/>
  <c r="M2757" i="3"/>
  <c r="N2757" i="3" s="1"/>
  <c r="N2667" i="3"/>
  <c r="O2667" i="3" s="1"/>
  <c r="M2627" i="3"/>
  <c r="N2627" i="3" s="1"/>
  <c r="O2627" i="3" s="1"/>
  <c r="N2479" i="3"/>
  <c r="O2479" i="3" s="1"/>
  <c r="N2325" i="3"/>
  <c r="O2325" i="3" s="1"/>
  <c r="N2070" i="3"/>
  <c r="O2070" i="3" s="1"/>
  <c r="M2057" i="3"/>
  <c r="N2057" i="3" s="1"/>
  <c r="O2057" i="3" s="1"/>
  <c r="N1980" i="3"/>
  <c r="O1980" i="3" s="1"/>
  <c r="M1793" i="3"/>
  <c r="N1793" i="3" s="1"/>
  <c r="M1499" i="3"/>
  <c r="O2878" i="3"/>
  <c r="M2805" i="3"/>
  <c r="N2805" i="3" s="1"/>
  <c r="N2409" i="3"/>
  <c r="O2409" i="3" s="1"/>
  <c r="M2377" i="3"/>
  <c r="N2377" i="3" s="1"/>
  <c r="M2130" i="3"/>
  <c r="M2082" i="3"/>
  <c r="N2082" i="3" s="1"/>
  <c r="O2082" i="3" s="1"/>
  <c r="M1915" i="3"/>
  <c r="N1915" i="3" s="1"/>
  <c r="O1915" i="3" s="1"/>
  <c r="M1692" i="3"/>
  <c r="M1033" i="3"/>
  <c r="N1033" i="3" s="1"/>
  <c r="M985" i="3"/>
  <c r="N985" i="3" s="1"/>
  <c r="N2697" i="3"/>
  <c r="O2697" i="3" s="1"/>
  <c r="M2663" i="3"/>
  <c r="N2663" i="3" s="1"/>
  <c r="O2663" i="3" s="1"/>
  <c r="N11" i="3"/>
  <c r="O11" i="3" s="1"/>
  <c r="N69" i="3"/>
  <c r="O69" i="3" s="1"/>
  <c r="N76" i="3"/>
  <c r="O76" i="3" s="1"/>
  <c r="N5" i="3"/>
  <c r="O5" i="3" s="1"/>
  <c r="N2787" i="3"/>
  <c r="O2787" i="3" s="1"/>
  <c r="O2729" i="3"/>
  <c r="O2693" i="3"/>
  <c r="N2675" i="3"/>
  <c r="O2675" i="3" s="1"/>
  <c r="N2631" i="3"/>
  <c r="O2631" i="3" s="1"/>
  <c r="N2353" i="3"/>
  <c r="O2353" i="3" s="1"/>
  <c r="M2157" i="3"/>
  <c r="N2157" i="3" s="1"/>
  <c r="O2157" i="3" s="1"/>
  <c r="M2061" i="3"/>
  <c r="N2061" i="3" s="1"/>
  <c r="O2061" i="3" s="1"/>
  <c r="N2025" i="3"/>
  <c r="O2025" i="3" s="1"/>
  <c r="M1698" i="3"/>
  <c r="N1698" i="3" s="1"/>
  <c r="M1584" i="3"/>
  <c r="N1584" i="3" s="1"/>
  <c r="O1584" i="3" s="1"/>
  <c r="M1433" i="3"/>
  <c r="N1433" i="3" s="1"/>
  <c r="O1433" i="3" s="1"/>
  <c r="M1353" i="3"/>
  <c r="N1353" i="3" s="1"/>
  <c r="O1353" i="3" s="1"/>
  <c r="N77" i="3"/>
  <c r="O77" i="3" s="1"/>
  <c r="N2939" i="3"/>
  <c r="O2939" i="3" s="1"/>
  <c r="P2939" i="3" s="1"/>
  <c r="N2919" i="3"/>
  <c r="O2919" i="3" s="1"/>
  <c r="N2909" i="3"/>
  <c r="O2909" i="3" s="1"/>
  <c r="P2909" i="3" s="1"/>
  <c r="N2901" i="3"/>
  <c r="O2901" i="3" s="1"/>
  <c r="N2847" i="3"/>
  <c r="O2847" i="3" s="1"/>
  <c r="N2803" i="3"/>
  <c r="O2803" i="3" s="1"/>
  <c r="O2797" i="3"/>
  <c r="N2755" i="3"/>
  <c r="O2755" i="3" s="1"/>
  <c r="N2357" i="3"/>
  <c r="O2357" i="3" s="1"/>
  <c r="M2111" i="3"/>
  <c r="N2111" i="3" s="1"/>
  <c r="M1704" i="3"/>
  <c r="N1704" i="3" s="1"/>
  <c r="O2773" i="3"/>
  <c r="M2711" i="3"/>
  <c r="N2711" i="3" s="1"/>
  <c r="O2711" i="3" s="1"/>
  <c r="N2647" i="3"/>
  <c r="O2647" i="3" s="1"/>
  <c r="M2465" i="3"/>
  <c r="N2465" i="3" s="1"/>
  <c r="O2036" i="3"/>
  <c r="M2012" i="3"/>
  <c r="N2012" i="3" s="1"/>
  <c r="O2012" i="3" s="1"/>
  <c r="M1600" i="3"/>
  <c r="N1600" i="3" s="1"/>
  <c r="M1530" i="3"/>
  <c r="M1788" i="3"/>
  <c r="N1788" i="3" s="1"/>
  <c r="N1604" i="3"/>
  <c r="O1604" i="3" s="1"/>
  <c r="M1253" i="3"/>
  <c r="N1253" i="3" s="1"/>
  <c r="O1253" i="3" s="1"/>
  <c r="M1111" i="3"/>
  <c r="N1111" i="3" s="1"/>
  <c r="O1111" i="3" s="1"/>
  <c r="M1032" i="3"/>
  <c r="N1032" i="3" s="1"/>
  <c r="M991" i="3"/>
  <c r="N991" i="3" s="1"/>
  <c r="O991" i="3" s="1"/>
  <c r="M1803" i="3"/>
  <c r="M1765" i="3"/>
  <c r="N1765" i="3" s="1"/>
  <c r="N1714" i="3"/>
  <c r="O1714" i="3" s="1"/>
  <c r="M1632" i="3"/>
  <c r="N1616" i="3"/>
  <c r="O1616" i="3" s="1"/>
  <c r="M1461" i="3"/>
  <c r="M1445" i="3"/>
  <c r="N1445" i="3" s="1"/>
  <c r="M1303" i="3"/>
  <c r="N1303" i="3" s="1"/>
  <c r="N1089" i="3"/>
  <c r="O1089" i="3" s="1"/>
  <c r="M1039" i="3"/>
  <c r="N1039" i="3" s="1"/>
  <c r="O1039" i="3" s="1"/>
  <c r="M940" i="3"/>
  <c r="N940" i="3" s="1"/>
  <c r="M927" i="3"/>
  <c r="N927" i="3" s="1"/>
  <c r="O927" i="3" s="1"/>
  <c r="M330" i="3"/>
  <c r="N2481" i="3"/>
  <c r="O2481" i="3" s="1"/>
  <c r="N2383" i="3"/>
  <c r="O2383" i="3" s="1"/>
  <c r="N2165" i="3"/>
  <c r="O2165" i="3" s="1"/>
  <c r="N2155" i="3"/>
  <c r="O2155" i="3" s="1"/>
  <c r="O2149" i="3"/>
  <c r="N2109" i="3"/>
  <c r="O2109" i="3" s="1"/>
  <c r="N2063" i="3"/>
  <c r="O2063" i="3" s="1"/>
  <c r="N2015" i="3"/>
  <c r="O2015" i="3" s="1"/>
  <c r="N2011" i="3"/>
  <c r="O2011" i="3" s="1"/>
  <c r="N1907" i="3"/>
  <c r="O1907" i="3" s="1"/>
  <c r="N1867" i="3"/>
  <c r="O1867" i="3" s="1"/>
  <c r="N1722" i="3"/>
  <c r="O1722" i="3" s="1"/>
  <c r="N1509" i="3"/>
  <c r="O1509" i="3" s="1"/>
  <c r="N1503" i="3"/>
  <c r="O1503" i="3" s="1"/>
  <c r="N1398" i="3"/>
  <c r="O1398" i="3" s="1"/>
  <c r="M1203" i="3"/>
  <c r="N1203" i="3" s="1"/>
  <c r="O1203" i="3" s="1"/>
  <c r="N1052" i="3"/>
  <c r="O1052" i="3" s="1"/>
  <c r="N1045" i="3"/>
  <c r="O1045" i="3" s="1"/>
  <c r="M933" i="3"/>
  <c r="N933" i="3" s="1"/>
  <c r="O933" i="3" s="1"/>
  <c r="N892" i="3"/>
  <c r="O892" i="3" s="1"/>
  <c r="M871" i="3"/>
  <c r="N871" i="3" s="1"/>
  <c r="O871" i="3" s="1"/>
  <c r="N1874" i="3"/>
  <c r="O1874" i="3" s="1"/>
  <c r="M1751" i="3"/>
  <c r="M1650" i="3"/>
  <c r="N1650" i="3" s="1"/>
  <c r="O1650" i="3" s="1"/>
  <c r="N1513" i="3"/>
  <c r="O1513" i="3" s="1"/>
  <c r="N1465" i="3"/>
  <c r="O1465" i="3" s="1"/>
  <c r="M1449" i="3"/>
  <c r="N1449" i="3" s="1"/>
  <c r="O1449" i="3" s="1"/>
  <c r="M1370" i="3"/>
  <c r="N1315" i="3"/>
  <c r="O1315" i="3" s="1"/>
  <c r="O1119" i="3"/>
  <c r="N953" i="3"/>
  <c r="O953" i="3" s="1"/>
  <c r="M677" i="3"/>
  <c r="N677" i="3" s="1"/>
  <c r="O677" i="3" s="1"/>
  <c r="N2707" i="3"/>
  <c r="O2707" i="3" s="1"/>
  <c r="N2673" i="3"/>
  <c r="O2673" i="3" s="1"/>
  <c r="N1995" i="3"/>
  <c r="O1995" i="3" s="1"/>
  <c r="N1887" i="3"/>
  <c r="O1887" i="3" s="1"/>
  <c r="N1878" i="3"/>
  <c r="O1878" i="3" s="1"/>
  <c r="M1860" i="3"/>
  <c r="N1860" i="3" s="1"/>
  <c r="O1860" i="3" s="1"/>
  <c r="N1832" i="3"/>
  <c r="O1832" i="3" s="1"/>
  <c r="M1694" i="3"/>
  <c r="N1694" i="3" s="1"/>
  <c r="N1676" i="3"/>
  <c r="O1676" i="3" s="1"/>
  <c r="M1668" i="3"/>
  <c r="N1668" i="3" s="1"/>
  <c r="O1668" i="3" s="1"/>
  <c r="M1656" i="3"/>
  <c r="N1636" i="3"/>
  <c r="O1636" i="3" s="1"/>
  <c r="M1580" i="3"/>
  <c r="N1580" i="3" s="1"/>
  <c r="M1327" i="3"/>
  <c r="N1327" i="3" s="1"/>
  <c r="M917" i="3"/>
  <c r="N917" i="3" s="1"/>
  <c r="M821" i="3"/>
  <c r="N821" i="3" s="1"/>
  <c r="M789" i="3"/>
  <c r="N789" i="3" s="1"/>
  <c r="M397" i="3"/>
  <c r="N2415" i="3"/>
  <c r="O2415" i="3" s="1"/>
  <c r="O1790" i="3"/>
  <c r="O1774" i="3"/>
  <c r="N1688" i="3"/>
  <c r="O1688" i="3" s="1"/>
  <c r="M1612" i="3"/>
  <c r="N1612" i="3" s="1"/>
  <c r="O1612" i="3" s="1"/>
  <c r="M1481" i="3"/>
  <c r="N1481" i="3" s="1"/>
  <c r="O1481" i="3" s="1"/>
  <c r="M1773" i="3"/>
  <c r="N1773" i="3" s="1"/>
  <c r="M1761" i="3"/>
  <c r="N1761" i="3" s="1"/>
  <c r="N1660" i="3"/>
  <c r="O1660" i="3" s="1"/>
  <c r="N1648" i="3"/>
  <c r="O1648" i="3" s="1"/>
  <c r="N1596" i="3"/>
  <c r="O1596" i="3" s="1"/>
  <c r="M1440" i="3"/>
  <c r="N1440" i="3" s="1"/>
  <c r="M1313" i="3"/>
  <c r="N1313" i="3" s="1"/>
  <c r="M1283" i="3"/>
  <c r="N1283" i="3" s="1"/>
  <c r="O1283" i="3" s="1"/>
  <c r="M957" i="3"/>
  <c r="M847" i="3"/>
  <c r="N847" i="3" s="1"/>
  <c r="O847" i="3" s="1"/>
  <c r="N836" i="3"/>
  <c r="O836" i="3" s="1"/>
  <c r="N813" i="3"/>
  <c r="O813" i="3" s="1"/>
  <c r="N807" i="3"/>
  <c r="O807" i="3" s="1"/>
  <c r="O693" i="3"/>
  <c r="N555" i="3"/>
  <c r="O555" i="3" s="1"/>
  <c r="M749" i="3"/>
  <c r="N749" i="3" s="1"/>
  <c r="M490" i="3"/>
  <c r="N490" i="3" s="1"/>
  <c r="O490" i="3" s="1"/>
  <c r="N1805" i="3"/>
  <c r="O1805" i="3" s="1"/>
  <c r="N1696" i="3"/>
  <c r="O1696" i="3" s="1"/>
  <c r="M1534" i="3"/>
  <c r="N1534" i="3" s="1"/>
  <c r="M1349" i="3"/>
  <c r="N1349" i="3" s="1"/>
  <c r="M877" i="3"/>
  <c r="N877" i="3" s="1"/>
  <c r="O877" i="3" s="1"/>
  <c r="N646" i="3"/>
  <c r="O646" i="3" s="1"/>
  <c r="N1875" i="3"/>
  <c r="O1875" i="3" s="1"/>
  <c r="N1871" i="3"/>
  <c r="O1871" i="3" s="1"/>
  <c r="N1865" i="3"/>
  <c r="O1865" i="3" s="1"/>
  <c r="N1836" i="3"/>
  <c r="O1836" i="3" s="1"/>
  <c r="N1833" i="3"/>
  <c r="O1833" i="3" s="1"/>
  <c r="N1817" i="3"/>
  <c r="O1817" i="3" s="1"/>
  <c r="N1800" i="3"/>
  <c r="O1800" i="3" s="1"/>
  <c r="O1791" i="3"/>
  <c r="N1784" i="3"/>
  <c r="O1784" i="3" s="1"/>
  <c r="O1775" i="3"/>
  <c r="N1772" i="3"/>
  <c r="O1772" i="3" s="1"/>
  <c r="N1666" i="3"/>
  <c r="O1666" i="3" s="1"/>
  <c r="N1652" i="3"/>
  <c r="O1652" i="3" s="1"/>
  <c r="N1620" i="3"/>
  <c r="O1620" i="3" s="1"/>
  <c r="N1588" i="3"/>
  <c r="O1588" i="3" s="1"/>
  <c r="N1576" i="3"/>
  <c r="O1576" i="3" s="1"/>
  <c r="N1538" i="3"/>
  <c r="O1538" i="3" s="1"/>
  <c r="N1522" i="3"/>
  <c r="O1522" i="3" s="1"/>
  <c r="N1458" i="3"/>
  <c r="O1458" i="3" s="1"/>
  <c r="M1375" i="3"/>
  <c r="N1375" i="3" s="1"/>
  <c r="N1335" i="3"/>
  <c r="O1335" i="3" s="1"/>
  <c r="N1317" i="3"/>
  <c r="O1317" i="3" s="1"/>
  <c r="N1127" i="3"/>
  <c r="O1127" i="3" s="1"/>
  <c r="N1061" i="3"/>
  <c r="O1061" i="3" s="1"/>
  <c r="M1055" i="3"/>
  <c r="N1055" i="3" s="1"/>
  <c r="M925" i="3"/>
  <c r="N925" i="3" s="1"/>
  <c r="O925" i="3" s="1"/>
  <c r="N844" i="3"/>
  <c r="O844" i="3" s="1"/>
  <c r="N800" i="3"/>
  <c r="O800" i="3" s="1"/>
  <c r="N790" i="3"/>
  <c r="O790" i="3" s="1"/>
  <c r="N781" i="3"/>
  <c r="O781" i="3" s="1"/>
  <c r="N774" i="3"/>
  <c r="O774" i="3" s="1"/>
  <c r="N685" i="3"/>
  <c r="O685" i="3" s="1"/>
  <c r="N612" i="3"/>
  <c r="O612" i="3" s="1"/>
  <c r="N1853" i="3"/>
  <c r="O1853" i="3" s="1"/>
  <c r="N1821" i="3"/>
  <c r="O1821" i="3" s="1"/>
  <c r="O1767" i="3"/>
  <c r="N1690" i="3"/>
  <c r="O1690" i="3" s="1"/>
  <c r="N1640" i="3"/>
  <c r="O1640" i="3" s="1"/>
  <c r="N1608" i="3"/>
  <c r="O1608" i="3" s="1"/>
  <c r="N1554" i="3"/>
  <c r="O1554" i="3" s="1"/>
  <c r="O1505" i="3"/>
  <c r="M941" i="3"/>
  <c r="N941" i="3" s="1"/>
  <c r="M805" i="3"/>
  <c r="N805" i="3" s="1"/>
  <c r="N784" i="3"/>
  <c r="O784" i="3" s="1"/>
  <c r="N777" i="3"/>
  <c r="O777" i="3" s="1"/>
  <c r="N733" i="3"/>
  <c r="O733" i="3" s="1"/>
  <c r="O567" i="3"/>
  <c r="O535" i="3"/>
  <c r="O509" i="3"/>
  <c r="N503" i="3"/>
  <c r="O503" i="3" s="1"/>
  <c r="N499" i="3"/>
  <c r="O499" i="3" s="1"/>
  <c r="N494" i="3"/>
  <c r="O494" i="3" s="1"/>
  <c r="N440" i="3"/>
  <c r="O440" i="3" s="1"/>
  <c r="N360" i="3"/>
  <c r="O360" i="3" s="1"/>
  <c r="P360" i="3" s="1"/>
  <c r="G91" i="5" s="1"/>
  <c r="N332" i="3"/>
  <c r="O332" i="3" s="1"/>
  <c r="M1811" i="3"/>
  <c r="N1811" i="3" s="1"/>
  <c r="N1710" i="3"/>
  <c r="O1710" i="3" s="1"/>
  <c r="N1684" i="3"/>
  <c r="O1684" i="3" s="1"/>
  <c r="N1672" i="3"/>
  <c r="O1672" i="3" s="1"/>
  <c r="N1624" i="3"/>
  <c r="O1624" i="3" s="1"/>
  <c r="M1592" i="3"/>
  <c r="N1592" i="3" s="1"/>
  <c r="N1510" i="3"/>
  <c r="O1510" i="3" s="1"/>
  <c r="M1399" i="3"/>
  <c r="N1399" i="3" s="1"/>
  <c r="M947" i="3"/>
  <c r="N947" i="3" s="1"/>
  <c r="N861" i="3"/>
  <c r="O861" i="3" s="1"/>
  <c r="N855" i="3"/>
  <c r="O855" i="3" s="1"/>
  <c r="N727" i="3"/>
  <c r="O727" i="3" s="1"/>
  <c r="N424" i="3"/>
  <c r="O424" i="3" s="1"/>
  <c r="N410" i="3"/>
  <c r="O410" i="3" s="1"/>
  <c r="N404" i="3"/>
  <c r="O404" i="3" s="1"/>
  <c r="N398" i="3"/>
  <c r="O398" i="3" s="1"/>
  <c r="M831" i="3"/>
  <c r="N831" i="3" s="1"/>
  <c r="O831" i="3" s="1"/>
  <c r="N826" i="3"/>
  <c r="O826" i="3" s="1"/>
  <c r="N517" i="3"/>
  <c r="O517" i="3" s="1"/>
  <c r="N1720" i="3"/>
  <c r="O1720" i="3" s="1"/>
  <c r="N1700" i="3"/>
  <c r="O1700" i="3" s="1"/>
  <c r="N1680" i="3"/>
  <c r="O1680" i="3" s="1"/>
  <c r="N1664" i="3"/>
  <c r="O1664" i="3" s="1"/>
  <c r="N1644" i="3"/>
  <c r="O1644" i="3" s="1"/>
  <c r="N1628" i="3"/>
  <c r="O1628" i="3" s="1"/>
  <c r="M2931" i="3"/>
  <c r="N2931" i="3" s="1"/>
  <c r="O2931" i="3" s="1"/>
  <c r="M2827" i="3"/>
  <c r="N2827" i="3" s="1"/>
  <c r="M2913" i="3"/>
  <c r="N2913" i="3" s="1"/>
  <c r="N2831" i="3"/>
  <c r="O2831" i="3" s="1"/>
  <c r="N2695" i="3"/>
  <c r="O2695" i="3" s="1"/>
  <c r="M2649" i="3"/>
  <c r="N2649" i="3" s="1"/>
  <c r="M2613" i="3"/>
  <c r="N2613" i="3" s="1"/>
  <c r="M2513" i="3"/>
  <c r="N2513" i="3" s="1"/>
  <c r="O2513" i="3" s="1"/>
  <c r="O211" i="3"/>
  <c r="N2905" i="3"/>
  <c r="O2905" i="3" s="1"/>
  <c r="P2905" i="3" s="1"/>
  <c r="M2873" i="3"/>
  <c r="N2873" i="3" s="1"/>
  <c r="M2845" i="3"/>
  <c r="N2845" i="3" s="1"/>
  <c r="M2795" i="3"/>
  <c r="N2795" i="3" s="1"/>
  <c r="O2795" i="3" s="1"/>
  <c r="M2743" i="3"/>
  <c r="N2743" i="3" s="1"/>
  <c r="O2743" i="3" s="1"/>
  <c r="N2487" i="3"/>
  <c r="O2487" i="3" s="1"/>
  <c r="M1829" i="3"/>
  <c r="N1766" i="3"/>
  <c r="O1766" i="3" s="1"/>
  <c r="M1414" i="3"/>
  <c r="N1414" i="3" s="1"/>
  <c r="O1414" i="3" s="1"/>
  <c r="M1372" i="3"/>
  <c r="N1372" i="3" s="1"/>
  <c r="M436" i="3"/>
  <c r="M2929" i="3"/>
  <c r="N2929" i="3" s="1"/>
  <c r="O2929" i="3" s="1"/>
  <c r="M2637" i="3"/>
  <c r="N2637" i="3" s="1"/>
  <c r="M2505" i="3"/>
  <c r="N2505" i="3" s="1"/>
  <c r="M1769" i="3"/>
  <c r="N1769" i="3" s="1"/>
  <c r="M1746" i="3"/>
  <c r="N1746" i="3" s="1"/>
  <c r="M1491" i="3"/>
  <c r="N1491" i="3" s="1"/>
  <c r="O2685" i="3"/>
  <c r="M322" i="3"/>
  <c r="N2921" i="3"/>
  <c r="O2921" i="3" s="1"/>
  <c r="M2899" i="3"/>
  <c r="O2894" i="3"/>
  <c r="P2894" i="3" s="1"/>
  <c r="M2861" i="3"/>
  <c r="N2861" i="3" s="1"/>
  <c r="M2839" i="3"/>
  <c r="N2839" i="3" s="1"/>
  <c r="O2839" i="3" s="1"/>
  <c r="O2821" i="3"/>
  <c r="M2813" i="3"/>
  <c r="N2813" i="3" s="1"/>
  <c r="M2763" i="3"/>
  <c r="N2763" i="3" s="1"/>
  <c r="N2759" i="3"/>
  <c r="O2759" i="3" s="1"/>
  <c r="N2731" i="3"/>
  <c r="O2731" i="3" s="1"/>
  <c r="N2689" i="3"/>
  <c r="O2689" i="3" s="1"/>
  <c r="O2565" i="3"/>
  <c r="N2547" i="3"/>
  <c r="O2547" i="3" s="1"/>
  <c r="M2541" i="3"/>
  <c r="N2541" i="3" s="1"/>
  <c r="M2517" i="3"/>
  <c r="N2517" i="3" s="1"/>
  <c r="O2517" i="3" s="1"/>
  <c r="N2511" i="3"/>
  <c r="O2511" i="3" s="1"/>
  <c r="M2485" i="3"/>
  <c r="N2485" i="3" s="1"/>
  <c r="O2477" i="3"/>
  <c r="M2463" i="3"/>
  <c r="N2463" i="3" s="1"/>
  <c r="N2448" i="3"/>
  <c r="O2448" i="3" s="1"/>
  <c r="M2441" i="3"/>
  <c r="N2441" i="3" s="1"/>
  <c r="M2436" i="3"/>
  <c r="N2436" i="3" s="1"/>
  <c r="N2432" i="3"/>
  <c r="O2432" i="3" s="1"/>
  <c r="M2427" i="3"/>
  <c r="N2427" i="3" s="1"/>
  <c r="N2421" i="3"/>
  <c r="O2421" i="3" s="1"/>
  <c r="N2405" i="3"/>
  <c r="O2405" i="3" s="1"/>
  <c r="N2373" i="3"/>
  <c r="O2373" i="3" s="1"/>
  <c r="M2329" i="3"/>
  <c r="N2329" i="3" s="1"/>
  <c r="M2123" i="3"/>
  <c r="N2123" i="3" s="1"/>
  <c r="N1988" i="3"/>
  <c r="O1988" i="3" s="1"/>
  <c r="M1961" i="3"/>
  <c r="N1961" i="3" s="1"/>
  <c r="O1961" i="3" s="1"/>
  <c r="M1862" i="3"/>
  <c r="N1862" i="3" s="1"/>
  <c r="O1862" i="3" s="1"/>
  <c r="N1546" i="3"/>
  <c r="O1546" i="3" s="1"/>
  <c r="M1497" i="3"/>
  <c r="N1497" i="3" s="1"/>
  <c r="O1497" i="3" s="1"/>
  <c r="N868" i="3"/>
  <c r="O868" i="3" s="1"/>
  <c r="M2501" i="3"/>
  <c r="N2501" i="3" s="1"/>
  <c r="M2107" i="3"/>
  <c r="M1682" i="3"/>
  <c r="N1682" i="3" s="1"/>
  <c r="M91" i="3"/>
  <c r="N91" i="3" s="1"/>
  <c r="M307" i="3"/>
  <c r="N2507" i="3"/>
  <c r="O2507" i="3" s="1"/>
  <c r="O2475" i="3"/>
  <c r="N2461" i="3"/>
  <c r="O2461" i="3" s="1"/>
  <c r="N2457" i="3"/>
  <c r="O2457" i="3" s="1"/>
  <c r="M2423" i="3"/>
  <c r="N2414" i="3"/>
  <c r="O2414" i="3" s="1"/>
  <c r="M2354" i="3"/>
  <c r="N2354" i="3" s="1"/>
  <c r="M2159" i="3"/>
  <c r="N2159" i="3" s="1"/>
  <c r="M2139" i="3"/>
  <c r="N2139" i="3" s="1"/>
  <c r="O2139" i="3" s="1"/>
  <c r="M2076" i="3"/>
  <c r="N2076" i="3" s="1"/>
  <c r="O2076" i="3" s="1"/>
  <c r="O1942" i="3"/>
  <c r="M1916" i="3"/>
  <c r="N1916" i="3" s="1"/>
  <c r="N1844" i="3"/>
  <c r="O1844" i="3" s="1"/>
  <c r="M1359" i="3"/>
  <c r="M388" i="3"/>
  <c r="N388" i="3" s="1"/>
  <c r="O388" i="3" s="1"/>
  <c r="N165" i="3"/>
  <c r="O165" i="3" s="1"/>
  <c r="M326" i="3"/>
  <c r="N2935" i="3"/>
  <c r="O2935" i="3" s="1"/>
  <c r="P2935" i="3" s="1"/>
  <c r="O2853" i="3"/>
  <c r="N2791" i="3"/>
  <c r="O2791" i="3" s="1"/>
  <c r="M2699" i="3"/>
  <c r="N2699" i="3" s="1"/>
  <c r="O2587" i="3"/>
  <c r="M2531" i="3"/>
  <c r="N2531" i="3" s="1"/>
  <c r="O2531" i="3" s="1"/>
  <c r="M2525" i="3"/>
  <c r="N2525" i="3" s="1"/>
  <c r="O2525" i="3" s="1"/>
  <c r="N2519" i="3"/>
  <c r="O2519" i="3" s="1"/>
  <c r="M2493" i="3"/>
  <c r="M2470" i="3"/>
  <c r="M2460" i="3"/>
  <c r="N2460" i="3" s="1"/>
  <c r="N2429" i="3"/>
  <c r="O2429" i="3" s="1"/>
  <c r="M2398" i="3"/>
  <c r="N2398" i="3" s="1"/>
  <c r="M2393" i="3"/>
  <c r="N2393" i="3" s="1"/>
  <c r="M2118" i="3"/>
  <c r="N2118" i="3" s="1"/>
  <c r="O2118" i="3" s="1"/>
  <c r="N2114" i="3"/>
  <c r="O2114" i="3" s="1"/>
  <c r="M1984" i="3"/>
  <c r="N1984" i="3" s="1"/>
  <c r="O1984" i="3" s="1"/>
  <c r="M1947" i="3"/>
  <c r="N43" i="3"/>
  <c r="O43" i="3" s="1"/>
  <c r="N2723" i="3"/>
  <c r="O2723" i="3" s="1"/>
  <c r="M2709" i="3"/>
  <c r="N2709" i="3" s="1"/>
  <c r="M2617" i="3"/>
  <c r="O2557" i="3"/>
  <c r="M2469" i="3"/>
  <c r="N2469" i="3" s="1"/>
  <c r="N2417" i="3"/>
  <c r="O2417" i="3" s="1"/>
  <c r="M2361" i="3"/>
  <c r="N2361" i="3" s="1"/>
  <c r="N2321" i="3"/>
  <c r="O2321" i="3" s="1"/>
  <c r="M2871" i="3"/>
  <c r="N2871" i="3" s="1"/>
  <c r="M53" i="3"/>
  <c r="N53" i="3" s="1"/>
  <c r="O53" i="3" s="1"/>
  <c r="N2885" i="3"/>
  <c r="O2885" i="3" s="1"/>
  <c r="N2767" i="3"/>
  <c r="O2767" i="3" s="1"/>
  <c r="O2741" i="3"/>
  <c r="M2703" i="3"/>
  <c r="N2703" i="3" s="1"/>
  <c r="O2703" i="3" s="1"/>
  <c r="M2605" i="3"/>
  <c r="O2573" i="3"/>
  <c r="N2535" i="3"/>
  <c r="O2535" i="3" s="1"/>
  <c r="M2529" i="3"/>
  <c r="N2529" i="3" s="1"/>
  <c r="O2529" i="3" s="1"/>
  <c r="N2523" i="3"/>
  <c r="O2523" i="3" s="1"/>
  <c r="M2497" i="3"/>
  <c r="N2491" i="3"/>
  <c r="O2491" i="3" s="1"/>
  <c r="N2480" i="3"/>
  <c r="O2480" i="3" s="1"/>
  <c r="M2473" i="3"/>
  <c r="N2473" i="3" s="1"/>
  <c r="N2455" i="3"/>
  <c r="O2455" i="3" s="1"/>
  <c r="N2341" i="3"/>
  <c r="O2341" i="3" s="1"/>
  <c r="M2059" i="3"/>
  <c r="M2034" i="3"/>
  <c r="N2034" i="3" s="1"/>
  <c r="O2034" i="3" s="1"/>
  <c r="M1996" i="3"/>
  <c r="N1996" i="3" s="1"/>
  <c r="M1606" i="3"/>
  <c r="N1586" i="3"/>
  <c r="O1586" i="3" s="1"/>
  <c r="N1151" i="3"/>
  <c r="O1151" i="3" s="1"/>
  <c r="M2775" i="3"/>
  <c r="N2775" i="3" s="1"/>
  <c r="O2775" i="3" s="1"/>
  <c r="M2749" i="3"/>
  <c r="N2749" i="3" s="1"/>
  <c r="M2691" i="3"/>
  <c r="M2386" i="3"/>
  <c r="N2386" i="3" s="1"/>
  <c r="O2386" i="3" s="1"/>
  <c r="M2110" i="3"/>
  <c r="M1981" i="3"/>
  <c r="N1981" i="3" s="1"/>
  <c r="M70" i="3"/>
  <c r="N70" i="3" s="1"/>
  <c r="O70" i="3" s="1"/>
  <c r="M129" i="3"/>
  <c r="N129" i="3" s="1"/>
  <c r="O129" i="3" s="1"/>
  <c r="N2799" i="3"/>
  <c r="O2799" i="3" s="1"/>
  <c r="N2705" i="3"/>
  <c r="O2705" i="3" s="1"/>
  <c r="N2499" i="3"/>
  <c r="O2499" i="3" s="1"/>
  <c r="M2464" i="3"/>
  <c r="N2464" i="3" s="1"/>
  <c r="O2464" i="3" s="1"/>
  <c r="O2445" i="3"/>
  <c r="M1920" i="3"/>
  <c r="N1920" i="3" s="1"/>
  <c r="O1920" i="3" s="1"/>
  <c r="M1852" i="3"/>
  <c r="N1852" i="3" s="1"/>
  <c r="O1852" i="3" s="1"/>
  <c r="N31" i="3"/>
  <c r="O31" i="3" s="1"/>
  <c r="N37" i="3"/>
  <c r="O37" i="3" s="1"/>
  <c r="N189" i="3"/>
  <c r="O189" i="3" s="1"/>
  <c r="N195" i="3"/>
  <c r="O195" i="3" s="1"/>
  <c r="M277" i="3"/>
  <c r="N277" i="3" s="1"/>
  <c r="O277" i="3" s="1"/>
  <c r="M318" i="3"/>
  <c r="N318" i="3" s="1"/>
  <c r="O323" i="3"/>
  <c r="N2937" i="3"/>
  <c r="O2937" i="3" s="1"/>
  <c r="P2937" i="3" s="1"/>
  <c r="M2915" i="3"/>
  <c r="N2915" i="3" s="1"/>
  <c r="N2903" i="3"/>
  <c r="O2903" i="3" s="1"/>
  <c r="N2876" i="3"/>
  <c r="O2876" i="3" s="1"/>
  <c r="N2855" i="3"/>
  <c r="O2855" i="3" s="1"/>
  <c r="O2837" i="3"/>
  <c r="M2807" i="3"/>
  <c r="N2807" i="3" s="1"/>
  <c r="O2807" i="3" s="1"/>
  <c r="O2789" i="3"/>
  <c r="M2781" i="3"/>
  <c r="N2781" i="3" s="1"/>
  <c r="N2735" i="3"/>
  <c r="O2735" i="3" s="1"/>
  <c r="O2581" i="3"/>
  <c r="M2509" i="3"/>
  <c r="N2509" i="3" s="1"/>
  <c r="O2509" i="3" s="1"/>
  <c r="N2503" i="3"/>
  <c r="O2503" i="3" s="1"/>
  <c r="M2467" i="3"/>
  <c r="N2467" i="3" s="1"/>
  <c r="N2451" i="3"/>
  <c r="O2451" i="3" s="1"/>
  <c r="M2425" i="3"/>
  <c r="N2425" i="3" s="1"/>
  <c r="O2411" i="3"/>
  <c r="M2400" i="3"/>
  <c r="N2400" i="3" s="1"/>
  <c r="O2400" i="3" s="1"/>
  <c r="M2368" i="3"/>
  <c r="N2368" i="3" s="1"/>
  <c r="O2368" i="3" s="1"/>
  <c r="M2134" i="3"/>
  <c r="N2134" i="3" s="1"/>
  <c r="M1977" i="3"/>
  <c r="N1977" i="3" s="1"/>
  <c r="O1977" i="3" s="1"/>
  <c r="M1929" i="3"/>
  <c r="N1929" i="3" s="1"/>
  <c r="O1929" i="3" s="1"/>
  <c r="M1872" i="3"/>
  <c r="N1872" i="3" s="1"/>
  <c r="N1814" i="3"/>
  <c r="O1814" i="3" s="1"/>
  <c r="M1642" i="3"/>
  <c r="N1642" i="3" s="1"/>
  <c r="O1642" i="3" s="1"/>
  <c r="M47" i="3"/>
  <c r="N47" i="3" s="1"/>
  <c r="O47" i="3" s="1"/>
  <c r="M61" i="3"/>
  <c r="N61" i="3" s="1"/>
  <c r="O61" i="3" s="1"/>
  <c r="M89" i="3"/>
  <c r="N89" i="3" s="1"/>
  <c r="O89" i="3" s="1"/>
  <c r="O2869" i="3"/>
  <c r="P2869" i="3" s="1"/>
  <c r="N2859" i="3"/>
  <c r="O2859" i="3" s="1"/>
  <c r="P2859" i="3" s="1"/>
  <c r="M2823" i="3"/>
  <c r="N2823" i="3" s="1"/>
  <c r="O2823" i="3" s="1"/>
  <c r="M2739" i="3"/>
  <c r="N2739" i="3" s="1"/>
  <c r="O2739" i="3" s="1"/>
  <c r="M2645" i="3"/>
  <c r="N2571" i="3"/>
  <c r="O2571" i="3" s="1"/>
  <c r="N2539" i="3"/>
  <c r="O2539" i="3" s="1"/>
  <c r="M2527" i="3"/>
  <c r="N2527" i="3" s="1"/>
  <c r="O2527" i="3" s="1"/>
  <c r="M2521" i="3"/>
  <c r="N2521" i="3" s="1"/>
  <c r="O2521" i="3" s="1"/>
  <c r="N2515" i="3"/>
  <c r="O2515" i="3" s="1"/>
  <c r="M2495" i="3"/>
  <c r="M2489" i="3"/>
  <c r="N2489" i="3" s="1"/>
  <c r="N2483" i="3"/>
  <c r="O2483" i="3" s="1"/>
  <c r="N2471" i="3"/>
  <c r="O2471" i="3" s="1"/>
  <c r="M2466" i="3"/>
  <c r="N2466" i="3" s="1"/>
  <c r="N2454" i="3"/>
  <c r="O2454" i="3" s="1"/>
  <c r="N2443" i="3"/>
  <c r="O2443" i="3" s="1"/>
  <c r="N2439" i="3"/>
  <c r="O2439" i="3" s="1"/>
  <c r="M2382" i="3"/>
  <c r="N2382" i="3" s="1"/>
  <c r="O2382" i="3" s="1"/>
  <c r="O2351" i="3"/>
  <c r="M2336" i="3"/>
  <c r="M2150" i="3"/>
  <c r="O2102" i="3"/>
  <c r="M2037" i="3"/>
  <c r="N2037" i="3" s="1"/>
  <c r="M2013" i="3"/>
  <c r="N2013" i="3" s="1"/>
  <c r="N2009" i="3"/>
  <c r="O2009" i="3" s="1"/>
  <c r="M1894" i="3"/>
  <c r="N1894" i="3" s="1"/>
  <c r="M1876" i="3"/>
  <c r="N1876" i="3" s="1"/>
  <c r="O1876" i="3" s="1"/>
  <c r="O2619" i="3"/>
  <c r="N2474" i="3"/>
  <c r="O2474" i="3" s="1"/>
  <c r="N2468" i="3"/>
  <c r="O2468" i="3" s="1"/>
  <c r="O2459" i="3"/>
  <c r="N2442" i="3"/>
  <c r="O2442" i="3" s="1"/>
  <c r="O2435" i="3"/>
  <c r="M2428" i="3"/>
  <c r="N2428" i="3" s="1"/>
  <c r="N2424" i="3"/>
  <c r="O2424" i="3" s="1"/>
  <c r="M2413" i="3"/>
  <c r="N2413" i="3" s="1"/>
  <c r="N2403" i="3"/>
  <c r="O2403" i="3" s="1"/>
  <c r="O2399" i="3"/>
  <c r="O2395" i="3"/>
  <c r="M2381" i="3"/>
  <c r="N2381" i="3" s="1"/>
  <c r="N2371" i="3"/>
  <c r="O2371" i="3" s="1"/>
  <c r="O2367" i="3"/>
  <c r="M2349" i="3"/>
  <c r="N2339" i="3"/>
  <c r="O2339" i="3" s="1"/>
  <c r="O2335" i="3"/>
  <c r="N2164" i="3"/>
  <c r="O2164" i="3" s="1"/>
  <c r="N2084" i="3"/>
  <c r="O2084" i="3" s="1"/>
  <c r="M1909" i="3"/>
  <c r="N1909" i="3" s="1"/>
  <c r="M1796" i="3"/>
  <c r="N1796" i="3" s="1"/>
  <c r="N1776" i="3"/>
  <c r="O1776" i="3" s="1"/>
  <c r="M1734" i="3"/>
  <c r="N1734" i="3" s="1"/>
  <c r="N1706" i="3"/>
  <c r="O1706" i="3" s="1"/>
  <c r="M1670" i="3"/>
  <c r="N1670" i="3" s="1"/>
  <c r="M1455" i="3"/>
  <c r="N1455" i="3" s="1"/>
  <c r="O1455" i="3" s="1"/>
  <c r="M1430" i="3"/>
  <c r="N1430" i="3" s="1"/>
  <c r="M943" i="3"/>
  <c r="N943" i="3" s="1"/>
  <c r="M314" i="3"/>
  <c r="N314" i="3" s="1"/>
  <c r="O314" i="3" s="1"/>
  <c r="O2933" i="3"/>
  <c r="M2804" i="3"/>
  <c r="N2804" i="3" s="1"/>
  <c r="O2804" i="3" s="1"/>
  <c r="N2462" i="3"/>
  <c r="O2462" i="3" s="1"/>
  <c r="N2456" i="3"/>
  <c r="O2456" i="3" s="1"/>
  <c r="O2453" i="3"/>
  <c r="O2447" i="3"/>
  <c r="N2420" i="3"/>
  <c r="O2420" i="3" s="1"/>
  <c r="N2406" i="3"/>
  <c r="O2406" i="3" s="1"/>
  <c r="N2374" i="3"/>
  <c r="O2374" i="3" s="1"/>
  <c r="N2342" i="3"/>
  <c r="O2342" i="3" s="1"/>
  <c r="M1974" i="3"/>
  <c r="N1974" i="3" s="1"/>
  <c r="N1954" i="3"/>
  <c r="O1954" i="3" s="1"/>
  <c r="N1932" i="3"/>
  <c r="O1932" i="3" s="1"/>
  <c r="O1906" i="3"/>
  <c r="N1884" i="3"/>
  <c r="O1884" i="3" s="1"/>
  <c r="N1838" i="3"/>
  <c r="O1838" i="3" s="1"/>
  <c r="N1828" i="3"/>
  <c r="O1828" i="3" s="1"/>
  <c r="N1724" i="3"/>
  <c r="O1724" i="3" s="1"/>
  <c r="N1610" i="3"/>
  <c r="O1610" i="3" s="1"/>
  <c r="M1574" i="3"/>
  <c r="N1574" i="3" s="1"/>
  <c r="N1247" i="3"/>
  <c r="O1247" i="3" s="1"/>
  <c r="N1225" i="3"/>
  <c r="O1225" i="3" s="1"/>
  <c r="M616" i="3"/>
  <c r="N616" i="3" s="1"/>
  <c r="M587" i="3"/>
  <c r="N587" i="3" s="1"/>
  <c r="O587" i="3" s="1"/>
  <c r="M568" i="3"/>
  <c r="N568" i="3" s="1"/>
  <c r="O568" i="3" s="1"/>
  <c r="O2943" i="3"/>
  <c r="P2943" i="3" s="1"/>
  <c r="O2911" i="3"/>
  <c r="N15" i="3"/>
  <c r="O15" i="3" s="1"/>
  <c r="N21" i="3"/>
  <c r="O21" i="3" s="1"/>
  <c r="N27" i="3"/>
  <c r="O27" i="3" s="1"/>
  <c r="N68" i="3"/>
  <c r="O68" i="3" s="1"/>
  <c r="N79" i="3"/>
  <c r="O79" i="3" s="1"/>
  <c r="M255" i="3"/>
  <c r="N255" i="3" s="1"/>
  <c r="M284" i="3"/>
  <c r="N62" i="3"/>
  <c r="O62" i="3" s="1"/>
  <c r="N209" i="3"/>
  <c r="O209" i="3" s="1"/>
  <c r="N273" i="3"/>
  <c r="O273" i="3" s="1"/>
  <c r="P273" i="3" s="1"/>
  <c r="N328" i="3"/>
  <c r="O328" i="3" s="1"/>
  <c r="O2907" i="3"/>
  <c r="P2907" i="3" s="1"/>
  <c r="O2892" i="3"/>
  <c r="P2892" i="3" s="1"/>
  <c r="O2890" i="3"/>
  <c r="P2890" i="3" s="1"/>
  <c r="O2771" i="3"/>
  <c r="O2721" i="3"/>
  <c r="N2482" i="3"/>
  <c r="O2482" i="3" s="1"/>
  <c r="N2476" i="3"/>
  <c r="O2476" i="3" s="1"/>
  <c r="N2450" i="3"/>
  <c r="O2450" i="3" s="1"/>
  <c r="N2444" i="3"/>
  <c r="O2444" i="3" s="1"/>
  <c r="N2438" i="3"/>
  <c r="O2438" i="3" s="1"/>
  <c r="M2419" i="3"/>
  <c r="N2419" i="3" s="1"/>
  <c r="N2412" i="3"/>
  <c r="O2412" i="3" s="1"/>
  <c r="N2402" i="3"/>
  <c r="O2402" i="3" s="1"/>
  <c r="M2384" i="3"/>
  <c r="N2370" i="3"/>
  <c r="O2370" i="3" s="1"/>
  <c r="M2352" i="3"/>
  <c r="N2338" i="3"/>
  <c r="O2338" i="3" s="1"/>
  <c r="N2140" i="3"/>
  <c r="O2140" i="3" s="1"/>
  <c r="M2031" i="3"/>
  <c r="N2031" i="3" s="1"/>
  <c r="M2027" i="3"/>
  <c r="N2027" i="3" s="1"/>
  <c r="N2022" i="3"/>
  <c r="O2022" i="3" s="1"/>
  <c r="O1970" i="3"/>
  <c r="M1883" i="3"/>
  <c r="N1883" i="3" s="1"/>
  <c r="N1812" i="3"/>
  <c r="O1812" i="3" s="1"/>
  <c r="N1798" i="3"/>
  <c r="O1798" i="3" s="1"/>
  <c r="N1728" i="3"/>
  <c r="O1728" i="3" s="1"/>
  <c r="M1383" i="3"/>
  <c r="N1383" i="3" s="1"/>
  <c r="M1251" i="3"/>
  <c r="N1251" i="3" s="1"/>
  <c r="O1251" i="3" s="1"/>
  <c r="M1207" i="3"/>
  <c r="N1207" i="3" s="1"/>
  <c r="O1207" i="3" s="1"/>
  <c r="N719" i="3"/>
  <c r="O719" i="3" s="1"/>
  <c r="O2166" i="3"/>
  <c r="O2132" i="3"/>
  <c r="O2086" i="3"/>
  <c r="N2068" i="3"/>
  <c r="O2068" i="3" s="1"/>
  <c r="M2052" i="3"/>
  <c r="N2052" i="3" s="1"/>
  <c r="N2047" i="3"/>
  <c r="O2047" i="3" s="1"/>
  <c r="N2005" i="3"/>
  <c r="O2005" i="3" s="1"/>
  <c r="N2002" i="3"/>
  <c r="O2002" i="3" s="1"/>
  <c r="N1973" i="3"/>
  <c r="O1973" i="3" s="1"/>
  <c r="N1958" i="3"/>
  <c r="O1958" i="3" s="1"/>
  <c r="M1940" i="3"/>
  <c r="N1940" i="3" s="1"/>
  <c r="O1940" i="3" s="1"/>
  <c r="M1935" i="3"/>
  <c r="M1913" i="3"/>
  <c r="N1913" i="3" s="1"/>
  <c r="N1892" i="3"/>
  <c r="O1892" i="3" s="1"/>
  <c r="M1845" i="3"/>
  <c r="N1845" i="3" s="1"/>
  <c r="N1842" i="3"/>
  <c r="O1842" i="3" s="1"/>
  <c r="M1807" i="3"/>
  <c r="N1807" i="3" s="1"/>
  <c r="N1801" i="3"/>
  <c r="O1801" i="3" s="1"/>
  <c r="M1747" i="3"/>
  <c r="N1747" i="3" s="1"/>
  <c r="N1742" i="3"/>
  <c r="O1742" i="3" s="1"/>
  <c r="N1738" i="3"/>
  <c r="O1738" i="3" s="1"/>
  <c r="N1732" i="3"/>
  <c r="O1732" i="3" s="1"/>
  <c r="N1674" i="3"/>
  <c r="O1674" i="3" s="1"/>
  <c r="M1638" i="3"/>
  <c r="N1638" i="3" s="1"/>
  <c r="N1618" i="3"/>
  <c r="O1618" i="3" s="1"/>
  <c r="M1382" i="3"/>
  <c r="N1382" i="3" s="1"/>
  <c r="O1382" i="3" s="1"/>
  <c r="N320" i="3"/>
  <c r="O320" i="3" s="1"/>
  <c r="N2458" i="3"/>
  <c r="O2458" i="3" s="1"/>
  <c r="N2452" i="3"/>
  <c r="O2452" i="3" s="1"/>
  <c r="M2440" i="3"/>
  <c r="N2440" i="3" s="1"/>
  <c r="O2440" i="3" s="1"/>
  <c r="N2437" i="3"/>
  <c r="O2437" i="3" s="1"/>
  <c r="N2430" i="3"/>
  <c r="O2430" i="3" s="1"/>
  <c r="M2422" i="3"/>
  <c r="M2397" i="3"/>
  <c r="N2397" i="3" s="1"/>
  <c r="N2387" i="3"/>
  <c r="O2387" i="3" s="1"/>
  <c r="O2379" i="3"/>
  <c r="M2365" i="3"/>
  <c r="N2365" i="3" s="1"/>
  <c r="N2355" i="3"/>
  <c r="O2355" i="3" s="1"/>
  <c r="O2347" i="3"/>
  <c r="M2333" i="3"/>
  <c r="N2333" i="3" s="1"/>
  <c r="N2148" i="3"/>
  <c r="O2148" i="3" s="1"/>
  <c r="N2143" i="3"/>
  <c r="O2143" i="3" s="1"/>
  <c r="N2127" i="3"/>
  <c r="O2127" i="3" s="1"/>
  <c r="M2095" i="3"/>
  <c r="N2095" i="3" s="1"/>
  <c r="O2095" i="3" s="1"/>
  <c r="M1963" i="3"/>
  <c r="M1917" i="3"/>
  <c r="N1891" i="3"/>
  <c r="O1891" i="3" s="1"/>
  <c r="M1868" i="3"/>
  <c r="N1868" i="3" s="1"/>
  <c r="M1849" i="3"/>
  <c r="N1849" i="3" s="1"/>
  <c r="O1849" i="3" s="1"/>
  <c r="M1819" i="3"/>
  <c r="N1819" i="3" s="1"/>
  <c r="N1756" i="3"/>
  <c r="O1756" i="3" s="1"/>
  <c r="N1578" i="3"/>
  <c r="O1578" i="3" s="1"/>
  <c r="M1542" i="3"/>
  <c r="N1542" i="3" s="1"/>
  <c r="M1487" i="3"/>
  <c r="N1331" i="3"/>
  <c r="O1331" i="3" s="1"/>
  <c r="M1254" i="3"/>
  <c r="N1254" i="3" s="1"/>
  <c r="M1018" i="3"/>
  <c r="N1018" i="3" s="1"/>
  <c r="O1018" i="3" s="1"/>
  <c r="M979" i="3"/>
  <c r="N979" i="3" s="1"/>
  <c r="M759" i="3"/>
  <c r="N759" i="3" s="1"/>
  <c r="N725" i="3"/>
  <c r="O725" i="3" s="1"/>
  <c r="N2888" i="3"/>
  <c r="O2888" i="3" s="1"/>
  <c r="N2478" i="3"/>
  <c r="O2478" i="3" s="1"/>
  <c r="N2472" i="3"/>
  <c r="O2472" i="3" s="1"/>
  <c r="N2446" i="3"/>
  <c r="O2446" i="3" s="1"/>
  <c r="N2390" i="3"/>
  <c r="O2390" i="3" s="1"/>
  <c r="N2358" i="3"/>
  <c r="O2358" i="3" s="1"/>
  <c r="N2100" i="3"/>
  <c r="O2100" i="3" s="1"/>
  <c r="M1957" i="3"/>
  <c r="M1951" i="3"/>
  <c r="N1951" i="3" s="1"/>
  <c r="M1899" i="3"/>
  <c r="N1899" i="3" s="1"/>
  <c r="M1822" i="3"/>
  <c r="M1782" i="3"/>
  <c r="N1782" i="3" s="1"/>
  <c r="M1702" i="3"/>
  <c r="N1702" i="3" s="1"/>
  <c r="O1702" i="3" s="1"/>
  <c r="M1492" i="3"/>
  <c r="N1492" i="3" s="1"/>
  <c r="O1492" i="3" s="1"/>
  <c r="M1354" i="3"/>
  <c r="N1354" i="3" s="1"/>
  <c r="M1273" i="3"/>
  <c r="N1273" i="3" s="1"/>
  <c r="O1273" i="3" s="1"/>
  <c r="M1095" i="3"/>
  <c r="N1095" i="3" s="1"/>
  <c r="M1388" i="3"/>
  <c r="N1388" i="3" s="1"/>
  <c r="M1358" i="3"/>
  <c r="N1358" i="3" s="1"/>
  <c r="M1341" i="3"/>
  <c r="N1341" i="3" s="1"/>
  <c r="O1341" i="3" s="1"/>
  <c r="M1318" i="3"/>
  <c r="M1255" i="3"/>
  <c r="N1255" i="3" s="1"/>
  <c r="O1255" i="3" s="1"/>
  <c r="M1183" i="3"/>
  <c r="N1183" i="3" s="1"/>
  <c r="M1117" i="3"/>
  <c r="N1117" i="3" s="1"/>
  <c r="O1117" i="3" s="1"/>
  <c r="M1107" i="3"/>
  <c r="N1107" i="3" s="1"/>
  <c r="O1107" i="3" s="1"/>
  <c r="N972" i="3"/>
  <c r="O972" i="3" s="1"/>
  <c r="N543" i="3"/>
  <c r="O543" i="3" s="1"/>
  <c r="N513" i="3"/>
  <c r="O513" i="3" s="1"/>
  <c r="M464" i="3"/>
  <c r="M448" i="3"/>
  <c r="N448" i="3" s="1"/>
  <c r="M394" i="3"/>
  <c r="N394" i="3" s="1"/>
  <c r="M378" i="3"/>
  <c r="N378" i="3" s="1"/>
  <c r="O378" i="3" s="1"/>
  <c r="P378" i="3" s="1"/>
  <c r="O2369" i="3"/>
  <c r="N2366" i="3"/>
  <c r="O2366" i="3" s="1"/>
  <c r="N2350" i="3"/>
  <c r="O2350" i="3" s="1"/>
  <c r="O2337" i="3"/>
  <c r="N2334" i="3"/>
  <c r="O2334" i="3" s="1"/>
  <c r="O2146" i="3"/>
  <c r="O2124" i="3"/>
  <c r="M1968" i="3"/>
  <c r="N1968" i="3" s="1"/>
  <c r="O1968" i="3" s="1"/>
  <c r="O1938" i="3"/>
  <c r="M1919" i="3"/>
  <c r="N1919" i="3" s="1"/>
  <c r="M1890" i="3"/>
  <c r="N1890" i="3" s="1"/>
  <c r="N1882" i="3"/>
  <c r="O1882" i="3" s="1"/>
  <c r="N1780" i="3"/>
  <c r="O1780" i="3" s="1"/>
  <c r="M1753" i="3"/>
  <c r="N1753" i="3" s="1"/>
  <c r="N1750" i="3"/>
  <c r="O1750" i="3" s="1"/>
  <c r="N1736" i="3"/>
  <c r="O1736" i="3" s="1"/>
  <c r="N1469" i="3"/>
  <c r="O1469" i="3" s="1"/>
  <c r="M1413" i="3"/>
  <c r="N1413" i="3" s="1"/>
  <c r="N1408" i="3"/>
  <c r="O1408" i="3" s="1"/>
  <c r="M1369" i="3"/>
  <c r="N1369" i="3" s="1"/>
  <c r="N1345" i="3"/>
  <c r="O1345" i="3" s="1"/>
  <c r="M1323" i="3"/>
  <c r="N1323" i="3" s="1"/>
  <c r="M1263" i="3"/>
  <c r="N1263" i="3" s="1"/>
  <c r="O1263" i="3" s="1"/>
  <c r="N1259" i="3"/>
  <c r="O1259" i="3" s="1"/>
  <c r="M1083" i="3"/>
  <c r="N1083" i="3" s="1"/>
  <c r="O1083" i="3" s="1"/>
  <c r="N1062" i="3"/>
  <c r="O1062" i="3" s="1"/>
  <c r="M901" i="3"/>
  <c r="N901" i="3" s="1"/>
  <c r="M552" i="3"/>
  <c r="N552" i="3" s="1"/>
  <c r="O2407" i="3"/>
  <c r="O2391" i="3"/>
  <c r="O2375" i="3"/>
  <c r="O2060" i="3"/>
  <c r="N2038" i="3"/>
  <c r="O2038" i="3" s="1"/>
  <c r="N2032" i="3"/>
  <c r="O2032" i="3" s="1"/>
  <c r="N2006" i="3"/>
  <c r="O2006" i="3" s="1"/>
  <c r="N1956" i="3"/>
  <c r="O1956" i="3" s="1"/>
  <c r="N1926" i="3"/>
  <c r="O1926" i="3" s="1"/>
  <c r="N1922" i="3"/>
  <c r="O1922" i="3" s="1"/>
  <c r="N1910" i="3"/>
  <c r="O1910" i="3" s="1"/>
  <c r="N1904" i="3"/>
  <c r="O1904" i="3" s="1"/>
  <c r="M1869" i="3"/>
  <c r="M1839" i="3"/>
  <c r="N1839" i="3" s="1"/>
  <c r="O1820" i="3"/>
  <c r="M1813" i="3"/>
  <c r="N1813" i="3" s="1"/>
  <c r="O1810" i="3"/>
  <c r="N1760" i="3"/>
  <c r="O1760" i="3" s="1"/>
  <c r="N1740" i="3"/>
  <c r="O1740" i="3" s="1"/>
  <c r="N1708" i="3"/>
  <c r="O1708" i="3" s="1"/>
  <c r="N1514" i="3"/>
  <c r="O1514" i="3" s="1"/>
  <c r="M1423" i="3"/>
  <c r="N1423" i="3" s="1"/>
  <c r="M1350" i="3"/>
  <c r="M1322" i="3"/>
  <c r="N1287" i="3"/>
  <c r="O1287" i="3" s="1"/>
  <c r="O1212" i="3"/>
  <c r="O1159" i="3"/>
  <c r="M1001" i="3"/>
  <c r="N1001" i="3" s="1"/>
  <c r="M801" i="3"/>
  <c r="N801" i="3" s="1"/>
  <c r="O801" i="3" s="1"/>
  <c r="M796" i="3"/>
  <c r="N787" i="3"/>
  <c r="O787" i="3" s="1"/>
  <c r="N620" i="3"/>
  <c r="O620" i="3" s="1"/>
  <c r="N573" i="3"/>
  <c r="O573" i="3" s="1"/>
  <c r="N2416" i="3"/>
  <c r="O2416" i="3" s="1"/>
  <c r="N2323" i="3"/>
  <c r="O2323" i="3" s="1"/>
  <c r="N2077" i="3"/>
  <c r="O2077" i="3" s="1"/>
  <c r="N2062" i="3"/>
  <c r="O2062" i="3" s="1"/>
  <c r="N2045" i="3"/>
  <c r="O2045" i="3" s="1"/>
  <c r="O2018" i="3"/>
  <c r="N1999" i="3"/>
  <c r="O1999" i="3" s="1"/>
  <c r="N1993" i="3"/>
  <c r="O1993" i="3" s="1"/>
  <c r="N1989" i="3"/>
  <c r="O1989" i="3" s="1"/>
  <c r="N1972" i="3"/>
  <c r="O1972" i="3" s="1"/>
  <c r="N1967" i="3"/>
  <c r="O1967" i="3" s="1"/>
  <c r="N1952" i="3"/>
  <c r="O1952" i="3" s="1"/>
  <c r="M1936" i="3"/>
  <c r="N1936" i="3" s="1"/>
  <c r="O1936" i="3" s="1"/>
  <c r="M1933" i="3"/>
  <c r="N1933" i="3" s="1"/>
  <c r="N1925" i="3"/>
  <c r="O1925" i="3" s="1"/>
  <c r="M1903" i="3"/>
  <c r="N1903" i="3" s="1"/>
  <c r="O1858" i="3"/>
  <c r="O1830" i="3"/>
  <c r="N1816" i="3"/>
  <c r="O1816" i="3" s="1"/>
  <c r="N1764" i="3"/>
  <c r="O1764" i="3" s="1"/>
  <c r="N1744" i="3"/>
  <c r="O1744" i="3" s="1"/>
  <c r="N1712" i="3"/>
  <c r="O1712" i="3" s="1"/>
  <c r="M1493" i="3"/>
  <c r="N1493" i="3" s="1"/>
  <c r="O1493" i="3" s="1"/>
  <c r="N1488" i="3"/>
  <c r="O1488" i="3" s="1"/>
  <c r="N1446" i="3"/>
  <c r="O1446" i="3" s="1"/>
  <c r="M1286" i="3"/>
  <c r="N1187" i="3"/>
  <c r="O1187" i="3" s="1"/>
  <c r="N1050" i="3"/>
  <c r="O1050" i="3" s="1"/>
  <c r="M1007" i="3"/>
  <c r="N1007" i="3" s="1"/>
  <c r="O1007" i="3" s="1"/>
  <c r="M995" i="3"/>
  <c r="N995" i="3" s="1"/>
  <c r="M795" i="3"/>
  <c r="M644" i="3"/>
  <c r="N644" i="3" s="1"/>
  <c r="N624" i="3"/>
  <c r="O624" i="3" s="1"/>
  <c r="N2048" i="3"/>
  <c r="O2048" i="3" s="1"/>
  <c r="M1979" i="3"/>
  <c r="N1979" i="3" s="1"/>
  <c r="N1888" i="3"/>
  <c r="O1888" i="3" s="1"/>
  <c r="O1826" i="3"/>
  <c r="N1792" i="3"/>
  <c r="O1792" i="3" s="1"/>
  <c r="M1748" i="3"/>
  <c r="N1716" i="3"/>
  <c r="O1716" i="3" s="1"/>
  <c r="M1405" i="3"/>
  <c r="N1396" i="3"/>
  <c r="O1396" i="3" s="1"/>
  <c r="M1355" i="3"/>
  <c r="N1355" i="3" s="1"/>
  <c r="M1326" i="3"/>
  <c r="N1326" i="3" s="1"/>
  <c r="M1309" i="3"/>
  <c r="N1309" i="3" s="1"/>
  <c r="M1291" i="3"/>
  <c r="N1291" i="3" s="1"/>
  <c r="O1291" i="3" s="1"/>
  <c r="O1276" i="3"/>
  <c r="M1199" i="3"/>
  <c r="M1013" i="3"/>
  <c r="O988" i="3"/>
  <c r="N934" i="3"/>
  <c r="O934" i="3" s="1"/>
  <c r="M922" i="3"/>
  <c r="N922" i="3" s="1"/>
  <c r="M911" i="3"/>
  <c r="N911" i="3" s="1"/>
  <c r="M845" i="3"/>
  <c r="N845" i="3" s="1"/>
  <c r="O845" i="3" s="1"/>
  <c r="N695" i="3"/>
  <c r="O695" i="3" s="1"/>
  <c r="M652" i="3"/>
  <c r="M638" i="3"/>
  <c r="N638" i="3" s="1"/>
  <c r="N1494" i="3"/>
  <c r="O1494" i="3" s="1"/>
  <c r="M1421" i="3"/>
  <c r="N1421" i="3" s="1"/>
  <c r="M1362" i="3"/>
  <c r="N1362" i="3" s="1"/>
  <c r="M1330" i="3"/>
  <c r="N1330" i="3" s="1"/>
  <c r="N1307" i="3"/>
  <c r="O1307" i="3" s="1"/>
  <c r="N1285" i="3"/>
  <c r="O1285" i="3" s="1"/>
  <c r="N1275" i="3"/>
  <c r="O1275" i="3" s="1"/>
  <c r="N1241" i="3"/>
  <c r="O1241" i="3" s="1"/>
  <c r="N1219" i="3"/>
  <c r="O1219" i="3" s="1"/>
  <c r="N1215" i="3"/>
  <c r="O1215" i="3" s="1"/>
  <c r="M1206" i="3"/>
  <c r="N1206" i="3" s="1"/>
  <c r="N1191" i="3"/>
  <c r="O1191" i="3" s="1"/>
  <c r="M1181" i="3"/>
  <c r="N1181" i="3" s="1"/>
  <c r="O1181" i="3" s="1"/>
  <c r="N1167" i="3"/>
  <c r="O1167" i="3" s="1"/>
  <c r="N1017" i="3"/>
  <c r="O1017" i="3" s="1"/>
  <c r="M969" i="3"/>
  <c r="N969" i="3" s="1"/>
  <c r="O969" i="3" s="1"/>
  <c r="M785" i="3"/>
  <c r="N785" i="3" s="1"/>
  <c r="N775" i="3"/>
  <c r="O775" i="3" s="1"/>
  <c r="N711" i="3"/>
  <c r="O711" i="3" s="1"/>
  <c r="M656" i="3"/>
  <c r="N656" i="3" s="1"/>
  <c r="M614" i="3"/>
  <c r="N600" i="3"/>
  <c r="O600" i="3" s="1"/>
  <c r="M478" i="3"/>
  <c r="N478" i="3" s="1"/>
  <c r="O1986" i="3"/>
  <c r="O1948" i="3"/>
  <c r="N1856" i="3"/>
  <c r="O1856" i="3" s="1"/>
  <c r="N1515" i="3"/>
  <c r="O1515" i="3" s="1"/>
  <c r="N1486" i="3"/>
  <c r="O1486" i="3" s="1"/>
  <c r="N1453" i="3"/>
  <c r="O1453" i="3" s="1"/>
  <c r="N1412" i="3"/>
  <c r="O1412" i="3" s="1"/>
  <c r="N1407" i="3"/>
  <c r="O1407" i="3" s="1"/>
  <c r="N1361" i="3"/>
  <c r="O1361" i="3" s="1"/>
  <c r="N1343" i="3"/>
  <c r="O1343" i="3" s="1"/>
  <c r="M1334" i="3"/>
  <c r="N1334" i="3" s="1"/>
  <c r="N1329" i="3"/>
  <c r="O1329" i="3" s="1"/>
  <c r="N1311" i="3"/>
  <c r="O1311" i="3" s="1"/>
  <c r="M1302" i="3"/>
  <c r="N1289" i="3"/>
  <c r="O1289" i="3" s="1"/>
  <c r="N1281" i="3"/>
  <c r="O1281" i="3" s="1"/>
  <c r="N1271" i="3"/>
  <c r="O1271" i="3" s="1"/>
  <c r="O1268" i="3"/>
  <c r="N1257" i="3"/>
  <c r="O1257" i="3" s="1"/>
  <c r="O1228" i="3"/>
  <c r="M1223" i="3"/>
  <c r="N1223" i="3" s="1"/>
  <c r="O1223" i="3" s="1"/>
  <c r="N1171" i="3"/>
  <c r="O1171" i="3" s="1"/>
  <c r="N1149" i="3"/>
  <c r="O1149" i="3" s="1"/>
  <c r="N1133" i="3"/>
  <c r="O1133" i="3" s="1"/>
  <c r="M1072" i="3"/>
  <c r="N1072" i="3" s="1"/>
  <c r="O1072" i="3" s="1"/>
  <c r="M1043" i="3"/>
  <c r="N1043" i="3" s="1"/>
  <c r="O1043" i="3" s="1"/>
  <c r="M1023" i="3"/>
  <c r="N1023" i="3" s="1"/>
  <c r="O1023" i="3" s="1"/>
  <c r="N908" i="3"/>
  <c r="O908" i="3" s="1"/>
  <c r="N887" i="3"/>
  <c r="O887" i="3" s="1"/>
  <c r="N804" i="3"/>
  <c r="O804" i="3" s="1"/>
  <c r="N767" i="3"/>
  <c r="O767" i="3" s="1"/>
  <c r="M717" i="3"/>
  <c r="N717" i="3" s="1"/>
  <c r="M1444" i="3"/>
  <c r="N1444" i="3" s="1"/>
  <c r="O1444" i="3" s="1"/>
  <c r="N1424" i="3"/>
  <c r="O1424" i="3" s="1"/>
  <c r="M1385" i="3"/>
  <c r="N1385" i="3" s="1"/>
  <c r="N1380" i="3"/>
  <c r="O1380" i="3" s="1"/>
  <c r="N1366" i="3"/>
  <c r="O1366" i="3" s="1"/>
  <c r="M1338" i="3"/>
  <c r="N1338" i="3" s="1"/>
  <c r="M1306" i="3"/>
  <c r="N1306" i="3" s="1"/>
  <c r="O1296" i="3"/>
  <c r="O1292" i="3"/>
  <c r="N1267" i="3"/>
  <c r="O1267" i="3" s="1"/>
  <c r="N1235" i="3"/>
  <c r="O1235" i="3" s="1"/>
  <c r="N1231" i="3"/>
  <c r="O1231" i="3" s="1"/>
  <c r="M1222" i="3"/>
  <c r="N1175" i="3"/>
  <c r="O1175" i="3" s="1"/>
  <c r="N1036" i="3"/>
  <c r="O1036" i="3" s="1"/>
  <c r="M931" i="3"/>
  <c r="M853" i="3"/>
  <c r="N853" i="3" s="1"/>
  <c r="N818" i="3"/>
  <c r="O818" i="3" s="1"/>
  <c r="N571" i="3"/>
  <c r="O571" i="3" s="1"/>
  <c r="M565" i="3"/>
  <c r="N565" i="3" s="1"/>
  <c r="O565" i="3" s="1"/>
  <c r="M452" i="3"/>
  <c r="N452" i="3" s="1"/>
  <c r="O452" i="3" s="1"/>
  <c r="M432" i="3"/>
  <c r="N432" i="3" s="1"/>
  <c r="N1471" i="3"/>
  <c r="O1471" i="3" s="1"/>
  <c r="N1460" i="3"/>
  <c r="O1460" i="3" s="1"/>
  <c r="N1452" i="3"/>
  <c r="O1452" i="3" s="1"/>
  <c r="M1447" i="3"/>
  <c r="N1447" i="3" s="1"/>
  <c r="O1447" i="3" s="1"/>
  <c r="N1439" i="3"/>
  <c r="O1439" i="3" s="1"/>
  <c r="N1431" i="3"/>
  <c r="O1431" i="3" s="1"/>
  <c r="N1428" i="3"/>
  <c r="O1428" i="3" s="1"/>
  <c r="N1373" i="3"/>
  <c r="O1373" i="3" s="1"/>
  <c r="N1351" i="3"/>
  <c r="O1351" i="3" s="1"/>
  <c r="M1342" i="3"/>
  <c r="N1342" i="3" s="1"/>
  <c r="N1337" i="3"/>
  <c r="O1337" i="3" s="1"/>
  <c r="N1319" i="3"/>
  <c r="O1319" i="3" s="1"/>
  <c r="M1310" i="3"/>
  <c r="N1305" i="3"/>
  <c r="O1305" i="3" s="1"/>
  <c r="O1260" i="3"/>
  <c r="O1244" i="3"/>
  <c r="M1239" i="3"/>
  <c r="N1239" i="3" s="1"/>
  <c r="O1239" i="3" s="1"/>
  <c r="M1070" i="3"/>
  <c r="N1070" i="3" s="1"/>
  <c r="O1070" i="3" s="1"/>
  <c r="M966" i="3"/>
  <c r="N966" i="3" s="1"/>
  <c r="M863" i="3"/>
  <c r="N863" i="3" s="1"/>
  <c r="O863" i="3" s="1"/>
  <c r="O703" i="3"/>
  <c r="N666" i="3"/>
  <c r="O666" i="3" s="1"/>
  <c r="N598" i="3"/>
  <c r="O598" i="3" s="1"/>
  <c r="M549" i="3"/>
  <c r="N549" i="3" s="1"/>
  <c r="O549" i="3" s="1"/>
  <c r="M496" i="3"/>
  <c r="M1397" i="3"/>
  <c r="N1397" i="3" s="1"/>
  <c r="O1397" i="3" s="1"/>
  <c r="N1392" i="3"/>
  <c r="O1392" i="3" s="1"/>
  <c r="M1346" i="3"/>
  <c r="M1314" i="3"/>
  <c r="N1314" i="3" s="1"/>
  <c r="O1284" i="3"/>
  <c r="M1270" i="3"/>
  <c r="M1238" i="3"/>
  <c r="N1238" i="3" s="1"/>
  <c r="N1209" i="3"/>
  <c r="O1209" i="3" s="1"/>
  <c r="O1143" i="3"/>
  <c r="M1103" i="3"/>
  <c r="N1103" i="3" s="1"/>
  <c r="M1014" i="3"/>
  <c r="N1014" i="3" s="1"/>
  <c r="M862" i="3"/>
  <c r="N862" i="3" s="1"/>
  <c r="M773" i="3"/>
  <c r="N773" i="3" s="1"/>
  <c r="O773" i="3" s="1"/>
  <c r="M765" i="3"/>
  <c r="N765" i="3" s="1"/>
  <c r="N709" i="3"/>
  <c r="O709" i="3" s="1"/>
  <c r="M679" i="3"/>
  <c r="N669" i="3"/>
  <c r="O669" i="3" s="1"/>
  <c r="O593" i="3"/>
  <c r="N564" i="3"/>
  <c r="O564" i="3" s="1"/>
  <c r="M501" i="3"/>
  <c r="N501" i="3" s="1"/>
  <c r="O501" i="3" s="1"/>
  <c r="M458" i="3"/>
  <c r="N458" i="3" s="1"/>
  <c r="M442" i="3"/>
  <c r="N442" i="3" s="1"/>
  <c r="N1081" i="3"/>
  <c r="O1081" i="3" s="1"/>
  <c r="M1016" i="3"/>
  <c r="N1016" i="3" s="1"/>
  <c r="O1016" i="3" s="1"/>
  <c r="M1011" i="3"/>
  <c r="N1011" i="3" s="1"/>
  <c r="N1004" i="3"/>
  <c r="O1004" i="3" s="1"/>
  <c r="N965" i="3"/>
  <c r="O965" i="3" s="1"/>
  <c r="M924" i="3"/>
  <c r="N924" i="3" s="1"/>
  <c r="N918" i="3"/>
  <c r="O918" i="3" s="1"/>
  <c r="N915" i="3"/>
  <c r="O915" i="3" s="1"/>
  <c r="N909" i="3"/>
  <c r="O909" i="3" s="1"/>
  <c r="N895" i="3"/>
  <c r="O895" i="3" s="1"/>
  <c r="M846" i="3"/>
  <c r="N846" i="3" s="1"/>
  <c r="N834" i="3"/>
  <c r="O834" i="3" s="1"/>
  <c r="M812" i="3"/>
  <c r="N812" i="3" s="1"/>
  <c r="O812" i="3" s="1"/>
  <c r="O793" i="3"/>
  <c r="M743" i="3"/>
  <c r="N687" i="3"/>
  <c r="O687" i="3" s="1"/>
  <c r="N628" i="3"/>
  <c r="O628" i="3" s="1"/>
  <c r="N604" i="3"/>
  <c r="O604" i="3" s="1"/>
  <c r="N596" i="3"/>
  <c r="O596" i="3" s="1"/>
  <c r="M519" i="3"/>
  <c r="N519" i="3" s="1"/>
  <c r="N1077" i="3"/>
  <c r="O1077" i="3" s="1"/>
  <c r="N1000" i="3"/>
  <c r="O1000" i="3" s="1"/>
  <c r="N970" i="3"/>
  <c r="O970" i="3" s="1"/>
  <c r="N960" i="3"/>
  <c r="O960" i="3" s="1"/>
  <c r="M885" i="3"/>
  <c r="N885" i="3" s="1"/>
  <c r="N879" i="3"/>
  <c r="O879" i="3" s="1"/>
  <c r="M860" i="3"/>
  <c r="N837" i="3"/>
  <c r="O837" i="3" s="1"/>
  <c r="M799" i="3"/>
  <c r="O783" i="3"/>
  <c r="O780" i="3"/>
  <c r="N632" i="3"/>
  <c r="O632" i="3" s="1"/>
  <c r="M591" i="3"/>
  <c r="N591" i="3" s="1"/>
  <c r="N536" i="3"/>
  <c r="O536" i="3" s="1"/>
  <c r="N507" i="3"/>
  <c r="O507" i="3" s="1"/>
  <c r="M426" i="3"/>
  <c r="N426" i="3" s="1"/>
  <c r="M420" i="3"/>
  <c r="N420" i="3" s="1"/>
  <c r="N382" i="3"/>
  <c r="O382" i="3" s="1"/>
  <c r="P382" i="3" s="1"/>
  <c r="O1252" i="3"/>
  <c r="O1236" i="3"/>
  <c r="O1220" i="3"/>
  <c r="O1204" i="3"/>
  <c r="N1020" i="3"/>
  <c r="O1020" i="3" s="1"/>
  <c r="M975" i="3"/>
  <c r="N870" i="3"/>
  <c r="O870" i="3" s="1"/>
  <c r="N854" i="3"/>
  <c r="O854" i="3" s="1"/>
  <c r="M815" i="3"/>
  <c r="N815" i="3" s="1"/>
  <c r="O815" i="3" s="1"/>
  <c r="M701" i="3"/>
  <c r="N575" i="3"/>
  <c r="O575" i="3" s="1"/>
  <c r="M523" i="3"/>
  <c r="O1462" i="3"/>
  <c r="M1029" i="3"/>
  <c r="N1029" i="3" s="1"/>
  <c r="M949" i="3"/>
  <c r="N944" i="3"/>
  <c r="O944" i="3" s="1"/>
  <c r="M893" i="3"/>
  <c r="N878" i="3"/>
  <c r="O878" i="3" s="1"/>
  <c r="O810" i="3"/>
  <c r="M791" i="3"/>
  <c r="N791" i="3" s="1"/>
  <c r="O791" i="3" s="1"/>
  <c r="O770" i="3"/>
  <c r="N751" i="3"/>
  <c r="O751" i="3" s="1"/>
  <c r="N735" i="3"/>
  <c r="O735" i="3" s="1"/>
  <c r="N583" i="3"/>
  <c r="O583" i="3" s="1"/>
  <c r="M364" i="3"/>
  <c r="N986" i="3"/>
  <c r="O986" i="3" s="1"/>
  <c r="N981" i="3"/>
  <c r="O981" i="3" s="1"/>
  <c r="N959" i="3"/>
  <c r="O959" i="3" s="1"/>
  <c r="N912" i="3"/>
  <c r="O912" i="3" s="1"/>
  <c r="N886" i="3"/>
  <c r="O886" i="3" s="1"/>
  <c r="N869" i="3"/>
  <c r="O869" i="3" s="1"/>
  <c r="O802" i="3"/>
  <c r="O792" i="3"/>
  <c r="N548" i="3"/>
  <c r="O548" i="3" s="1"/>
  <c r="N541" i="3"/>
  <c r="O541" i="3" s="1"/>
  <c r="N537" i="3"/>
  <c r="O537" i="3" s="1"/>
  <c r="N534" i="3"/>
  <c r="O534" i="3" s="1"/>
  <c r="N527" i="3"/>
  <c r="O527" i="3" s="1"/>
  <c r="N511" i="3"/>
  <c r="O511" i="3" s="1"/>
  <c r="N480" i="3"/>
  <c r="O480" i="3" s="1"/>
  <c r="N474" i="3"/>
  <c r="O474" i="3" s="1"/>
  <c r="O950" i="3"/>
  <c r="N894" i="3"/>
  <c r="O894" i="3" s="1"/>
  <c r="N1024" i="3"/>
  <c r="O1024" i="3" s="1"/>
  <c r="N1002" i="3"/>
  <c r="O1002" i="3" s="1"/>
  <c r="N954" i="3"/>
  <c r="O954" i="3" s="1"/>
  <c r="N928" i="3"/>
  <c r="O928" i="3" s="1"/>
  <c r="N902" i="3"/>
  <c r="O902" i="3" s="1"/>
  <c r="N838" i="3"/>
  <c r="O838" i="3" s="1"/>
  <c r="O786" i="3"/>
  <c r="O776" i="3"/>
  <c r="N608" i="3"/>
  <c r="O608" i="3" s="1"/>
  <c r="N516" i="3"/>
  <c r="O516" i="3" s="1"/>
  <c r="N2896" i="3"/>
  <c r="O2896" i="3" s="1"/>
  <c r="P2896" i="3" s="1"/>
  <c r="N2884" i="3"/>
  <c r="O2884" i="3" s="1"/>
  <c r="P2884" i="3" s="1"/>
  <c r="N2880" i="3"/>
  <c r="O2880" i="3" s="1"/>
  <c r="N2593" i="3"/>
  <c r="O2593" i="3" s="1"/>
  <c r="M1864" i="3"/>
  <c r="N1864" i="3" s="1"/>
  <c r="N1779" i="3"/>
  <c r="O1779" i="3" s="1"/>
  <c r="N2854" i="3"/>
  <c r="O2854" i="3" s="1"/>
  <c r="P2854" i="3" s="1"/>
  <c r="N2838" i="3"/>
  <c r="O2838" i="3" s="1"/>
  <c r="N2774" i="3"/>
  <c r="O2774" i="3" s="1"/>
  <c r="O2883" i="3"/>
  <c r="N2680" i="3"/>
  <c r="O2680" i="3" s="1"/>
  <c r="N2664" i="3"/>
  <c r="O2664" i="3" s="1"/>
  <c r="M2632" i="3"/>
  <c r="N2632" i="3" s="1"/>
  <c r="O2632" i="3" s="1"/>
  <c r="M2592" i="3"/>
  <c r="N2592" i="3" s="1"/>
  <c r="O2592" i="3" s="1"/>
  <c r="N2577" i="3"/>
  <c r="O2577" i="3" s="1"/>
  <c r="M2500" i="3"/>
  <c r="N2500" i="3" s="1"/>
  <c r="O2500" i="3" s="1"/>
  <c r="M2608" i="3"/>
  <c r="N2608" i="3" s="1"/>
  <c r="O2608" i="3" s="1"/>
  <c r="M2508" i="3"/>
  <c r="N2508" i="3" s="1"/>
  <c r="M2324" i="3"/>
  <c r="N2324" i="3" s="1"/>
  <c r="O2324" i="3" s="1"/>
  <c r="N1818" i="3"/>
  <c r="O1818" i="3" s="1"/>
  <c r="N1795" i="3"/>
  <c r="O1795" i="3" s="1"/>
  <c r="N1763" i="3"/>
  <c r="O1763" i="3" s="1"/>
  <c r="M1474" i="3"/>
  <c r="N1474" i="3" s="1"/>
  <c r="O2843" i="3"/>
  <c r="N2822" i="3"/>
  <c r="O2822" i="3" s="1"/>
  <c r="O2811" i="3"/>
  <c r="N2806" i="3"/>
  <c r="O2806" i="3" s="1"/>
  <c r="N2790" i="3"/>
  <c r="O2790" i="3" s="1"/>
  <c r="N2758" i="3"/>
  <c r="O2758" i="3" s="1"/>
  <c r="M2736" i="3"/>
  <c r="N2736" i="3" s="1"/>
  <c r="M2724" i="3"/>
  <c r="M2704" i="3"/>
  <c r="M2692" i="3"/>
  <c r="O2683" i="3"/>
  <c r="N2657" i="3"/>
  <c r="O2657" i="3" s="1"/>
  <c r="M2636" i="3"/>
  <c r="N2625" i="3"/>
  <c r="O2625" i="3" s="1"/>
  <c r="M2600" i="3"/>
  <c r="N2600" i="3" s="1"/>
  <c r="O2600" i="3" s="1"/>
  <c r="N2585" i="3"/>
  <c r="O2585" i="3" s="1"/>
  <c r="O2555" i="3"/>
  <c r="M2536" i="3"/>
  <c r="N2536" i="3" s="1"/>
  <c r="O2536" i="3" s="1"/>
  <c r="M2504" i="3"/>
  <c r="N2504" i="3" s="1"/>
  <c r="O2504" i="3" s="1"/>
  <c r="N2866" i="3"/>
  <c r="O2866" i="3" s="1"/>
  <c r="N2856" i="3"/>
  <c r="O2856" i="3" s="1"/>
  <c r="P2856" i="3" s="1"/>
  <c r="M2848" i="3"/>
  <c r="N2848" i="3" s="1"/>
  <c r="N2840" i="3"/>
  <c r="O2840" i="3" s="1"/>
  <c r="M2832" i="3"/>
  <c r="N2832" i="3" s="1"/>
  <c r="N2824" i="3"/>
  <c r="O2824" i="3" s="1"/>
  <c r="M2816" i="3"/>
  <c r="N2808" i="3"/>
  <c r="O2808" i="3" s="1"/>
  <c r="M2800" i="3"/>
  <c r="N2792" i="3"/>
  <c r="O2792" i="3" s="1"/>
  <c r="M2784" i="3"/>
  <c r="N2776" i="3"/>
  <c r="O2776" i="3" s="1"/>
  <c r="M2768" i="3"/>
  <c r="N2760" i="3"/>
  <c r="O2760" i="3" s="1"/>
  <c r="M2752" i="3"/>
  <c r="N2744" i="3"/>
  <c r="O2744" i="3" s="1"/>
  <c r="M2732" i="3"/>
  <c r="N2712" i="3"/>
  <c r="O2712" i="3" s="1"/>
  <c r="M2700" i="3"/>
  <c r="N2700" i="3" s="1"/>
  <c r="O2603" i="3"/>
  <c r="M2584" i="3"/>
  <c r="N2569" i="3"/>
  <c r="O2569" i="3" s="1"/>
  <c r="M2528" i="3"/>
  <c r="N2528" i="3" s="1"/>
  <c r="O2528" i="3" s="1"/>
  <c r="M2496" i="3"/>
  <c r="N2496" i="3" s="1"/>
  <c r="O2496" i="3" s="1"/>
  <c r="O2635" i="3"/>
  <c r="O2887" i="3"/>
  <c r="P2887" i="3" s="1"/>
  <c r="N2726" i="3"/>
  <c r="O2726" i="3" s="1"/>
  <c r="N2694" i="3"/>
  <c r="O2694" i="3" s="1"/>
  <c r="M2656" i="3"/>
  <c r="M2624" i="3"/>
  <c r="M2576" i="3"/>
  <c r="N2561" i="3"/>
  <c r="O2561" i="3" s="1"/>
  <c r="M2524" i="3"/>
  <c r="N2524" i="3" s="1"/>
  <c r="O2524" i="3" s="1"/>
  <c r="M2492" i="3"/>
  <c r="N2492" i="3" s="1"/>
  <c r="M2864" i="3"/>
  <c r="N2864" i="3" s="1"/>
  <c r="O2875" i="3"/>
  <c r="N2868" i="3"/>
  <c r="O2868" i="3" s="1"/>
  <c r="N2858" i="3"/>
  <c r="O2858" i="3" s="1"/>
  <c r="P2858" i="3" s="1"/>
  <c r="N2850" i="3"/>
  <c r="O2850" i="3" s="1"/>
  <c r="P2850" i="3" s="1"/>
  <c r="N2834" i="3"/>
  <c r="O2834" i="3" s="1"/>
  <c r="N2818" i="3"/>
  <c r="O2818" i="3" s="1"/>
  <c r="N2802" i="3"/>
  <c r="O2802" i="3" s="1"/>
  <c r="N2786" i="3"/>
  <c r="O2786" i="3" s="1"/>
  <c r="N2770" i="3"/>
  <c r="O2770" i="3" s="1"/>
  <c r="N2754" i="3"/>
  <c r="O2754" i="3" s="1"/>
  <c r="M2740" i="3"/>
  <c r="N2740" i="3" s="1"/>
  <c r="O2740" i="3" s="1"/>
  <c r="M2720" i="3"/>
  <c r="N2720" i="3" s="1"/>
  <c r="M2708" i="3"/>
  <c r="M2688" i="3"/>
  <c r="N2688" i="3" s="1"/>
  <c r="O2688" i="3" s="1"/>
  <c r="M2652" i="3"/>
  <c r="N2652" i="3" s="1"/>
  <c r="N2641" i="3"/>
  <c r="O2641" i="3" s="1"/>
  <c r="M2620" i="3"/>
  <c r="N2609" i="3"/>
  <c r="O2609" i="3" s="1"/>
  <c r="M2568" i="3"/>
  <c r="N2568" i="3" s="1"/>
  <c r="O2568" i="3" s="1"/>
  <c r="N2553" i="3"/>
  <c r="O2553" i="3" s="1"/>
  <c r="M2520" i="3"/>
  <c r="N2520" i="3" s="1"/>
  <c r="O2520" i="3" s="1"/>
  <c r="M2488" i="3"/>
  <c r="N2488" i="3" s="1"/>
  <c r="O2488" i="3" s="1"/>
  <c r="M2544" i="3"/>
  <c r="N2544" i="3" s="1"/>
  <c r="O2891" i="3"/>
  <c r="P2891" i="3" s="1"/>
  <c r="N2886" i="3"/>
  <c r="O2886" i="3" s="1"/>
  <c r="P2886" i="3" s="1"/>
  <c r="N2870" i="3"/>
  <c r="O2870" i="3" s="1"/>
  <c r="O2867" i="3"/>
  <c r="O2857" i="3"/>
  <c r="O2849" i="3"/>
  <c r="O2841" i="3"/>
  <c r="O2833" i="3"/>
  <c r="O2825" i="3"/>
  <c r="O2817" i="3"/>
  <c r="O2809" i="3"/>
  <c r="O2801" i="3"/>
  <c r="O2793" i="3"/>
  <c r="O2785" i="3"/>
  <c r="O2777" i="3"/>
  <c r="O2769" i="3"/>
  <c r="O2761" i="3"/>
  <c r="O2753" i="3"/>
  <c r="O2745" i="3"/>
  <c r="O2713" i="3"/>
  <c r="O2681" i="3"/>
  <c r="M2678" i="3"/>
  <c r="N2678" i="3" s="1"/>
  <c r="M2672" i="3"/>
  <c r="N2672" i="3" s="1"/>
  <c r="O2665" i="3"/>
  <c r="M2662" i="3"/>
  <c r="N2662" i="3" s="1"/>
  <c r="O2662" i="3" s="1"/>
  <c r="M2648" i="3"/>
  <c r="N2648" i="3" s="1"/>
  <c r="O2648" i="3" s="1"/>
  <c r="M2616" i="3"/>
  <c r="N2616" i="3" s="1"/>
  <c r="M2560" i="3"/>
  <c r="N2560" i="3" s="1"/>
  <c r="N2545" i="3"/>
  <c r="O2545" i="3" s="1"/>
  <c r="M2516" i="3"/>
  <c r="N2516" i="3" s="1"/>
  <c r="M2484" i="3"/>
  <c r="N2484" i="3" s="1"/>
  <c r="M2640" i="3"/>
  <c r="N2640" i="3" s="1"/>
  <c r="O2640" i="3" s="1"/>
  <c r="N2874" i="3"/>
  <c r="O2874" i="3" s="1"/>
  <c r="N2897" i="3"/>
  <c r="O2897" i="3" s="1"/>
  <c r="P2897" i="3" s="1"/>
  <c r="M2895" i="3"/>
  <c r="N2895" i="3" s="1"/>
  <c r="O2893" i="3"/>
  <c r="N2881" i="3"/>
  <c r="O2881" i="3" s="1"/>
  <c r="P2881" i="3" s="1"/>
  <c r="M2879" i="3"/>
  <c r="N2879" i="3" s="1"/>
  <c r="O2877" i="3"/>
  <c r="N2872" i="3"/>
  <c r="O2872" i="3" s="1"/>
  <c r="P2872" i="3" s="1"/>
  <c r="N2860" i="3"/>
  <c r="O2860" i="3" s="1"/>
  <c r="P2860" i="3" s="1"/>
  <c r="N2852" i="3"/>
  <c r="O2852" i="3" s="1"/>
  <c r="M2844" i="3"/>
  <c r="N2836" i="3"/>
  <c r="O2836" i="3" s="1"/>
  <c r="M2828" i="3"/>
  <c r="N2828" i="3" s="1"/>
  <c r="O2828" i="3" s="1"/>
  <c r="N2820" i="3"/>
  <c r="O2820" i="3" s="1"/>
  <c r="M2812" i="3"/>
  <c r="M2796" i="3"/>
  <c r="N2796" i="3" s="1"/>
  <c r="O2796" i="3" s="1"/>
  <c r="N2788" i="3"/>
  <c r="O2788" i="3" s="1"/>
  <c r="M2780" i="3"/>
  <c r="N2772" i="3"/>
  <c r="O2772" i="3" s="1"/>
  <c r="M2764" i="3"/>
  <c r="N2756" i="3"/>
  <c r="O2756" i="3" s="1"/>
  <c r="M2748" i="3"/>
  <c r="M2742" i="3"/>
  <c r="N2742" i="3" s="1"/>
  <c r="O2742" i="3" s="1"/>
  <c r="O2733" i="3"/>
  <c r="N2728" i="3"/>
  <c r="O2728" i="3" s="1"/>
  <c r="O2719" i="3"/>
  <c r="M2716" i="3"/>
  <c r="N2716" i="3" s="1"/>
  <c r="M2710" i="3"/>
  <c r="N2710" i="3" s="1"/>
  <c r="O2701" i="3"/>
  <c r="N2696" i="3"/>
  <c r="O2696" i="3" s="1"/>
  <c r="O2687" i="3"/>
  <c r="M2684" i="3"/>
  <c r="N2684" i="3" s="1"/>
  <c r="O2684" i="3" s="1"/>
  <c r="O2677" i="3"/>
  <c r="N2671" i="3"/>
  <c r="O2671" i="3" s="1"/>
  <c r="M2668" i="3"/>
  <c r="N2668" i="3" s="1"/>
  <c r="O2668" i="3" s="1"/>
  <c r="O2661" i="3"/>
  <c r="O2633" i="3"/>
  <c r="O2629" i="3"/>
  <c r="N2601" i="3"/>
  <c r="O2601" i="3" s="1"/>
  <c r="M2552" i="3"/>
  <c r="N2552" i="3" s="1"/>
  <c r="N2537" i="3"/>
  <c r="O2537" i="3" s="1"/>
  <c r="M2512" i="3"/>
  <c r="N2512" i="3" s="1"/>
  <c r="O2512" i="3" s="1"/>
  <c r="N2738" i="3"/>
  <c r="O2738" i="3" s="1"/>
  <c r="N2722" i="3"/>
  <c r="O2722" i="3" s="1"/>
  <c r="N2706" i="3"/>
  <c r="O2706" i="3" s="1"/>
  <c r="N2690" i="3"/>
  <c r="O2690" i="3" s="1"/>
  <c r="N2674" i="3"/>
  <c r="O2674" i="3" s="1"/>
  <c r="N2658" i="3"/>
  <c r="O2658" i="3" s="1"/>
  <c r="O2655" i="3"/>
  <c r="N2642" i="3"/>
  <c r="O2642" i="3" s="1"/>
  <c r="O2639" i="3"/>
  <c r="N2626" i="3"/>
  <c r="O2626" i="3" s="1"/>
  <c r="O2623" i="3"/>
  <c r="N2610" i="3"/>
  <c r="O2610" i="3" s="1"/>
  <c r="O2607" i="3"/>
  <c r="N2594" i="3"/>
  <c r="O2594" i="3" s="1"/>
  <c r="O2591" i="3"/>
  <c r="N2578" i="3"/>
  <c r="O2578" i="3" s="1"/>
  <c r="O2575" i="3"/>
  <c r="N2562" i="3"/>
  <c r="O2562" i="3" s="1"/>
  <c r="O2559" i="3"/>
  <c r="N2546" i="3"/>
  <c r="O2546" i="3" s="1"/>
  <c r="O2543" i="3"/>
  <c r="N2530" i="3"/>
  <c r="O2530" i="3" s="1"/>
  <c r="N2404" i="3"/>
  <c r="O2404" i="3" s="1"/>
  <c r="N2388" i="3"/>
  <c r="O2388" i="3" s="1"/>
  <c r="N2372" i="3"/>
  <c r="O2372" i="3" s="1"/>
  <c r="N2356" i="3"/>
  <c r="O2356" i="3" s="1"/>
  <c r="N2340" i="3"/>
  <c r="O2340" i="3" s="1"/>
  <c r="M2014" i="3"/>
  <c r="M1928" i="3"/>
  <c r="N1928" i="3" s="1"/>
  <c r="O1928" i="3" s="1"/>
  <c r="N2676" i="3"/>
  <c r="O2676" i="3" s="1"/>
  <c r="N2660" i="3"/>
  <c r="O2660" i="3" s="1"/>
  <c r="N2644" i="3"/>
  <c r="O2644" i="3" s="1"/>
  <c r="N2628" i="3"/>
  <c r="O2628" i="3" s="1"/>
  <c r="N2612" i="3"/>
  <c r="O2612" i="3" s="1"/>
  <c r="N2596" i="3"/>
  <c r="O2596" i="3" s="1"/>
  <c r="N2580" i="3"/>
  <c r="O2580" i="3" s="1"/>
  <c r="N2564" i="3"/>
  <c r="O2564" i="3" s="1"/>
  <c r="N2548" i="3"/>
  <c r="O2548" i="3" s="1"/>
  <c r="N2532" i="3"/>
  <c r="O2532" i="3" s="1"/>
  <c r="N2522" i="3"/>
  <c r="O2522" i="3" s="1"/>
  <c r="N2514" i="3"/>
  <c r="O2514" i="3" s="1"/>
  <c r="N2506" i="3"/>
  <c r="O2506" i="3" s="1"/>
  <c r="N2498" i="3"/>
  <c r="O2498" i="3" s="1"/>
  <c r="N2490" i="3"/>
  <c r="O2490" i="3" s="1"/>
  <c r="N2434" i="3"/>
  <c r="O2434" i="3" s="1"/>
  <c r="N2426" i="3"/>
  <c r="O2426" i="3" s="1"/>
  <c r="N2418" i="3"/>
  <c r="O2418" i="3" s="1"/>
  <c r="N2410" i="3"/>
  <c r="O2410" i="3" s="1"/>
  <c r="N2394" i="3"/>
  <c r="O2394" i="3" s="1"/>
  <c r="N2378" i="3"/>
  <c r="O2378" i="3" s="1"/>
  <c r="N2362" i="3"/>
  <c r="O2362" i="3" s="1"/>
  <c r="N2346" i="3"/>
  <c r="O2346" i="3" s="1"/>
  <c r="N2330" i="3"/>
  <c r="O2330" i="3" s="1"/>
  <c r="M2142" i="3"/>
  <c r="M2120" i="3"/>
  <c r="N2120" i="3" s="1"/>
  <c r="M2071" i="3"/>
  <c r="N2071" i="3" s="1"/>
  <c r="O2071" i="3" s="1"/>
  <c r="N2646" i="3"/>
  <c r="O2646" i="3" s="1"/>
  <c r="N2630" i="3"/>
  <c r="O2630" i="3" s="1"/>
  <c r="N2614" i="3"/>
  <c r="O2614" i="3" s="1"/>
  <c r="N2598" i="3"/>
  <c r="O2598" i="3" s="1"/>
  <c r="N2582" i="3"/>
  <c r="O2582" i="3" s="1"/>
  <c r="N2566" i="3"/>
  <c r="O2566" i="3" s="1"/>
  <c r="N2550" i="3"/>
  <c r="O2550" i="3" s="1"/>
  <c r="N2534" i="3"/>
  <c r="O2534" i="3" s="1"/>
  <c r="M2312" i="3"/>
  <c r="N2312" i="3" s="1"/>
  <c r="O2312" i="3" s="1"/>
  <c r="M2160" i="3"/>
  <c r="N2160" i="3" s="1"/>
  <c r="O2160" i="3" s="1"/>
  <c r="N2326" i="3"/>
  <c r="O2326" i="3" s="1"/>
  <c r="M1992" i="3"/>
  <c r="N1992" i="3" s="1"/>
  <c r="O1992" i="3" s="1"/>
  <c r="N2842" i="3"/>
  <c r="O2842" i="3" s="1"/>
  <c r="P2842" i="3" s="1"/>
  <c r="N2826" i="3"/>
  <c r="O2826" i="3" s="1"/>
  <c r="N2810" i="3"/>
  <c r="O2810" i="3" s="1"/>
  <c r="N2794" i="3"/>
  <c r="O2794" i="3" s="1"/>
  <c r="N2778" i="3"/>
  <c r="O2778" i="3" s="1"/>
  <c r="N2762" i="3"/>
  <c r="O2762" i="3" s="1"/>
  <c r="N2746" i="3"/>
  <c r="O2746" i="3" s="1"/>
  <c r="N2730" i="3"/>
  <c r="O2730" i="3" s="1"/>
  <c r="N2714" i="3"/>
  <c r="O2714" i="3" s="1"/>
  <c r="N2698" i="3"/>
  <c r="O2698" i="3" s="1"/>
  <c r="N2682" i="3"/>
  <c r="O2682" i="3" s="1"/>
  <c r="N2666" i="3"/>
  <c r="O2666" i="3" s="1"/>
  <c r="N2650" i="3"/>
  <c r="O2650" i="3" s="1"/>
  <c r="N2634" i="3"/>
  <c r="O2634" i="3" s="1"/>
  <c r="N2618" i="3"/>
  <c r="O2618" i="3" s="1"/>
  <c r="N2602" i="3"/>
  <c r="O2602" i="3" s="1"/>
  <c r="N2586" i="3"/>
  <c r="O2586" i="3" s="1"/>
  <c r="N2570" i="3"/>
  <c r="O2570" i="3" s="1"/>
  <c r="N2554" i="3"/>
  <c r="O2554" i="3" s="1"/>
  <c r="N2538" i="3"/>
  <c r="O2538" i="3" s="1"/>
  <c r="N2396" i="3"/>
  <c r="O2396" i="3" s="1"/>
  <c r="N2380" i="3"/>
  <c r="O2380" i="3" s="1"/>
  <c r="N2364" i="3"/>
  <c r="O2364" i="3" s="1"/>
  <c r="N2348" i="3"/>
  <c r="O2348" i="3" s="1"/>
  <c r="N2332" i="3"/>
  <c r="O2332" i="3" s="1"/>
  <c r="N2604" i="3"/>
  <c r="O2604" i="3" s="1"/>
  <c r="N2588" i="3"/>
  <c r="O2588" i="3" s="1"/>
  <c r="N2572" i="3"/>
  <c r="O2572" i="3" s="1"/>
  <c r="N2556" i="3"/>
  <c r="O2556" i="3" s="1"/>
  <c r="N2540" i="3"/>
  <c r="O2540" i="3" s="1"/>
  <c r="N2526" i="3"/>
  <c r="O2526" i="3" s="1"/>
  <c r="N2518" i="3"/>
  <c r="O2518" i="3" s="1"/>
  <c r="N2510" i="3"/>
  <c r="O2510" i="3" s="1"/>
  <c r="N2502" i="3"/>
  <c r="O2502" i="3" s="1"/>
  <c r="N2494" i="3"/>
  <c r="O2494" i="3" s="1"/>
  <c r="N2486" i="3"/>
  <c r="O2486" i="3" s="1"/>
  <c r="M2309" i="3"/>
  <c r="N2309" i="3" s="1"/>
  <c r="O2309" i="3" s="1"/>
  <c r="M2135" i="3"/>
  <c r="N2135" i="3" s="1"/>
  <c r="O2135" i="3" s="1"/>
  <c r="M2078" i="3"/>
  <c r="N2078" i="3" s="1"/>
  <c r="O2078" i="3" s="1"/>
  <c r="N1950" i="3"/>
  <c r="O1950" i="3" s="1"/>
  <c r="N2862" i="3"/>
  <c r="O2862" i="3" s="1"/>
  <c r="N2846" i="3"/>
  <c r="O2846" i="3" s="1"/>
  <c r="P2846" i="3" s="1"/>
  <c r="N2830" i="3"/>
  <c r="O2830" i="3" s="1"/>
  <c r="N2814" i="3"/>
  <c r="O2814" i="3" s="1"/>
  <c r="N2798" i="3"/>
  <c r="O2798" i="3" s="1"/>
  <c r="N2782" i="3"/>
  <c r="O2782" i="3" s="1"/>
  <c r="N2766" i="3"/>
  <c r="O2766" i="3" s="1"/>
  <c r="N2750" i="3"/>
  <c r="O2750" i="3" s="1"/>
  <c r="N2734" i="3"/>
  <c r="O2734" i="3" s="1"/>
  <c r="N2718" i="3"/>
  <c r="O2718" i="3" s="1"/>
  <c r="N2702" i="3"/>
  <c r="O2702" i="3" s="1"/>
  <c r="N2686" i="3"/>
  <c r="O2686" i="3" s="1"/>
  <c r="N2670" i="3"/>
  <c r="O2670" i="3" s="1"/>
  <c r="N2654" i="3"/>
  <c r="O2654" i="3" s="1"/>
  <c r="N2638" i="3"/>
  <c r="O2638" i="3" s="1"/>
  <c r="N2622" i="3"/>
  <c r="O2622" i="3" s="1"/>
  <c r="N2606" i="3"/>
  <c r="O2606" i="3" s="1"/>
  <c r="N2590" i="3"/>
  <c r="O2590" i="3" s="1"/>
  <c r="N2574" i="3"/>
  <c r="O2574" i="3" s="1"/>
  <c r="N2558" i="3"/>
  <c r="O2558" i="3" s="1"/>
  <c r="N2542" i="3"/>
  <c r="O2542" i="3" s="1"/>
  <c r="N2408" i="3"/>
  <c r="O2408" i="3" s="1"/>
  <c r="N2392" i="3"/>
  <c r="O2392" i="3" s="1"/>
  <c r="N2376" i="3"/>
  <c r="O2376" i="3" s="1"/>
  <c r="N2360" i="3"/>
  <c r="O2360" i="3" s="1"/>
  <c r="N2344" i="3"/>
  <c r="O2344" i="3" s="1"/>
  <c r="N2328" i="3"/>
  <c r="O2328" i="3" s="1"/>
  <c r="M2096" i="3"/>
  <c r="N2096" i="3" s="1"/>
  <c r="O2096" i="3" s="1"/>
  <c r="M2056" i="3"/>
  <c r="N2056" i="3" s="1"/>
  <c r="O2056" i="3" s="1"/>
  <c r="M2007" i="3"/>
  <c r="N2007" i="3" s="1"/>
  <c r="M2318" i="3"/>
  <c r="N2318" i="3" s="1"/>
  <c r="N2315" i="3"/>
  <c r="O2315" i="3" s="1"/>
  <c r="N2305" i="3"/>
  <c r="O2305" i="3" s="1"/>
  <c r="N2301" i="3"/>
  <c r="O2301" i="3" s="1"/>
  <c r="N2297" i="3"/>
  <c r="O2297" i="3" s="1"/>
  <c r="N2293" i="3"/>
  <c r="O2293" i="3" s="1"/>
  <c r="N2289" i="3"/>
  <c r="O2289" i="3" s="1"/>
  <c r="N2285" i="3"/>
  <c r="O2285" i="3" s="1"/>
  <c r="N2281" i="3"/>
  <c r="O2281" i="3" s="1"/>
  <c r="N2277" i="3"/>
  <c r="O2277" i="3" s="1"/>
  <c r="N2273" i="3"/>
  <c r="O2273" i="3" s="1"/>
  <c r="N2269" i="3"/>
  <c r="O2269" i="3" s="1"/>
  <c r="N2265" i="3"/>
  <c r="O2265" i="3" s="1"/>
  <c r="N2261" i="3"/>
  <c r="O2261" i="3" s="1"/>
  <c r="N2257" i="3"/>
  <c r="O2257" i="3" s="1"/>
  <c r="N2253" i="3"/>
  <c r="O2253" i="3" s="1"/>
  <c r="N2249" i="3"/>
  <c r="O2249" i="3" s="1"/>
  <c r="N2245" i="3"/>
  <c r="O2245" i="3" s="1"/>
  <c r="N2241" i="3"/>
  <c r="O2241" i="3" s="1"/>
  <c r="N2237" i="3"/>
  <c r="O2237" i="3" s="1"/>
  <c r="N2233" i="3"/>
  <c r="O2233" i="3" s="1"/>
  <c r="N2229" i="3"/>
  <c r="O2229" i="3" s="1"/>
  <c r="N2225" i="3"/>
  <c r="O2225" i="3" s="1"/>
  <c r="N2221" i="3"/>
  <c r="O2221" i="3" s="1"/>
  <c r="N2217" i="3"/>
  <c r="O2217" i="3" s="1"/>
  <c r="N2213" i="3"/>
  <c r="O2213" i="3" s="1"/>
  <c r="N2209" i="3"/>
  <c r="O2209" i="3" s="1"/>
  <c r="N2205" i="3"/>
  <c r="O2205" i="3" s="1"/>
  <c r="N2201" i="3"/>
  <c r="O2201" i="3" s="1"/>
  <c r="N2197" i="3"/>
  <c r="O2197" i="3" s="1"/>
  <c r="N2193" i="3"/>
  <c r="O2193" i="3" s="1"/>
  <c r="N2189" i="3"/>
  <c r="O2189" i="3" s="1"/>
  <c r="N2185" i="3"/>
  <c r="O2185" i="3" s="1"/>
  <c r="N2181" i="3"/>
  <c r="O2181" i="3" s="1"/>
  <c r="N2177" i="3"/>
  <c r="O2177" i="3" s="1"/>
  <c r="N2173" i="3"/>
  <c r="O2173" i="3" s="1"/>
  <c r="N2169" i="3"/>
  <c r="O2169" i="3" s="1"/>
  <c r="M2163" i="3"/>
  <c r="N2163" i="3" s="1"/>
  <c r="N2154" i="3"/>
  <c r="O2154" i="3" s="1"/>
  <c r="M2129" i="3"/>
  <c r="N2129" i="3" s="1"/>
  <c r="O2129" i="3" s="1"/>
  <c r="M2105" i="3"/>
  <c r="N2105" i="3" s="1"/>
  <c r="M2099" i="3"/>
  <c r="N2099" i="3" s="1"/>
  <c r="N2090" i="3"/>
  <c r="O2090" i="3" s="1"/>
  <c r="M2065" i="3"/>
  <c r="N2065" i="3" s="1"/>
  <c r="M2035" i="3"/>
  <c r="N2035" i="3" s="1"/>
  <c r="N2026" i="3"/>
  <c r="O2026" i="3" s="1"/>
  <c r="M2001" i="3"/>
  <c r="N2001" i="3" s="1"/>
  <c r="O2001" i="3" s="1"/>
  <c r="M1971" i="3"/>
  <c r="N1971" i="3" s="1"/>
  <c r="N1962" i="3"/>
  <c r="O1962" i="3" s="1"/>
  <c r="M1937" i="3"/>
  <c r="N1937" i="3" s="1"/>
  <c r="O1937" i="3" s="1"/>
  <c r="M1880" i="3"/>
  <c r="N1880" i="3" s="1"/>
  <c r="M1841" i="3"/>
  <c r="N1841" i="3" s="1"/>
  <c r="N1809" i="3"/>
  <c r="O1809" i="3" s="1"/>
  <c r="M1518" i="3"/>
  <c r="N1518" i="3" s="1"/>
  <c r="N1511" i="3"/>
  <c r="O1511" i="3" s="1"/>
  <c r="M2308" i="3"/>
  <c r="N2308" i="3" s="1"/>
  <c r="M2304" i="3"/>
  <c r="N2304" i="3" s="1"/>
  <c r="M2300" i="3"/>
  <c r="N2300" i="3" s="1"/>
  <c r="O2300" i="3" s="1"/>
  <c r="M2296" i="3"/>
  <c r="N2296" i="3" s="1"/>
  <c r="O2296" i="3" s="1"/>
  <c r="M2292" i="3"/>
  <c r="N2292" i="3" s="1"/>
  <c r="M2288" i="3"/>
  <c r="N2288" i="3" s="1"/>
  <c r="M2284" i="3"/>
  <c r="N2284" i="3" s="1"/>
  <c r="O2284" i="3" s="1"/>
  <c r="M2280" i="3"/>
  <c r="N2280" i="3" s="1"/>
  <c r="M2276" i="3"/>
  <c r="N2276" i="3" s="1"/>
  <c r="M2272" i="3"/>
  <c r="N2272" i="3" s="1"/>
  <c r="M2268" i="3"/>
  <c r="N2268" i="3" s="1"/>
  <c r="O2268" i="3" s="1"/>
  <c r="M2264" i="3"/>
  <c r="N2264" i="3" s="1"/>
  <c r="O2264" i="3" s="1"/>
  <c r="M2260" i="3"/>
  <c r="M2256" i="3"/>
  <c r="N2256" i="3" s="1"/>
  <c r="M2252" i="3"/>
  <c r="N2252" i="3" s="1"/>
  <c r="O2252" i="3" s="1"/>
  <c r="M2248" i="3"/>
  <c r="N2248" i="3" s="1"/>
  <c r="M2244" i="3"/>
  <c r="M2240" i="3"/>
  <c r="M2236" i="3"/>
  <c r="N2236" i="3" s="1"/>
  <c r="O2236" i="3" s="1"/>
  <c r="M2232" i="3"/>
  <c r="N2232" i="3" s="1"/>
  <c r="O2232" i="3" s="1"/>
  <c r="M2228" i="3"/>
  <c r="N2228" i="3" s="1"/>
  <c r="M2224" i="3"/>
  <c r="N2224" i="3" s="1"/>
  <c r="M2220" i="3"/>
  <c r="N2220" i="3" s="1"/>
  <c r="O2220" i="3" s="1"/>
  <c r="M2216" i="3"/>
  <c r="N2216" i="3" s="1"/>
  <c r="M2212" i="3"/>
  <c r="N2212" i="3" s="1"/>
  <c r="O2212" i="3" s="1"/>
  <c r="M2208" i="3"/>
  <c r="N2208" i="3" s="1"/>
  <c r="M2204" i="3"/>
  <c r="N2204" i="3" s="1"/>
  <c r="O2204" i="3" s="1"/>
  <c r="M2200" i="3"/>
  <c r="N2200" i="3" s="1"/>
  <c r="O2200" i="3" s="1"/>
  <c r="M2196" i="3"/>
  <c r="N2196" i="3" s="1"/>
  <c r="M2192" i="3"/>
  <c r="N2192" i="3" s="1"/>
  <c r="M2188" i="3"/>
  <c r="N2188" i="3" s="1"/>
  <c r="O2188" i="3" s="1"/>
  <c r="M2184" i="3"/>
  <c r="N2184" i="3" s="1"/>
  <c r="M2180" i="3"/>
  <c r="M2176" i="3"/>
  <c r="N2176" i="3" s="1"/>
  <c r="M2172" i="3"/>
  <c r="N2172" i="3" s="1"/>
  <c r="O2172" i="3" s="1"/>
  <c r="M2168" i="3"/>
  <c r="N2168" i="3" s="1"/>
  <c r="O2168" i="3" s="1"/>
  <c r="N2144" i="3"/>
  <c r="O2144" i="3" s="1"/>
  <c r="M2119" i="3"/>
  <c r="O2108" i="3"/>
  <c r="M2104" i="3"/>
  <c r="N2104" i="3" s="1"/>
  <c r="O2104" i="3" s="1"/>
  <c r="N2080" i="3"/>
  <c r="O2080" i="3" s="1"/>
  <c r="M2055" i="3"/>
  <c r="N2055" i="3" s="1"/>
  <c r="O2050" i="3"/>
  <c r="O2044" i="3"/>
  <c r="M2040" i="3"/>
  <c r="N2040" i="3" s="1"/>
  <c r="O2040" i="3" s="1"/>
  <c r="N2016" i="3"/>
  <c r="O2016" i="3" s="1"/>
  <c r="M1991" i="3"/>
  <c r="N1991" i="3" s="1"/>
  <c r="M1976" i="3"/>
  <c r="N1976" i="3" s="1"/>
  <c r="O1976" i="3" s="1"/>
  <c r="M1912" i="3"/>
  <c r="N1912" i="3" s="1"/>
  <c r="O1912" i="3" s="1"/>
  <c r="O1900" i="3"/>
  <c r="M1896" i="3"/>
  <c r="N1896" i="3" s="1"/>
  <c r="O1896" i="3" s="1"/>
  <c r="M1857" i="3"/>
  <c r="N1857" i="3" s="1"/>
  <c r="O1752" i="3"/>
  <c r="M2314" i="3"/>
  <c r="N2314" i="3" s="1"/>
  <c r="N2311" i="3"/>
  <c r="O2311" i="3" s="1"/>
  <c r="M2153" i="3"/>
  <c r="N2153" i="3" s="1"/>
  <c r="O2153" i="3" s="1"/>
  <c r="M2147" i="3"/>
  <c r="N2147" i="3" s="1"/>
  <c r="O2147" i="3" s="1"/>
  <c r="N2138" i="3"/>
  <c r="O2138" i="3" s="1"/>
  <c r="M2113" i="3"/>
  <c r="N2113" i="3" s="1"/>
  <c r="M2089" i="3"/>
  <c r="M2083" i="3"/>
  <c r="N2083" i="3" s="1"/>
  <c r="O2083" i="3" s="1"/>
  <c r="N2074" i="3"/>
  <c r="O2074" i="3" s="1"/>
  <c r="M2049" i="3"/>
  <c r="N2049" i="3" s="1"/>
  <c r="M2019" i="3"/>
  <c r="N2019" i="3" s="1"/>
  <c r="O2019" i="3" s="1"/>
  <c r="N2010" i="3"/>
  <c r="O2010" i="3" s="1"/>
  <c r="M1985" i="3"/>
  <c r="N1985" i="3" s="1"/>
  <c r="M1955" i="3"/>
  <c r="N1946" i="3"/>
  <c r="O1946" i="3" s="1"/>
  <c r="M1921" i="3"/>
  <c r="N1921" i="3" s="1"/>
  <c r="M1873" i="3"/>
  <c r="N1873" i="3" s="1"/>
  <c r="O1873" i="3" s="1"/>
  <c r="M2320" i="3"/>
  <c r="N2320" i="3" s="1"/>
  <c r="N2317" i="3"/>
  <c r="O2317" i="3" s="1"/>
  <c r="M2167" i="3"/>
  <c r="O2162" i="3"/>
  <c r="O2156" i="3"/>
  <c r="M2152" i="3"/>
  <c r="N2152" i="3" s="1"/>
  <c r="O2152" i="3" s="1"/>
  <c r="N2128" i="3"/>
  <c r="O2128" i="3" s="1"/>
  <c r="M2103" i="3"/>
  <c r="N2103" i="3" s="1"/>
  <c r="O2098" i="3"/>
  <c r="O2092" i="3"/>
  <c r="M2088" i="3"/>
  <c r="N2064" i="3"/>
  <c r="O2064" i="3" s="1"/>
  <c r="M2039" i="3"/>
  <c r="N2039" i="3" s="1"/>
  <c r="O2028" i="3"/>
  <c r="M2024" i="3"/>
  <c r="N2024" i="3" s="1"/>
  <c r="N2000" i="3"/>
  <c r="O2000" i="3" s="1"/>
  <c r="O1966" i="3"/>
  <c r="O1964" i="3"/>
  <c r="M1960" i="3"/>
  <c r="N1960" i="3" s="1"/>
  <c r="O1960" i="3" s="1"/>
  <c r="M1889" i="3"/>
  <c r="N1889" i="3" s="1"/>
  <c r="N1850" i="3"/>
  <c r="O1850" i="3" s="1"/>
  <c r="N1834" i="3"/>
  <c r="O1834" i="3" s="1"/>
  <c r="N1802" i="3"/>
  <c r="O1802" i="3" s="1"/>
  <c r="N1787" i="3"/>
  <c r="O1787" i="3" s="1"/>
  <c r="N1771" i="3"/>
  <c r="O1771" i="3" s="1"/>
  <c r="N1755" i="3"/>
  <c r="O1755" i="3" s="1"/>
  <c r="M2310" i="3"/>
  <c r="N2310" i="3" s="1"/>
  <c r="N2307" i="3"/>
  <c r="O2307" i="3" s="1"/>
  <c r="N2303" i="3"/>
  <c r="O2303" i="3" s="1"/>
  <c r="N2299" i="3"/>
  <c r="O2299" i="3" s="1"/>
  <c r="N2295" i="3"/>
  <c r="O2295" i="3" s="1"/>
  <c r="N2291" i="3"/>
  <c r="O2291" i="3" s="1"/>
  <c r="N2287" i="3"/>
  <c r="O2287" i="3" s="1"/>
  <c r="N2283" i="3"/>
  <c r="O2283" i="3" s="1"/>
  <c r="N2279" i="3"/>
  <c r="O2279" i="3" s="1"/>
  <c r="N2275" i="3"/>
  <c r="O2275" i="3" s="1"/>
  <c r="N2271" i="3"/>
  <c r="O2271" i="3" s="1"/>
  <c r="N2267" i="3"/>
  <c r="O2267" i="3" s="1"/>
  <c r="N2263" i="3"/>
  <c r="O2263" i="3" s="1"/>
  <c r="N2259" i="3"/>
  <c r="O2259" i="3" s="1"/>
  <c r="N2255" i="3"/>
  <c r="O2255" i="3" s="1"/>
  <c r="N2251" i="3"/>
  <c r="O2251" i="3" s="1"/>
  <c r="N2247" i="3"/>
  <c r="O2247" i="3" s="1"/>
  <c r="N2243" i="3"/>
  <c r="O2243" i="3" s="1"/>
  <c r="N2239" i="3"/>
  <c r="O2239" i="3" s="1"/>
  <c r="N2235" i="3"/>
  <c r="O2235" i="3" s="1"/>
  <c r="N2231" i="3"/>
  <c r="O2231" i="3" s="1"/>
  <c r="N2227" i="3"/>
  <c r="O2227" i="3" s="1"/>
  <c r="N2223" i="3"/>
  <c r="O2223" i="3" s="1"/>
  <c r="N2219" i="3"/>
  <c r="O2219" i="3" s="1"/>
  <c r="N2215" i="3"/>
  <c r="O2215" i="3" s="1"/>
  <c r="N2211" i="3"/>
  <c r="O2211" i="3" s="1"/>
  <c r="N2207" i="3"/>
  <c r="O2207" i="3" s="1"/>
  <c r="N2203" i="3"/>
  <c r="O2203" i="3" s="1"/>
  <c r="N2199" i="3"/>
  <c r="O2199" i="3" s="1"/>
  <c r="N2195" i="3"/>
  <c r="O2195" i="3" s="1"/>
  <c r="N2191" i="3"/>
  <c r="O2191" i="3" s="1"/>
  <c r="N2187" i="3"/>
  <c r="O2187" i="3" s="1"/>
  <c r="N2183" i="3"/>
  <c r="O2183" i="3" s="1"/>
  <c r="N2179" i="3"/>
  <c r="O2179" i="3" s="1"/>
  <c r="N2175" i="3"/>
  <c r="O2175" i="3" s="1"/>
  <c r="N2171" i="3"/>
  <c r="O2171" i="3" s="1"/>
  <c r="M2161" i="3"/>
  <c r="N2161" i="3" s="1"/>
  <c r="O2161" i="3" s="1"/>
  <c r="N2158" i="3"/>
  <c r="O2158" i="3" s="1"/>
  <c r="M2137" i="3"/>
  <c r="M2131" i="3"/>
  <c r="N2131" i="3" s="1"/>
  <c r="N2122" i="3"/>
  <c r="O2122" i="3" s="1"/>
  <c r="M2097" i="3"/>
  <c r="N2097" i="3" s="1"/>
  <c r="O2097" i="3" s="1"/>
  <c r="N2094" i="3"/>
  <c r="O2094" i="3" s="1"/>
  <c r="M2073" i="3"/>
  <c r="M2067" i="3"/>
  <c r="N2058" i="3"/>
  <c r="O2058" i="3" s="1"/>
  <c r="M2033" i="3"/>
  <c r="N2033" i="3" s="1"/>
  <c r="N2030" i="3"/>
  <c r="O2030" i="3" s="1"/>
  <c r="M2003" i="3"/>
  <c r="N1994" i="3"/>
  <c r="O1994" i="3" s="1"/>
  <c r="M1969" i="3"/>
  <c r="M1939" i="3"/>
  <c r="N1939" i="3" s="1"/>
  <c r="N1930" i="3"/>
  <c r="O1930" i="3" s="1"/>
  <c r="M1905" i="3"/>
  <c r="N1866" i="3"/>
  <c r="O1866" i="3" s="1"/>
  <c r="M1825" i="3"/>
  <c r="M2322" i="3"/>
  <c r="N2322" i="3" s="1"/>
  <c r="M2316" i="3"/>
  <c r="N2316" i="3" s="1"/>
  <c r="N2313" i="3"/>
  <c r="O2313" i="3" s="1"/>
  <c r="M2306" i="3"/>
  <c r="N2306" i="3" s="1"/>
  <c r="O2306" i="3" s="1"/>
  <c r="M2302" i="3"/>
  <c r="N2302" i="3" s="1"/>
  <c r="M2298" i="3"/>
  <c r="N2298" i="3" s="1"/>
  <c r="M2294" i="3"/>
  <c r="N2294" i="3" s="1"/>
  <c r="M2290" i="3"/>
  <c r="N2290" i="3" s="1"/>
  <c r="O2290" i="3" s="1"/>
  <c r="M2286" i="3"/>
  <c r="N2286" i="3" s="1"/>
  <c r="O2286" i="3" s="1"/>
  <c r="M2282" i="3"/>
  <c r="N2282" i="3" s="1"/>
  <c r="M2278" i="3"/>
  <c r="N2278" i="3" s="1"/>
  <c r="M2274" i="3"/>
  <c r="N2274" i="3" s="1"/>
  <c r="O2274" i="3" s="1"/>
  <c r="M2270" i="3"/>
  <c r="N2270" i="3" s="1"/>
  <c r="M2266" i="3"/>
  <c r="N2266" i="3" s="1"/>
  <c r="M2262" i="3"/>
  <c r="N2262" i="3" s="1"/>
  <c r="M2258" i="3"/>
  <c r="N2258" i="3" s="1"/>
  <c r="O2258" i="3" s="1"/>
  <c r="M2254" i="3"/>
  <c r="N2254" i="3" s="1"/>
  <c r="O2254" i="3" s="1"/>
  <c r="M2250" i="3"/>
  <c r="M2246" i="3"/>
  <c r="N2246" i="3" s="1"/>
  <c r="M2242" i="3"/>
  <c r="N2242" i="3" s="1"/>
  <c r="O2242" i="3" s="1"/>
  <c r="M2238" i="3"/>
  <c r="N2238" i="3" s="1"/>
  <c r="M2234" i="3"/>
  <c r="N2234" i="3" s="1"/>
  <c r="M2230" i="3"/>
  <c r="M2226" i="3"/>
  <c r="N2226" i="3" s="1"/>
  <c r="O2226" i="3" s="1"/>
  <c r="M2222" i="3"/>
  <c r="N2222" i="3" s="1"/>
  <c r="O2222" i="3" s="1"/>
  <c r="M2218" i="3"/>
  <c r="N2218" i="3" s="1"/>
  <c r="M2214" i="3"/>
  <c r="N2214" i="3" s="1"/>
  <c r="M2210" i="3"/>
  <c r="N2210" i="3" s="1"/>
  <c r="O2210" i="3" s="1"/>
  <c r="M2206" i="3"/>
  <c r="N2206" i="3" s="1"/>
  <c r="M2202" i="3"/>
  <c r="N2202" i="3" s="1"/>
  <c r="O2202" i="3" s="1"/>
  <c r="M2198" i="3"/>
  <c r="N2198" i="3" s="1"/>
  <c r="M2194" i="3"/>
  <c r="N2194" i="3" s="1"/>
  <c r="O2194" i="3" s="1"/>
  <c r="M2190" i="3"/>
  <c r="N2190" i="3" s="1"/>
  <c r="O2190" i="3" s="1"/>
  <c r="M2186" i="3"/>
  <c r="N2186" i="3" s="1"/>
  <c r="M2182" i="3"/>
  <c r="N2182" i="3" s="1"/>
  <c r="M2178" i="3"/>
  <c r="N2178" i="3" s="1"/>
  <c r="O2178" i="3" s="1"/>
  <c r="M2174" i="3"/>
  <c r="N2174" i="3" s="1"/>
  <c r="M2170" i="3"/>
  <c r="M2151" i="3"/>
  <c r="N2151" i="3" s="1"/>
  <c r="M2136" i="3"/>
  <c r="N2136" i="3" s="1"/>
  <c r="N2112" i="3"/>
  <c r="O2112" i="3" s="1"/>
  <c r="M2087" i="3"/>
  <c r="N2087" i="3" s="1"/>
  <c r="M2072" i="3"/>
  <c r="N2072" i="3" s="1"/>
  <c r="O2072" i="3" s="1"/>
  <c r="M2023" i="3"/>
  <c r="N2023" i="3" s="1"/>
  <c r="M2008" i="3"/>
  <c r="N2008" i="3" s="1"/>
  <c r="M1944" i="3"/>
  <c r="N1944" i="3" s="1"/>
  <c r="N2319" i="3"/>
  <c r="O2319" i="3" s="1"/>
  <c r="M2145" i="3"/>
  <c r="N2145" i="3" s="1"/>
  <c r="O2145" i="3" s="1"/>
  <c r="M2121" i="3"/>
  <c r="N2121" i="3" s="1"/>
  <c r="M2115" i="3"/>
  <c r="N2115" i="3" s="1"/>
  <c r="N2106" i="3"/>
  <c r="O2106" i="3" s="1"/>
  <c r="M2081" i="3"/>
  <c r="N2081" i="3" s="1"/>
  <c r="M2051" i="3"/>
  <c r="N2051" i="3" s="1"/>
  <c r="N2042" i="3"/>
  <c r="O2042" i="3" s="1"/>
  <c r="M2017" i="3"/>
  <c r="N2017" i="3" s="1"/>
  <c r="M1987" i="3"/>
  <c r="N1987" i="3" s="1"/>
  <c r="N1978" i="3"/>
  <c r="O1978" i="3" s="1"/>
  <c r="M1953" i="3"/>
  <c r="N1953" i="3" s="1"/>
  <c r="O1953" i="3" s="1"/>
  <c r="M1923" i="3"/>
  <c r="N1923" i="3" s="1"/>
  <c r="N1914" i="3"/>
  <c r="O1914" i="3" s="1"/>
  <c r="N1898" i="3"/>
  <c r="O1898" i="3" s="1"/>
  <c r="M1848" i="3"/>
  <c r="N1848" i="3" s="1"/>
  <c r="O1804" i="3"/>
  <c r="N1902" i="3"/>
  <c r="O1902" i="3" s="1"/>
  <c r="N1886" i="3"/>
  <c r="O1886" i="3" s="1"/>
  <c r="N1870" i="3"/>
  <c r="O1870" i="3" s="1"/>
  <c r="N1854" i="3"/>
  <c r="O1854" i="3" s="1"/>
  <c r="O1840" i="3"/>
  <c r="O1824" i="3"/>
  <c r="O1815" i="3"/>
  <c r="O1808" i="3"/>
  <c r="O1799" i="3"/>
  <c r="O1794" i="3"/>
  <c r="O1786" i="3"/>
  <c r="O1778" i="3"/>
  <c r="O1770" i="3"/>
  <c r="O1762" i="3"/>
  <c r="O1754" i="3"/>
  <c r="O1730" i="3"/>
  <c r="O1718" i="3"/>
  <c r="O1686" i="3"/>
  <c r="O1678" i="3"/>
  <c r="O1662" i="3"/>
  <c r="O1654" i="3"/>
  <c r="O1646" i="3"/>
  <c r="O1626" i="3"/>
  <c r="O2041" i="3"/>
  <c r="N1975" i="3"/>
  <c r="O1975" i="3" s="1"/>
  <c r="N1959" i="3"/>
  <c r="O1959" i="3" s="1"/>
  <c r="O1945" i="3"/>
  <c r="N1943" i="3"/>
  <c r="O1943" i="3" s="1"/>
  <c r="N1927" i="3"/>
  <c r="O1927" i="3" s="1"/>
  <c r="N1911" i="3"/>
  <c r="O1911" i="3" s="1"/>
  <c r="N1895" i="3"/>
  <c r="O1895" i="3" s="1"/>
  <c r="O1881" i="3"/>
  <c r="N1879" i="3"/>
  <c r="O1879" i="3" s="1"/>
  <c r="N1863" i="3"/>
  <c r="O1863" i="3" s="1"/>
  <c r="N1847" i="3"/>
  <c r="O1847" i="3" s="1"/>
  <c r="N1831" i="3"/>
  <c r="O1831" i="3" s="1"/>
  <c r="O1622" i="3"/>
  <c r="O1614" i="3"/>
  <c r="O1598" i="3"/>
  <c r="O1594" i="3"/>
  <c r="O1590" i="3"/>
  <c r="O1582" i="3"/>
  <c r="O1570" i="3"/>
  <c r="O1566" i="3"/>
  <c r="O1558" i="3"/>
  <c r="O1526" i="3"/>
  <c r="N1442" i="3"/>
  <c r="O1442" i="3" s="1"/>
  <c r="N1427" i="3"/>
  <c r="O1427" i="3" s="1"/>
  <c r="N1745" i="3"/>
  <c r="O1745" i="3" s="1"/>
  <c r="N1741" i="3"/>
  <c r="O1741" i="3" s="1"/>
  <c r="N1737" i="3"/>
  <c r="O1737" i="3" s="1"/>
  <c r="N1733" i="3"/>
  <c r="O1733" i="3" s="1"/>
  <c r="N1729" i="3"/>
  <c r="O1729" i="3" s="1"/>
  <c r="N1725" i="3"/>
  <c r="O1725" i="3" s="1"/>
  <c r="N1721" i="3"/>
  <c r="O1721" i="3" s="1"/>
  <c r="N1717" i="3"/>
  <c r="O1717" i="3" s="1"/>
  <c r="N1713" i="3"/>
  <c r="O1713" i="3" s="1"/>
  <c r="N1709" i="3"/>
  <c r="O1709" i="3" s="1"/>
  <c r="N1705" i="3"/>
  <c r="O1705" i="3" s="1"/>
  <c r="N1701" i="3"/>
  <c r="O1701" i="3" s="1"/>
  <c r="N1697" i="3"/>
  <c r="O1697" i="3" s="1"/>
  <c r="N1693" i="3"/>
  <c r="O1693" i="3" s="1"/>
  <c r="N1689" i="3"/>
  <c r="O1689" i="3" s="1"/>
  <c r="N1685" i="3"/>
  <c r="O1685" i="3" s="1"/>
  <c r="N1681" i="3"/>
  <c r="O1681" i="3" s="1"/>
  <c r="N1677" i="3"/>
  <c r="O1677" i="3" s="1"/>
  <c r="N1673" i="3"/>
  <c r="O1673" i="3" s="1"/>
  <c r="N1669" i="3"/>
  <c r="O1669" i="3" s="1"/>
  <c r="N1665" i="3"/>
  <c r="O1665" i="3" s="1"/>
  <c r="N1661" i="3"/>
  <c r="O1661" i="3" s="1"/>
  <c r="N1657" i="3"/>
  <c r="O1657" i="3" s="1"/>
  <c r="N1653" i="3"/>
  <c r="O1653" i="3" s="1"/>
  <c r="N1477" i="3"/>
  <c r="O1477" i="3" s="1"/>
  <c r="N1377" i="3"/>
  <c r="O1377" i="3" s="1"/>
  <c r="M1390" i="3"/>
  <c r="O1572" i="3"/>
  <c r="O1568" i="3"/>
  <c r="O1564" i="3"/>
  <c r="O1560" i="3"/>
  <c r="O1556" i="3"/>
  <c r="O1552" i="3"/>
  <c r="O1548" i="3"/>
  <c r="O1544" i="3"/>
  <c r="O1540" i="3"/>
  <c r="O1536" i="3"/>
  <c r="O1532" i="3"/>
  <c r="O1528" i="3"/>
  <c r="O1524" i="3"/>
  <c r="N1743" i="3"/>
  <c r="O1743" i="3" s="1"/>
  <c r="N1739" i="3"/>
  <c r="O1739" i="3" s="1"/>
  <c r="N1735" i="3"/>
  <c r="O1735" i="3" s="1"/>
  <c r="N1731" i="3"/>
  <c r="O1731" i="3" s="1"/>
  <c r="N1727" i="3"/>
  <c r="O1727" i="3" s="1"/>
  <c r="N1723" i="3"/>
  <c r="O1723" i="3" s="1"/>
  <c r="N1719" i="3"/>
  <c r="O1719" i="3" s="1"/>
  <c r="N1715" i="3"/>
  <c r="O1715" i="3" s="1"/>
  <c r="N1711" i="3"/>
  <c r="O1711" i="3" s="1"/>
  <c r="N1707" i="3"/>
  <c r="O1707" i="3" s="1"/>
  <c r="N1703" i="3"/>
  <c r="O1703" i="3" s="1"/>
  <c r="N1699" i="3"/>
  <c r="O1699" i="3" s="1"/>
  <c r="N1695" i="3"/>
  <c r="O1695" i="3" s="1"/>
  <c r="N1691" i="3"/>
  <c r="O1691" i="3" s="1"/>
  <c r="N1687" i="3"/>
  <c r="O1687" i="3" s="1"/>
  <c r="N1683" i="3"/>
  <c r="O1683" i="3" s="1"/>
  <c r="N1679" i="3"/>
  <c r="O1679" i="3" s="1"/>
  <c r="N1675" i="3"/>
  <c r="O1675" i="3" s="1"/>
  <c r="N1671" i="3"/>
  <c r="O1671" i="3" s="1"/>
  <c r="N1667" i="3"/>
  <c r="O1667" i="3" s="1"/>
  <c r="N1663" i="3"/>
  <c r="O1663" i="3" s="1"/>
  <c r="N1659" i="3"/>
  <c r="O1659" i="3" s="1"/>
  <c r="N1655" i="3"/>
  <c r="O1655" i="3" s="1"/>
  <c r="N1483" i="3"/>
  <c r="O1483" i="3" s="1"/>
  <c r="N1473" i="3"/>
  <c r="O1473" i="3" s="1"/>
  <c r="M1464" i="3"/>
  <c r="N1464" i="3" s="1"/>
  <c r="M1434" i="3"/>
  <c r="N1434" i="3" s="1"/>
  <c r="O1434" i="3" s="1"/>
  <c r="N1420" i="3"/>
  <c r="O1420" i="3" s="1"/>
  <c r="M1368" i="3"/>
  <c r="N1368" i="3" s="1"/>
  <c r="O1519" i="3"/>
  <c r="N1517" i="3"/>
  <c r="O1517" i="3" s="1"/>
  <c r="N1508" i="3"/>
  <c r="O1508" i="3" s="1"/>
  <c r="O1504" i="3"/>
  <c r="N1502" i="3"/>
  <c r="O1502" i="3" s="1"/>
  <c r="N1482" i="3"/>
  <c r="O1482" i="3" s="1"/>
  <c r="O1472" i="3"/>
  <c r="N1470" i="3"/>
  <c r="O1470" i="3" s="1"/>
  <c r="O1463" i="3"/>
  <c r="M1448" i="3"/>
  <c r="N1448" i="3" s="1"/>
  <c r="O1438" i="3"/>
  <c r="N1411" i="3"/>
  <c r="O1411" i="3" s="1"/>
  <c r="O1651" i="3"/>
  <c r="O1649" i="3"/>
  <c r="O1647" i="3"/>
  <c r="O1645" i="3"/>
  <c r="O1643" i="3"/>
  <c r="O1641" i="3"/>
  <c r="O1639" i="3"/>
  <c r="O1637" i="3"/>
  <c r="O1635" i="3"/>
  <c r="O1633" i="3"/>
  <c r="O1631" i="3"/>
  <c r="O1629" i="3"/>
  <c r="O1627" i="3"/>
  <c r="O1625" i="3"/>
  <c r="O1623" i="3"/>
  <c r="O1621" i="3"/>
  <c r="O1619" i="3"/>
  <c r="O1617" i="3"/>
  <c r="O1615" i="3"/>
  <c r="O1613" i="3"/>
  <c r="O1611" i="3"/>
  <c r="O1609" i="3"/>
  <c r="O1607" i="3"/>
  <c r="O1605" i="3"/>
  <c r="O1603" i="3"/>
  <c r="O1601" i="3"/>
  <c r="O1599" i="3"/>
  <c r="O1597" i="3"/>
  <c r="O1595" i="3"/>
  <c r="O1593" i="3"/>
  <c r="O1591" i="3"/>
  <c r="O1589" i="3"/>
  <c r="O1587" i="3"/>
  <c r="O1585" i="3"/>
  <c r="O1583" i="3"/>
  <c r="O1581" i="3"/>
  <c r="O1579" i="3"/>
  <c r="O1577" i="3"/>
  <c r="O1575" i="3"/>
  <c r="O1573" i="3"/>
  <c r="O1571" i="3"/>
  <c r="O1569" i="3"/>
  <c r="O1567" i="3"/>
  <c r="O1565" i="3"/>
  <c r="O1563" i="3"/>
  <c r="O1561" i="3"/>
  <c r="O1559" i="3"/>
  <c r="O1557" i="3"/>
  <c r="O1555" i="3"/>
  <c r="O1553" i="3"/>
  <c r="O1551" i="3"/>
  <c r="O1549" i="3"/>
  <c r="O1547" i="3"/>
  <c r="O1545" i="3"/>
  <c r="O1543" i="3"/>
  <c r="O1541" i="3"/>
  <c r="O1539" i="3"/>
  <c r="O1537" i="3"/>
  <c r="O1535" i="3"/>
  <c r="O1533" i="3"/>
  <c r="O1531" i="3"/>
  <c r="O1529" i="3"/>
  <c r="O1527" i="3"/>
  <c r="O1525" i="3"/>
  <c r="O1523" i="3"/>
  <c r="O1521" i="3"/>
  <c r="N1496" i="3"/>
  <c r="O1496" i="3" s="1"/>
  <c r="N1476" i="3"/>
  <c r="O1476" i="3" s="1"/>
  <c r="N1457" i="3"/>
  <c r="O1457" i="3" s="1"/>
  <c r="M1418" i="3"/>
  <c r="N1418" i="3" s="1"/>
  <c r="O1410" i="3"/>
  <c r="N1404" i="3"/>
  <c r="O1404" i="3" s="1"/>
  <c r="N1371" i="3"/>
  <c r="O1371" i="3" s="1"/>
  <c r="M1138" i="3"/>
  <c r="N1138" i="3" s="1"/>
  <c r="O1138" i="3" s="1"/>
  <c r="N1115" i="3"/>
  <c r="O1115" i="3" s="1"/>
  <c r="O1507" i="3"/>
  <c r="O1422" i="3"/>
  <c r="N1395" i="3"/>
  <c r="O1395" i="3" s="1"/>
  <c r="M1384" i="3"/>
  <c r="O1512" i="3"/>
  <c r="O1478" i="3"/>
  <c r="N1466" i="3"/>
  <c r="O1466" i="3" s="1"/>
  <c r="M1402" i="3"/>
  <c r="N1402" i="3" s="1"/>
  <c r="O1394" i="3"/>
  <c r="N1374" i="3"/>
  <c r="O1374" i="3" s="1"/>
  <c r="M1051" i="3"/>
  <c r="N1051" i="3" s="1"/>
  <c r="O1051" i="3" s="1"/>
  <c r="O1501" i="3"/>
  <c r="N1498" i="3"/>
  <c r="O1498" i="3" s="1"/>
  <c r="N1489" i="3"/>
  <c r="O1489" i="3" s="1"/>
  <c r="O1484" i="3"/>
  <c r="N1450" i="3"/>
  <c r="O1450" i="3" s="1"/>
  <c r="N1443" i="3"/>
  <c r="O1443" i="3" s="1"/>
  <c r="O1406" i="3"/>
  <c r="N1387" i="3"/>
  <c r="O1387" i="3" s="1"/>
  <c r="N1301" i="3"/>
  <c r="O1301" i="3" s="1"/>
  <c r="M1202" i="3"/>
  <c r="N1202" i="3" s="1"/>
  <c r="O1202" i="3" s="1"/>
  <c r="N1179" i="3"/>
  <c r="O1179" i="3" s="1"/>
  <c r="N1520" i="3"/>
  <c r="O1520" i="3" s="1"/>
  <c r="O1516" i="3"/>
  <c r="N1500" i="3"/>
  <c r="O1500" i="3" s="1"/>
  <c r="M1480" i="3"/>
  <c r="N1480" i="3" s="1"/>
  <c r="N1468" i="3"/>
  <c r="O1468" i="3" s="1"/>
  <c r="N1436" i="3"/>
  <c r="O1436" i="3" s="1"/>
  <c r="O1325" i="3"/>
  <c r="N1295" i="3"/>
  <c r="O1295" i="3" s="1"/>
  <c r="O1282" i="3"/>
  <c r="O1266" i="3"/>
  <c r="O1250" i="3"/>
  <c r="O1234" i="3"/>
  <c r="O1218" i="3"/>
  <c r="M1082" i="3"/>
  <c r="N1082" i="3" s="1"/>
  <c r="M1064" i="3"/>
  <c r="N1064" i="3" s="1"/>
  <c r="M977" i="3"/>
  <c r="N977" i="3" s="1"/>
  <c r="O977" i="3" s="1"/>
  <c r="O1364" i="3"/>
  <c r="O1300" i="3"/>
  <c r="O1288" i="3"/>
  <c r="O1272" i="3"/>
  <c r="O1256" i="3"/>
  <c r="O1240" i="3"/>
  <c r="O1224" i="3"/>
  <c r="O1208" i="3"/>
  <c r="M1186" i="3"/>
  <c r="N1186" i="3" s="1"/>
  <c r="N1163" i="3"/>
  <c r="O1163" i="3" s="1"/>
  <c r="M1122" i="3"/>
  <c r="N1122" i="3" s="1"/>
  <c r="N1099" i="3"/>
  <c r="O1099" i="3" s="1"/>
  <c r="M1041" i="3"/>
  <c r="N1041" i="3" s="1"/>
  <c r="O1041" i="3" s="1"/>
  <c r="M994" i="3"/>
  <c r="M951" i="3"/>
  <c r="N951" i="3" s="1"/>
  <c r="O951" i="3" s="1"/>
  <c r="O1386" i="3"/>
  <c r="O1360" i="3"/>
  <c r="O1356" i="3"/>
  <c r="O1352" i="3"/>
  <c r="O1348" i="3"/>
  <c r="O1344" i="3"/>
  <c r="O1340" i="3"/>
  <c r="O1336" i="3"/>
  <c r="O1332" i="3"/>
  <c r="O1328" i="3"/>
  <c r="O1324" i="3"/>
  <c r="O1320" i="3"/>
  <c r="O1316" i="3"/>
  <c r="O1312" i="3"/>
  <c r="O1308" i="3"/>
  <c r="O1304" i="3"/>
  <c r="N1299" i="3"/>
  <c r="O1299" i="3" s="1"/>
  <c r="O1294" i="3"/>
  <c r="O1278" i="3"/>
  <c r="O1262" i="3"/>
  <c r="O1246" i="3"/>
  <c r="O1230" i="3"/>
  <c r="O1214" i="3"/>
  <c r="M1073" i="3"/>
  <c r="N1073" i="3" s="1"/>
  <c r="M930" i="3"/>
  <c r="N930" i="3" s="1"/>
  <c r="O1379" i="3"/>
  <c r="O1376" i="3"/>
  <c r="O1363" i="3"/>
  <c r="M1170" i="3"/>
  <c r="N1170" i="3" s="1"/>
  <c r="O1170" i="3" s="1"/>
  <c r="N1147" i="3"/>
  <c r="O1147" i="3" s="1"/>
  <c r="M1106" i="3"/>
  <c r="N1106" i="3" s="1"/>
  <c r="N1087" i="3"/>
  <c r="O1087" i="3" s="1"/>
  <c r="M1028" i="3"/>
  <c r="N1028" i="3" s="1"/>
  <c r="M984" i="3"/>
  <c r="M891" i="3"/>
  <c r="N891" i="3" s="1"/>
  <c r="O1441" i="3"/>
  <c r="N1432" i="3"/>
  <c r="O1432" i="3" s="1"/>
  <c r="O1425" i="3"/>
  <c r="N1416" i="3"/>
  <c r="O1416" i="3" s="1"/>
  <c r="O1409" i="3"/>
  <c r="N1400" i="3"/>
  <c r="O1400" i="3" s="1"/>
  <c r="O1393" i="3"/>
  <c r="N1378" i="3"/>
  <c r="O1378" i="3" s="1"/>
  <c r="O1339" i="3"/>
  <c r="O1298" i="3"/>
  <c r="O1290" i="3"/>
  <c r="O1274" i="3"/>
  <c r="O1258" i="3"/>
  <c r="O1242" i="3"/>
  <c r="O1226" i="3"/>
  <c r="O1210" i="3"/>
  <c r="M1067" i="3"/>
  <c r="N1067" i="3" s="1"/>
  <c r="M1048" i="3"/>
  <c r="N1048" i="3" s="1"/>
  <c r="M899" i="3"/>
  <c r="N899" i="3" s="1"/>
  <c r="N1297" i="3"/>
  <c r="O1297" i="3" s="1"/>
  <c r="O1280" i="3"/>
  <c r="O1264" i="3"/>
  <c r="O1248" i="3"/>
  <c r="O1232" i="3"/>
  <c r="O1216" i="3"/>
  <c r="N1195" i="3"/>
  <c r="O1195" i="3" s="1"/>
  <c r="M1154" i="3"/>
  <c r="N1131" i="3"/>
  <c r="O1131" i="3" s="1"/>
  <c r="M1090" i="3"/>
  <c r="N1090" i="3" s="1"/>
  <c r="O1090" i="3" s="1"/>
  <c r="M907" i="3"/>
  <c r="N907" i="3" s="1"/>
  <c r="O907" i="3" s="1"/>
  <c r="O1381" i="3"/>
  <c r="O1365" i="3"/>
  <c r="N1079" i="3"/>
  <c r="O1079" i="3" s="1"/>
  <c r="M987" i="3"/>
  <c r="N987" i="3" s="1"/>
  <c r="N1188" i="3"/>
  <c r="O1188" i="3" s="1"/>
  <c r="N1172" i="3"/>
  <c r="O1172" i="3" s="1"/>
  <c r="N1156" i="3"/>
  <c r="O1156" i="3" s="1"/>
  <c r="N1140" i="3"/>
  <c r="O1140" i="3" s="1"/>
  <c r="N1124" i="3"/>
  <c r="O1124" i="3" s="1"/>
  <c r="N1108" i="3"/>
  <c r="O1108" i="3" s="1"/>
  <c r="N1092" i="3"/>
  <c r="O1092" i="3" s="1"/>
  <c r="M1057" i="3"/>
  <c r="N1057" i="3" s="1"/>
  <c r="M1054" i="3"/>
  <c r="N1054" i="3" s="1"/>
  <c r="M1047" i="3"/>
  <c r="N1047" i="3" s="1"/>
  <c r="O1047" i="3" s="1"/>
  <c r="M1037" i="3"/>
  <c r="N1037" i="3" s="1"/>
  <c r="N1034" i="3"/>
  <c r="O1034" i="3" s="1"/>
  <c r="M990" i="3"/>
  <c r="N990" i="3" s="1"/>
  <c r="M983" i="3"/>
  <c r="N983" i="3" s="1"/>
  <c r="M973" i="3"/>
  <c r="N973" i="3" s="1"/>
  <c r="M955" i="3"/>
  <c r="N955" i="3" s="1"/>
  <c r="N948" i="3"/>
  <c r="O948" i="3" s="1"/>
  <c r="M910" i="3"/>
  <c r="N910" i="3" s="1"/>
  <c r="N835" i="3"/>
  <c r="O835" i="3" s="1"/>
  <c r="N1190" i="3"/>
  <c r="O1190" i="3" s="1"/>
  <c r="N1174" i="3"/>
  <c r="O1174" i="3" s="1"/>
  <c r="N1158" i="3"/>
  <c r="O1158" i="3" s="1"/>
  <c r="N1142" i="3"/>
  <c r="O1142" i="3" s="1"/>
  <c r="N1126" i="3"/>
  <c r="O1126" i="3" s="1"/>
  <c r="N1110" i="3"/>
  <c r="O1110" i="3" s="1"/>
  <c r="N1094" i="3"/>
  <c r="O1094" i="3" s="1"/>
  <c r="N1084" i="3"/>
  <c r="O1084" i="3" s="1"/>
  <c r="N1076" i="3"/>
  <c r="O1076" i="3" s="1"/>
  <c r="M1063" i="3"/>
  <c r="N1063" i="3" s="1"/>
  <c r="N1044" i="3"/>
  <c r="O1044" i="3" s="1"/>
  <c r="N1040" i="3"/>
  <c r="O1040" i="3" s="1"/>
  <c r="O1030" i="3"/>
  <c r="M1010" i="3"/>
  <c r="N1010" i="3" s="1"/>
  <c r="M1003" i="3"/>
  <c r="N1003" i="3" s="1"/>
  <c r="M993" i="3"/>
  <c r="N993" i="3" s="1"/>
  <c r="N980" i="3"/>
  <c r="O980" i="3" s="1"/>
  <c r="N976" i="3"/>
  <c r="O976" i="3" s="1"/>
  <c r="M962" i="3"/>
  <c r="N962" i="3" s="1"/>
  <c r="M958" i="3"/>
  <c r="N958" i="3" s="1"/>
  <c r="M936" i="3"/>
  <c r="N936" i="3" s="1"/>
  <c r="M914" i="3"/>
  <c r="N914" i="3" s="1"/>
  <c r="M905" i="3"/>
  <c r="N905" i="3" s="1"/>
  <c r="O905" i="3" s="1"/>
  <c r="M897" i="3"/>
  <c r="M889" i="3"/>
  <c r="N889" i="3" s="1"/>
  <c r="N843" i="3"/>
  <c r="O843" i="3" s="1"/>
  <c r="N827" i="3"/>
  <c r="O827" i="3" s="1"/>
  <c r="N1192" i="3"/>
  <c r="O1192" i="3" s="1"/>
  <c r="N1176" i="3"/>
  <c r="O1176" i="3" s="1"/>
  <c r="N1160" i="3"/>
  <c r="O1160" i="3" s="1"/>
  <c r="N1144" i="3"/>
  <c r="O1144" i="3" s="1"/>
  <c r="N1128" i="3"/>
  <c r="O1128" i="3" s="1"/>
  <c r="N1112" i="3"/>
  <c r="O1112" i="3" s="1"/>
  <c r="N1096" i="3"/>
  <c r="O1096" i="3" s="1"/>
  <c r="M1069" i="3"/>
  <c r="N1069" i="3" s="1"/>
  <c r="O1069" i="3" s="1"/>
  <c r="N1066" i="3"/>
  <c r="O1066" i="3" s="1"/>
  <c r="N1060" i="3"/>
  <c r="O1060" i="3" s="1"/>
  <c r="M1053" i="3"/>
  <c r="N1053" i="3" s="1"/>
  <c r="M1006" i="3"/>
  <c r="N1006" i="3" s="1"/>
  <c r="O1006" i="3" s="1"/>
  <c r="M999" i="3"/>
  <c r="N999" i="3" s="1"/>
  <c r="O999" i="3" s="1"/>
  <c r="M989" i="3"/>
  <c r="N989" i="3" s="1"/>
  <c r="O989" i="3" s="1"/>
  <c r="M961" i="3"/>
  <c r="N961" i="3" s="1"/>
  <c r="O961" i="3" s="1"/>
  <c r="M935" i="3"/>
  <c r="N935" i="3" s="1"/>
  <c r="N851" i="3"/>
  <c r="O851" i="3" s="1"/>
  <c r="N819" i="3"/>
  <c r="O819" i="3" s="1"/>
  <c r="N1194" i="3"/>
  <c r="O1194" i="3" s="1"/>
  <c r="N1178" i="3"/>
  <c r="O1178" i="3" s="1"/>
  <c r="N1162" i="3"/>
  <c r="O1162" i="3" s="1"/>
  <c r="N1146" i="3"/>
  <c r="O1146" i="3" s="1"/>
  <c r="N1130" i="3"/>
  <c r="O1130" i="3" s="1"/>
  <c r="N1114" i="3"/>
  <c r="O1114" i="3" s="1"/>
  <c r="N1098" i="3"/>
  <c r="O1098" i="3" s="1"/>
  <c r="N1086" i="3"/>
  <c r="O1086" i="3" s="1"/>
  <c r="N1078" i="3"/>
  <c r="O1078" i="3" s="1"/>
  <c r="M1075" i="3"/>
  <c r="N1075" i="3" s="1"/>
  <c r="N1056" i="3"/>
  <c r="O1056" i="3" s="1"/>
  <c r="O1046" i="3"/>
  <c r="M1026" i="3"/>
  <c r="N1026" i="3" s="1"/>
  <c r="O1026" i="3" s="1"/>
  <c r="M1019" i="3"/>
  <c r="N1019" i="3" s="1"/>
  <c r="M1009" i="3"/>
  <c r="N1009" i="3" s="1"/>
  <c r="N996" i="3"/>
  <c r="O996" i="3" s="1"/>
  <c r="N992" i="3"/>
  <c r="O992" i="3" s="1"/>
  <c r="O982" i="3"/>
  <c r="M968" i="3"/>
  <c r="N968" i="3" s="1"/>
  <c r="M939" i="3"/>
  <c r="N939" i="3" s="1"/>
  <c r="N932" i="3"/>
  <c r="O932" i="3" s="1"/>
  <c r="M859" i="3"/>
  <c r="N859" i="3" s="1"/>
  <c r="O859" i="3" s="1"/>
  <c r="N811" i="3"/>
  <c r="O811" i="3" s="1"/>
  <c r="N1196" i="3"/>
  <c r="O1196" i="3" s="1"/>
  <c r="O1193" i="3"/>
  <c r="N1180" i="3"/>
  <c r="O1180" i="3" s="1"/>
  <c r="O1177" i="3"/>
  <c r="N1164" i="3"/>
  <c r="O1164" i="3" s="1"/>
  <c r="O1161" i="3"/>
  <c r="N1148" i="3"/>
  <c r="O1148" i="3" s="1"/>
  <c r="O1145" i="3"/>
  <c r="N1132" i="3"/>
  <c r="O1132" i="3" s="1"/>
  <c r="O1129" i="3"/>
  <c r="N1116" i="3"/>
  <c r="O1116" i="3" s="1"/>
  <c r="O1113" i="3"/>
  <c r="N1100" i="3"/>
  <c r="O1100" i="3" s="1"/>
  <c r="O1097" i="3"/>
  <c r="O1068" i="3"/>
  <c r="M1059" i="3"/>
  <c r="N1059" i="3" s="1"/>
  <c r="O1059" i="3" s="1"/>
  <c r="M1022" i="3"/>
  <c r="N1022" i="3" s="1"/>
  <c r="M1015" i="3"/>
  <c r="M1005" i="3"/>
  <c r="N1005" i="3" s="1"/>
  <c r="M967" i="3"/>
  <c r="N967" i="3" s="1"/>
  <c r="O967" i="3" s="1"/>
  <c r="M946" i="3"/>
  <c r="N946" i="3" s="1"/>
  <c r="O946" i="3" s="1"/>
  <c r="M942" i="3"/>
  <c r="N942" i="3" s="1"/>
  <c r="M919" i="3"/>
  <c r="N919" i="3" s="1"/>
  <c r="M867" i="3"/>
  <c r="N867" i="3" s="1"/>
  <c r="O867" i="3" s="1"/>
  <c r="N803" i="3"/>
  <c r="O803" i="3" s="1"/>
  <c r="N1198" i="3"/>
  <c r="O1198" i="3" s="1"/>
  <c r="N1182" i="3"/>
  <c r="O1182" i="3" s="1"/>
  <c r="N1166" i="3"/>
  <c r="O1166" i="3" s="1"/>
  <c r="N1150" i="3"/>
  <c r="O1150" i="3" s="1"/>
  <c r="N1134" i="3"/>
  <c r="O1134" i="3" s="1"/>
  <c r="N1118" i="3"/>
  <c r="O1118" i="3" s="1"/>
  <c r="N1102" i="3"/>
  <c r="O1102" i="3" s="1"/>
  <c r="N1088" i="3"/>
  <c r="O1088" i="3" s="1"/>
  <c r="N1080" i="3"/>
  <c r="O1080" i="3" s="1"/>
  <c r="M1074" i="3"/>
  <c r="N1074" i="3" s="1"/>
  <c r="M1042" i="3"/>
  <c r="N1042" i="3" s="1"/>
  <c r="M1035" i="3"/>
  <c r="N1035" i="3" s="1"/>
  <c r="M1025" i="3"/>
  <c r="N1025" i="3" s="1"/>
  <c r="N1012" i="3"/>
  <c r="O1012" i="3" s="1"/>
  <c r="N1008" i="3"/>
  <c r="O1008" i="3" s="1"/>
  <c r="O998" i="3"/>
  <c r="M978" i="3"/>
  <c r="N978" i="3" s="1"/>
  <c r="M971" i="3"/>
  <c r="N971" i="3" s="1"/>
  <c r="N964" i="3"/>
  <c r="O964" i="3" s="1"/>
  <c r="O956" i="3"/>
  <c r="M945" i="3"/>
  <c r="N945" i="3" s="1"/>
  <c r="N938" i="3"/>
  <c r="O938" i="3" s="1"/>
  <c r="M923" i="3"/>
  <c r="N923" i="3" s="1"/>
  <c r="N916" i="3"/>
  <c r="O916" i="3" s="1"/>
  <c r="M875" i="3"/>
  <c r="N875" i="3" s="1"/>
  <c r="M594" i="3"/>
  <c r="N594" i="3" s="1"/>
  <c r="O594" i="3" s="1"/>
  <c r="N1200" i="3"/>
  <c r="O1200" i="3" s="1"/>
  <c r="N1184" i="3"/>
  <c r="O1184" i="3" s="1"/>
  <c r="N1168" i="3"/>
  <c r="O1168" i="3" s="1"/>
  <c r="N1152" i="3"/>
  <c r="O1152" i="3" s="1"/>
  <c r="N1136" i="3"/>
  <c r="O1136" i="3" s="1"/>
  <c r="N1120" i="3"/>
  <c r="O1120" i="3" s="1"/>
  <c r="N1104" i="3"/>
  <c r="O1104" i="3" s="1"/>
  <c r="M1058" i="3"/>
  <c r="N1058" i="3" s="1"/>
  <c r="O1058" i="3" s="1"/>
  <c r="M1038" i="3"/>
  <c r="N1038" i="3" s="1"/>
  <c r="M1031" i="3"/>
  <c r="N1031" i="3" s="1"/>
  <c r="M1021" i="3"/>
  <c r="N1021" i="3" s="1"/>
  <c r="O1021" i="3" s="1"/>
  <c r="M974" i="3"/>
  <c r="N974" i="3" s="1"/>
  <c r="M952" i="3"/>
  <c r="N952" i="3" s="1"/>
  <c r="M926" i="3"/>
  <c r="N926" i="3" s="1"/>
  <c r="M883" i="3"/>
  <c r="N883" i="3" s="1"/>
  <c r="N621" i="3"/>
  <c r="O621" i="3" s="1"/>
  <c r="N920" i="3"/>
  <c r="O920" i="3" s="1"/>
  <c r="N906" i="3"/>
  <c r="O906" i="3" s="1"/>
  <c r="N898" i="3"/>
  <c r="O898" i="3" s="1"/>
  <c r="N890" i="3"/>
  <c r="O890" i="3" s="1"/>
  <c r="N882" i="3"/>
  <c r="O882" i="3" s="1"/>
  <c r="N874" i="3"/>
  <c r="O874" i="3" s="1"/>
  <c r="N866" i="3"/>
  <c r="O866" i="3" s="1"/>
  <c r="N858" i="3"/>
  <c r="O858" i="3" s="1"/>
  <c r="N850" i="3"/>
  <c r="O850" i="3" s="1"/>
  <c r="N842" i="3"/>
  <c r="O842" i="3" s="1"/>
  <c r="O832" i="3"/>
  <c r="O824" i="3"/>
  <c r="O816" i="3"/>
  <c r="O808" i="3"/>
  <c r="O798" i="3"/>
  <c r="O782" i="3"/>
  <c r="N768" i="3"/>
  <c r="O768" i="3" s="1"/>
  <c r="M760" i="3"/>
  <c r="N760" i="3" s="1"/>
  <c r="M752" i="3"/>
  <c r="N752" i="3" s="1"/>
  <c r="M744" i="3"/>
  <c r="N744" i="3" s="1"/>
  <c r="M736" i="3"/>
  <c r="N736" i="3" s="1"/>
  <c r="M728" i="3"/>
  <c r="N728" i="3" s="1"/>
  <c r="M720" i="3"/>
  <c r="N720" i="3" s="1"/>
  <c r="M712" i="3"/>
  <c r="N712" i="3" s="1"/>
  <c r="M704" i="3"/>
  <c r="N704" i="3" s="1"/>
  <c r="M696" i="3"/>
  <c r="N696" i="3" s="1"/>
  <c r="M688" i="3"/>
  <c r="N688" i="3" s="1"/>
  <c r="M680" i="3"/>
  <c r="N680" i="3" s="1"/>
  <c r="M672" i="3"/>
  <c r="N672" i="3" s="1"/>
  <c r="N647" i="3"/>
  <c r="O647" i="3" s="1"/>
  <c r="M538" i="3"/>
  <c r="N532" i="3"/>
  <c r="O532" i="3" s="1"/>
  <c r="N929" i="3"/>
  <c r="O929" i="3" s="1"/>
  <c r="N913" i="3"/>
  <c r="O913" i="3" s="1"/>
  <c r="M662" i="3"/>
  <c r="N662" i="3" s="1"/>
  <c r="O662" i="3" s="1"/>
  <c r="M498" i="3"/>
  <c r="N498" i="3" s="1"/>
  <c r="O498" i="3" s="1"/>
  <c r="N763" i="3"/>
  <c r="O763" i="3" s="1"/>
  <c r="N755" i="3"/>
  <c r="O755" i="3" s="1"/>
  <c r="N747" i="3"/>
  <c r="O747" i="3" s="1"/>
  <c r="N739" i="3"/>
  <c r="O739" i="3" s="1"/>
  <c r="N731" i="3"/>
  <c r="O731" i="3" s="1"/>
  <c r="N723" i="3"/>
  <c r="O723" i="3" s="1"/>
  <c r="N715" i="3"/>
  <c r="O715" i="3" s="1"/>
  <c r="N707" i="3"/>
  <c r="O707" i="3" s="1"/>
  <c r="N699" i="3"/>
  <c r="O699" i="3" s="1"/>
  <c r="N691" i="3"/>
  <c r="O691" i="3" s="1"/>
  <c r="N683" i="3"/>
  <c r="O683" i="3" s="1"/>
  <c r="N675" i="3"/>
  <c r="O675" i="3" s="1"/>
  <c r="N653" i="3"/>
  <c r="O653" i="3" s="1"/>
  <c r="N636" i="3"/>
  <c r="O636" i="3" s="1"/>
  <c r="N599" i="3"/>
  <c r="O599" i="3" s="1"/>
  <c r="M462" i="3"/>
  <c r="N462" i="3" s="1"/>
  <c r="O462" i="3" s="1"/>
  <c r="M450" i="3"/>
  <c r="N450" i="3" s="1"/>
  <c r="O450" i="3" s="1"/>
  <c r="O849" i="3"/>
  <c r="O841" i="3"/>
  <c r="O833" i="3"/>
  <c r="O825" i="3"/>
  <c r="O817" i="3"/>
  <c r="O809" i="3"/>
  <c r="O788" i="3"/>
  <c r="O772" i="3"/>
  <c r="N627" i="3"/>
  <c r="O627" i="3" s="1"/>
  <c r="O1049" i="3"/>
  <c r="O900" i="3"/>
  <c r="O884" i="3"/>
  <c r="N881" i="3"/>
  <c r="O881" i="3" s="1"/>
  <c r="O876" i="3"/>
  <c r="N873" i="3"/>
  <c r="O873" i="3" s="1"/>
  <c r="N865" i="3"/>
  <c r="O865" i="3" s="1"/>
  <c r="N857" i="3"/>
  <c r="O857" i="3" s="1"/>
  <c r="O828" i="3"/>
  <c r="O820" i="3"/>
  <c r="M762" i="3"/>
  <c r="N762" i="3" s="1"/>
  <c r="O762" i="3" s="1"/>
  <c r="M754" i="3"/>
  <c r="N754" i="3" s="1"/>
  <c r="O754" i="3" s="1"/>
  <c r="M746" i="3"/>
  <c r="M642" i="3"/>
  <c r="N609" i="3"/>
  <c r="O609" i="3" s="1"/>
  <c r="M510" i="3"/>
  <c r="N510" i="3" s="1"/>
  <c r="N641" i="3"/>
  <c r="O641" i="3" s="1"/>
  <c r="N630" i="3"/>
  <c r="O630" i="3" s="1"/>
  <c r="N904" i="3"/>
  <c r="O904" i="3" s="1"/>
  <c r="N896" i="3"/>
  <c r="O896" i="3" s="1"/>
  <c r="N888" i="3"/>
  <c r="O888" i="3" s="1"/>
  <c r="N880" i="3"/>
  <c r="O880" i="3" s="1"/>
  <c r="N872" i="3"/>
  <c r="O872" i="3" s="1"/>
  <c r="N864" i="3"/>
  <c r="O864" i="3" s="1"/>
  <c r="N856" i="3"/>
  <c r="O856" i="3" s="1"/>
  <c r="N848" i="3"/>
  <c r="O848" i="3" s="1"/>
  <c r="N840" i="3"/>
  <c r="O840" i="3" s="1"/>
  <c r="O830" i="3"/>
  <c r="O822" i="3"/>
  <c r="O814" i="3"/>
  <c r="O806" i="3"/>
  <c r="O794" i="3"/>
  <c r="O778" i="3"/>
  <c r="O664" i="3"/>
  <c r="N659" i="3"/>
  <c r="O659" i="3" s="1"/>
  <c r="N521" i="3"/>
  <c r="O521" i="3" s="1"/>
  <c r="M481" i="3"/>
  <c r="N481" i="3" s="1"/>
  <c r="M471" i="3"/>
  <c r="N655" i="3"/>
  <c r="O655" i="3" s="1"/>
  <c r="N650" i="3"/>
  <c r="O650" i="3" s="1"/>
  <c r="N635" i="3"/>
  <c r="O635" i="3" s="1"/>
  <c r="N629" i="3"/>
  <c r="O629" i="3" s="1"/>
  <c r="N623" i="3"/>
  <c r="O623" i="3" s="1"/>
  <c r="N618" i="3"/>
  <c r="O618" i="3" s="1"/>
  <c r="N605" i="3"/>
  <c r="O605" i="3" s="1"/>
  <c r="N580" i="3"/>
  <c r="O580" i="3" s="1"/>
  <c r="M558" i="3"/>
  <c r="N558" i="3" s="1"/>
  <c r="N547" i="3"/>
  <c r="O547" i="3" s="1"/>
  <c r="N544" i="3"/>
  <c r="O544" i="3" s="1"/>
  <c r="N512" i="3"/>
  <c r="O512" i="3" s="1"/>
  <c r="M340" i="3"/>
  <c r="N340" i="3" s="1"/>
  <c r="M738" i="3"/>
  <c r="N738" i="3" s="1"/>
  <c r="O738" i="3" s="1"/>
  <c r="M730" i="3"/>
  <c r="N730" i="3" s="1"/>
  <c r="O730" i="3" s="1"/>
  <c r="M722" i="3"/>
  <c r="N722" i="3" s="1"/>
  <c r="O722" i="3" s="1"/>
  <c r="M714" i="3"/>
  <c r="N714" i="3" s="1"/>
  <c r="O714" i="3" s="1"/>
  <c r="M706" i="3"/>
  <c r="N706" i="3" s="1"/>
  <c r="O706" i="3" s="1"/>
  <c r="M698" i="3"/>
  <c r="N698" i="3" s="1"/>
  <c r="O698" i="3" s="1"/>
  <c r="M690" i="3"/>
  <c r="N690" i="3" s="1"/>
  <c r="O690" i="3" s="1"/>
  <c r="M682" i="3"/>
  <c r="N682" i="3" s="1"/>
  <c r="O682" i="3" s="1"/>
  <c r="M674" i="3"/>
  <c r="N674" i="3" s="1"/>
  <c r="O674" i="3" s="1"/>
  <c r="O671" i="3"/>
  <c r="N663" i="3"/>
  <c r="O663" i="3" s="1"/>
  <c r="N649" i="3"/>
  <c r="O649" i="3" s="1"/>
  <c r="N617" i="3"/>
  <c r="O617" i="3" s="1"/>
  <c r="M590" i="3"/>
  <c r="N579" i="3"/>
  <c r="O579" i="3" s="1"/>
  <c r="N576" i="3"/>
  <c r="O576" i="3" s="1"/>
  <c r="M570" i="3"/>
  <c r="N570" i="3" s="1"/>
  <c r="O570" i="3" s="1"/>
  <c r="N658" i="3"/>
  <c r="O658" i="3" s="1"/>
  <c r="N643" i="3"/>
  <c r="O643" i="3" s="1"/>
  <c r="N637" i="3"/>
  <c r="O637" i="3" s="1"/>
  <c r="N631" i="3"/>
  <c r="O631" i="3" s="1"/>
  <c r="N626" i="3"/>
  <c r="O626" i="3" s="1"/>
  <c r="N607" i="3"/>
  <c r="O607" i="3" s="1"/>
  <c r="N602" i="3"/>
  <c r="O602" i="3" s="1"/>
  <c r="N589" i="3"/>
  <c r="O589" i="3" s="1"/>
  <c r="M586" i="3"/>
  <c r="N586" i="3" s="1"/>
  <c r="N553" i="3"/>
  <c r="O553" i="3" s="1"/>
  <c r="M530" i="3"/>
  <c r="N530" i="3" s="1"/>
  <c r="O530" i="3" s="1"/>
  <c r="M372" i="3"/>
  <c r="N372" i="3" s="1"/>
  <c r="M764" i="3"/>
  <c r="N764" i="3" s="1"/>
  <c r="M756" i="3"/>
  <c r="N756" i="3" s="1"/>
  <c r="M748" i="3"/>
  <c r="N748" i="3" s="1"/>
  <c r="M740" i="3"/>
  <c r="N740" i="3" s="1"/>
  <c r="M732" i="3"/>
  <c r="N732" i="3" s="1"/>
  <c r="M724" i="3"/>
  <c r="N724" i="3" s="1"/>
  <c r="M716" i="3"/>
  <c r="N716" i="3" s="1"/>
  <c r="M708" i="3"/>
  <c r="N708" i="3" s="1"/>
  <c r="M700" i="3"/>
  <c r="N700" i="3" s="1"/>
  <c r="M692" i="3"/>
  <c r="N692" i="3" s="1"/>
  <c r="M684" i="3"/>
  <c r="N684" i="3" s="1"/>
  <c r="M676" i="3"/>
  <c r="N676" i="3" s="1"/>
  <c r="N657" i="3"/>
  <c r="O657" i="3" s="1"/>
  <c r="N640" i="3"/>
  <c r="O640" i="3" s="1"/>
  <c r="N625" i="3"/>
  <c r="O625" i="3" s="1"/>
  <c r="N613" i="3"/>
  <c r="O613" i="3" s="1"/>
  <c r="N601" i="3"/>
  <c r="O601" i="3" s="1"/>
  <c r="N585" i="3"/>
  <c r="O585" i="3" s="1"/>
  <c r="M485" i="3"/>
  <c r="N485" i="3" s="1"/>
  <c r="N667" i="3"/>
  <c r="O667" i="3" s="1"/>
  <c r="O660" i="3"/>
  <c r="N651" i="3"/>
  <c r="O651" i="3" s="1"/>
  <c r="N645" i="3"/>
  <c r="O645" i="3" s="1"/>
  <c r="N639" i="3"/>
  <c r="O639" i="3" s="1"/>
  <c r="N634" i="3"/>
  <c r="O634" i="3" s="1"/>
  <c r="N619" i="3"/>
  <c r="O619" i="3" s="1"/>
  <c r="N539" i="3"/>
  <c r="O539" i="3" s="1"/>
  <c r="M484" i="3"/>
  <c r="N484" i="3" s="1"/>
  <c r="M766" i="3"/>
  <c r="N766" i="3" s="1"/>
  <c r="M758" i="3"/>
  <c r="N758" i="3" s="1"/>
  <c r="M750" i="3"/>
  <c r="N750" i="3" s="1"/>
  <c r="M742" i="3"/>
  <c r="N742" i="3" s="1"/>
  <c r="M734" i="3"/>
  <c r="N734" i="3" s="1"/>
  <c r="M726" i="3"/>
  <c r="N726" i="3" s="1"/>
  <c r="M718" i="3"/>
  <c r="N718" i="3" s="1"/>
  <c r="M710" i="3"/>
  <c r="N710" i="3" s="1"/>
  <c r="M702" i="3"/>
  <c r="N702" i="3" s="1"/>
  <c r="M694" i="3"/>
  <c r="N694" i="3" s="1"/>
  <c r="M686" i="3"/>
  <c r="N686" i="3" s="1"/>
  <c r="M678" i="3"/>
  <c r="N678" i="3" s="1"/>
  <c r="N670" i="3"/>
  <c r="O670" i="3" s="1"/>
  <c r="N648" i="3"/>
  <c r="O648" i="3" s="1"/>
  <c r="N633" i="3"/>
  <c r="O633" i="3" s="1"/>
  <c r="N615" i="3"/>
  <c r="O615" i="3" s="1"/>
  <c r="N610" i="3"/>
  <c r="O610" i="3" s="1"/>
  <c r="N597" i="3"/>
  <c r="O597" i="3" s="1"/>
  <c r="M562" i="3"/>
  <c r="N562" i="3" s="1"/>
  <c r="M526" i="3"/>
  <c r="N526" i="3" s="1"/>
  <c r="M466" i="3"/>
  <c r="N466" i="3" s="1"/>
  <c r="M446" i="3"/>
  <c r="N446" i="3" s="1"/>
  <c r="N611" i="3"/>
  <c r="O611" i="3" s="1"/>
  <c r="N603" i="3"/>
  <c r="O603" i="3" s="1"/>
  <c r="N595" i="3"/>
  <c r="O595" i="3" s="1"/>
  <c r="O578" i="3"/>
  <c r="O569" i="3"/>
  <c r="N563" i="3"/>
  <c r="O563" i="3" s="1"/>
  <c r="O557" i="3"/>
  <c r="O546" i="3"/>
  <c r="N531" i="3"/>
  <c r="O531" i="3" s="1"/>
  <c r="O525" i="3"/>
  <c r="M506" i="3"/>
  <c r="N506" i="3" s="1"/>
  <c r="N500" i="3"/>
  <c r="O500" i="3" s="1"/>
  <c r="M408" i="3"/>
  <c r="N408" i="3" s="1"/>
  <c r="O661" i="3"/>
  <c r="N592" i="3"/>
  <c r="O592" i="3" s="1"/>
  <c r="N560" i="3"/>
  <c r="O560" i="3" s="1"/>
  <c r="N528" i="3"/>
  <c r="O528" i="3" s="1"/>
  <c r="M497" i="3"/>
  <c r="N497" i="3" s="1"/>
  <c r="M430" i="3"/>
  <c r="N430" i="3" s="1"/>
  <c r="O430" i="3" s="1"/>
  <c r="M386" i="3"/>
  <c r="N386" i="3" s="1"/>
  <c r="O386" i="3" s="1"/>
  <c r="M380" i="3"/>
  <c r="N380" i="3" s="1"/>
  <c r="N376" i="3"/>
  <c r="O376" i="3" s="1"/>
  <c r="N344" i="3"/>
  <c r="O344" i="3" s="1"/>
  <c r="M554" i="3"/>
  <c r="M522" i="3"/>
  <c r="N522" i="3" s="1"/>
  <c r="M488" i="3"/>
  <c r="N488" i="3" s="1"/>
  <c r="M482" i="3"/>
  <c r="N482" i="3" s="1"/>
  <c r="O482" i="3" s="1"/>
  <c r="M453" i="3"/>
  <c r="N453" i="3" s="1"/>
  <c r="M356" i="3"/>
  <c r="N356" i="3" s="1"/>
  <c r="O356" i="3" s="1"/>
  <c r="O665" i="3"/>
  <c r="M574" i="3"/>
  <c r="N574" i="3" s="1"/>
  <c r="M542" i="3"/>
  <c r="N542" i="3" s="1"/>
  <c r="M487" i="3"/>
  <c r="N487" i="3" s="1"/>
  <c r="M428" i="3"/>
  <c r="N428" i="3" s="1"/>
  <c r="O428" i="3" s="1"/>
  <c r="M469" i="3"/>
  <c r="N469" i="3" s="1"/>
  <c r="M465" i="3"/>
  <c r="N465" i="3" s="1"/>
  <c r="M444" i="3"/>
  <c r="N444" i="3" s="1"/>
  <c r="O444" i="3" s="1"/>
  <c r="M402" i="3"/>
  <c r="N402" i="3" s="1"/>
  <c r="O582" i="3"/>
  <c r="O566" i="3"/>
  <c r="O550" i="3"/>
  <c r="O518" i="3"/>
  <c r="M460" i="3"/>
  <c r="N460" i="3" s="1"/>
  <c r="N456" i="3"/>
  <c r="O456" i="3" s="1"/>
  <c r="N414" i="3"/>
  <c r="O414" i="3" s="1"/>
  <c r="M396" i="3"/>
  <c r="N396" i="3" s="1"/>
  <c r="N392" i="3"/>
  <c r="O392" i="3" s="1"/>
  <c r="O584" i="3"/>
  <c r="O504" i="3"/>
  <c r="M492" i="3"/>
  <c r="N492" i="3" s="1"/>
  <c r="O492" i="3" s="1"/>
  <c r="M476" i="3"/>
  <c r="N476" i="3" s="1"/>
  <c r="N472" i="3"/>
  <c r="O472" i="3" s="1"/>
  <c r="N468" i="3"/>
  <c r="O468" i="3" s="1"/>
  <c r="N368" i="3"/>
  <c r="O368" i="3" s="1"/>
  <c r="P368" i="3" s="1"/>
  <c r="N352" i="3"/>
  <c r="O352" i="3" s="1"/>
  <c r="N336" i="3"/>
  <c r="M459" i="3"/>
  <c r="N459" i="3" s="1"/>
  <c r="M418" i="3"/>
  <c r="N418" i="3" s="1"/>
  <c r="O418" i="3" s="1"/>
  <c r="O588" i="3"/>
  <c r="O572" i="3"/>
  <c r="O556" i="3"/>
  <c r="O540" i="3"/>
  <c r="O524" i="3"/>
  <c r="O508" i="3"/>
  <c r="M495" i="3"/>
  <c r="N495" i="3" s="1"/>
  <c r="M491" i="3"/>
  <c r="M479" i="3"/>
  <c r="N479" i="3" s="1"/>
  <c r="M475" i="3"/>
  <c r="N475" i="3" s="1"/>
  <c r="M463" i="3"/>
  <c r="N463" i="3" s="1"/>
  <c r="M434" i="3"/>
  <c r="N434" i="3" s="1"/>
  <c r="M412" i="3"/>
  <c r="N412" i="3" s="1"/>
  <c r="O412" i="3" s="1"/>
  <c r="M455" i="3"/>
  <c r="N455" i="3" s="1"/>
  <c r="M493" i="3"/>
  <c r="N493" i="3" s="1"/>
  <c r="M477" i="3"/>
  <c r="M461" i="3"/>
  <c r="N461" i="3" s="1"/>
  <c r="N416" i="3"/>
  <c r="O416" i="3" s="1"/>
  <c r="O406" i="3"/>
  <c r="N400" i="3"/>
  <c r="O400" i="3" s="1"/>
  <c r="N384" i="3"/>
  <c r="O384" i="3" s="1"/>
  <c r="N374" i="3"/>
  <c r="O374" i="3" s="1"/>
  <c r="N370" i="3"/>
  <c r="O370" i="3" s="1"/>
  <c r="N366" i="3"/>
  <c r="O366" i="3" s="1"/>
  <c r="N362" i="3"/>
  <c r="O362" i="3" s="1"/>
  <c r="N358" i="3"/>
  <c r="O358" i="3" s="1"/>
  <c r="P358" i="3" s="1"/>
  <c r="N354" i="3"/>
  <c r="O354" i="3" s="1"/>
  <c r="N350" i="3"/>
  <c r="O350" i="3" s="1"/>
  <c r="N346" i="3"/>
  <c r="N342" i="3"/>
  <c r="O342" i="3" s="1"/>
  <c r="N334" i="3"/>
  <c r="O334" i="3" s="1"/>
  <c r="N486" i="3"/>
  <c r="O486" i="3" s="1"/>
  <c r="M483" i="3"/>
  <c r="N483" i="3" s="1"/>
  <c r="M467" i="3"/>
  <c r="N454" i="3"/>
  <c r="O454" i="3" s="1"/>
  <c r="M451" i="3"/>
  <c r="N451" i="3" s="1"/>
  <c r="N438" i="3"/>
  <c r="O438" i="3" s="1"/>
  <c r="N422" i="3"/>
  <c r="O422" i="3" s="1"/>
  <c r="N390" i="3"/>
  <c r="O390" i="3" s="1"/>
  <c r="M489" i="3"/>
  <c r="N489" i="3" s="1"/>
  <c r="M473" i="3"/>
  <c r="N473" i="3" s="1"/>
  <c r="O473" i="3" s="1"/>
  <c r="M457" i="3"/>
  <c r="N457" i="3" s="1"/>
  <c r="N449" i="3"/>
  <c r="O449" i="3" s="1"/>
  <c r="N447" i="3"/>
  <c r="O447" i="3" s="1"/>
  <c r="N445" i="3"/>
  <c r="O445" i="3" s="1"/>
  <c r="N443" i="3"/>
  <c r="O443" i="3" s="1"/>
  <c r="N441" i="3"/>
  <c r="O441" i="3" s="1"/>
  <c r="N439" i="3"/>
  <c r="O439" i="3" s="1"/>
  <c r="N437" i="3"/>
  <c r="O437" i="3" s="1"/>
  <c r="N435" i="3"/>
  <c r="O435" i="3" s="1"/>
  <c r="N433" i="3"/>
  <c r="O433" i="3" s="1"/>
  <c r="N431" i="3"/>
  <c r="O431" i="3" s="1"/>
  <c r="N429" i="3"/>
  <c r="O429" i="3" s="1"/>
  <c r="N427" i="3"/>
  <c r="O427" i="3" s="1"/>
  <c r="N425" i="3"/>
  <c r="O425" i="3" s="1"/>
  <c r="N423" i="3"/>
  <c r="O423" i="3" s="1"/>
  <c r="N421" i="3"/>
  <c r="O421" i="3" s="1"/>
  <c r="N419" i="3"/>
  <c r="O419" i="3" s="1"/>
  <c r="N417" i="3"/>
  <c r="O417" i="3" s="1"/>
  <c r="N415" i="3"/>
  <c r="O415" i="3" s="1"/>
  <c r="N413" i="3"/>
  <c r="O413" i="3" s="1"/>
  <c r="N411" i="3"/>
  <c r="O411" i="3" s="1"/>
  <c r="N409" i="3"/>
  <c r="O409" i="3" s="1"/>
  <c r="N407" i="3"/>
  <c r="O407" i="3" s="1"/>
  <c r="N405" i="3"/>
  <c r="O405" i="3" s="1"/>
  <c r="N403" i="3"/>
  <c r="O403" i="3" s="1"/>
  <c r="N401" i="3"/>
  <c r="O401" i="3" s="1"/>
  <c r="N399" i="3"/>
  <c r="O399" i="3" s="1"/>
  <c r="N395" i="3"/>
  <c r="O395" i="3" s="1"/>
  <c r="N393" i="3"/>
  <c r="O393" i="3" s="1"/>
  <c r="N391" i="3"/>
  <c r="O391" i="3" s="1"/>
  <c r="N389" i="3"/>
  <c r="O389" i="3" s="1"/>
  <c r="N387" i="3"/>
  <c r="O387" i="3" s="1"/>
  <c r="P387" i="3" s="1"/>
  <c r="N383" i="3"/>
  <c r="O383" i="3" s="1"/>
  <c r="P383" i="3" s="1"/>
  <c r="N381" i="3"/>
  <c r="O381" i="3" s="1"/>
  <c r="N379" i="3"/>
  <c r="O379" i="3" s="1"/>
  <c r="N371" i="3"/>
  <c r="O371" i="3" s="1"/>
  <c r="N369" i="3"/>
  <c r="O369" i="3" s="1"/>
  <c r="P369" i="3" s="1"/>
  <c r="N367" i="3"/>
  <c r="O367" i="3" s="1"/>
  <c r="P367" i="3" s="1"/>
  <c r="N365" i="3"/>
  <c r="O365" i="3" s="1"/>
  <c r="P365" i="3" s="1"/>
  <c r="N363" i="3"/>
  <c r="O363" i="3" s="1"/>
  <c r="P363" i="3" s="1"/>
  <c r="N361" i="3"/>
  <c r="N359" i="3"/>
  <c r="O359" i="3" s="1"/>
  <c r="N357" i="3"/>
  <c r="O357" i="3" s="1"/>
  <c r="N355" i="3"/>
  <c r="O355" i="3" s="1"/>
  <c r="N353" i="3"/>
  <c r="O353" i="3" s="1"/>
  <c r="N351" i="3"/>
  <c r="O351" i="3" s="1"/>
  <c r="P351" i="3" s="1"/>
  <c r="N349" i="3"/>
  <c r="O349" i="3" s="1"/>
  <c r="N347" i="3"/>
  <c r="O347" i="3" s="1"/>
  <c r="N345" i="3"/>
  <c r="O345" i="3" s="1"/>
  <c r="N343" i="3"/>
  <c r="O343" i="3" s="1"/>
  <c r="N339" i="3"/>
  <c r="O339" i="3" s="1"/>
  <c r="N337" i="3"/>
  <c r="O337" i="3" s="1"/>
  <c r="N335" i="3"/>
  <c r="N333" i="3"/>
  <c r="O333" i="3" s="1"/>
  <c r="N329" i="3"/>
  <c r="O329" i="3" s="1"/>
  <c r="N14" i="3"/>
  <c r="O14" i="3" s="1"/>
  <c r="N30" i="3"/>
  <c r="O30" i="3" s="1"/>
  <c r="N46" i="3"/>
  <c r="O46" i="3" s="1"/>
  <c r="M100" i="3"/>
  <c r="N100" i="3" s="1"/>
  <c r="N3" i="3"/>
  <c r="O3" i="3" s="1"/>
  <c r="M10" i="3"/>
  <c r="N10" i="3" s="1"/>
  <c r="N12" i="3"/>
  <c r="O12" i="3" s="1"/>
  <c r="M26" i="3"/>
  <c r="N26" i="3" s="1"/>
  <c r="O26" i="3" s="1"/>
  <c r="N28" i="3"/>
  <c r="O28" i="3" s="1"/>
  <c r="N35" i="3"/>
  <c r="O35" i="3" s="1"/>
  <c r="M42" i="3"/>
  <c r="N42" i="3" s="1"/>
  <c r="O42" i="3" s="1"/>
  <c r="N44" i="3"/>
  <c r="O44" i="3" s="1"/>
  <c r="N51" i="3"/>
  <c r="O51" i="3" s="1"/>
  <c r="N56" i="3"/>
  <c r="O56" i="3" s="1"/>
  <c r="N64" i="3"/>
  <c r="O64" i="3" s="1"/>
  <c r="N72" i="3"/>
  <c r="O72" i="3" s="1"/>
  <c r="M84" i="3"/>
  <c r="N84" i="3" s="1"/>
  <c r="M125" i="3"/>
  <c r="N125" i="3" s="1"/>
  <c r="M148" i="3"/>
  <c r="M162" i="3"/>
  <c r="N162" i="3" s="1"/>
  <c r="O162" i="3" s="1"/>
  <c r="M212" i="3"/>
  <c r="N212" i="3" s="1"/>
  <c r="M96" i="3"/>
  <c r="N96" i="3" s="1"/>
  <c r="M104" i="3"/>
  <c r="N104" i="3" s="1"/>
  <c r="M108" i="3"/>
  <c r="N132" i="3"/>
  <c r="O132" i="3" s="1"/>
  <c r="N217" i="3"/>
  <c r="O217" i="3" s="1"/>
  <c r="M235" i="3"/>
  <c r="N259" i="3"/>
  <c r="O259" i="3" s="1"/>
  <c r="N19" i="3"/>
  <c r="O19" i="3" s="1"/>
  <c r="M8" i="3"/>
  <c r="N8" i="3" s="1"/>
  <c r="M24" i="3"/>
  <c r="N24" i="3" s="1"/>
  <c r="M40" i="3"/>
  <c r="M78" i="3"/>
  <c r="N78" i="3" s="1"/>
  <c r="M90" i="3"/>
  <c r="N90" i="3" s="1"/>
  <c r="N118" i="3"/>
  <c r="O118" i="3" s="1"/>
  <c r="M121" i="3"/>
  <c r="M141" i="3"/>
  <c r="N141" i="3" s="1"/>
  <c r="M167" i="3"/>
  <c r="N167" i="3" s="1"/>
  <c r="M177" i="3"/>
  <c r="N177" i="3" s="1"/>
  <c r="O177" i="3" s="1"/>
  <c r="N187" i="3"/>
  <c r="O187" i="3" s="1"/>
  <c r="N232" i="3"/>
  <c r="O232" i="3" s="1"/>
  <c r="M250" i="3"/>
  <c r="M266" i="3"/>
  <c r="N266" i="3" s="1"/>
  <c r="M112" i="3"/>
  <c r="M225" i="3"/>
  <c r="N225" i="3" s="1"/>
  <c r="O225" i="3" s="1"/>
  <c r="M137" i="3"/>
  <c r="M182" i="3"/>
  <c r="N182" i="3" s="1"/>
  <c r="O182" i="3" s="1"/>
  <c r="M222" i="3"/>
  <c r="N222" i="3" s="1"/>
  <c r="N227" i="3"/>
  <c r="O227" i="3" s="1"/>
  <c r="P227" i="3" s="1"/>
  <c r="M4" i="3"/>
  <c r="N4" i="3" s="1"/>
  <c r="N6" i="3"/>
  <c r="O6" i="3" s="1"/>
  <c r="N13" i="3"/>
  <c r="O13" i="3" s="1"/>
  <c r="M20" i="3"/>
  <c r="N20" i="3" s="1"/>
  <c r="N22" i="3"/>
  <c r="O22" i="3" s="1"/>
  <c r="N29" i="3"/>
  <c r="O29" i="3" s="1"/>
  <c r="M36" i="3"/>
  <c r="N38" i="3"/>
  <c r="O38" i="3" s="1"/>
  <c r="N45" i="3"/>
  <c r="O45" i="3" s="1"/>
  <c r="M52" i="3"/>
  <c r="N52" i="3" s="1"/>
  <c r="O52" i="3" s="1"/>
  <c r="N57" i="3"/>
  <c r="O57" i="3" s="1"/>
  <c r="N65" i="3"/>
  <c r="O65" i="3" s="1"/>
  <c r="N73" i="3"/>
  <c r="O73" i="3" s="1"/>
  <c r="M82" i="3"/>
  <c r="N85" i="3"/>
  <c r="O85" i="3" s="1"/>
  <c r="M94" i="3"/>
  <c r="N94" i="3" s="1"/>
  <c r="O94" i="3" s="1"/>
  <c r="M98" i="3"/>
  <c r="M102" i="3"/>
  <c r="M106" i="3"/>
  <c r="M110" i="3"/>
  <c r="M114" i="3"/>
  <c r="N114" i="3" s="1"/>
  <c r="M134" i="3"/>
  <c r="N134" i="3" s="1"/>
  <c r="O134" i="3" s="1"/>
  <c r="N145" i="3"/>
  <c r="O145" i="3" s="1"/>
  <c r="M150" i="3"/>
  <c r="N150" i="3" s="1"/>
  <c r="O150" i="3" s="1"/>
  <c r="N159" i="3"/>
  <c r="O159" i="3" s="1"/>
  <c r="M192" i="3"/>
  <c r="N192" i="3" s="1"/>
  <c r="M237" i="3"/>
  <c r="M242" i="3"/>
  <c r="M130" i="3"/>
  <c r="N130" i="3" s="1"/>
  <c r="M155" i="3"/>
  <c r="M164" i="3"/>
  <c r="N164" i="3" s="1"/>
  <c r="M174" i="3"/>
  <c r="N174" i="3" s="1"/>
  <c r="O174" i="3" s="1"/>
  <c r="N219" i="3"/>
  <c r="O219" i="3" s="1"/>
  <c r="P219" i="3" s="1"/>
  <c r="M247" i="3"/>
  <c r="N247" i="3" s="1"/>
  <c r="N2" i="3"/>
  <c r="O2" i="3" s="1"/>
  <c r="N9" i="3"/>
  <c r="O9" i="3" s="1"/>
  <c r="M16" i="3"/>
  <c r="N18" i="3"/>
  <c r="O18" i="3" s="1"/>
  <c r="N25" i="3"/>
  <c r="O25" i="3" s="1"/>
  <c r="M32" i="3"/>
  <c r="N41" i="3"/>
  <c r="O41" i="3" s="1"/>
  <c r="M48" i="3"/>
  <c r="N50" i="3"/>
  <c r="O50" i="3" s="1"/>
  <c r="N55" i="3"/>
  <c r="O55" i="3" s="1"/>
  <c r="N63" i="3"/>
  <c r="O63" i="3" s="1"/>
  <c r="N71" i="3"/>
  <c r="O71" i="3" s="1"/>
  <c r="N95" i="3"/>
  <c r="O95" i="3" s="1"/>
  <c r="N99" i="3"/>
  <c r="O99" i="3" s="1"/>
  <c r="N103" i="3"/>
  <c r="O103" i="3" s="1"/>
  <c r="N107" i="3"/>
  <c r="O107" i="3" s="1"/>
  <c r="N111" i="3"/>
  <c r="O111" i="3" s="1"/>
  <c r="M123" i="3"/>
  <c r="N127" i="3"/>
  <c r="O127" i="3" s="1"/>
  <c r="N179" i="3"/>
  <c r="O179" i="3" s="1"/>
  <c r="N34" i="3"/>
  <c r="O34" i="3" s="1"/>
  <c r="N58" i="3"/>
  <c r="O58" i="3" s="1"/>
  <c r="N66" i="3"/>
  <c r="O66" i="3" s="1"/>
  <c r="N74" i="3"/>
  <c r="O74" i="3" s="1"/>
  <c r="M80" i="3"/>
  <c r="N80" i="3" s="1"/>
  <c r="N86" i="3"/>
  <c r="O86" i="3" s="1"/>
  <c r="M92" i="3"/>
  <c r="N92" i="3" s="1"/>
  <c r="N116" i="3"/>
  <c r="O116" i="3" s="1"/>
  <c r="M139" i="3"/>
  <c r="N157" i="3"/>
  <c r="O157" i="3" s="1"/>
  <c r="M197" i="3"/>
  <c r="N197" i="3" s="1"/>
  <c r="O197" i="3" s="1"/>
  <c r="M202" i="3"/>
  <c r="N202" i="3" s="1"/>
  <c r="N207" i="3"/>
  <c r="O207" i="3" s="1"/>
  <c r="M282" i="3"/>
  <c r="M301" i="3"/>
  <c r="D120" i="5" s="1"/>
  <c r="M317" i="3"/>
  <c r="N128" i="3"/>
  <c r="O128" i="3" s="1"/>
  <c r="N144" i="3"/>
  <c r="O144" i="3" s="1"/>
  <c r="M146" i="3"/>
  <c r="N146" i="3" s="1"/>
  <c r="M153" i="3"/>
  <c r="N153" i="3" s="1"/>
  <c r="O153" i="3" s="1"/>
  <c r="N160" i="3"/>
  <c r="O160" i="3" s="1"/>
  <c r="M170" i="3"/>
  <c r="N170" i="3" s="1"/>
  <c r="O170" i="3" s="1"/>
  <c r="M175" i="3"/>
  <c r="N175" i="3" s="1"/>
  <c r="N180" i="3"/>
  <c r="O180" i="3" s="1"/>
  <c r="M185" i="3"/>
  <c r="M190" i="3"/>
  <c r="N190" i="3" s="1"/>
  <c r="M200" i="3"/>
  <c r="N200" i="3" s="1"/>
  <c r="O200" i="3" s="1"/>
  <c r="P200" i="3" s="1"/>
  <c r="M205" i="3"/>
  <c r="N205" i="3" s="1"/>
  <c r="O205" i="3" s="1"/>
  <c r="M210" i="3"/>
  <c r="M215" i="3"/>
  <c r="N215" i="3" s="1"/>
  <c r="O215" i="3" s="1"/>
  <c r="N218" i="3"/>
  <c r="O218" i="3" s="1"/>
  <c r="M230" i="3"/>
  <c r="M240" i="3"/>
  <c r="N240" i="3" s="1"/>
  <c r="N245" i="3"/>
  <c r="O245" i="3" s="1"/>
  <c r="N248" i="3"/>
  <c r="O248" i="3" s="1"/>
  <c r="M253" i="3"/>
  <c r="N253" i="3" s="1"/>
  <c r="M267" i="3"/>
  <c r="M278" i="3"/>
  <c r="N321" i="3"/>
  <c r="O321" i="3" s="1"/>
  <c r="P321" i="3" s="1"/>
  <c r="M238" i="3"/>
  <c r="M260" i="3"/>
  <c r="N260" i="3" s="1"/>
  <c r="M283" i="3"/>
  <c r="M117" i="3"/>
  <c r="N117" i="3" s="1"/>
  <c r="N119" i="3"/>
  <c r="O119" i="3" s="1"/>
  <c r="M126" i="3"/>
  <c r="N126" i="3" s="1"/>
  <c r="O126" i="3" s="1"/>
  <c r="M133" i="3"/>
  <c r="N133" i="3" s="1"/>
  <c r="N135" i="3"/>
  <c r="O135" i="3" s="1"/>
  <c r="M142" i="3"/>
  <c r="M149" i="3"/>
  <c r="N149" i="3" s="1"/>
  <c r="O149" i="3" s="1"/>
  <c r="N151" i="3"/>
  <c r="O151" i="3" s="1"/>
  <c r="M158" i="3"/>
  <c r="N158" i="3" s="1"/>
  <c r="M168" i="3"/>
  <c r="M173" i="3"/>
  <c r="N173" i="3" s="1"/>
  <c r="M178" i="3"/>
  <c r="M183" i="3"/>
  <c r="N193" i="3"/>
  <c r="O193" i="3" s="1"/>
  <c r="P193" i="3" s="1"/>
  <c r="M198" i="3"/>
  <c r="N203" i="3"/>
  <c r="O203" i="3" s="1"/>
  <c r="M208" i="3"/>
  <c r="N208" i="3" s="1"/>
  <c r="N213" i="3"/>
  <c r="O213" i="3" s="1"/>
  <c r="N223" i="3"/>
  <c r="O223" i="3" s="1"/>
  <c r="M228" i="3"/>
  <c r="N228" i="3" s="1"/>
  <c r="N233" i="3"/>
  <c r="O233" i="3" s="1"/>
  <c r="M241" i="3"/>
  <c r="N241" i="3" s="1"/>
  <c r="O241" i="3" s="1"/>
  <c r="N243" i="3"/>
  <c r="O243" i="3" s="1"/>
  <c r="M251" i="3"/>
  <c r="N251" i="3" s="1"/>
  <c r="N257" i="3"/>
  <c r="O257" i="3" s="1"/>
  <c r="N271" i="3"/>
  <c r="O271" i="3" s="1"/>
  <c r="N287" i="3"/>
  <c r="O287" i="3" s="1"/>
  <c r="P287" i="3" s="1"/>
  <c r="M115" i="3"/>
  <c r="M124" i="3"/>
  <c r="N124" i="3" s="1"/>
  <c r="O124" i="3" s="1"/>
  <c r="M131" i="3"/>
  <c r="M140" i="3"/>
  <c r="N140" i="3" s="1"/>
  <c r="O140" i="3" s="1"/>
  <c r="M147" i="3"/>
  <c r="N147" i="3" s="1"/>
  <c r="M156" i="3"/>
  <c r="M161" i="3"/>
  <c r="N163" i="3"/>
  <c r="O163" i="3" s="1"/>
  <c r="M171" i="3"/>
  <c r="N171" i="3" s="1"/>
  <c r="M186" i="3"/>
  <c r="N186" i="3" s="1"/>
  <c r="M191" i="3"/>
  <c r="N191" i="3" s="1"/>
  <c r="M201" i="3"/>
  <c r="N201" i="3" s="1"/>
  <c r="M206" i="3"/>
  <c r="N206" i="3" s="1"/>
  <c r="O206" i="3" s="1"/>
  <c r="P206" i="3" s="1"/>
  <c r="M216" i="3"/>
  <c r="N216" i="3" s="1"/>
  <c r="O216" i="3" s="1"/>
  <c r="M221" i="3"/>
  <c r="N221" i="3" s="1"/>
  <c r="M226" i="3"/>
  <c r="N226" i="3" s="1"/>
  <c r="O226" i="3" s="1"/>
  <c r="M231" i="3"/>
  <c r="N231" i="3" s="1"/>
  <c r="O231" i="3" s="1"/>
  <c r="M246" i="3"/>
  <c r="N246" i="3" s="1"/>
  <c r="N261" i="3"/>
  <c r="O261" i="3" s="1"/>
  <c r="P261" i="3" s="1"/>
  <c r="O275" i="3"/>
  <c r="N309" i="3"/>
  <c r="O309" i="3" s="1"/>
  <c r="P309" i="3" s="1"/>
  <c r="N120" i="3"/>
  <c r="O120" i="3" s="1"/>
  <c r="M122" i="3"/>
  <c r="N136" i="3"/>
  <c r="O136" i="3" s="1"/>
  <c r="M138" i="3"/>
  <c r="N138" i="3" s="1"/>
  <c r="N152" i="3"/>
  <c r="O152" i="3" s="1"/>
  <c r="M154" i="3"/>
  <c r="N154" i="3" s="1"/>
  <c r="M166" i="3"/>
  <c r="N166" i="3" s="1"/>
  <c r="O169" i="3"/>
  <c r="M176" i="3"/>
  <c r="N176" i="3" s="1"/>
  <c r="N181" i="3"/>
  <c r="O181" i="3" s="1"/>
  <c r="N184" i="3"/>
  <c r="O184" i="3" s="1"/>
  <c r="N194" i="3"/>
  <c r="O194" i="3" s="1"/>
  <c r="M196" i="3"/>
  <c r="N199" i="3"/>
  <c r="O199" i="3" s="1"/>
  <c r="P199" i="3" s="1"/>
  <c r="N214" i="3"/>
  <c r="O214" i="3" s="1"/>
  <c r="P214" i="3" s="1"/>
  <c r="N224" i="3"/>
  <c r="O224" i="3" s="1"/>
  <c r="M234" i="3"/>
  <c r="N234" i="3" s="1"/>
  <c r="N244" i="3"/>
  <c r="O244" i="3" s="1"/>
  <c r="M249" i="3"/>
  <c r="N249" i="3" s="1"/>
  <c r="M258" i="3"/>
  <c r="N258" i="3" s="1"/>
  <c r="N262" i="3"/>
  <c r="O262" i="3" s="1"/>
  <c r="P262" i="3" s="1"/>
  <c r="M265" i="3"/>
  <c r="N265" i="3" s="1"/>
  <c r="M269" i="3"/>
  <c r="M276" i="3"/>
  <c r="N276" i="3" s="1"/>
  <c r="N285" i="3"/>
  <c r="M289" i="3"/>
  <c r="N293" i="3"/>
  <c r="O293" i="3" s="1"/>
  <c r="P293" i="3" s="1"/>
  <c r="M310" i="3"/>
  <c r="N310" i="3" s="1"/>
  <c r="N319" i="3"/>
  <c r="O319" i="3" s="1"/>
  <c r="M294" i="3"/>
  <c r="N324" i="3"/>
  <c r="O324" i="3" s="1"/>
  <c r="M292" i="3"/>
  <c r="M299" i="3"/>
  <c r="N299" i="3" s="1"/>
  <c r="O299" i="3" s="1"/>
  <c r="M308" i="3"/>
  <c r="M315" i="3"/>
  <c r="M274" i="3"/>
  <c r="N274" i="3" s="1"/>
  <c r="O274" i="3" s="1"/>
  <c r="M281" i="3"/>
  <c r="D68" i="5" s="1"/>
  <c r="M290" i="3"/>
  <c r="M297" i="3"/>
  <c r="M306" i="3"/>
  <c r="M313" i="3"/>
  <c r="N313" i="3" s="1"/>
  <c r="M256" i="3"/>
  <c r="N256" i="3" s="1"/>
  <c r="O256" i="3" s="1"/>
  <c r="M263" i="3"/>
  <c r="M272" i="3"/>
  <c r="N272" i="3" s="1"/>
  <c r="O272" i="3" s="1"/>
  <c r="M279" i="3"/>
  <c r="M288" i="3"/>
  <c r="M295" i="3"/>
  <c r="M304" i="3"/>
  <c r="M311" i="3"/>
  <c r="M327" i="3"/>
  <c r="N172" i="3"/>
  <c r="O172" i="3" s="1"/>
  <c r="N188" i="3"/>
  <c r="O188" i="3" s="1"/>
  <c r="N204" i="3"/>
  <c r="O204" i="3" s="1"/>
  <c r="N220" i="3"/>
  <c r="O220" i="3" s="1"/>
  <c r="N236" i="3"/>
  <c r="O236" i="3" s="1"/>
  <c r="N252" i="3"/>
  <c r="O252" i="3" s="1"/>
  <c r="M254" i="3"/>
  <c r="N268" i="3"/>
  <c r="O268" i="3" s="1"/>
  <c r="M270" i="3"/>
  <c r="M286" i="3"/>
  <c r="N300" i="3"/>
  <c r="O300" i="3" s="1"/>
  <c r="M302" i="3"/>
  <c r="N316" i="3"/>
  <c r="O316" i="3" s="1"/>
  <c r="M325" i="3"/>
  <c r="N325" i="3" s="1"/>
  <c r="N264" i="3"/>
  <c r="O264" i="3" s="1"/>
  <c r="P264" i="3" s="1"/>
  <c r="N296" i="3"/>
  <c r="O296" i="3" s="1"/>
  <c r="P296" i="3" s="1"/>
  <c r="M298" i="3"/>
  <c r="N312" i="3"/>
  <c r="O312" i="3" s="1"/>
  <c r="F17" i="8" l="1"/>
  <c r="H12" i="8"/>
  <c r="F21" i="8"/>
  <c r="H20" i="8"/>
  <c r="K16" i="8"/>
  <c r="J24" i="8"/>
  <c r="G16" i="8"/>
  <c r="F16" i="8"/>
  <c r="G20" i="8"/>
  <c r="H16" i="8"/>
  <c r="F12" i="8"/>
  <c r="J16" i="8"/>
  <c r="J25" i="8"/>
  <c r="I16" i="8"/>
  <c r="F20" i="8"/>
  <c r="I20" i="8"/>
  <c r="F8" i="8"/>
  <c r="D24" i="5"/>
  <c r="D46" i="5"/>
  <c r="P3952" i="3"/>
  <c r="D36" i="5"/>
  <c r="G12" i="5"/>
  <c r="D32" i="5"/>
  <c r="F14" i="8"/>
  <c r="N2980" i="3"/>
  <c r="O2980" i="3" s="1"/>
  <c r="D80" i="5"/>
  <c r="F13" i="8" s="1"/>
  <c r="D8" i="5"/>
  <c r="J20" i="8"/>
  <c r="I12" i="8"/>
  <c r="G12" i="8"/>
  <c r="D28" i="5"/>
  <c r="N290" i="3"/>
  <c r="D16" i="5"/>
  <c r="D116" i="5"/>
  <c r="D4" i="5"/>
  <c r="J26" i="8"/>
  <c r="F18" i="8"/>
  <c r="P2996" i="3"/>
  <c r="D50" i="5"/>
  <c r="D84" i="5"/>
  <c r="D65" i="5"/>
  <c r="D92" i="5"/>
  <c r="D64" i="5"/>
  <c r="N2889" i="3"/>
  <c r="D40" i="5"/>
  <c r="D109" i="5"/>
  <c r="F10" i="8"/>
  <c r="O285" i="3"/>
  <c r="N304" i="3"/>
  <c r="D21" i="5" s="1"/>
  <c r="D20" i="5"/>
  <c r="N297" i="3"/>
  <c r="D112" i="5"/>
  <c r="D12" i="5"/>
  <c r="K1" i="5"/>
  <c r="J128" i="5"/>
  <c r="J46" i="5"/>
  <c r="J58" i="5"/>
  <c r="J129" i="5"/>
  <c r="J43" i="5"/>
  <c r="J52" i="5"/>
  <c r="J57" i="5"/>
  <c r="J62" i="5"/>
  <c r="J77" i="5"/>
  <c r="J97" i="5"/>
  <c r="J44" i="5"/>
  <c r="J53" i="5"/>
  <c r="J88" i="5"/>
  <c r="J100" i="5"/>
  <c r="J71" i="5"/>
  <c r="J87" i="5"/>
  <c r="J89" i="5"/>
  <c r="J95" i="5"/>
  <c r="J112" i="5"/>
  <c r="J124" i="5"/>
  <c r="J90" i="5"/>
  <c r="J96" i="5"/>
  <c r="J98" i="5"/>
  <c r="J51" i="5"/>
  <c r="J61" i="5"/>
  <c r="J99" i="5"/>
  <c r="J101" i="5"/>
  <c r="J102" i="5"/>
  <c r="J130" i="5"/>
  <c r="J59" i="5"/>
  <c r="J125" i="5"/>
  <c r="J111" i="5"/>
  <c r="J14" i="5"/>
  <c r="J114" i="5"/>
  <c r="J73" i="5"/>
  <c r="J12" i="5"/>
  <c r="J55" i="5"/>
  <c r="J72" i="5"/>
  <c r="J74" i="5"/>
  <c r="J76" i="5"/>
  <c r="J78" i="5"/>
  <c r="J45" i="5"/>
  <c r="J60" i="5"/>
  <c r="J113" i="5"/>
  <c r="J127" i="5"/>
  <c r="J126" i="5"/>
  <c r="J123" i="5"/>
  <c r="K20" i="8" s="1"/>
  <c r="J13" i="5"/>
  <c r="J56" i="5"/>
  <c r="J75" i="5"/>
  <c r="J54" i="5"/>
  <c r="H14" i="8"/>
  <c r="J12" i="8"/>
  <c r="N377" i="3"/>
  <c r="O377" i="3" s="1"/>
  <c r="I91" i="5"/>
  <c r="J14" i="8" s="1"/>
  <c r="J23" i="5"/>
  <c r="K91" i="5"/>
  <c r="H23" i="5"/>
  <c r="J120" i="5"/>
  <c r="K120" i="5"/>
  <c r="I120" i="5"/>
  <c r="F120" i="5"/>
  <c r="H120" i="5"/>
  <c r="G120" i="5"/>
  <c r="J65" i="5"/>
  <c r="H65" i="5"/>
  <c r="K65" i="5"/>
  <c r="G65" i="5"/>
  <c r="F65" i="5"/>
  <c r="I65" i="5"/>
  <c r="G64" i="5"/>
  <c r="K64" i="5"/>
  <c r="H64" i="5"/>
  <c r="J64" i="5"/>
  <c r="I64" i="5"/>
  <c r="F64" i="5"/>
  <c r="O373" i="3"/>
  <c r="O375" i="3"/>
  <c r="G36" i="5"/>
  <c r="K36" i="5"/>
  <c r="H36" i="5"/>
  <c r="J36" i="5"/>
  <c r="F36" i="5"/>
  <c r="I36" i="5"/>
  <c r="J91" i="5"/>
  <c r="I68" i="5"/>
  <c r="J68" i="5"/>
  <c r="K68" i="5"/>
  <c r="F68" i="5"/>
  <c r="H68" i="5"/>
  <c r="G68" i="5"/>
  <c r="G24" i="5"/>
  <c r="I24" i="5"/>
  <c r="H24" i="5"/>
  <c r="J24" i="5"/>
  <c r="F24" i="5"/>
  <c r="K24" i="5"/>
  <c r="O2941" i="3"/>
  <c r="H14" i="5" s="1"/>
  <c r="H13" i="5"/>
  <c r="K84" i="5"/>
  <c r="F84" i="5"/>
  <c r="I84" i="5"/>
  <c r="H84" i="5"/>
  <c r="J84" i="5"/>
  <c r="G84" i="5"/>
  <c r="O338" i="3"/>
  <c r="O336" i="3"/>
  <c r="K92" i="5"/>
  <c r="I92" i="5"/>
  <c r="F92" i="5"/>
  <c r="G92" i="5"/>
  <c r="H92" i="5"/>
  <c r="J92" i="5"/>
  <c r="K23" i="5"/>
  <c r="F91" i="5"/>
  <c r="G14" i="8" s="1"/>
  <c r="G23" i="5"/>
  <c r="J80" i="5"/>
  <c r="F80" i="5"/>
  <c r="K80" i="5"/>
  <c r="G80" i="5"/>
  <c r="H80" i="5"/>
  <c r="I80" i="5"/>
  <c r="K32" i="5"/>
  <c r="G32" i="5"/>
  <c r="H32" i="5"/>
  <c r="I32" i="5"/>
  <c r="F32" i="5"/>
  <c r="J32" i="5"/>
  <c r="H104" i="5"/>
  <c r="K104" i="5"/>
  <c r="J104" i="5"/>
  <c r="I104" i="5"/>
  <c r="F104" i="5"/>
  <c r="G104" i="5"/>
  <c r="H91" i="5"/>
  <c r="I14" i="8" s="1"/>
  <c r="F23" i="5"/>
  <c r="I23" i="5"/>
  <c r="N288" i="3"/>
  <c r="N385" i="3"/>
  <c r="D37" i="5" s="1"/>
  <c r="N331" i="3"/>
  <c r="N291" i="3"/>
  <c r="N326" i="3"/>
  <c r="D33" i="5" s="1"/>
  <c r="O303" i="3"/>
  <c r="D66" i="5" s="1"/>
  <c r="N341" i="3"/>
  <c r="D105" i="5" s="1"/>
  <c r="N280" i="3"/>
  <c r="N2969" i="3"/>
  <c r="O2969" i="3" s="1"/>
  <c r="O1534" i="3"/>
  <c r="N289" i="3"/>
  <c r="O289" i="3" s="1"/>
  <c r="P289" i="3" s="1"/>
  <c r="O346" i="3"/>
  <c r="O335" i="3"/>
  <c r="N279" i="3"/>
  <c r="N281" i="3"/>
  <c r="D69" i="5" s="1"/>
  <c r="N298" i="3"/>
  <c r="O361" i="3"/>
  <c r="N308" i="3"/>
  <c r="O308" i="3" s="1"/>
  <c r="N330" i="3"/>
  <c r="N284" i="3"/>
  <c r="O766" i="3"/>
  <c r="N307" i="3"/>
  <c r="N397" i="3"/>
  <c r="O1413" i="3"/>
  <c r="O2159" i="3"/>
  <c r="O1303" i="3"/>
  <c r="O1734" i="3"/>
  <c r="O985" i="3"/>
  <c r="O940" i="3"/>
  <c r="O862" i="3"/>
  <c r="O941" i="3"/>
  <c r="O1033" i="3"/>
  <c r="O1704" i="3"/>
  <c r="O616" i="3"/>
  <c r="O1375" i="3"/>
  <c r="O2131" i="3"/>
  <c r="N295" i="3"/>
  <c r="O2398" i="3"/>
  <c r="O2871" i="3"/>
  <c r="O702" i="3"/>
  <c r="O758" i="3"/>
  <c r="O1913" i="3"/>
  <c r="O1753" i="3"/>
  <c r="O2377" i="3"/>
  <c r="O1388" i="3"/>
  <c r="O1638" i="3"/>
  <c r="O2035" i="3"/>
  <c r="O644" i="3"/>
  <c r="O678" i="3"/>
  <c r="O1698" i="3"/>
  <c r="O1746" i="3"/>
  <c r="O1327" i="3"/>
  <c r="O1001" i="3"/>
  <c r="O978" i="3"/>
  <c r="N2899" i="3"/>
  <c r="O2899" i="3" s="1"/>
  <c r="P2899" i="3" s="1"/>
  <c r="O1783" i="3"/>
  <c r="O478" i="3"/>
  <c r="O1542" i="3"/>
  <c r="O1694" i="3"/>
  <c r="O922" i="3"/>
  <c r="O1491" i="3"/>
  <c r="N2336" i="3"/>
  <c r="O2336" i="3" s="1"/>
  <c r="O1592" i="3"/>
  <c r="N1632" i="3"/>
  <c r="O1632" i="3" s="1"/>
  <c r="O1349" i="3"/>
  <c r="O979" i="3"/>
  <c r="O752" i="3"/>
  <c r="O973" i="3"/>
  <c r="O1987" i="3"/>
  <c r="O1747" i="3"/>
  <c r="O1788" i="3"/>
  <c r="O1011" i="3"/>
  <c r="O914" i="3"/>
  <c r="O1323" i="3"/>
  <c r="O1385" i="3"/>
  <c r="O1903" i="3"/>
  <c r="O917" i="3"/>
  <c r="O459" i="3"/>
  <c r="O694" i="3"/>
  <c r="O1032" i="3"/>
  <c r="O1399" i="3"/>
  <c r="O1761" i="3"/>
  <c r="N1359" i="3"/>
  <c r="O1359" i="3" s="1"/>
  <c r="N1499" i="3"/>
  <c r="O1499" i="3" s="1"/>
  <c r="O552" i="3"/>
  <c r="O446" i="3"/>
  <c r="O656" i="3"/>
  <c r="O1313" i="3"/>
  <c r="O2121" i="3"/>
  <c r="N931" i="3"/>
  <c r="O931" i="3" s="1"/>
  <c r="O2763" i="3"/>
  <c r="N2067" i="3"/>
  <c r="O2067" i="3" s="1"/>
  <c r="N2384" i="3"/>
  <c r="O2384" i="3" s="1"/>
  <c r="O2757" i="3"/>
  <c r="O2354" i="3"/>
  <c r="N1917" i="3"/>
  <c r="O1917" i="3" s="1"/>
  <c r="O297" i="3"/>
  <c r="N210" i="3"/>
  <c r="O210" i="3" s="1"/>
  <c r="O947" i="3"/>
  <c r="O1811" i="3"/>
  <c r="N957" i="3"/>
  <c r="O957" i="3" s="1"/>
  <c r="N1370" i="3"/>
  <c r="O1370" i="3" s="1"/>
  <c r="O158" i="3"/>
  <c r="O2262" i="3"/>
  <c r="O1014" i="3"/>
  <c r="O1314" i="3"/>
  <c r="O394" i="3"/>
  <c r="N1606" i="3"/>
  <c r="O1606" i="3" s="1"/>
  <c r="N2046" i="3"/>
  <c r="O2046" i="3" s="1"/>
  <c r="O1916" i="3"/>
  <c r="O104" i="3"/>
  <c r="O1383" i="3"/>
  <c r="O1600" i="3"/>
  <c r="O1574" i="3"/>
  <c r="O2552" i="3"/>
  <c r="O2913" i="3"/>
  <c r="P2913" i="3" s="1"/>
  <c r="O995" i="3"/>
  <c r="O688" i="3"/>
  <c r="O1670" i="3"/>
  <c r="O1919" i="3"/>
  <c r="O2465" i="3"/>
  <c r="N1530" i="3"/>
  <c r="O1530" i="3" s="1"/>
  <c r="O1309" i="3"/>
  <c r="O1580" i="3"/>
  <c r="N183" i="3"/>
  <c r="O183" i="3" s="1"/>
  <c r="N1751" i="3"/>
  <c r="O1751" i="3" s="1"/>
  <c r="O506" i="3"/>
  <c r="N1748" i="3"/>
  <c r="O1748" i="3" s="1"/>
  <c r="N1461" i="3"/>
  <c r="O1461" i="3" s="1"/>
  <c r="N2130" i="3"/>
  <c r="O2130" i="3" s="1"/>
  <c r="N2066" i="3"/>
  <c r="O2066" i="3" s="1"/>
  <c r="O726" i="3"/>
  <c r="O748" i="3"/>
  <c r="O712" i="3"/>
  <c r="O962" i="3"/>
  <c r="O1010" i="3"/>
  <c r="O519" i="3"/>
  <c r="O442" i="3"/>
  <c r="N2691" i="3"/>
  <c r="O2691" i="3" s="1"/>
  <c r="N436" i="3"/>
  <c r="O436" i="3" s="1"/>
  <c r="N1825" i="3"/>
  <c r="O1825" i="3" s="1"/>
  <c r="O2266" i="3"/>
  <c r="N860" i="3"/>
  <c r="O860" i="3" s="1"/>
  <c r="N1322" i="3"/>
  <c r="O1322" i="3" s="1"/>
  <c r="O1682" i="3"/>
  <c r="N949" i="3"/>
  <c r="O949" i="3" s="1"/>
  <c r="O926" i="3"/>
  <c r="O249" i="3"/>
  <c r="P249" i="3" s="1"/>
  <c r="O201" i="3"/>
  <c r="O260" i="3"/>
  <c r="P260" i="3" s="1"/>
  <c r="O495" i="3"/>
  <c r="O526" i="3"/>
  <c r="O734" i="3"/>
  <c r="O716" i="3"/>
  <c r="O756" i="3"/>
  <c r="O680" i="3"/>
  <c r="O720" i="3"/>
  <c r="O1106" i="3"/>
  <c r="O1186" i="3"/>
  <c r="O1944" i="3"/>
  <c r="O1430" i="3"/>
  <c r="O919" i="3"/>
  <c r="N306" i="3"/>
  <c r="O306" i="3" s="1"/>
  <c r="O164" i="3"/>
  <c r="O484" i="3"/>
  <c r="O952" i="3"/>
  <c r="O1369" i="3"/>
  <c r="O2234" i="3"/>
  <c r="N2244" i="3"/>
  <c r="O2244" i="3" s="1"/>
  <c r="O2272" i="3"/>
  <c r="O1355" i="3"/>
  <c r="O2466" i="3"/>
  <c r="O1981" i="3"/>
  <c r="O2460" i="3"/>
  <c r="N1692" i="3"/>
  <c r="O1692" i="3" s="1"/>
  <c r="O212" i="3"/>
  <c r="O240" i="3"/>
  <c r="P240" i="3" s="1"/>
  <c r="O8" i="3"/>
  <c r="O396" i="3"/>
  <c r="O742" i="3"/>
  <c r="O724" i="3"/>
  <c r="O935" i="3"/>
  <c r="O1067" i="3"/>
  <c r="O2008" i="3"/>
  <c r="N2576" i="3"/>
  <c r="O2576" i="3" s="1"/>
  <c r="N523" i="3"/>
  <c r="O523" i="3" s="1"/>
  <c r="O426" i="3"/>
  <c r="N975" i="3"/>
  <c r="O975" i="3" s="1"/>
  <c r="O710" i="3"/>
  <c r="O684" i="3"/>
  <c r="N471" i="3"/>
  <c r="O471" i="3" s="1"/>
  <c r="O875" i="3"/>
  <c r="N1015" i="3"/>
  <c r="O1015" i="3" s="1"/>
  <c r="O1053" i="3"/>
  <c r="N897" i="3"/>
  <c r="O897" i="3" s="1"/>
  <c r="N2470" i="3"/>
  <c r="O2470" i="3" s="1"/>
  <c r="N1656" i="3"/>
  <c r="O1656" i="3" s="1"/>
  <c r="N1803" i="3"/>
  <c r="O1803" i="3" s="1"/>
  <c r="O2027" i="3"/>
  <c r="O1974" i="3"/>
  <c r="O318" i="3"/>
  <c r="P318" i="3" s="1"/>
  <c r="N2110" i="3"/>
  <c r="O2110" i="3" s="1"/>
  <c r="O2861" i="3"/>
  <c r="O2637" i="3"/>
  <c r="O2613" i="3"/>
  <c r="O789" i="3"/>
  <c r="O1793" i="3"/>
  <c r="O2276" i="3"/>
  <c r="O1883" i="3"/>
  <c r="O2134" i="3"/>
  <c r="O805" i="3"/>
  <c r="O2111" i="3"/>
  <c r="O2805" i="3"/>
  <c r="O1005" i="3"/>
  <c r="O1402" i="3"/>
  <c r="O2163" i="3"/>
  <c r="O2678" i="3"/>
  <c r="O2492" i="3"/>
  <c r="O1813" i="3"/>
  <c r="O1951" i="3"/>
  <c r="O1845" i="3"/>
  <c r="O2709" i="3"/>
  <c r="O1440" i="3"/>
  <c r="O1773" i="3"/>
  <c r="O821" i="3"/>
  <c r="O1445" i="3"/>
  <c r="O1765" i="3"/>
  <c r="O1877" i="3"/>
  <c r="O1769" i="3"/>
  <c r="O1055" i="3"/>
  <c r="O749" i="3"/>
  <c r="O1921" i="3"/>
  <c r="O1206" i="3"/>
  <c r="O80" i="3"/>
  <c r="O255" i="3"/>
  <c r="P255" i="3" s="1"/>
  <c r="N148" i="3"/>
  <c r="O148" i="3" s="1"/>
  <c r="O463" i="3"/>
  <c r="O574" i="3"/>
  <c r="O1074" i="3"/>
  <c r="N2708" i="3"/>
  <c r="O2708" i="3" s="1"/>
  <c r="O591" i="3"/>
  <c r="O1306" i="3"/>
  <c r="N614" i="3"/>
  <c r="O614" i="3" s="1"/>
  <c r="O911" i="3"/>
  <c r="O1979" i="3"/>
  <c r="N1350" i="3"/>
  <c r="O1350" i="3" s="1"/>
  <c r="N2495" i="3"/>
  <c r="O2495" i="3" s="1"/>
  <c r="O1372" i="3"/>
  <c r="N2250" i="3"/>
  <c r="O2250" i="3" s="1"/>
  <c r="O1038" i="3"/>
  <c r="O987" i="3"/>
  <c r="N984" i="3"/>
  <c r="O984" i="3" s="1"/>
  <c r="N2088" i="3"/>
  <c r="O2088" i="3" s="1"/>
  <c r="N2180" i="3"/>
  <c r="O2180" i="3" s="1"/>
  <c r="O765" i="3"/>
  <c r="O1330" i="3"/>
  <c r="N1405" i="3"/>
  <c r="O1405" i="3" s="1"/>
  <c r="N292" i="3"/>
  <c r="O487" i="3"/>
  <c r="O1022" i="3"/>
  <c r="O889" i="3"/>
  <c r="O2023" i="3"/>
  <c r="O2151" i="3"/>
  <c r="O2065" i="3"/>
  <c r="N2014" i="3"/>
  <c r="O2014" i="3" s="1"/>
  <c r="N1270" i="3"/>
  <c r="O1270" i="3" s="1"/>
  <c r="N496" i="3"/>
  <c r="O496" i="3" s="1"/>
  <c r="O966" i="3"/>
  <c r="N1310" i="3"/>
  <c r="O1310" i="3" s="1"/>
  <c r="N1222" i="3"/>
  <c r="O1222" i="3" s="1"/>
  <c r="N1957" i="3"/>
  <c r="O1957" i="3" s="1"/>
  <c r="N2422" i="3"/>
  <c r="O2422" i="3" s="1"/>
  <c r="N1935" i="3"/>
  <c r="O1935" i="3" s="1"/>
  <c r="O1894" i="3"/>
  <c r="N2605" i="3"/>
  <c r="O2605" i="3" s="1"/>
  <c r="N1905" i="3"/>
  <c r="O1905" i="3" s="1"/>
  <c r="N1963" i="3"/>
  <c r="O1963" i="3" s="1"/>
  <c r="N2352" i="3"/>
  <c r="O2352" i="3" s="1"/>
  <c r="N2645" i="3"/>
  <c r="O2645" i="3" s="1"/>
  <c r="O2186" i="3"/>
  <c r="N2230" i="3"/>
  <c r="O2230" i="3" s="1"/>
  <c r="N2584" i="3"/>
  <c r="O2584" i="3" s="1"/>
  <c r="O1334" i="3"/>
  <c r="O1996" i="3"/>
  <c r="O114" i="3"/>
  <c r="O476" i="3"/>
  <c r="O488" i="3"/>
  <c r="N294" i="3"/>
  <c r="D81" i="5" s="1"/>
  <c r="O276" i="3"/>
  <c r="N137" i="3"/>
  <c r="O137" i="3" s="1"/>
  <c r="O84" i="3"/>
  <c r="O380" i="3"/>
  <c r="P380" i="3" s="1"/>
  <c r="O408" i="3"/>
  <c r="O686" i="3"/>
  <c r="O718" i="3"/>
  <c r="O750" i="3"/>
  <c r="O974" i="3"/>
  <c r="O945" i="3"/>
  <c r="O1848" i="3"/>
  <c r="O2115" i="3"/>
  <c r="N2170" i="3"/>
  <c r="O2170" i="3" s="1"/>
  <c r="O2294" i="3"/>
  <c r="N1969" i="3"/>
  <c r="O1969" i="3" s="1"/>
  <c r="N2137" i="3"/>
  <c r="O2137" i="3" s="1"/>
  <c r="O2208" i="3"/>
  <c r="O2228" i="3"/>
  <c r="O2304" i="3"/>
  <c r="O717" i="3"/>
  <c r="N652" i="3"/>
  <c r="O652" i="3" s="1"/>
  <c r="O1423" i="3"/>
  <c r="N1318" i="3"/>
  <c r="O1318" i="3" s="1"/>
  <c r="O1868" i="3"/>
  <c r="O2365" i="3"/>
  <c r="N2497" i="3"/>
  <c r="O2497" i="3" s="1"/>
  <c r="N1947" i="3"/>
  <c r="O1947" i="3" s="1"/>
  <c r="N2423" i="3"/>
  <c r="O2423" i="3" s="1"/>
  <c r="O2873" i="3"/>
  <c r="N1286" i="3"/>
  <c r="O1286" i="3" s="1"/>
  <c r="O78" i="3"/>
  <c r="O2017" i="3"/>
  <c r="O2218" i="3"/>
  <c r="N2073" i="3"/>
  <c r="O2073" i="3" s="1"/>
  <c r="O2024" i="3"/>
  <c r="N364" i="3"/>
  <c r="O364" i="3" s="1"/>
  <c r="P364" i="3" s="1"/>
  <c r="N1302" i="3"/>
  <c r="O1302" i="3" s="1"/>
  <c r="O901" i="3"/>
  <c r="O1782" i="3"/>
  <c r="N2059" i="3"/>
  <c r="O2059" i="3" s="1"/>
  <c r="N2493" i="3"/>
  <c r="O2493" i="3" s="1"/>
  <c r="O2699" i="3"/>
  <c r="N1199" i="3"/>
  <c r="O1199" i="3" s="1"/>
  <c r="O100" i="3"/>
  <c r="N315" i="3"/>
  <c r="O315" i="3" s="1"/>
  <c r="O186" i="3"/>
  <c r="N156" i="3"/>
  <c r="O156" i="3" s="1"/>
  <c r="N701" i="3"/>
  <c r="O701" i="3" s="1"/>
  <c r="N679" i="3"/>
  <c r="O679" i="3" s="1"/>
  <c r="N282" i="3"/>
  <c r="D25" i="5" s="1"/>
  <c r="O460" i="3"/>
  <c r="O891" i="3"/>
  <c r="O2198" i="3"/>
  <c r="O2298" i="3"/>
  <c r="N2003" i="3"/>
  <c r="O2003" i="3" s="1"/>
  <c r="O2176" i="3"/>
  <c r="O2196" i="3"/>
  <c r="O853" i="3"/>
  <c r="N1013" i="3"/>
  <c r="O1013" i="3" s="1"/>
  <c r="O1839" i="3"/>
  <c r="O1890" i="3"/>
  <c r="O448" i="3"/>
  <c r="N1822" i="3"/>
  <c r="O1822" i="3" s="1"/>
  <c r="O2915" i="3"/>
  <c r="N2617" i="3"/>
  <c r="O2617" i="3" s="1"/>
  <c r="O2123" i="3"/>
  <c r="N1829" i="3"/>
  <c r="O1829" i="3" s="1"/>
  <c r="O2827" i="3"/>
  <c r="N2240" i="3"/>
  <c r="O2240" i="3" s="1"/>
  <c r="N743" i="3"/>
  <c r="O743" i="3" s="1"/>
  <c r="O1183" i="3"/>
  <c r="O1368" i="3"/>
  <c r="O846" i="3"/>
  <c r="O24" i="3"/>
  <c r="O457" i="3"/>
  <c r="N554" i="3"/>
  <c r="O554" i="3" s="1"/>
  <c r="O562" i="3"/>
  <c r="O692" i="3"/>
  <c r="O372" i="3"/>
  <c r="P372" i="3" s="1"/>
  <c r="O586" i="3"/>
  <c r="O510" i="3"/>
  <c r="N538" i="3"/>
  <c r="O538" i="3" s="1"/>
  <c r="O744" i="3"/>
  <c r="O930" i="3"/>
  <c r="O1448" i="3"/>
  <c r="N2260" i="3"/>
  <c r="O2260" i="3" s="1"/>
  <c r="N2142" i="3"/>
  <c r="O2142" i="3" s="1"/>
  <c r="O2716" i="3"/>
  <c r="N893" i="3"/>
  <c r="O893" i="3" s="1"/>
  <c r="N799" i="3"/>
  <c r="O799" i="3" s="1"/>
  <c r="O458" i="3"/>
  <c r="N1346" i="3"/>
  <c r="O1346" i="3" s="1"/>
  <c r="O1342" i="3"/>
  <c r="N795" i="3"/>
  <c r="O795" i="3" s="1"/>
  <c r="N796" i="3"/>
  <c r="O796" i="3" s="1"/>
  <c r="N1869" i="3"/>
  <c r="O1869" i="3" s="1"/>
  <c r="N464" i="3"/>
  <c r="O464" i="3" s="1"/>
  <c r="O1358" i="3"/>
  <c r="O1354" i="3"/>
  <c r="O1819" i="3"/>
  <c r="O2419" i="3"/>
  <c r="N2349" i="3"/>
  <c r="O2349" i="3" s="1"/>
  <c r="O2037" i="3"/>
  <c r="O2033" i="3"/>
  <c r="O2007" i="3"/>
  <c r="O1474" i="3"/>
  <c r="O2652" i="3"/>
  <c r="O1872" i="3"/>
  <c r="O2393" i="3"/>
  <c r="O91" i="3"/>
  <c r="O2501" i="3"/>
  <c r="O2427" i="3"/>
  <c r="O2649" i="3"/>
  <c r="N2150" i="3"/>
  <c r="O2150" i="3" s="1"/>
  <c r="O924" i="3"/>
  <c r="O1238" i="3"/>
  <c r="O1338" i="3"/>
  <c r="O1362" i="3"/>
  <c r="O1326" i="3"/>
  <c r="O1254" i="3"/>
  <c r="O1807" i="3"/>
  <c r="O2052" i="3"/>
  <c r="O2031" i="3"/>
  <c r="O1796" i="3"/>
  <c r="O2413" i="3"/>
  <c r="N2107" i="3"/>
  <c r="O2107" i="3" s="1"/>
  <c r="O2463" i="3"/>
  <c r="O2013" i="3"/>
  <c r="O2749" i="3"/>
  <c r="O2425" i="3"/>
  <c r="O2473" i="3"/>
  <c r="O2469" i="3"/>
  <c r="O2329" i="3"/>
  <c r="O2436" i="3"/>
  <c r="O2541" i="3"/>
  <c r="N322" i="3"/>
  <c r="O322" i="3" s="1"/>
  <c r="P322" i="3" s="1"/>
  <c r="O2081" i="3"/>
  <c r="O2087" i="3"/>
  <c r="O1985" i="3"/>
  <c r="O1880" i="3"/>
  <c r="O1864" i="3"/>
  <c r="O1029" i="3"/>
  <c r="O885" i="3"/>
  <c r="O1103" i="3"/>
  <c r="O432" i="3"/>
  <c r="O785" i="3"/>
  <c r="O638" i="3"/>
  <c r="O1095" i="3"/>
  <c r="O1899" i="3"/>
  <c r="O759" i="3"/>
  <c r="N1487" i="3"/>
  <c r="O1487" i="3" s="1"/>
  <c r="O2333" i="3"/>
  <c r="O2397" i="3"/>
  <c r="O943" i="3"/>
  <c r="O1909" i="3"/>
  <c r="O2381" i="3"/>
  <c r="O899" i="3"/>
  <c r="O1073" i="3"/>
  <c r="O2282" i="3"/>
  <c r="O2113" i="3"/>
  <c r="O2314" i="3"/>
  <c r="O2292" i="3"/>
  <c r="O420" i="3"/>
  <c r="O1421" i="3"/>
  <c r="O1933" i="3"/>
  <c r="O2428" i="3"/>
  <c r="O2781" i="3"/>
  <c r="O2813" i="3"/>
  <c r="O2489" i="3"/>
  <c r="O2467" i="3"/>
  <c r="O2361" i="3"/>
  <c r="O2441" i="3"/>
  <c r="O2485" i="3"/>
  <c r="O2505" i="3"/>
  <c r="O2845" i="3"/>
  <c r="N642" i="3"/>
  <c r="O642" i="3" s="1"/>
  <c r="O1019" i="3"/>
  <c r="N1154" i="3"/>
  <c r="O1154" i="3" s="1"/>
  <c r="O1518" i="3"/>
  <c r="N2748" i="3"/>
  <c r="O2748" i="3" s="1"/>
  <c r="N2780" i="3"/>
  <c r="O2780" i="3" s="1"/>
  <c r="N2812" i="3"/>
  <c r="N2844" i="3"/>
  <c r="O2844" i="3" s="1"/>
  <c r="P2844" i="3" s="1"/>
  <c r="N2620" i="3"/>
  <c r="O2620" i="3" s="1"/>
  <c r="N2752" i="3"/>
  <c r="O2752" i="3" s="1"/>
  <c r="O489" i="3"/>
  <c r="O485" i="3"/>
  <c r="O558" i="3"/>
  <c r="N590" i="3"/>
  <c r="O590" i="3" s="1"/>
  <c r="O968" i="3"/>
  <c r="O955" i="3"/>
  <c r="O990" i="3"/>
  <c r="O1028" i="3"/>
  <c r="O1122" i="3"/>
  <c r="O1082" i="3"/>
  <c r="N1384" i="3"/>
  <c r="O1384" i="3" s="1"/>
  <c r="O2310" i="3"/>
  <c r="N1955" i="3"/>
  <c r="O1955" i="3" s="1"/>
  <c r="O2484" i="3"/>
  <c r="O2560" i="3"/>
  <c r="N2800" i="3"/>
  <c r="O2800" i="3" s="1"/>
  <c r="O2848" i="3"/>
  <c r="N2636" i="3"/>
  <c r="O2636" i="3" s="1"/>
  <c r="N2692" i="3"/>
  <c r="O2692" i="3" s="1"/>
  <c r="O2710" i="3"/>
  <c r="O2895" i="3"/>
  <c r="P2895" i="3" s="1"/>
  <c r="O475" i="3"/>
  <c r="O453" i="3"/>
  <c r="O2316" i="3"/>
  <c r="N2089" i="3"/>
  <c r="O2089" i="3" s="1"/>
  <c r="O2879" i="3"/>
  <c r="O479" i="3"/>
  <c r="O497" i="3"/>
  <c r="O481" i="3"/>
  <c r="N746" i="3"/>
  <c r="O746" i="3" s="1"/>
  <c r="O1025" i="3"/>
  <c r="O936" i="3"/>
  <c r="O910" i="3"/>
  <c r="O1054" i="3"/>
  <c r="O1048" i="3"/>
  <c r="O1418" i="3"/>
  <c r="O1464" i="3"/>
  <c r="N1390" i="3"/>
  <c r="O1390" i="3" s="1"/>
  <c r="O2182" i="3"/>
  <c r="O2214" i="3"/>
  <c r="O2246" i="3"/>
  <c r="O2278" i="3"/>
  <c r="O2320" i="3"/>
  <c r="O2192" i="3"/>
  <c r="O2224" i="3"/>
  <c r="O2256" i="3"/>
  <c r="O2288" i="3"/>
  <c r="O2308" i="3"/>
  <c r="O1841" i="3"/>
  <c r="O2322" i="3"/>
  <c r="O2120" i="3"/>
  <c r="N2768" i="3"/>
  <c r="O2768" i="3" s="1"/>
  <c r="N2704" i="3"/>
  <c r="O2704" i="3" s="1"/>
  <c r="O2720" i="3"/>
  <c r="O2700" i="3"/>
  <c r="O455" i="3"/>
  <c r="O451" i="3"/>
  <c r="O434" i="3"/>
  <c r="O465" i="3"/>
  <c r="O542" i="3"/>
  <c r="O466" i="3"/>
  <c r="O700" i="3"/>
  <c r="O732" i="3"/>
  <c r="O764" i="3"/>
  <c r="O696" i="3"/>
  <c r="O728" i="3"/>
  <c r="O760" i="3"/>
  <c r="O923" i="3"/>
  <c r="O971" i="3"/>
  <c r="O993" i="3"/>
  <c r="O1037" i="3"/>
  <c r="O2051" i="3"/>
  <c r="O1939" i="3"/>
  <c r="O2039" i="3"/>
  <c r="O2099" i="3"/>
  <c r="O2318" i="3"/>
  <c r="N2764" i="3"/>
  <c r="O2764" i="3" s="1"/>
  <c r="O2516" i="3"/>
  <c r="O2616" i="3"/>
  <c r="O2544" i="3"/>
  <c r="O2864" i="3"/>
  <c r="N2624" i="3"/>
  <c r="O2624" i="3" s="1"/>
  <c r="N2732" i="3"/>
  <c r="O2732" i="3" s="1"/>
  <c r="N2816" i="3"/>
  <c r="O2816" i="3" s="1"/>
  <c r="O2508" i="3"/>
  <c r="O2736" i="3"/>
  <c r="O522" i="3"/>
  <c r="O493" i="3"/>
  <c r="O340" i="3"/>
  <c r="O883" i="3"/>
  <c r="O1031" i="3"/>
  <c r="O1035" i="3"/>
  <c r="O1063" i="3"/>
  <c r="O983" i="3"/>
  <c r="O1057" i="3"/>
  <c r="O942" i="3"/>
  <c r="N994" i="3"/>
  <c r="O994" i="3" s="1"/>
  <c r="O1064" i="3"/>
  <c r="O2136" i="3"/>
  <c r="O2174" i="3"/>
  <c r="O2206" i="3"/>
  <c r="O2238" i="3"/>
  <c r="O2270" i="3"/>
  <c r="O2302" i="3"/>
  <c r="O1889" i="3"/>
  <c r="O2103" i="3"/>
  <c r="O2049" i="3"/>
  <c r="O1857" i="3"/>
  <c r="O1991" i="3"/>
  <c r="O2184" i="3"/>
  <c r="O2216" i="3"/>
  <c r="O2248" i="3"/>
  <c r="O2280" i="3"/>
  <c r="O483" i="3"/>
  <c r="O461" i="3"/>
  <c r="N467" i="3"/>
  <c r="O467" i="3" s="1"/>
  <c r="N477" i="3"/>
  <c r="O477" i="3" s="1"/>
  <c r="N491" i="3"/>
  <c r="O491" i="3" s="1"/>
  <c r="O402" i="3"/>
  <c r="O469" i="3"/>
  <c r="O676" i="3"/>
  <c r="O708" i="3"/>
  <c r="O740" i="3"/>
  <c r="O672" i="3"/>
  <c r="O704" i="3"/>
  <c r="O736" i="3"/>
  <c r="O1042" i="3"/>
  <c r="O939" i="3"/>
  <c r="O1009" i="3"/>
  <c r="O1075" i="3"/>
  <c r="O958" i="3"/>
  <c r="O1003" i="3"/>
  <c r="O1480" i="3"/>
  <c r="O1923" i="3"/>
  <c r="N2167" i="3"/>
  <c r="O2167" i="3" s="1"/>
  <c r="O2055" i="3"/>
  <c r="N2119" i="3"/>
  <c r="O2119" i="3" s="1"/>
  <c r="O1971" i="3"/>
  <c r="O2105" i="3"/>
  <c r="O2672" i="3"/>
  <c r="N2656" i="3"/>
  <c r="O2656" i="3" s="1"/>
  <c r="N2784" i="3"/>
  <c r="O2784" i="3" s="1"/>
  <c r="O2832" i="3"/>
  <c r="N2724" i="3"/>
  <c r="O2724" i="3" s="1"/>
  <c r="O173" i="3"/>
  <c r="O246" i="3"/>
  <c r="P246" i="3" s="1"/>
  <c r="N267" i="3"/>
  <c r="O267" i="3" s="1"/>
  <c r="O90" i="3"/>
  <c r="N263" i="3"/>
  <c r="O263" i="3" s="1"/>
  <c r="P263" i="3" s="1"/>
  <c r="N269" i="3"/>
  <c r="O269" i="3" s="1"/>
  <c r="N36" i="3"/>
  <c r="O36" i="3" s="1"/>
  <c r="O10" i="3"/>
  <c r="N178" i="3"/>
  <c r="O178" i="3" s="1"/>
  <c r="N311" i="3"/>
  <c r="O311" i="3" s="1"/>
  <c r="N123" i="3"/>
  <c r="O123" i="3" s="1"/>
  <c r="O96" i="3"/>
  <c r="O146" i="3"/>
  <c r="O175" i="3"/>
  <c r="N110" i="3"/>
  <c r="O110" i="3" s="1"/>
  <c r="N327" i="3"/>
  <c r="O327" i="3" s="1"/>
  <c r="P327" i="3" s="1"/>
  <c r="O265" i="3"/>
  <c r="N161" i="3"/>
  <c r="O161" i="3" s="1"/>
  <c r="O133" i="3"/>
  <c r="O208" i="3"/>
  <c r="N142" i="3"/>
  <c r="O142" i="3" s="1"/>
  <c r="O253" i="3"/>
  <c r="O247" i="3"/>
  <c r="N82" i="3"/>
  <c r="O82" i="3" s="1"/>
  <c r="O141" i="3"/>
  <c r="N278" i="3"/>
  <c r="O4" i="3"/>
  <c r="N40" i="3"/>
  <c r="O40" i="3" s="1"/>
  <c r="N139" i="3"/>
  <c r="O139" i="3" s="1"/>
  <c r="N198" i="3"/>
  <c r="O198" i="3" s="1"/>
  <c r="P198" i="3" s="1"/>
  <c r="J9" i="5" s="1"/>
  <c r="O202" i="3"/>
  <c r="N254" i="3"/>
  <c r="O254" i="3" s="1"/>
  <c r="O138" i="3"/>
  <c r="O228" i="3"/>
  <c r="O251" i="3"/>
  <c r="N185" i="3"/>
  <c r="O185" i="3" s="1"/>
  <c r="O325" i="3"/>
  <c r="P325" i="3" s="1"/>
  <c r="N301" i="3"/>
  <c r="D121" i="5" s="1"/>
  <c r="N155" i="3"/>
  <c r="O155" i="3" s="1"/>
  <c r="N242" i="3"/>
  <c r="O242" i="3" s="1"/>
  <c r="N102" i="3"/>
  <c r="O102" i="3" s="1"/>
  <c r="O222" i="3"/>
  <c r="N250" i="3"/>
  <c r="O250" i="3" s="1"/>
  <c r="N32" i="3"/>
  <c r="O32" i="3" s="1"/>
  <c r="O313" i="3"/>
  <c r="P313" i="3" s="1"/>
  <c r="O176" i="3"/>
  <c r="N115" i="3"/>
  <c r="O115" i="3" s="1"/>
  <c r="N230" i="3"/>
  <c r="O230" i="3" s="1"/>
  <c r="N168" i="3"/>
  <c r="O168" i="3" s="1"/>
  <c r="N302" i="3"/>
  <c r="O302" i="3" s="1"/>
  <c r="P302" i="3" s="1"/>
  <c r="N286" i="3"/>
  <c r="O258" i="3"/>
  <c r="P258" i="3" s="1"/>
  <c r="I113" i="5" s="1"/>
  <c r="O117" i="3"/>
  <c r="O130" i="3"/>
  <c r="O125" i="3"/>
  <c r="O234" i="3"/>
  <c r="N98" i="3"/>
  <c r="O98" i="3" s="1"/>
  <c r="N112" i="3"/>
  <c r="O112" i="3" s="1"/>
  <c r="N235" i="3"/>
  <c r="O235" i="3" s="1"/>
  <c r="N108" i="3"/>
  <c r="O108" i="3" s="1"/>
  <c r="N237" i="3"/>
  <c r="O237" i="3" s="1"/>
  <c r="P237" i="3" s="1"/>
  <c r="H8" i="5" s="1"/>
  <c r="O166" i="3"/>
  <c r="O171" i="3"/>
  <c r="N238" i="3"/>
  <c r="O238" i="3" s="1"/>
  <c r="O192" i="3"/>
  <c r="P192" i="3" s="1"/>
  <c r="J117" i="5" s="1"/>
  <c r="N106" i="3"/>
  <c r="O106" i="3" s="1"/>
  <c r="O167" i="3"/>
  <c r="N121" i="3"/>
  <c r="O121" i="3" s="1"/>
  <c r="O20" i="3"/>
  <c r="O310" i="3"/>
  <c r="N196" i="3"/>
  <c r="O196" i="3" s="1"/>
  <c r="P196" i="3" s="1"/>
  <c r="N283" i="3"/>
  <c r="N317" i="3"/>
  <c r="O317" i="3" s="1"/>
  <c r="O92" i="3"/>
  <c r="N270" i="3"/>
  <c r="O270" i="3" s="1"/>
  <c r="O154" i="3"/>
  <c r="O221" i="3"/>
  <c r="O191" i="3"/>
  <c r="J118" i="5" s="1"/>
  <c r="O147" i="3"/>
  <c r="N122" i="3"/>
  <c r="O122" i="3" s="1"/>
  <c r="O190" i="3"/>
  <c r="P190" i="3" s="1"/>
  <c r="F12" i="5" s="1"/>
  <c r="N131" i="3"/>
  <c r="O131" i="3" s="1"/>
  <c r="O266" i="3"/>
  <c r="N16" i="3"/>
  <c r="O16" i="3" s="1"/>
  <c r="N48" i="3"/>
  <c r="O48" i="3" s="1"/>
  <c r="J17" i="8" l="1"/>
  <c r="K17" i="8"/>
  <c r="L17" i="8"/>
  <c r="I17" i="8"/>
  <c r="K25" i="8"/>
  <c r="H21" i="8"/>
  <c r="I21" i="8"/>
  <c r="H17" i="8"/>
  <c r="G21" i="8"/>
  <c r="G17" i="8"/>
  <c r="J21" i="8"/>
  <c r="K24" i="8"/>
  <c r="F9" i="8"/>
  <c r="I112" i="5"/>
  <c r="F43" i="5"/>
  <c r="G43" i="5"/>
  <c r="G44" i="5"/>
  <c r="H46" i="5"/>
  <c r="G46" i="5"/>
  <c r="F46" i="5"/>
  <c r="F44" i="5"/>
  <c r="G45" i="5"/>
  <c r="H44" i="5"/>
  <c r="F45" i="5"/>
  <c r="H43" i="5"/>
  <c r="H45" i="5"/>
  <c r="I43" i="5"/>
  <c r="I45" i="5"/>
  <c r="I46" i="5"/>
  <c r="I44" i="5"/>
  <c r="G8" i="5"/>
  <c r="H9" i="5"/>
  <c r="I114" i="5"/>
  <c r="H7" i="5"/>
  <c r="J116" i="5"/>
  <c r="J8" i="5"/>
  <c r="J115" i="5"/>
  <c r="J10" i="5"/>
  <c r="H116" i="5"/>
  <c r="I111" i="5"/>
  <c r="G9" i="5"/>
  <c r="I8" i="5"/>
  <c r="I9" i="5"/>
  <c r="H10" i="5"/>
  <c r="H115" i="5"/>
  <c r="F8" i="5"/>
  <c r="F116" i="5"/>
  <c r="I115" i="5"/>
  <c r="D17" i="5"/>
  <c r="F115" i="5"/>
  <c r="H117" i="5"/>
  <c r="J7" i="5"/>
  <c r="I116" i="5"/>
  <c r="D93" i="5"/>
  <c r="H118" i="5"/>
  <c r="G7" i="5"/>
  <c r="O290" i="3"/>
  <c r="O304" i="3"/>
  <c r="K21" i="8"/>
  <c r="G13" i="5"/>
  <c r="F11" i="8"/>
  <c r="I15" i="8"/>
  <c r="F19" i="8"/>
  <c r="D117" i="5"/>
  <c r="I117" i="5"/>
  <c r="K13" i="8"/>
  <c r="D13" i="5"/>
  <c r="I48" i="5"/>
  <c r="I50" i="5"/>
  <c r="H49" i="5"/>
  <c r="F48" i="5"/>
  <c r="J47" i="5"/>
  <c r="G49" i="5"/>
  <c r="F47" i="5"/>
  <c r="H47" i="5"/>
  <c r="F50" i="5"/>
  <c r="G47" i="5"/>
  <c r="J48" i="5"/>
  <c r="G50" i="5"/>
  <c r="I49" i="5"/>
  <c r="I47" i="5"/>
  <c r="J50" i="5"/>
  <c r="H48" i="5"/>
  <c r="G48" i="5"/>
  <c r="F49" i="5"/>
  <c r="J49" i="5"/>
  <c r="H50" i="5"/>
  <c r="P297" i="3"/>
  <c r="D114" i="5"/>
  <c r="D9" i="5"/>
  <c r="P290" i="3"/>
  <c r="J15" i="5" s="1"/>
  <c r="D18" i="5"/>
  <c r="D85" i="5"/>
  <c r="J15" i="8"/>
  <c r="P285" i="3"/>
  <c r="P304" i="3"/>
  <c r="K20" i="5" s="1"/>
  <c r="D22" i="5"/>
  <c r="G15" i="8"/>
  <c r="K12" i="8"/>
  <c r="K14" i="8"/>
  <c r="P2980" i="3"/>
  <c r="D110" i="5"/>
  <c r="D5" i="5"/>
  <c r="I13" i="8"/>
  <c r="D113" i="5"/>
  <c r="D29" i="5"/>
  <c r="D41" i="5"/>
  <c r="O2889" i="3"/>
  <c r="F15" i="8"/>
  <c r="K15" i="8"/>
  <c r="G13" i="8"/>
  <c r="J13" i="8"/>
  <c r="K26" i="8"/>
  <c r="L1" i="5"/>
  <c r="K127" i="5"/>
  <c r="K7" i="5"/>
  <c r="K43" i="5"/>
  <c r="K55" i="5"/>
  <c r="K71" i="5"/>
  <c r="K10" i="5"/>
  <c r="K74" i="5"/>
  <c r="K90" i="5"/>
  <c r="K102" i="5"/>
  <c r="K129" i="5"/>
  <c r="K52" i="5"/>
  <c r="K57" i="5"/>
  <c r="K62" i="5"/>
  <c r="K77" i="5"/>
  <c r="K97" i="5"/>
  <c r="K11" i="5"/>
  <c r="K12" i="5"/>
  <c r="K53" i="5"/>
  <c r="K54" i="5"/>
  <c r="K72" i="5"/>
  <c r="K73" i="5"/>
  <c r="K76" i="5"/>
  <c r="K78" i="5"/>
  <c r="K88" i="5"/>
  <c r="K117" i="5"/>
  <c r="K87" i="5"/>
  <c r="K89" i="5"/>
  <c r="K95" i="5"/>
  <c r="K112" i="5"/>
  <c r="K124" i="5"/>
  <c r="L21" i="8" s="1"/>
  <c r="K96" i="5"/>
  <c r="K98" i="5"/>
  <c r="K100" i="5"/>
  <c r="K115" i="5"/>
  <c r="K44" i="5"/>
  <c r="K45" i="5"/>
  <c r="K58" i="5"/>
  <c r="K59" i="5"/>
  <c r="K60" i="5"/>
  <c r="K113" i="5"/>
  <c r="K125" i="5"/>
  <c r="K130" i="5"/>
  <c r="K9" i="5"/>
  <c r="K46" i="5"/>
  <c r="K61" i="5"/>
  <c r="K99" i="5"/>
  <c r="K101" i="5"/>
  <c r="K118" i="5"/>
  <c r="K128" i="5"/>
  <c r="K111" i="5"/>
  <c r="K13" i="5"/>
  <c r="K56" i="5"/>
  <c r="K75" i="5"/>
  <c r="K14" i="5"/>
  <c r="K114" i="5"/>
  <c r="K8" i="5"/>
  <c r="K51" i="5"/>
  <c r="K123" i="5"/>
  <c r="K116" i="5"/>
  <c r="K126" i="5"/>
  <c r="K49" i="5"/>
  <c r="K119" i="5"/>
  <c r="K63" i="5"/>
  <c r="K31" i="5"/>
  <c r="K83" i="5"/>
  <c r="K79" i="5"/>
  <c r="K67" i="5"/>
  <c r="K47" i="5"/>
  <c r="K48" i="5"/>
  <c r="K50" i="5"/>
  <c r="K103" i="5"/>
  <c r="K35" i="5"/>
  <c r="H13" i="8"/>
  <c r="H28" i="5"/>
  <c r="J27" i="5"/>
  <c r="L25" i="5"/>
  <c r="G28" i="5"/>
  <c r="K27" i="5"/>
  <c r="G27" i="5"/>
  <c r="J28" i="5"/>
  <c r="I28" i="5"/>
  <c r="K28" i="5"/>
  <c r="K33" i="5"/>
  <c r="F33" i="5"/>
  <c r="J33" i="5"/>
  <c r="L33" i="5"/>
  <c r="I33" i="5"/>
  <c r="G33" i="5"/>
  <c r="H33" i="5"/>
  <c r="K69" i="5"/>
  <c r="G69" i="5"/>
  <c r="J69" i="5"/>
  <c r="F69" i="5"/>
  <c r="L69" i="5"/>
  <c r="I69" i="5"/>
  <c r="H69" i="5"/>
  <c r="O291" i="3"/>
  <c r="F117" i="5"/>
  <c r="L93" i="5"/>
  <c r="G93" i="5"/>
  <c r="I93" i="5"/>
  <c r="F93" i="5"/>
  <c r="K93" i="5"/>
  <c r="H93" i="5"/>
  <c r="J93" i="5"/>
  <c r="L28" i="5"/>
  <c r="L27" i="5"/>
  <c r="F114" i="5"/>
  <c r="F113" i="5"/>
  <c r="F112" i="5"/>
  <c r="F111" i="5"/>
  <c r="K37" i="5"/>
  <c r="F37" i="5"/>
  <c r="I37" i="5"/>
  <c r="L37" i="5"/>
  <c r="G37" i="5"/>
  <c r="H37" i="5"/>
  <c r="J37" i="5"/>
  <c r="L29" i="5"/>
  <c r="H29" i="5"/>
  <c r="I29" i="5"/>
  <c r="K29" i="5"/>
  <c r="G29" i="5"/>
  <c r="F29" i="5"/>
  <c r="J29" i="5"/>
  <c r="H25" i="5"/>
  <c r="I25" i="5"/>
  <c r="F25" i="5"/>
  <c r="J25" i="5"/>
  <c r="K25" i="5"/>
  <c r="G25" i="5"/>
  <c r="I85" i="5"/>
  <c r="J85" i="5"/>
  <c r="G85" i="5"/>
  <c r="K85" i="5"/>
  <c r="H85" i="5"/>
  <c r="F85" i="5"/>
  <c r="L85" i="5"/>
  <c r="F13" i="5"/>
  <c r="K17" i="5"/>
  <c r="K15" i="5"/>
  <c r="J18" i="5"/>
  <c r="K16" i="5"/>
  <c r="L16" i="5"/>
  <c r="H16" i="5"/>
  <c r="F18" i="5"/>
  <c r="G16" i="5"/>
  <c r="F17" i="5"/>
  <c r="I16" i="5"/>
  <c r="F16" i="5"/>
  <c r="H17" i="5"/>
  <c r="J17" i="5"/>
  <c r="I17" i="5"/>
  <c r="F9" i="5"/>
  <c r="K121" i="5"/>
  <c r="G121" i="5"/>
  <c r="L121" i="5"/>
  <c r="J121" i="5"/>
  <c r="I121" i="5"/>
  <c r="F121" i="5"/>
  <c r="H121" i="5"/>
  <c r="G81" i="5"/>
  <c r="K81" i="5"/>
  <c r="L81" i="5"/>
  <c r="J81" i="5"/>
  <c r="H81" i="5"/>
  <c r="F81" i="5"/>
  <c r="I81" i="5"/>
  <c r="O288" i="3"/>
  <c r="G113" i="5"/>
  <c r="G112" i="5"/>
  <c r="L105" i="5"/>
  <c r="G105" i="5"/>
  <c r="H105" i="5"/>
  <c r="K105" i="5"/>
  <c r="I105" i="5"/>
  <c r="J105" i="5"/>
  <c r="F105" i="5"/>
  <c r="F27" i="5"/>
  <c r="F28" i="5"/>
  <c r="H111" i="5"/>
  <c r="H114" i="5"/>
  <c r="H112" i="5"/>
  <c r="H113" i="5"/>
  <c r="G117" i="5"/>
  <c r="G115" i="5"/>
  <c r="G118" i="5"/>
  <c r="G116" i="5"/>
  <c r="F66" i="5"/>
  <c r="J66" i="5"/>
  <c r="L66" i="5"/>
  <c r="G66" i="5"/>
  <c r="H66" i="5"/>
  <c r="I66" i="5"/>
  <c r="K66" i="5"/>
  <c r="G10" i="5"/>
  <c r="I27" i="5"/>
  <c r="H27" i="5"/>
  <c r="O281" i="3"/>
  <c r="D70" i="5" s="1"/>
  <c r="O280" i="3"/>
  <c r="D86" i="5" s="1"/>
  <c r="O331" i="3"/>
  <c r="O279" i="3"/>
  <c r="O283" i="3"/>
  <c r="D30" i="5" s="1"/>
  <c r="O282" i="3"/>
  <c r="D26" i="5" s="1"/>
  <c r="O326" i="3"/>
  <c r="D34" i="5" s="1"/>
  <c r="O385" i="3"/>
  <c r="D38" i="5" s="1"/>
  <c r="O341" i="3"/>
  <c r="D106" i="5" s="1"/>
  <c r="O298" i="3"/>
  <c r="O278" i="3"/>
  <c r="P278" i="3" s="1"/>
  <c r="G3" i="5" s="1"/>
  <c r="O301" i="3"/>
  <c r="D122" i="5" s="1"/>
  <c r="O292" i="3"/>
  <c r="O294" i="3"/>
  <c r="D82" i="5" s="1"/>
  <c r="O286" i="3"/>
  <c r="O2812" i="3"/>
  <c r="O284" i="3"/>
  <c r="O397" i="3"/>
  <c r="O330" i="3"/>
  <c r="O307" i="3"/>
  <c r="O295" i="3"/>
  <c r="L16" i="8" l="1"/>
  <c r="H8" i="8"/>
  <c r="L25" i="8"/>
  <c r="L24" i="8"/>
  <c r="D94" i="5"/>
  <c r="F4" i="5"/>
  <c r="F3" i="5"/>
  <c r="K5" i="5"/>
  <c r="K4" i="5"/>
  <c r="H5" i="5"/>
  <c r="K6" i="5"/>
  <c r="J3" i="5"/>
  <c r="H6" i="5"/>
  <c r="G14" i="5"/>
  <c r="G6" i="5"/>
  <c r="H4" i="5"/>
  <c r="H3" i="5"/>
  <c r="I5" i="5"/>
  <c r="K3" i="5"/>
  <c r="J5" i="5"/>
  <c r="G5" i="5"/>
  <c r="F5" i="5"/>
  <c r="J6" i="5"/>
  <c r="I3" i="5"/>
  <c r="G4" i="5"/>
  <c r="J4" i="5"/>
  <c r="I4" i="5"/>
  <c r="G17" i="5"/>
  <c r="J16" i="5"/>
  <c r="G15" i="5"/>
  <c r="I18" i="5"/>
  <c r="K18" i="5"/>
  <c r="G18" i="5"/>
  <c r="L17" i="5"/>
  <c r="H18" i="5"/>
  <c r="F15" i="5"/>
  <c r="L18" i="5"/>
  <c r="I15" i="5"/>
  <c r="L15" i="5"/>
  <c r="H15" i="5"/>
  <c r="I14" i="5"/>
  <c r="H12" i="5"/>
  <c r="G77" i="5"/>
  <c r="G88" i="5"/>
  <c r="G101" i="5"/>
  <c r="G125" i="5"/>
  <c r="G20" i="5"/>
  <c r="I21" i="5"/>
  <c r="L14" i="8"/>
  <c r="L22" i="5"/>
  <c r="G114" i="5"/>
  <c r="G111" i="5"/>
  <c r="F21" i="5"/>
  <c r="D14" i="5"/>
  <c r="L13" i="8"/>
  <c r="F22" i="8"/>
  <c r="F22" i="5"/>
  <c r="I19" i="5"/>
  <c r="L21" i="5"/>
  <c r="J20" i="5"/>
  <c r="H21" i="5"/>
  <c r="F19" i="5"/>
  <c r="K22" i="5"/>
  <c r="G11" i="5"/>
  <c r="I13" i="5"/>
  <c r="I12" i="5"/>
  <c r="I11" i="5"/>
  <c r="F11" i="5"/>
  <c r="J11" i="5"/>
  <c r="H11" i="5"/>
  <c r="F20" i="5"/>
  <c r="G19" i="5"/>
  <c r="K21" i="5"/>
  <c r="I110" i="5"/>
  <c r="H109" i="5"/>
  <c r="H107" i="5"/>
  <c r="K108" i="5"/>
  <c r="H108" i="5"/>
  <c r="J108" i="5"/>
  <c r="F110" i="5"/>
  <c r="I107" i="5"/>
  <c r="J110" i="5"/>
  <c r="G107" i="5"/>
  <c r="H110" i="5"/>
  <c r="G109" i="5"/>
  <c r="J107" i="5"/>
  <c r="K107" i="5"/>
  <c r="J109" i="5"/>
  <c r="G108" i="5"/>
  <c r="K109" i="5"/>
  <c r="G110" i="5"/>
  <c r="I108" i="5"/>
  <c r="F108" i="5"/>
  <c r="F107" i="5"/>
  <c r="K110" i="5"/>
  <c r="F109" i="5"/>
  <c r="I109" i="5"/>
  <c r="G21" i="5"/>
  <c r="H22" i="5"/>
  <c r="J22" i="5"/>
  <c r="L15" i="8"/>
  <c r="P2889" i="3"/>
  <c r="L39" i="5" s="1"/>
  <c r="D42" i="5"/>
  <c r="D118" i="5"/>
  <c r="I118" i="5"/>
  <c r="D10" i="5"/>
  <c r="I10" i="5"/>
  <c r="L19" i="5"/>
  <c r="H19" i="5"/>
  <c r="J21" i="5"/>
  <c r="H20" i="5"/>
  <c r="K19" i="5"/>
  <c r="L20" i="5"/>
  <c r="F6" i="5"/>
  <c r="D6" i="5"/>
  <c r="I6" i="5"/>
  <c r="G22" i="5"/>
  <c r="I22" i="5"/>
  <c r="J19" i="5"/>
  <c r="I20" i="5"/>
  <c r="L26" i="8"/>
  <c r="L20" i="8"/>
  <c r="L4" i="5"/>
  <c r="L12" i="5"/>
  <c r="L52" i="5"/>
  <c r="L60" i="5"/>
  <c r="L9" i="5"/>
  <c r="L14" i="5"/>
  <c r="L51" i="5"/>
  <c r="L56" i="5"/>
  <c r="L61" i="5"/>
  <c r="L87" i="5"/>
  <c r="L99" i="5"/>
  <c r="L5" i="5"/>
  <c r="L10" i="5"/>
  <c r="L43" i="5"/>
  <c r="L74" i="5"/>
  <c r="L90" i="5"/>
  <c r="L3" i="5"/>
  <c r="L13" i="5"/>
  <c r="L55" i="5"/>
  <c r="L75" i="5"/>
  <c r="L77" i="5"/>
  <c r="L114" i="5"/>
  <c r="L126" i="5"/>
  <c r="L11" i="5"/>
  <c r="L53" i="5"/>
  <c r="L54" i="5"/>
  <c r="L71" i="5"/>
  <c r="L72" i="5"/>
  <c r="L73" i="5"/>
  <c r="L76" i="5"/>
  <c r="L78" i="5"/>
  <c r="L88" i="5"/>
  <c r="L117" i="5"/>
  <c r="L62" i="5"/>
  <c r="L89" i="5"/>
  <c r="L95" i="5"/>
  <c r="L97" i="5"/>
  <c r="L112" i="5"/>
  <c r="L124" i="5"/>
  <c r="L7" i="5"/>
  <c r="L8" i="5"/>
  <c r="L46" i="5"/>
  <c r="L101" i="5"/>
  <c r="L118" i="5"/>
  <c r="M1" i="5"/>
  <c r="M38" i="5" s="1"/>
  <c r="L115" i="5"/>
  <c r="L130" i="5"/>
  <c r="L44" i="5"/>
  <c r="L59" i="5"/>
  <c r="L125" i="5"/>
  <c r="L128" i="5"/>
  <c r="L57" i="5"/>
  <c r="L127" i="5"/>
  <c r="L111" i="5"/>
  <c r="L96" i="5"/>
  <c r="L98" i="5"/>
  <c r="L100" i="5"/>
  <c r="L116" i="5"/>
  <c r="L129" i="5"/>
  <c r="L6" i="5"/>
  <c r="L45" i="5"/>
  <c r="L58" i="5"/>
  <c r="L102" i="5"/>
  <c r="L113" i="5"/>
  <c r="L123" i="5"/>
  <c r="L31" i="5"/>
  <c r="L103" i="5"/>
  <c r="L63" i="5"/>
  <c r="L47" i="5"/>
  <c r="L79" i="5"/>
  <c r="L67" i="5"/>
  <c r="L83" i="5"/>
  <c r="L119" i="5"/>
  <c r="L48" i="5"/>
  <c r="L35" i="5"/>
  <c r="L49" i="5"/>
  <c r="L50" i="5"/>
  <c r="L68" i="5"/>
  <c r="L24" i="5"/>
  <c r="L107" i="5"/>
  <c r="L84" i="5"/>
  <c r="L108" i="5"/>
  <c r="L64" i="5"/>
  <c r="L36" i="5"/>
  <c r="L91" i="5"/>
  <c r="L104" i="5"/>
  <c r="L32" i="5"/>
  <c r="L120" i="5"/>
  <c r="L65" i="5"/>
  <c r="L23" i="5"/>
  <c r="L110" i="5"/>
  <c r="L109" i="5"/>
  <c r="L80" i="5"/>
  <c r="L92" i="5"/>
  <c r="L12" i="8"/>
  <c r="F14" i="5"/>
  <c r="I122" i="5"/>
  <c r="G122" i="5"/>
  <c r="F122" i="5"/>
  <c r="K122" i="5"/>
  <c r="H122" i="5"/>
  <c r="J122" i="5"/>
  <c r="L122" i="5"/>
  <c r="H26" i="5"/>
  <c r="G26" i="5"/>
  <c r="I26" i="5"/>
  <c r="K26" i="5"/>
  <c r="F26" i="5"/>
  <c r="L26" i="5"/>
  <c r="J26" i="5"/>
  <c r="F118" i="5"/>
  <c r="J30" i="5"/>
  <c r="F30" i="5"/>
  <c r="L30" i="5"/>
  <c r="I30" i="5"/>
  <c r="G30" i="5"/>
  <c r="K30" i="5"/>
  <c r="H30" i="5"/>
  <c r="F106" i="5"/>
  <c r="L106" i="5"/>
  <c r="H106" i="5"/>
  <c r="I106" i="5"/>
  <c r="G106" i="5"/>
  <c r="K106" i="5"/>
  <c r="J106" i="5"/>
  <c r="G94" i="5"/>
  <c r="H94" i="5"/>
  <c r="J94" i="5"/>
  <c r="L94" i="5"/>
  <c r="I94" i="5"/>
  <c r="K94" i="5"/>
  <c r="F94" i="5"/>
  <c r="K86" i="5"/>
  <c r="H86" i="5"/>
  <c r="F86" i="5"/>
  <c r="J86" i="5"/>
  <c r="L86" i="5"/>
  <c r="G86" i="5"/>
  <c r="I86" i="5"/>
  <c r="L70" i="5"/>
  <c r="K70" i="5"/>
  <c r="I70" i="5"/>
  <c r="J70" i="5"/>
  <c r="G70" i="5"/>
  <c r="F70" i="5"/>
  <c r="H70" i="5"/>
  <c r="H82" i="5"/>
  <c r="F82" i="5"/>
  <c r="J82" i="5"/>
  <c r="I82" i="5"/>
  <c r="L82" i="5"/>
  <c r="G82" i="5"/>
  <c r="K82" i="5"/>
  <c r="G38" i="5"/>
  <c r="I38" i="5"/>
  <c r="F38" i="5"/>
  <c r="J38" i="5"/>
  <c r="K38" i="5"/>
  <c r="H38" i="5"/>
  <c r="L38" i="5"/>
  <c r="J34" i="5"/>
  <c r="H34" i="5"/>
  <c r="G34" i="5"/>
  <c r="K34" i="5"/>
  <c r="I34" i="5"/>
  <c r="L34" i="5"/>
  <c r="F34" i="5"/>
  <c r="F10" i="5"/>
  <c r="P307" i="3"/>
  <c r="I7" i="5" s="1"/>
  <c r="M24" i="8" l="1"/>
  <c r="L18" i="8"/>
  <c r="K19" i="8"/>
  <c r="G8" i="8"/>
  <c r="G18" i="8"/>
  <c r="K18" i="8"/>
  <c r="I19" i="8"/>
  <c r="G9" i="8"/>
  <c r="M16" i="8"/>
  <c r="M25" i="8"/>
  <c r="G19" i="8"/>
  <c r="L19" i="8"/>
  <c r="J19" i="8"/>
  <c r="I18" i="8"/>
  <c r="H15" i="8"/>
  <c r="K8" i="8"/>
  <c r="M8" i="8"/>
  <c r="M9" i="8"/>
  <c r="J9" i="8"/>
  <c r="L8" i="8"/>
  <c r="K9" i="8"/>
  <c r="H19" i="8"/>
  <c r="J18" i="8"/>
  <c r="H9" i="8"/>
  <c r="I8" i="8"/>
  <c r="L9" i="8"/>
  <c r="M17" i="8"/>
  <c r="J8" i="8"/>
  <c r="I9" i="8"/>
  <c r="H18" i="8"/>
  <c r="M19" i="8"/>
  <c r="L42" i="5"/>
  <c r="M21" i="8"/>
  <c r="L41" i="5"/>
  <c r="L40" i="5"/>
  <c r="M11" i="8" s="1"/>
  <c r="M12" i="8"/>
  <c r="M18" i="8"/>
  <c r="F23" i="8"/>
  <c r="M20" i="8"/>
  <c r="M26" i="8"/>
  <c r="K41" i="5"/>
  <c r="L22" i="8" s="1"/>
  <c r="K40" i="5"/>
  <c r="F41" i="5"/>
  <c r="G22" i="8" s="1"/>
  <c r="J39" i="5"/>
  <c r="K10" i="8" s="1"/>
  <c r="G40" i="5"/>
  <c r="H11" i="8" s="1"/>
  <c r="J41" i="5"/>
  <c r="K22" i="8" s="1"/>
  <c r="G41" i="5"/>
  <c r="H22" i="8" s="1"/>
  <c r="K39" i="5"/>
  <c r="L10" i="8" s="1"/>
  <c r="I42" i="5"/>
  <c r="J23" i="8" s="1"/>
  <c r="H41" i="5"/>
  <c r="I22" i="8" s="1"/>
  <c r="F40" i="5"/>
  <c r="G11" i="8" s="1"/>
  <c r="J42" i="5"/>
  <c r="K23" i="8" s="1"/>
  <c r="I39" i="5"/>
  <c r="J10" i="8" s="1"/>
  <c r="F39" i="5"/>
  <c r="K42" i="5"/>
  <c r="L23" i="8" s="1"/>
  <c r="I41" i="5"/>
  <c r="J22" i="8" s="1"/>
  <c r="J40" i="5"/>
  <c r="K11" i="8" s="1"/>
  <c r="H42" i="5"/>
  <c r="I23" i="8" s="1"/>
  <c r="I40" i="5"/>
  <c r="J11" i="8" s="1"/>
  <c r="F42" i="5"/>
  <c r="G23" i="8" s="1"/>
  <c r="G39" i="5"/>
  <c r="H10" i="8" s="1"/>
  <c r="H40" i="5"/>
  <c r="I11" i="8" s="1"/>
  <c r="H39" i="5"/>
  <c r="I10" i="8" s="1"/>
  <c r="G42" i="5"/>
  <c r="H23" i="8" s="1"/>
  <c r="M94" i="5"/>
  <c r="M23" i="8"/>
  <c r="M22" i="8"/>
  <c r="M15" i="8"/>
  <c r="M9" i="5"/>
  <c r="M45" i="5"/>
  <c r="M57" i="5"/>
  <c r="M73" i="5"/>
  <c r="M128" i="5"/>
  <c r="M4" i="5"/>
  <c r="M76" i="5"/>
  <c r="M96" i="5"/>
  <c r="M14" i="5"/>
  <c r="M51" i="5"/>
  <c r="M56" i="5"/>
  <c r="M61" i="5"/>
  <c r="M87" i="5"/>
  <c r="M99" i="5"/>
  <c r="M130" i="5"/>
  <c r="M127" i="5"/>
  <c r="M74" i="5"/>
  <c r="M111" i="5"/>
  <c r="M123" i="5"/>
  <c r="M3" i="5"/>
  <c r="M12" i="5"/>
  <c r="M13" i="5"/>
  <c r="M55" i="5"/>
  <c r="M75" i="5"/>
  <c r="M77" i="5"/>
  <c r="M114" i="5"/>
  <c r="M126" i="5"/>
  <c r="M10" i="5"/>
  <c r="M11" i="5"/>
  <c r="M52" i="5"/>
  <c r="M53" i="5"/>
  <c r="M54" i="5"/>
  <c r="M71" i="5"/>
  <c r="M72" i="5"/>
  <c r="M78" i="5"/>
  <c r="M88" i="5"/>
  <c r="M90" i="5"/>
  <c r="M117" i="5"/>
  <c r="M98" i="5"/>
  <c r="M100" i="5"/>
  <c r="M115" i="5"/>
  <c r="M89" i="5"/>
  <c r="M95" i="5"/>
  <c r="M97" i="5"/>
  <c r="M112" i="5"/>
  <c r="M7" i="5"/>
  <c r="M46" i="5"/>
  <c r="M101" i="5"/>
  <c r="M118" i="5"/>
  <c r="M5" i="5"/>
  <c r="M44" i="5"/>
  <c r="M59" i="5"/>
  <c r="M125" i="5"/>
  <c r="M62" i="5"/>
  <c r="M124" i="5"/>
  <c r="M102" i="5"/>
  <c r="M113" i="5"/>
  <c r="M8" i="5"/>
  <c r="M60" i="5"/>
  <c r="N1" i="5"/>
  <c r="M129" i="5"/>
  <c r="M6" i="5"/>
  <c r="M43" i="5"/>
  <c r="M58" i="5"/>
  <c r="M116" i="5"/>
  <c r="M79" i="5"/>
  <c r="M83" i="5"/>
  <c r="M50" i="5"/>
  <c r="M48" i="5"/>
  <c r="M35" i="5"/>
  <c r="M103" i="5"/>
  <c r="M47" i="5"/>
  <c r="M67" i="5"/>
  <c r="M63" i="5"/>
  <c r="M119" i="5"/>
  <c r="M31" i="5"/>
  <c r="M49" i="5"/>
  <c r="M107" i="5"/>
  <c r="M65" i="5"/>
  <c r="M39" i="5"/>
  <c r="M91" i="5"/>
  <c r="M120" i="5"/>
  <c r="M110" i="5"/>
  <c r="M64" i="5"/>
  <c r="M84" i="5"/>
  <c r="M92" i="5"/>
  <c r="M68" i="5"/>
  <c r="M23" i="5"/>
  <c r="M104" i="5"/>
  <c r="M24" i="5"/>
  <c r="M108" i="5"/>
  <c r="M32" i="5"/>
  <c r="M109" i="5"/>
  <c r="M36" i="5"/>
  <c r="M41" i="5"/>
  <c r="M40" i="5"/>
  <c r="M42" i="5"/>
  <c r="M80" i="5"/>
  <c r="M25" i="5"/>
  <c r="M85" i="5"/>
  <c r="M81" i="5"/>
  <c r="M28" i="5"/>
  <c r="M66" i="5"/>
  <c r="M33" i="5"/>
  <c r="M37" i="5"/>
  <c r="M121" i="5"/>
  <c r="M27" i="5"/>
  <c r="M69" i="5"/>
  <c r="M20" i="5"/>
  <c r="M21" i="5"/>
  <c r="M15" i="5"/>
  <c r="M17" i="5"/>
  <c r="M105" i="5"/>
  <c r="M93" i="5"/>
  <c r="M16" i="5"/>
  <c r="M18" i="5"/>
  <c r="M22" i="5"/>
  <c r="M29" i="5"/>
  <c r="M19" i="5"/>
  <c r="M70" i="5"/>
  <c r="M34" i="5"/>
  <c r="M82" i="5"/>
  <c r="M86" i="5"/>
  <c r="M106" i="5"/>
  <c r="M14" i="8"/>
  <c r="M10" i="8"/>
  <c r="M122" i="5"/>
  <c r="M30" i="5"/>
  <c r="M26" i="5"/>
  <c r="M13" i="8"/>
  <c r="F7" i="5"/>
  <c r="N17" i="8" l="1"/>
  <c r="N24" i="8"/>
  <c r="N16" i="8"/>
  <c r="N9" i="8"/>
  <c r="L11" i="8"/>
  <c r="N25" i="8"/>
  <c r="N8" i="8"/>
  <c r="N20" i="8"/>
  <c r="G10" i="8"/>
  <c r="N21" i="8"/>
  <c r="N26" i="8"/>
  <c r="N19" i="8"/>
  <c r="N14" i="8"/>
  <c r="N12" i="8"/>
  <c r="N22" i="8"/>
  <c r="N11" i="8"/>
  <c r="N13" i="8"/>
  <c r="N18" i="8"/>
  <c r="N23" i="8"/>
  <c r="N10" i="8"/>
  <c r="N15" i="8"/>
  <c r="N130" i="5"/>
  <c r="N6" i="5"/>
  <c r="N14" i="5"/>
  <c r="N54" i="5"/>
  <c r="N62" i="5"/>
  <c r="N128" i="5"/>
  <c r="N3" i="5"/>
  <c r="N8" i="5"/>
  <c r="N13" i="5"/>
  <c r="N46" i="5"/>
  <c r="N55" i="5"/>
  <c r="N60" i="5"/>
  <c r="N73" i="5"/>
  <c r="N89" i="5"/>
  <c r="N101" i="5"/>
  <c r="N4" i="5"/>
  <c r="N9" i="5"/>
  <c r="N76" i="5"/>
  <c r="N96" i="5"/>
  <c r="N129" i="5"/>
  <c r="N56" i="5"/>
  <c r="N116" i="5"/>
  <c r="N127" i="5"/>
  <c r="N74" i="5"/>
  <c r="N111" i="5"/>
  <c r="N123" i="5"/>
  <c r="N12" i="5"/>
  <c r="N75" i="5"/>
  <c r="N77" i="5"/>
  <c r="N87" i="5"/>
  <c r="N114" i="5"/>
  <c r="N126" i="5"/>
  <c r="N51" i="5"/>
  <c r="N61" i="5"/>
  <c r="N95" i="5"/>
  <c r="N97" i="5"/>
  <c r="N99" i="5"/>
  <c r="N112" i="5"/>
  <c r="N124" i="5"/>
  <c r="N11" i="5"/>
  <c r="N52" i="5"/>
  <c r="N71" i="5"/>
  <c r="N115" i="5"/>
  <c r="N7" i="5"/>
  <c r="N118" i="5"/>
  <c r="N43" i="5"/>
  <c r="N58" i="5"/>
  <c r="N5" i="5"/>
  <c r="N44" i="5"/>
  <c r="N57" i="5"/>
  <c r="N59" i="5"/>
  <c r="N125" i="5"/>
  <c r="N10" i="5"/>
  <c r="N53" i="5"/>
  <c r="N72" i="5"/>
  <c r="N78" i="5"/>
  <c r="N88" i="5"/>
  <c r="N90" i="5"/>
  <c r="N117" i="5"/>
  <c r="O1" i="5"/>
  <c r="N98" i="5"/>
  <c r="N100" i="5"/>
  <c r="N45" i="5"/>
  <c r="N102" i="5"/>
  <c r="N113" i="5"/>
  <c r="N63" i="5"/>
  <c r="N67" i="5"/>
  <c r="N103" i="5"/>
  <c r="N35" i="5"/>
  <c r="N50" i="5"/>
  <c r="N119" i="5"/>
  <c r="N49" i="5"/>
  <c r="N47" i="5"/>
  <c r="N83" i="5"/>
  <c r="N48" i="5"/>
  <c r="N31" i="5"/>
  <c r="N79" i="5"/>
  <c r="N108" i="5"/>
  <c r="N64" i="5"/>
  <c r="N68" i="5"/>
  <c r="N84" i="5"/>
  <c r="N92" i="5"/>
  <c r="N41" i="5"/>
  <c r="N39" i="5"/>
  <c r="N42" i="5"/>
  <c r="N104" i="5"/>
  <c r="N107" i="5"/>
  <c r="N36" i="5"/>
  <c r="N91" i="5"/>
  <c r="N24" i="5"/>
  <c r="N110" i="5"/>
  <c r="N65" i="5"/>
  <c r="N23" i="5"/>
  <c r="N120" i="5"/>
  <c r="N109" i="5"/>
  <c r="N32" i="5"/>
  <c r="N40" i="5"/>
  <c r="N80" i="5"/>
  <c r="N21" i="5"/>
  <c r="N18" i="5"/>
  <c r="N66" i="5"/>
  <c r="N69" i="5"/>
  <c r="N22" i="5"/>
  <c r="N29" i="5"/>
  <c r="N25" i="5"/>
  <c r="N17" i="5"/>
  <c r="N121" i="5"/>
  <c r="N16" i="5"/>
  <c r="N28" i="5"/>
  <c r="N15" i="5"/>
  <c r="N105" i="5"/>
  <c r="N19" i="5"/>
  <c r="N33" i="5"/>
  <c r="N20" i="5"/>
  <c r="N37" i="5"/>
  <c r="N85" i="5"/>
  <c r="N27" i="5"/>
  <c r="N93" i="5"/>
  <c r="N81" i="5"/>
  <c r="N38" i="5"/>
  <c r="N26" i="5"/>
  <c r="N122" i="5"/>
  <c r="N34" i="5"/>
  <c r="N94" i="5"/>
  <c r="N70" i="5"/>
  <c r="N86" i="5"/>
  <c r="N82" i="5"/>
  <c r="N106" i="5"/>
  <c r="N30" i="5"/>
  <c r="O16" i="8" l="1"/>
  <c r="O9" i="8"/>
  <c r="O24" i="8"/>
  <c r="O8" i="8"/>
  <c r="O17" i="8"/>
  <c r="O19" i="8"/>
  <c r="O25" i="8"/>
  <c r="O26" i="8"/>
  <c r="O18" i="8"/>
  <c r="O20" i="8"/>
  <c r="O15" i="8"/>
  <c r="O12" i="8"/>
  <c r="O13" i="8"/>
  <c r="O22" i="8"/>
  <c r="O21" i="8"/>
  <c r="O11" i="8"/>
  <c r="O3" i="5"/>
  <c r="O11" i="5"/>
  <c r="O51" i="5"/>
  <c r="O59" i="5"/>
  <c r="O130" i="5"/>
  <c r="O72" i="5"/>
  <c r="O78" i="5"/>
  <c r="O98" i="5"/>
  <c r="O128" i="5"/>
  <c r="O8" i="5"/>
  <c r="O13" i="5"/>
  <c r="O46" i="5"/>
  <c r="O55" i="5"/>
  <c r="O60" i="5"/>
  <c r="O73" i="5"/>
  <c r="O89" i="5"/>
  <c r="O4" i="5"/>
  <c r="O5" i="5"/>
  <c r="O14" i="5"/>
  <c r="O43" i="5"/>
  <c r="O44" i="5"/>
  <c r="O57" i="5"/>
  <c r="O58" i="5"/>
  <c r="O102" i="5"/>
  <c r="O113" i="5"/>
  <c r="O125" i="5"/>
  <c r="O129" i="5"/>
  <c r="O56" i="5"/>
  <c r="O116" i="5"/>
  <c r="O127" i="5"/>
  <c r="O74" i="5"/>
  <c r="O76" i="5"/>
  <c r="O111" i="5"/>
  <c r="O123" i="5"/>
  <c r="O9" i="5"/>
  <c r="O10" i="5"/>
  <c r="O52" i="5"/>
  <c r="O53" i="5"/>
  <c r="O62" i="5"/>
  <c r="O71" i="5"/>
  <c r="O88" i="5"/>
  <c r="O90" i="5"/>
  <c r="O96" i="5"/>
  <c r="O117" i="5"/>
  <c r="O54" i="5"/>
  <c r="O75" i="5"/>
  <c r="O77" i="5"/>
  <c r="O87" i="5"/>
  <c r="O126" i="5"/>
  <c r="O61" i="5"/>
  <c r="O95" i="5"/>
  <c r="O97" i="5"/>
  <c r="O99" i="5"/>
  <c r="O112" i="5"/>
  <c r="O101" i="5"/>
  <c r="O115" i="5"/>
  <c r="O6" i="5"/>
  <c r="O45" i="5"/>
  <c r="P1" i="5"/>
  <c r="O7" i="5"/>
  <c r="O118" i="5"/>
  <c r="O12" i="5"/>
  <c r="O114" i="5"/>
  <c r="O124" i="5"/>
  <c r="O100" i="5"/>
  <c r="O119" i="5"/>
  <c r="O50" i="5"/>
  <c r="O79" i="5"/>
  <c r="O49" i="5"/>
  <c r="O31" i="5"/>
  <c r="O35" i="5"/>
  <c r="O63" i="5"/>
  <c r="O48" i="5"/>
  <c r="O83" i="5"/>
  <c r="O67" i="5"/>
  <c r="O103" i="5"/>
  <c r="O47" i="5"/>
  <c r="O108" i="5"/>
  <c r="O84" i="5"/>
  <c r="O110" i="5"/>
  <c r="O107" i="5"/>
  <c r="O109" i="5"/>
  <c r="O65" i="5"/>
  <c r="O39" i="5"/>
  <c r="O32" i="5"/>
  <c r="O104" i="5"/>
  <c r="O91" i="5"/>
  <c r="O68" i="5"/>
  <c r="O92" i="5"/>
  <c r="O40" i="5"/>
  <c r="O64" i="5"/>
  <c r="O23" i="5"/>
  <c r="O36" i="5"/>
  <c r="O120" i="5"/>
  <c r="O42" i="5"/>
  <c r="O24" i="5"/>
  <c r="O41" i="5"/>
  <c r="O80" i="5"/>
  <c r="O66" i="5"/>
  <c r="O27" i="5"/>
  <c r="O16" i="5"/>
  <c r="O69" i="5"/>
  <c r="O21" i="5"/>
  <c r="O29" i="5"/>
  <c r="O17" i="5"/>
  <c r="O18" i="5"/>
  <c r="O33" i="5"/>
  <c r="O20" i="5"/>
  <c r="O15" i="5"/>
  <c r="O105" i="5"/>
  <c r="O85" i="5"/>
  <c r="O22" i="5"/>
  <c r="O25" i="5"/>
  <c r="O37" i="5"/>
  <c r="O28" i="5"/>
  <c r="O93" i="5"/>
  <c r="O19" i="5"/>
  <c r="O121" i="5"/>
  <c r="O81" i="5"/>
  <c r="O94" i="5"/>
  <c r="O30" i="5"/>
  <c r="O86" i="5"/>
  <c r="O70" i="5"/>
  <c r="O82" i="5"/>
  <c r="O34" i="5"/>
  <c r="O38" i="5"/>
  <c r="O26" i="5"/>
  <c r="O106" i="5"/>
  <c r="O122" i="5"/>
  <c r="O10" i="8"/>
  <c r="O14" i="8"/>
  <c r="O23" i="8"/>
  <c r="P20" i="8" l="1"/>
  <c r="P9" i="8"/>
  <c r="P25" i="8"/>
  <c r="P8" i="8"/>
  <c r="P17" i="8"/>
  <c r="P24" i="8"/>
  <c r="P16" i="8"/>
  <c r="P21" i="8"/>
  <c r="P18" i="8"/>
  <c r="P15" i="8"/>
  <c r="P12" i="8"/>
  <c r="P130" i="5"/>
  <c r="P129" i="5"/>
  <c r="P8" i="5"/>
  <c r="P44" i="5"/>
  <c r="P56" i="5"/>
  <c r="P72" i="5"/>
  <c r="P7" i="5"/>
  <c r="P12" i="5"/>
  <c r="P45" i="5"/>
  <c r="P54" i="5"/>
  <c r="P59" i="5"/>
  <c r="P75" i="5"/>
  <c r="P95" i="5"/>
  <c r="P3" i="5"/>
  <c r="P78" i="5"/>
  <c r="P98" i="5"/>
  <c r="P128" i="5"/>
  <c r="P6" i="5"/>
  <c r="P118" i="5"/>
  <c r="Q1" i="5"/>
  <c r="P4" i="5"/>
  <c r="P5" i="5"/>
  <c r="P14" i="5"/>
  <c r="P43" i="5"/>
  <c r="P57" i="5"/>
  <c r="P58" i="5"/>
  <c r="P102" i="5"/>
  <c r="P113" i="5"/>
  <c r="P125" i="5"/>
  <c r="P13" i="5"/>
  <c r="P55" i="5"/>
  <c r="P73" i="5"/>
  <c r="P116" i="5"/>
  <c r="P11" i="5"/>
  <c r="P77" i="5"/>
  <c r="P87" i="5"/>
  <c r="P89" i="5"/>
  <c r="P114" i="5"/>
  <c r="P126" i="5"/>
  <c r="P127" i="5"/>
  <c r="P123" i="5"/>
  <c r="P9" i="5"/>
  <c r="P52" i="5"/>
  <c r="P71" i="5"/>
  <c r="P46" i="5"/>
  <c r="P61" i="5"/>
  <c r="P97" i="5"/>
  <c r="P99" i="5"/>
  <c r="P112" i="5"/>
  <c r="P101" i="5"/>
  <c r="P115" i="5"/>
  <c r="P74" i="5"/>
  <c r="P76" i="5"/>
  <c r="P111" i="5"/>
  <c r="P60" i="5"/>
  <c r="P10" i="5"/>
  <c r="P51" i="5"/>
  <c r="P53" i="5"/>
  <c r="P62" i="5"/>
  <c r="P88" i="5"/>
  <c r="P90" i="5"/>
  <c r="P96" i="5"/>
  <c r="P117" i="5"/>
  <c r="P124" i="5"/>
  <c r="P100" i="5"/>
  <c r="P31" i="5"/>
  <c r="P119" i="5"/>
  <c r="P35" i="5"/>
  <c r="P67" i="5"/>
  <c r="P63" i="5"/>
  <c r="P50" i="5"/>
  <c r="P103" i="5"/>
  <c r="P79" i="5"/>
  <c r="P48" i="5"/>
  <c r="P49" i="5"/>
  <c r="P83" i="5"/>
  <c r="P47" i="5"/>
  <c r="P91" i="5"/>
  <c r="P120" i="5"/>
  <c r="P108" i="5"/>
  <c r="P32" i="5"/>
  <c r="P104" i="5"/>
  <c r="P107" i="5"/>
  <c r="P109" i="5"/>
  <c r="P110" i="5"/>
  <c r="P92" i="5"/>
  <c r="P42" i="5"/>
  <c r="P65" i="5"/>
  <c r="P36" i="5"/>
  <c r="P68" i="5"/>
  <c r="P84" i="5"/>
  <c r="P41" i="5"/>
  <c r="P39" i="5"/>
  <c r="P80" i="5"/>
  <c r="P40" i="5"/>
  <c r="P23" i="5"/>
  <c r="P24" i="5"/>
  <c r="P64" i="5"/>
  <c r="P29" i="5"/>
  <c r="P33" i="5"/>
  <c r="P93" i="5"/>
  <c r="P18" i="5"/>
  <c r="P37" i="5"/>
  <c r="P105" i="5"/>
  <c r="P19" i="5"/>
  <c r="P69" i="5"/>
  <c r="P20" i="5"/>
  <c r="P85" i="5"/>
  <c r="P81" i="5"/>
  <c r="P25" i="5"/>
  <c r="P16" i="5"/>
  <c r="P66" i="5"/>
  <c r="P17" i="5"/>
  <c r="P15" i="5"/>
  <c r="P21" i="5"/>
  <c r="P27" i="5"/>
  <c r="P22" i="5"/>
  <c r="P121" i="5"/>
  <c r="P28" i="5"/>
  <c r="P106" i="5"/>
  <c r="P122" i="5"/>
  <c r="P38" i="5"/>
  <c r="P26" i="5"/>
  <c r="P86" i="5"/>
  <c r="P82" i="5"/>
  <c r="P94" i="5"/>
  <c r="P30" i="5"/>
  <c r="P70" i="5"/>
  <c r="P34" i="5"/>
  <c r="P26" i="8"/>
  <c r="P10" i="8"/>
  <c r="P14" i="8"/>
  <c r="P22" i="8"/>
  <c r="P11" i="8"/>
  <c r="P23" i="8"/>
  <c r="P13" i="8"/>
  <c r="P19" i="8"/>
  <c r="Q8" i="8" l="1"/>
  <c r="Q9" i="8"/>
  <c r="Q17" i="8"/>
  <c r="Q25" i="8"/>
  <c r="Q16" i="8"/>
  <c r="Q24" i="8"/>
  <c r="Q19" i="8"/>
  <c r="Q20" i="8"/>
  <c r="Q21" i="8"/>
  <c r="Q22" i="8"/>
  <c r="Q12" i="8"/>
  <c r="Q14" i="8"/>
  <c r="Q5" i="5"/>
  <c r="Q13" i="5"/>
  <c r="Q53" i="5"/>
  <c r="Q61" i="5"/>
  <c r="Q130" i="5"/>
  <c r="Q127" i="5"/>
  <c r="Q58" i="5"/>
  <c r="Q71" i="5"/>
  <c r="Q88" i="5"/>
  <c r="Q100" i="5"/>
  <c r="Q7" i="5"/>
  <c r="Q12" i="5"/>
  <c r="Q45" i="5"/>
  <c r="Q54" i="5"/>
  <c r="Q59" i="5"/>
  <c r="Q72" i="5"/>
  <c r="Q75" i="5"/>
  <c r="Q95" i="5"/>
  <c r="Q101" i="5"/>
  <c r="Q115" i="5"/>
  <c r="Q128" i="5"/>
  <c r="Q6" i="5"/>
  <c r="Q44" i="5"/>
  <c r="Q118" i="5"/>
  <c r="R1" i="5"/>
  <c r="Q129" i="5"/>
  <c r="Q3" i="5"/>
  <c r="Q4" i="5"/>
  <c r="Q14" i="5"/>
  <c r="Q43" i="5"/>
  <c r="Q56" i="5"/>
  <c r="Q57" i="5"/>
  <c r="Q102" i="5"/>
  <c r="Q113" i="5"/>
  <c r="Q125" i="5"/>
  <c r="Q74" i="5"/>
  <c r="Q76" i="5"/>
  <c r="Q78" i="5"/>
  <c r="Q111" i="5"/>
  <c r="Q123" i="5"/>
  <c r="Q73" i="5"/>
  <c r="Q116" i="5"/>
  <c r="Q11" i="5"/>
  <c r="Q77" i="5"/>
  <c r="Q87" i="5"/>
  <c r="Q89" i="5"/>
  <c r="Q126" i="5"/>
  <c r="Q9" i="5"/>
  <c r="Q52" i="5"/>
  <c r="Q60" i="5"/>
  <c r="Q124" i="5"/>
  <c r="Q46" i="5"/>
  <c r="Q97" i="5"/>
  <c r="Q99" i="5"/>
  <c r="Q112" i="5"/>
  <c r="Q55" i="5"/>
  <c r="Q90" i="5"/>
  <c r="Q98" i="5"/>
  <c r="Q114" i="5"/>
  <c r="Q8" i="5"/>
  <c r="Q10" i="5"/>
  <c r="Q51" i="5"/>
  <c r="Q62" i="5"/>
  <c r="Q96" i="5"/>
  <c r="Q117" i="5"/>
  <c r="Q50" i="5"/>
  <c r="Q49" i="5"/>
  <c r="Q67" i="5"/>
  <c r="Q83" i="5"/>
  <c r="Q48" i="5"/>
  <c r="Q63" i="5"/>
  <c r="Q79" i="5"/>
  <c r="Q119" i="5"/>
  <c r="Q31" i="5"/>
  <c r="Q35" i="5"/>
  <c r="Q103" i="5"/>
  <c r="Q47" i="5"/>
  <c r="Q64" i="5"/>
  <c r="Q36" i="5"/>
  <c r="Q104" i="5"/>
  <c r="Q40" i="5"/>
  <c r="Q80" i="5"/>
  <c r="Q32" i="5"/>
  <c r="Q110" i="5"/>
  <c r="Q107" i="5"/>
  <c r="Q23" i="5"/>
  <c r="Q68" i="5"/>
  <c r="Q41" i="5"/>
  <c r="Q120" i="5"/>
  <c r="Q108" i="5"/>
  <c r="Q84" i="5"/>
  <c r="Q92" i="5"/>
  <c r="Q39" i="5"/>
  <c r="Q109" i="5"/>
  <c r="Q91" i="5"/>
  <c r="Q24" i="5"/>
  <c r="Q65" i="5"/>
  <c r="Q42" i="5"/>
  <c r="Q19" i="5"/>
  <c r="Q29" i="5"/>
  <c r="Q17" i="5"/>
  <c r="Q81" i="5"/>
  <c r="Q66" i="5"/>
  <c r="Q93" i="5"/>
  <c r="Q21" i="5"/>
  <c r="Q20" i="5"/>
  <c r="Q22" i="5"/>
  <c r="Q25" i="5"/>
  <c r="Q121" i="5"/>
  <c r="Q105" i="5"/>
  <c r="Q28" i="5"/>
  <c r="Q85" i="5"/>
  <c r="Q37" i="5"/>
  <c r="Q16" i="5"/>
  <c r="Q15" i="5"/>
  <c r="Q69" i="5"/>
  <c r="Q27" i="5"/>
  <c r="Q33" i="5"/>
  <c r="Q18" i="5"/>
  <c r="Q94" i="5"/>
  <c r="Q30" i="5"/>
  <c r="Q106" i="5"/>
  <c r="Q86" i="5"/>
  <c r="Q70" i="5"/>
  <c r="Q82" i="5"/>
  <c r="Q38" i="5"/>
  <c r="Q34" i="5"/>
  <c r="Q122" i="5"/>
  <c r="Q26" i="5"/>
  <c r="Q15" i="8"/>
  <c r="Q18" i="8"/>
  <c r="Q11" i="8"/>
  <c r="Q10" i="8"/>
  <c r="Q13" i="8"/>
  <c r="Q23" i="8"/>
  <c r="Q26" i="8"/>
  <c r="R8" i="8" l="1"/>
  <c r="R21" i="8"/>
  <c r="R17" i="8"/>
  <c r="R24" i="8"/>
  <c r="R25" i="8"/>
  <c r="R16" i="8"/>
  <c r="R9" i="8"/>
  <c r="R18" i="8"/>
  <c r="R20" i="8"/>
  <c r="R14" i="8"/>
  <c r="R12" i="8"/>
  <c r="R11" i="8"/>
  <c r="R10" i="8"/>
  <c r="R15" i="8"/>
  <c r="R19" i="8"/>
  <c r="R26" i="8"/>
  <c r="R128" i="5"/>
  <c r="R10" i="5"/>
  <c r="R46" i="5"/>
  <c r="R58" i="5"/>
  <c r="R129" i="5"/>
  <c r="R6" i="5"/>
  <c r="R11" i="5"/>
  <c r="R44" i="5"/>
  <c r="R53" i="5"/>
  <c r="R77" i="5"/>
  <c r="R97" i="5"/>
  <c r="R130" i="5"/>
  <c r="R127" i="5"/>
  <c r="R71" i="5"/>
  <c r="R88" i="5"/>
  <c r="R100" i="5"/>
  <c r="R7" i="5"/>
  <c r="R45" i="5"/>
  <c r="R59" i="5"/>
  <c r="R60" i="5"/>
  <c r="R99" i="5"/>
  <c r="R112" i="5"/>
  <c r="R124" i="5"/>
  <c r="R101" i="5"/>
  <c r="R115" i="5"/>
  <c r="S1" i="5"/>
  <c r="R5" i="5"/>
  <c r="R118" i="5"/>
  <c r="R12" i="5"/>
  <c r="R54" i="5"/>
  <c r="R55" i="5"/>
  <c r="R72" i="5"/>
  <c r="R73" i="5"/>
  <c r="R75" i="5"/>
  <c r="R116" i="5"/>
  <c r="R4" i="5"/>
  <c r="R13" i="5"/>
  <c r="R43" i="5"/>
  <c r="R56" i="5"/>
  <c r="R102" i="5"/>
  <c r="R113" i="5"/>
  <c r="R123" i="5"/>
  <c r="R87" i="5"/>
  <c r="R89" i="5"/>
  <c r="R95" i="5"/>
  <c r="R126" i="5"/>
  <c r="R8" i="5"/>
  <c r="R51" i="5"/>
  <c r="R90" i="5"/>
  <c r="R98" i="5"/>
  <c r="R117" i="5"/>
  <c r="R9" i="5"/>
  <c r="R52" i="5"/>
  <c r="R61" i="5"/>
  <c r="R3" i="5"/>
  <c r="R14" i="5"/>
  <c r="R57" i="5"/>
  <c r="R125" i="5"/>
  <c r="R74" i="5"/>
  <c r="R76" i="5"/>
  <c r="R78" i="5"/>
  <c r="R111" i="5"/>
  <c r="R114" i="5"/>
  <c r="R62" i="5"/>
  <c r="R96" i="5"/>
  <c r="R50" i="5"/>
  <c r="R31" i="5"/>
  <c r="R35" i="5"/>
  <c r="R119" i="5"/>
  <c r="R83" i="5"/>
  <c r="R79" i="5"/>
  <c r="R49" i="5"/>
  <c r="R103" i="5"/>
  <c r="R47" i="5"/>
  <c r="R48" i="5"/>
  <c r="R63" i="5"/>
  <c r="R67" i="5"/>
  <c r="R80" i="5"/>
  <c r="R40" i="5"/>
  <c r="R109" i="5"/>
  <c r="R68" i="5"/>
  <c r="R84" i="5"/>
  <c r="R110" i="5"/>
  <c r="R65" i="5"/>
  <c r="R91" i="5"/>
  <c r="R23" i="5"/>
  <c r="R120" i="5"/>
  <c r="R107" i="5"/>
  <c r="R39" i="5"/>
  <c r="R32" i="5"/>
  <c r="R104" i="5"/>
  <c r="R64" i="5"/>
  <c r="R36" i="5"/>
  <c r="R108" i="5"/>
  <c r="R24" i="5"/>
  <c r="R92" i="5"/>
  <c r="R41" i="5"/>
  <c r="R42" i="5"/>
  <c r="R93" i="5"/>
  <c r="R22" i="5"/>
  <c r="R37" i="5"/>
  <c r="R85" i="5"/>
  <c r="R18" i="5"/>
  <c r="R121" i="5"/>
  <c r="R28" i="5"/>
  <c r="R15" i="5"/>
  <c r="R20" i="5"/>
  <c r="R29" i="5"/>
  <c r="R105" i="5"/>
  <c r="R69" i="5"/>
  <c r="R19" i="5"/>
  <c r="R25" i="5"/>
  <c r="R66" i="5"/>
  <c r="R17" i="5"/>
  <c r="R33" i="5"/>
  <c r="R27" i="5"/>
  <c r="R16" i="5"/>
  <c r="R81" i="5"/>
  <c r="R21" i="5"/>
  <c r="R122" i="5"/>
  <c r="R82" i="5"/>
  <c r="R30" i="5"/>
  <c r="R94" i="5"/>
  <c r="R26" i="5"/>
  <c r="R34" i="5"/>
  <c r="R86" i="5"/>
  <c r="R38" i="5"/>
  <c r="R70" i="5"/>
  <c r="R106" i="5"/>
  <c r="R22" i="8"/>
  <c r="R13" i="8"/>
  <c r="R23" i="8"/>
  <c r="S16" i="8" l="1"/>
  <c r="S25" i="8"/>
  <c r="S18" i="8"/>
  <c r="S21" i="8"/>
  <c r="S8" i="8"/>
  <c r="S17" i="8"/>
  <c r="S20" i="8"/>
  <c r="S24" i="8"/>
  <c r="S9" i="8"/>
  <c r="S15" i="8"/>
  <c r="T1" i="5"/>
  <c r="S127" i="5"/>
  <c r="S7" i="5"/>
  <c r="S43" i="5"/>
  <c r="S55" i="5"/>
  <c r="S71" i="5"/>
  <c r="S129" i="5"/>
  <c r="S52" i="5"/>
  <c r="S57" i="5"/>
  <c r="S62" i="5"/>
  <c r="S74" i="5"/>
  <c r="S90" i="5"/>
  <c r="S102" i="5"/>
  <c r="S6" i="5"/>
  <c r="S11" i="5"/>
  <c r="S44" i="5"/>
  <c r="S53" i="5"/>
  <c r="S58" i="5"/>
  <c r="S77" i="5"/>
  <c r="S97" i="5"/>
  <c r="S8" i="5"/>
  <c r="S9" i="5"/>
  <c r="S46" i="5"/>
  <c r="S51" i="5"/>
  <c r="S61" i="5"/>
  <c r="S96" i="5"/>
  <c r="S98" i="5"/>
  <c r="S100" i="5"/>
  <c r="S117" i="5"/>
  <c r="S130" i="5"/>
  <c r="S45" i="5"/>
  <c r="S59" i="5"/>
  <c r="S60" i="5"/>
  <c r="S99" i="5"/>
  <c r="S112" i="5"/>
  <c r="S124" i="5"/>
  <c r="S128" i="5"/>
  <c r="S101" i="5"/>
  <c r="S115" i="5"/>
  <c r="S3" i="5"/>
  <c r="S4" i="5"/>
  <c r="S13" i="5"/>
  <c r="S14" i="5"/>
  <c r="S56" i="5"/>
  <c r="S113" i="5"/>
  <c r="S125" i="5"/>
  <c r="S54" i="5"/>
  <c r="S73" i="5"/>
  <c r="S75" i="5"/>
  <c r="S116" i="5"/>
  <c r="S123" i="5"/>
  <c r="S10" i="5"/>
  <c r="S114" i="5"/>
  <c r="S87" i="5"/>
  <c r="S89" i="5"/>
  <c r="S95" i="5"/>
  <c r="S126" i="5"/>
  <c r="S5" i="5"/>
  <c r="S118" i="5"/>
  <c r="S78" i="5"/>
  <c r="S12" i="5"/>
  <c r="S72" i="5"/>
  <c r="S76" i="5"/>
  <c r="S88" i="5"/>
  <c r="S111" i="5"/>
  <c r="S103" i="5"/>
  <c r="S49" i="5"/>
  <c r="S119" i="5"/>
  <c r="S67" i="5"/>
  <c r="S63" i="5"/>
  <c r="S50" i="5"/>
  <c r="S79" i="5"/>
  <c r="S35" i="5"/>
  <c r="S47" i="5"/>
  <c r="S48" i="5"/>
  <c r="S31" i="5"/>
  <c r="S83" i="5"/>
  <c r="S108" i="5"/>
  <c r="S107" i="5"/>
  <c r="S41" i="5"/>
  <c r="S92" i="5"/>
  <c r="S104" i="5"/>
  <c r="S120" i="5"/>
  <c r="S110" i="5"/>
  <c r="S109" i="5"/>
  <c r="S39" i="5"/>
  <c r="S80" i="5"/>
  <c r="S91" i="5"/>
  <c r="S32" i="5"/>
  <c r="S36" i="5"/>
  <c r="S23" i="5"/>
  <c r="S84" i="5"/>
  <c r="S40" i="5"/>
  <c r="S42" i="5"/>
  <c r="S64" i="5"/>
  <c r="S68" i="5"/>
  <c r="S24" i="5"/>
  <c r="S65" i="5"/>
  <c r="S16" i="5"/>
  <c r="S27" i="5"/>
  <c r="S85" i="5"/>
  <c r="S21" i="5"/>
  <c r="S93" i="5"/>
  <c r="S25" i="5"/>
  <c r="S20" i="5"/>
  <c r="S22" i="5"/>
  <c r="S29" i="5"/>
  <c r="S15" i="5"/>
  <c r="S105" i="5"/>
  <c r="S18" i="5"/>
  <c r="S69" i="5"/>
  <c r="S19" i="5"/>
  <c r="S81" i="5"/>
  <c r="S37" i="5"/>
  <c r="S28" i="5"/>
  <c r="S33" i="5"/>
  <c r="S121" i="5"/>
  <c r="S66" i="5"/>
  <c r="S17" i="5"/>
  <c r="S106" i="5"/>
  <c r="S122" i="5"/>
  <c r="S70" i="5"/>
  <c r="S82" i="5"/>
  <c r="S34" i="5"/>
  <c r="S38" i="5"/>
  <c r="S26" i="5"/>
  <c r="S30" i="5"/>
  <c r="S94" i="5"/>
  <c r="S86" i="5"/>
  <c r="S13" i="8"/>
  <c r="S10" i="8"/>
  <c r="S11" i="8"/>
  <c r="S22" i="8"/>
  <c r="S19" i="8"/>
  <c r="S14" i="8"/>
  <c r="S23" i="8"/>
  <c r="S12" i="8"/>
  <c r="S26" i="8"/>
  <c r="T25" i="8" l="1"/>
  <c r="T21" i="8"/>
  <c r="T17" i="8"/>
  <c r="T16" i="8"/>
  <c r="T24" i="8"/>
  <c r="T9" i="8"/>
  <c r="T8" i="8"/>
  <c r="T19" i="8"/>
  <c r="T13" i="8"/>
  <c r="T20" i="8"/>
  <c r="T18" i="8"/>
  <c r="T26" i="8"/>
  <c r="T23" i="8"/>
  <c r="T14" i="8"/>
  <c r="T12" i="8"/>
  <c r="T11" i="8"/>
  <c r="T15" i="8"/>
  <c r="T10" i="8"/>
  <c r="T22" i="8"/>
  <c r="T4" i="5"/>
  <c r="T12" i="5"/>
  <c r="T52" i="5"/>
  <c r="T60" i="5"/>
  <c r="T5" i="5"/>
  <c r="T10" i="5"/>
  <c r="T43" i="5"/>
  <c r="T87" i="5"/>
  <c r="T99" i="5"/>
  <c r="T129" i="5"/>
  <c r="T57" i="5"/>
  <c r="T62" i="5"/>
  <c r="T74" i="5"/>
  <c r="T90" i="5"/>
  <c r="T89" i="5"/>
  <c r="T95" i="5"/>
  <c r="T97" i="5"/>
  <c r="T114" i="5"/>
  <c r="T126" i="5"/>
  <c r="T7" i="5"/>
  <c r="T8" i="5"/>
  <c r="T9" i="5"/>
  <c r="T46" i="5"/>
  <c r="T51" i="5"/>
  <c r="T61" i="5"/>
  <c r="T96" i="5"/>
  <c r="T98" i="5"/>
  <c r="T100" i="5"/>
  <c r="T117" i="5"/>
  <c r="T130" i="5"/>
  <c r="T6" i="5"/>
  <c r="T44" i="5"/>
  <c r="T45" i="5"/>
  <c r="T58" i="5"/>
  <c r="T59" i="5"/>
  <c r="T112" i="5"/>
  <c r="T124" i="5"/>
  <c r="T127" i="5"/>
  <c r="T102" i="5"/>
  <c r="T118" i="5"/>
  <c r="T13" i="5"/>
  <c r="T56" i="5"/>
  <c r="T113" i="5"/>
  <c r="T11" i="5"/>
  <c r="T54" i="5"/>
  <c r="T71" i="5"/>
  <c r="T73" i="5"/>
  <c r="T75" i="5"/>
  <c r="T77" i="5"/>
  <c r="T116" i="5"/>
  <c r="T78" i="5"/>
  <c r="T111" i="5"/>
  <c r="T128" i="5"/>
  <c r="T123" i="5"/>
  <c r="T101" i="5"/>
  <c r="T115" i="5"/>
  <c r="T72" i="5"/>
  <c r="T3" i="5"/>
  <c r="T14" i="5"/>
  <c r="T55" i="5"/>
  <c r="T125" i="5"/>
  <c r="T53" i="5"/>
  <c r="T76" i="5"/>
  <c r="T88" i="5"/>
  <c r="T63" i="5"/>
  <c r="T47" i="5"/>
  <c r="T49" i="5"/>
  <c r="T119" i="5"/>
  <c r="T67" i="5"/>
  <c r="T103" i="5"/>
  <c r="T79" i="5"/>
  <c r="T83" i="5"/>
  <c r="T35" i="5"/>
  <c r="T48" i="5"/>
  <c r="T50" i="5"/>
  <c r="T31" i="5"/>
  <c r="T68" i="5"/>
  <c r="T42" i="5"/>
  <c r="T39" i="5"/>
  <c r="T110" i="5"/>
  <c r="T120" i="5"/>
  <c r="T91" i="5"/>
  <c r="T65" i="5"/>
  <c r="T104" i="5"/>
  <c r="T24" i="5"/>
  <c r="T32" i="5"/>
  <c r="T107" i="5"/>
  <c r="T108" i="5"/>
  <c r="T36" i="5"/>
  <c r="T92" i="5"/>
  <c r="T80" i="5"/>
  <c r="T84" i="5"/>
  <c r="T40" i="5"/>
  <c r="T41" i="5"/>
  <c r="T23" i="5"/>
  <c r="T109" i="5"/>
  <c r="T64" i="5"/>
  <c r="T20" i="5"/>
  <c r="T19" i="5"/>
  <c r="T29" i="5"/>
  <c r="T18" i="5"/>
  <c r="T25" i="5"/>
  <c r="T28" i="5"/>
  <c r="T33" i="5"/>
  <c r="T21" i="5"/>
  <c r="T85" i="5"/>
  <c r="T15" i="5"/>
  <c r="T69" i="5"/>
  <c r="T17" i="5"/>
  <c r="T93" i="5"/>
  <c r="T22" i="5"/>
  <c r="T105" i="5"/>
  <c r="T37" i="5"/>
  <c r="T81" i="5"/>
  <c r="T66" i="5"/>
  <c r="T27" i="5"/>
  <c r="T16" i="5"/>
  <c r="T121" i="5"/>
  <c r="T106" i="5"/>
  <c r="T86" i="5"/>
  <c r="T70" i="5"/>
  <c r="T26" i="5"/>
  <c r="T38" i="5"/>
  <c r="T30" i="5"/>
  <c r="T82" i="5"/>
  <c r="T34" i="5"/>
  <c r="T122" i="5"/>
  <c r="T94" i="5"/>
  <c r="U16" i="8" l="1"/>
  <c r="U24" i="8"/>
  <c r="U25" i="8"/>
  <c r="U17" i="8"/>
  <c r="U20" i="8"/>
  <c r="U8" i="8"/>
  <c r="U21" i="8"/>
  <c r="U9" i="8"/>
  <c r="U19" i="8"/>
  <c r="U18" i="8"/>
  <c r="U23" i="8"/>
  <c r="U13" i="8"/>
  <c r="U12" i="8"/>
  <c r="U11" i="8"/>
  <c r="U22" i="8"/>
  <c r="U15" i="8"/>
  <c r="U10" i="8"/>
  <c r="U26" i="8"/>
  <c r="U14" i="8"/>
</calcChain>
</file>

<file path=xl/sharedStrings.xml><?xml version="1.0" encoding="utf-8"?>
<sst xmlns="http://schemas.openxmlformats.org/spreadsheetml/2006/main" count="15111" uniqueCount="897">
  <si>
    <t>申請種別</t>
  </si>
  <si>
    <t>ステータス</t>
  </si>
  <si>
    <t>届出事由</t>
  </si>
  <si>
    <t>届出事由区分</t>
  </si>
  <si>
    <t>扶養手当</t>
  </si>
  <si>
    <t>共済</t>
  </si>
  <si>
    <t>税控除</t>
  </si>
  <si>
    <t>給与口座</t>
  </si>
  <si>
    <t>確認待ち</t>
  </si>
  <si>
    <t>NULL</t>
  </si>
  <si>
    <t>ＯＰ確認中</t>
  </si>
  <si>
    <t>ＳＶ確認中</t>
  </si>
  <si>
    <t>確認済</t>
  </si>
  <si>
    <t>児童（認定）</t>
  </si>
  <si>
    <t>児童（改定）</t>
  </si>
  <si>
    <t>申請受付</t>
  </si>
  <si>
    <t>住居</t>
  </si>
  <si>
    <t>通勤</t>
  </si>
  <si>
    <t>扶養</t>
  </si>
  <si>
    <t>その他</t>
  </si>
  <si>
    <t>増</t>
  </si>
  <si>
    <t>収入限度額以下</t>
  </si>
  <si>
    <t>収入限度額以上</t>
  </si>
  <si>
    <t>減</t>
  </si>
  <si>
    <t>扶養親族の就職</t>
  </si>
  <si>
    <t>扶養親族の同別居変更</t>
  </si>
  <si>
    <t>扶養親族の退職</t>
  </si>
  <si>
    <t>扶養者の変更</t>
  </si>
  <si>
    <t>出生</t>
  </si>
  <si>
    <t>復職</t>
  </si>
  <si>
    <t>離婚</t>
  </si>
  <si>
    <t>本人の結婚</t>
  </si>
  <si>
    <t>別居</t>
  </si>
  <si>
    <t>育休</t>
  </si>
  <si>
    <t>死亡</t>
  </si>
  <si>
    <t>税控除変更</t>
  </si>
  <si>
    <t>雇用保険受給終了</t>
  </si>
  <si>
    <t>障害程度の変更</t>
  </si>
  <si>
    <t>開業</t>
  </si>
  <si>
    <t>養子縁組</t>
  </si>
  <si>
    <t>扶養親族の離婚</t>
  </si>
  <si>
    <t>申請日</t>
  </si>
  <si>
    <t>共済ありフラグ</t>
    <rPh sb="0" eb="2">
      <t>キョウサイ</t>
    </rPh>
    <phoneticPr fontId="1"/>
  </si>
  <si>
    <t>扶養ありフラグ</t>
    <rPh sb="0" eb="2">
      <t>フヨウ</t>
    </rPh>
    <phoneticPr fontId="1"/>
  </si>
  <si>
    <t>税のみフラグ</t>
    <rPh sb="0" eb="1">
      <t>ゼイ</t>
    </rPh>
    <phoneticPr fontId="1"/>
  </si>
  <si>
    <t>本人税のみフラグ</t>
    <rPh sb="0" eb="3">
      <t>ホンニンゼイ</t>
    </rPh>
    <phoneticPr fontId="1"/>
  </si>
  <si>
    <t>案件状況</t>
  </si>
  <si>
    <t>添付待ち</t>
  </si>
  <si>
    <t>オペレータ保留</t>
  </si>
  <si>
    <t>発信依頼中</t>
  </si>
  <si>
    <t>保留中</t>
  </si>
  <si>
    <t>データ送付待ち</t>
  </si>
  <si>
    <t>住民票待ち</t>
  </si>
  <si>
    <t>確認票回答待ち</t>
  </si>
  <si>
    <t>①特別対応</t>
  </si>
  <si>
    <t>増</t>
    <rPh sb="0" eb="1">
      <t>ゾウ</t>
    </rPh>
    <phoneticPr fontId="1"/>
  </si>
  <si>
    <t>出生</t>
    <rPh sb="0" eb="2">
      <t>シュッショウ</t>
    </rPh>
    <phoneticPr fontId="1"/>
  </si>
  <si>
    <t>扶養親族の退職</t>
    <rPh sb="0" eb="4">
      <t>フヨウシンゾク</t>
    </rPh>
    <rPh sb="5" eb="7">
      <t>タイショク</t>
    </rPh>
    <phoneticPr fontId="1"/>
  </si>
  <si>
    <t>雇用保険受給終了</t>
    <rPh sb="0" eb="8">
      <t>コヨウホケンジュキュウシュウリョウ</t>
    </rPh>
    <phoneticPr fontId="1"/>
  </si>
  <si>
    <t>育休</t>
    <rPh sb="0" eb="2">
      <t>イクキュウ</t>
    </rPh>
    <phoneticPr fontId="1"/>
  </si>
  <si>
    <t>扶養者の変更</t>
    <rPh sb="0" eb="3">
      <t>フヨウシャ</t>
    </rPh>
    <rPh sb="4" eb="6">
      <t>ヘンコウ</t>
    </rPh>
    <phoneticPr fontId="1"/>
  </si>
  <si>
    <t>収入限度額以下</t>
    <rPh sb="0" eb="7">
      <t>シュウニュウゲンドガクイカ</t>
    </rPh>
    <phoneticPr fontId="1"/>
  </si>
  <si>
    <t>障害程度の変更</t>
    <rPh sb="0" eb="4">
      <t>ショウガイテイド</t>
    </rPh>
    <rPh sb="5" eb="7">
      <t>ヘンコウ</t>
    </rPh>
    <phoneticPr fontId="1"/>
  </si>
  <si>
    <t>養子縁組</t>
    <rPh sb="0" eb="4">
      <t>ヨウシエングミ</t>
    </rPh>
    <phoneticPr fontId="1"/>
  </si>
  <si>
    <t>扶養親族の同別居変更</t>
    <rPh sb="0" eb="4">
      <t>フヨウシンゾク</t>
    </rPh>
    <rPh sb="5" eb="10">
      <t>ドウベッキョヘンコウ</t>
    </rPh>
    <phoneticPr fontId="1"/>
  </si>
  <si>
    <t>同居</t>
    <rPh sb="0" eb="2">
      <t>ドウキョ</t>
    </rPh>
    <phoneticPr fontId="1"/>
  </si>
  <si>
    <t>扶養親族の離婚</t>
    <rPh sb="0" eb="4">
      <t>フヨウシンゾク</t>
    </rPh>
    <rPh sb="5" eb="7">
      <t>リコン</t>
    </rPh>
    <phoneticPr fontId="1"/>
  </si>
  <si>
    <t>廃業</t>
    <rPh sb="0" eb="2">
      <t>ハイギョウ</t>
    </rPh>
    <phoneticPr fontId="1"/>
  </si>
  <si>
    <t>心身に著しい障害者</t>
    <rPh sb="0" eb="2">
      <t>シンシン</t>
    </rPh>
    <phoneticPr fontId="1"/>
  </si>
  <si>
    <t>その他</t>
    <rPh sb="2" eb="3">
      <t>タ</t>
    </rPh>
    <phoneticPr fontId="1"/>
  </si>
  <si>
    <t>共済あり</t>
    <rPh sb="0" eb="2">
      <t>キョウサイ</t>
    </rPh>
    <phoneticPr fontId="1"/>
  </si>
  <si>
    <t>扶養手当あり</t>
    <rPh sb="0" eb="4">
      <t>フヨウテアテ</t>
    </rPh>
    <phoneticPr fontId="1"/>
  </si>
  <si>
    <t>税控除のみ</t>
    <rPh sb="0" eb="3">
      <t>ゼイコウジョ</t>
    </rPh>
    <phoneticPr fontId="1"/>
  </si>
  <si>
    <t>本人税のみ</t>
    <rPh sb="0" eb="3">
      <t>ホンニンゼイ</t>
    </rPh>
    <phoneticPr fontId="1"/>
  </si>
  <si>
    <t>減</t>
    <rPh sb="0" eb="1">
      <t>ゲン</t>
    </rPh>
    <phoneticPr fontId="1"/>
  </si>
  <si>
    <t>離婚</t>
    <rPh sb="0" eb="2">
      <t>リコン</t>
    </rPh>
    <phoneticPr fontId="1"/>
  </si>
  <si>
    <t>事実婚の解消</t>
    <rPh sb="0" eb="3">
      <t>ジジツコン</t>
    </rPh>
    <rPh sb="4" eb="6">
      <t>カイショウ</t>
    </rPh>
    <phoneticPr fontId="1"/>
  </si>
  <si>
    <t>開業</t>
    <rPh sb="0" eb="2">
      <t>カイギョウ</t>
    </rPh>
    <phoneticPr fontId="1"/>
  </si>
  <si>
    <t>雇用保険受給開始</t>
    <rPh sb="0" eb="4">
      <t>コヨウホケン</t>
    </rPh>
    <rPh sb="4" eb="8">
      <t>ジュキュウカイシ</t>
    </rPh>
    <phoneticPr fontId="1"/>
  </si>
  <si>
    <t>②特別対応</t>
  </si>
  <si>
    <t>養子離縁</t>
    <rPh sb="0" eb="2">
      <t>ヨウシ</t>
    </rPh>
    <rPh sb="2" eb="4">
      <t>リエン</t>
    </rPh>
    <phoneticPr fontId="1"/>
  </si>
  <si>
    <t>別居</t>
    <rPh sb="0" eb="2">
      <t>ベッキョ</t>
    </rPh>
    <phoneticPr fontId="1"/>
  </si>
  <si>
    <t>扶養親族の結婚</t>
    <rPh sb="0" eb="4">
      <t>フヨウシンゾク</t>
    </rPh>
    <rPh sb="5" eb="7">
      <t>ケッコン</t>
    </rPh>
    <phoneticPr fontId="1"/>
  </si>
  <si>
    <t>年金支給に係る変更</t>
    <rPh sb="0" eb="4">
      <t>ネンキンシキュウ</t>
    </rPh>
    <rPh sb="5" eb="6">
      <t>カカ</t>
    </rPh>
    <rPh sb="7" eb="9">
      <t>ヘンコウ</t>
    </rPh>
    <phoneticPr fontId="1"/>
  </si>
  <si>
    <t>死亡</t>
    <rPh sb="0" eb="2">
      <t>シボウ</t>
    </rPh>
    <phoneticPr fontId="1"/>
  </si>
  <si>
    <t>扶養親族の就職</t>
    <rPh sb="0" eb="4">
      <t>フヨウシンゾク</t>
    </rPh>
    <rPh sb="5" eb="7">
      <t>シュウショク</t>
    </rPh>
    <phoneticPr fontId="1"/>
  </si>
  <si>
    <t>収入限度額以上</t>
    <rPh sb="0" eb="5">
      <t>シュウニュウゲンドガク</t>
    </rPh>
    <rPh sb="5" eb="7">
      <t>イジョウ</t>
    </rPh>
    <phoneticPr fontId="1"/>
  </si>
  <si>
    <t>復職</t>
    <rPh sb="0" eb="2">
      <t>フクショク</t>
    </rPh>
    <phoneticPr fontId="1"/>
  </si>
  <si>
    <t>税控除変更</t>
    <rPh sb="0" eb="3">
      <t>ゼイコウジョ</t>
    </rPh>
    <rPh sb="3" eb="5">
      <t>ヘンコウ</t>
    </rPh>
    <phoneticPr fontId="1"/>
  </si>
  <si>
    <t>個人番号変更</t>
    <rPh sb="0" eb="4">
      <t>コジンバンゴウ</t>
    </rPh>
    <rPh sb="4" eb="6">
      <t>ヘンコウ</t>
    </rPh>
    <phoneticPr fontId="1"/>
  </si>
  <si>
    <t>児童（改定）</t>
    <rPh sb="3" eb="5">
      <t>カイテイ</t>
    </rPh>
    <phoneticPr fontId="1"/>
  </si>
  <si>
    <t>申請種別</t>
    <rPh sb="0" eb="4">
      <t>シンセイシュベツ</t>
    </rPh>
    <phoneticPr fontId="1"/>
  </si>
  <si>
    <t>届出事由</t>
    <rPh sb="0" eb="4">
      <t>トドケデジユウ</t>
    </rPh>
    <phoneticPr fontId="1"/>
  </si>
  <si>
    <t>出生以外</t>
    <rPh sb="0" eb="2">
      <t>シュッショウ</t>
    </rPh>
    <rPh sb="2" eb="4">
      <t>イガイ</t>
    </rPh>
    <phoneticPr fontId="1"/>
  </si>
  <si>
    <t>児童手当</t>
    <rPh sb="0" eb="4">
      <t>ジドウテアテ</t>
    </rPh>
    <phoneticPr fontId="1"/>
  </si>
  <si>
    <t>離婚
雇用保険受給開始
事実婚の解消
開業</t>
    <rPh sb="0" eb="2">
      <t>リコン</t>
    </rPh>
    <rPh sb="3" eb="11">
      <t>コヨウホケンジュキュウカイシ</t>
    </rPh>
    <rPh sb="12" eb="15">
      <t>ジジツコン</t>
    </rPh>
    <rPh sb="16" eb="18">
      <t>カイショウ</t>
    </rPh>
    <rPh sb="19" eb="21">
      <t>カイギョウ</t>
    </rPh>
    <phoneticPr fontId="1"/>
  </si>
  <si>
    <t>扶養者の変更
養子離縁
別居
扶養親族の結婚
年金支給に係る変更</t>
    <rPh sb="0" eb="3">
      <t>フヨウシャ</t>
    </rPh>
    <rPh sb="4" eb="6">
      <t>ヘンコウ</t>
    </rPh>
    <rPh sb="7" eb="11">
      <t>ヨウシリエン</t>
    </rPh>
    <rPh sb="12" eb="14">
      <t>ベッキョ</t>
    </rPh>
    <rPh sb="15" eb="19">
      <t>フヨウシンゾク</t>
    </rPh>
    <rPh sb="20" eb="22">
      <t>ケッコン</t>
    </rPh>
    <rPh sb="23" eb="27">
      <t>ネンキンシキュウ</t>
    </rPh>
    <rPh sb="28" eb="29">
      <t>カカ</t>
    </rPh>
    <rPh sb="30" eb="32">
      <t>ヘンコウ</t>
    </rPh>
    <phoneticPr fontId="1"/>
  </si>
  <si>
    <t>死亡
扶養親族の就職
収入限度額以上</t>
    <rPh sb="0" eb="2">
      <t>シボウ</t>
    </rPh>
    <rPh sb="3" eb="7">
      <t>フヨウシンゾク</t>
    </rPh>
    <rPh sb="8" eb="10">
      <t>シュウショク</t>
    </rPh>
    <rPh sb="11" eb="18">
      <t>シュウニュウゲンドガクイジョウ</t>
    </rPh>
    <phoneticPr fontId="1"/>
  </si>
  <si>
    <t>復職
障害程度の変更</t>
    <rPh sb="0" eb="2">
      <t>フクショク</t>
    </rPh>
    <rPh sb="3" eb="7">
      <t>ショウガイテイド</t>
    </rPh>
    <rPh sb="8" eb="10">
      <t>ヘンコウ</t>
    </rPh>
    <phoneticPr fontId="1"/>
  </si>
  <si>
    <t>申請職員番号</t>
  </si>
  <si>
    <t>水道局　　→　　市長部局</t>
    <rPh sb="0" eb="2">
      <t>スイドウ</t>
    </rPh>
    <rPh sb="2" eb="3">
      <t>キョク</t>
    </rPh>
    <rPh sb="8" eb="10">
      <t>シチョウ</t>
    </rPh>
    <rPh sb="10" eb="12">
      <t>ブキョク</t>
    </rPh>
    <phoneticPr fontId="3"/>
  </si>
  <si>
    <t>水道局</t>
    <rPh sb="0" eb="3">
      <t>スイドウキョク</t>
    </rPh>
    <phoneticPr fontId="3"/>
  </si>
  <si>
    <t>職員番号</t>
    <rPh sb="0" eb="2">
      <t>ショクイン</t>
    </rPh>
    <rPh sb="2" eb="4">
      <t>バンゴウ</t>
    </rPh>
    <phoneticPr fontId="3"/>
  </si>
  <si>
    <t>新所属</t>
    <rPh sb="0" eb="1">
      <t>シン</t>
    </rPh>
    <rPh sb="1" eb="3">
      <t>ショゾク</t>
    </rPh>
    <phoneticPr fontId="3"/>
  </si>
  <si>
    <t>氏名</t>
    <rPh sb="0" eb="2">
      <t>シメイ</t>
    </rPh>
    <phoneticPr fontId="3"/>
  </si>
  <si>
    <t>カナ</t>
    <phoneticPr fontId="3"/>
  </si>
  <si>
    <t>職名</t>
    <rPh sb="0" eb="2">
      <t>ショクメイ</t>
    </rPh>
    <phoneticPr fontId="3"/>
  </si>
  <si>
    <t>職種</t>
    <rPh sb="0" eb="2">
      <t>ショクシュ</t>
    </rPh>
    <phoneticPr fontId="3"/>
  </si>
  <si>
    <t>総務局総務部管財課</t>
    <phoneticPr fontId="3"/>
  </si>
  <si>
    <t>水谷　光成</t>
  </si>
  <si>
    <t>ﾐｽﾞﾀﾆ ﾐﾂｼｹﾞ</t>
  </si>
  <si>
    <t>事務職員</t>
  </si>
  <si>
    <t>事務</t>
  </si>
  <si>
    <t>旭区総務部税務課</t>
    <phoneticPr fontId="4"/>
  </si>
  <si>
    <t>桑原　忍</t>
  </si>
  <si>
    <t>ｸﾜﾊﾞﾗ ｼﾉﾌﾞ</t>
  </si>
  <si>
    <t>中区総務部区政推進課</t>
    <phoneticPr fontId="3"/>
  </si>
  <si>
    <t>藤倉　真美</t>
  </si>
  <si>
    <t>ﾌｼﾞｸﾗ ﾏﾐ</t>
  </si>
  <si>
    <t>健康福祉局地域福祉保健部地域支援課</t>
    <phoneticPr fontId="3"/>
  </si>
  <si>
    <t>近藤　幸穂</t>
  </si>
  <si>
    <t>ｺﾝﾄﾞｳ ﾕｷﾎ</t>
  </si>
  <si>
    <t>にぎわいスポーツ文化局文化芸術創造都市推進部文化振興課</t>
    <phoneticPr fontId="3"/>
  </si>
  <si>
    <t>森　耕平</t>
  </si>
  <si>
    <t>ﾓﾘ ｺｳﾍｲ</t>
  </si>
  <si>
    <t>脱炭素・GREEN×EXPO推進局（２０２７年国際園芸博覧会協会派遣）</t>
    <phoneticPr fontId="3"/>
  </si>
  <si>
    <t>鶴岡　理央</t>
  </si>
  <si>
    <t>ﾂﾙｵｶ ﾘｵ</t>
  </si>
  <si>
    <t>鶴見区総務部税務課</t>
    <phoneticPr fontId="3"/>
  </si>
  <si>
    <t>新山　正憲</t>
  </si>
  <si>
    <t>ﾆｲﾔﾏ ﾏｻﾉﾘ</t>
  </si>
  <si>
    <t>旭区総務部地域振興課</t>
    <phoneticPr fontId="3"/>
  </si>
  <si>
    <t>小中　はつみ</t>
  </si>
  <si>
    <t>ｺﾅｶ ﾊﾂﾐ</t>
  </si>
  <si>
    <t>南区福祉保健センター福祉保健課</t>
    <phoneticPr fontId="3"/>
  </si>
  <si>
    <t>山田　輝香</t>
  </si>
  <si>
    <t>ﾔﾏﾀﾞ ﾋｶﾙ</t>
  </si>
  <si>
    <t>港北区福祉保健センター福祉保健課</t>
    <phoneticPr fontId="3"/>
  </si>
  <si>
    <t>川上　愛弓</t>
  </si>
  <si>
    <t>ｶﾜｶﾐ ｱﾕﾐ</t>
  </si>
  <si>
    <t>旭区福祉保健センター保険年金課</t>
    <phoneticPr fontId="3"/>
  </si>
  <si>
    <t>小倉　沙紀</t>
  </si>
  <si>
    <t>ｺｸﾗ ｻｷ</t>
  </si>
  <si>
    <t>港北区福祉保健センター高齢・障害支援課</t>
    <phoneticPr fontId="3"/>
  </si>
  <si>
    <t>齋藤　知果</t>
  </si>
  <si>
    <t>ｻｲﾄｳ ﾄﾓｶ</t>
  </si>
  <si>
    <t>神奈川区総務部総務課</t>
    <phoneticPr fontId="3"/>
  </si>
  <si>
    <t>福間　亮太</t>
  </si>
  <si>
    <t>ﾌｸﾏ ﾘﾖｳﾀ</t>
  </si>
  <si>
    <t>栄区総務部総務課</t>
    <phoneticPr fontId="3"/>
  </si>
  <si>
    <t>山本　匡輝</t>
  </si>
  <si>
    <t>ﾔﾏﾓﾄ ﾏｻｷ</t>
  </si>
  <si>
    <t>旭区総務部税務課</t>
    <phoneticPr fontId="3"/>
  </si>
  <si>
    <t>清野　陽香里</t>
  </si>
  <si>
    <t>ｷﾖﾉ ﾋｶﾘ</t>
  </si>
  <si>
    <t>港北区総務部戸籍課</t>
    <phoneticPr fontId="3"/>
  </si>
  <si>
    <t>小林　めい</t>
  </si>
  <si>
    <t>ｺﾊﾞﾔｼ ﾒｲ</t>
  </si>
  <si>
    <t>資源循環局適正処理計画部施設課</t>
    <phoneticPr fontId="3"/>
  </si>
  <si>
    <t>内山　英之</t>
  </si>
  <si>
    <t>ｳﾁﾔﾏ ﾋﾃﾞﾕｷ</t>
  </si>
  <si>
    <t>技術職員</t>
  </si>
  <si>
    <t>土木</t>
  </si>
  <si>
    <t>みどり環境局総務部地籍調査課</t>
    <phoneticPr fontId="3"/>
  </si>
  <si>
    <t>市毛　槇人</t>
  </si>
  <si>
    <t>ｲﾁｹﾞ ﾏｷﾄ</t>
  </si>
  <si>
    <t>保土ケ谷区保土ケ谷土木事務所</t>
    <phoneticPr fontId="3"/>
  </si>
  <si>
    <t>高畑　真夢</t>
  </si>
  <si>
    <t>ﾀｶﾊﾀ ﾏﾕ</t>
  </si>
  <si>
    <t>下水道河川局河川部河川流域整備課</t>
    <phoneticPr fontId="3"/>
  </si>
  <si>
    <t>河村　拓哉</t>
  </si>
  <si>
    <t>ｶﾜﾑﾗ ﾀｸﾔ</t>
  </si>
  <si>
    <t>道路・交通政策局建設部建設課</t>
    <phoneticPr fontId="3"/>
  </si>
  <si>
    <t>山崎　海</t>
  </si>
  <si>
    <t>ﾔﾏｻｷ ｶｲﾄ</t>
  </si>
  <si>
    <t>都筑区都筑土木事務所</t>
    <phoneticPr fontId="3"/>
  </si>
  <si>
    <t>横山　歩武</t>
  </si>
  <si>
    <t>ﾖｺﾔﾏ ｱﾕﾑ</t>
  </si>
  <si>
    <t>下水道河川局河川部河川流域管理課</t>
    <phoneticPr fontId="3"/>
  </si>
  <si>
    <t>上野　北斗</t>
  </si>
  <si>
    <t>ｳｴﾉ ﾎｸﾄ</t>
  </si>
  <si>
    <t>みどり環境局公園緑地部公園緑地事業課</t>
    <phoneticPr fontId="3"/>
  </si>
  <si>
    <t>三鍋　佳苗</t>
  </si>
  <si>
    <t>ﾐﾅﾍﾞ ｶﾅｴ</t>
  </si>
  <si>
    <t>鶴見区鶴見土木事務所</t>
    <phoneticPr fontId="3"/>
  </si>
  <si>
    <t>山部　伊織</t>
  </si>
  <si>
    <t>ﾔﾏﾍﾞ ｲｵﾘ</t>
  </si>
  <si>
    <t>小松　凌太朗</t>
  </si>
  <si>
    <t>ｺﾏﾂ ﾘﾖｳﾀﾛｳ</t>
  </si>
  <si>
    <t>朝比奈　優希</t>
  </si>
  <si>
    <t>ｱｻﾋﾅ ﾕｳｷ</t>
  </si>
  <si>
    <t>下水道河川局下水道管路部管路保全課</t>
    <phoneticPr fontId="3"/>
  </si>
  <si>
    <t>齊藤　音生</t>
  </si>
  <si>
    <t>ｻｲﾄｳ ﾈｵ</t>
  </si>
  <si>
    <t>中区中土木事務所</t>
    <phoneticPr fontId="3"/>
  </si>
  <si>
    <t>谷　優太朗</t>
  </si>
  <si>
    <t>ﾀﾆ ﾕｳﾀﾛｳ</t>
  </si>
  <si>
    <t>下水道河川局下水道管路部管路整備課</t>
    <phoneticPr fontId="3"/>
  </si>
  <si>
    <t>藤田　萌実</t>
  </si>
  <si>
    <t>ﾌｼﾞﾀ ﾒｸﾞﾐ</t>
  </si>
  <si>
    <t>南区南土木事務所</t>
    <phoneticPr fontId="3"/>
  </si>
  <si>
    <t>山本　和典</t>
  </si>
  <si>
    <t>ﾔﾏﾓﾄ ｶｽﾞﾌﾐ</t>
  </si>
  <si>
    <t>戸塚区戸塚土木事務所</t>
    <phoneticPr fontId="3"/>
  </si>
  <si>
    <t>横澤　智也</t>
  </si>
  <si>
    <t>ﾖｺｻﾜ ﾄﾓﾔ</t>
  </si>
  <si>
    <t>建築局宅地審査部宅地審査課</t>
    <phoneticPr fontId="3"/>
  </si>
  <si>
    <t>今村　義道</t>
  </si>
  <si>
    <t>ｲﾏﾑﾗ ﾖｼﾐﾁ</t>
  </si>
  <si>
    <t>建築</t>
  </si>
  <si>
    <t>下水道河川局神奈川水再生センター</t>
    <phoneticPr fontId="3"/>
  </si>
  <si>
    <t>筏　大典</t>
  </si>
  <si>
    <t>ｲｶﾀﾞ ﾀﾞｲｽｹ</t>
  </si>
  <si>
    <t>機械</t>
  </si>
  <si>
    <t>道路・交通政策局道路部施設課</t>
    <phoneticPr fontId="3"/>
  </si>
  <si>
    <t>野間　拓志</t>
  </si>
  <si>
    <t>ﾉﾏ ﾀｸｼﾞ</t>
  </si>
  <si>
    <t>電気</t>
  </si>
  <si>
    <t>栄区福祉保健センター高齢・障害支援課</t>
    <phoneticPr fontId="3"/>
  </si>
  <si>
    <t>遠藤　有子</t>
  </si>
  <si>
    <t>ｴﾝﾄﾞｳ ﾕｳｺ</t>
  </si>
  <si>
    <t>医務職員</t>
  </si>
  <si>
    <t>保健</t>
  </si>
  <si>
    <t>交通局　　→　　市長部局</t>
    <rPh sb="0" eb="2">
      <t>コウツウ</t>
    </rPh>
    <rPh sb="2" eb="3">
      <t>キョク</t>
    </rPh>
    <rPh sb="8" eb="10">
      <t>シチョウ</t>
    </rPh>
    <rPh sb="10" eb="12">
      <t>ブキョク</t>
    </rPh>
    <phoneticPr fontId="3"/>
  </si>
  <si>
    <t>交通局</t>
    <rPh sb="0" eb="3">
      <t>コウツウキョク</t>
    </rPh>
    <phoneticPr fontId="3"/>
  </si>
  <si>
    <t>南区福祉保健センター保険年金課</t>
    <phoneticPr fontId="5"/>
  </si>
  <si>
    <t>中村　良子</t>
  </si>
  <si>
    <t>ﾅｶﾑﾗ ﾖｼｺ</t>
  </si>
  <si>
    <t>にぎわいスポーツ文化局総務部総務課</t>
    <phoneticPr fontId="5"/>
  </si>
  <si>
    <t>関口　里沙</t>
  </si>
  <si>
    <t>ｾｷｸﾞﾁ ﾘｻ</t>
  </si>
  <si>
    <t>下水道河川局南部水再生センター</t>
    <phoneticPr fontId="5"/>
  </si>
  <si>
    <t>細谷　龍太</t>
  </si>
  <si>
    <t>ﾎｿﾔ ﾘﾕｳﾀ</t>
  </si>
  <si>
    <t>脱炭素・GREEN×EXPO推進局（２０２７年国際園芸博覧会協会派遣）</t>
    <phoneticPr fontId="5"/>
  </si>
  <si>
    <t>高橋　哲平</t>
  </si>
  <si>
    <t>ﾀｶﾊｼ ﾃﾂﾍﾟｲ</t>
  </si>
  <si>
    <t>政策経営・国際戦略局シティプロモーション推進室広報・プロモーション戦略課</t>
    <phoneticPr fontId="5"/>
  </si>
  <si>
    <t>藤原　奈美</t>
  </si>
  <si>
    <t>ﾌｼﾞﾜﾗ ﾅﾐ</t>
  </si>
  <si>
    <t>港北区港北土木事務所</t>
    <phoneticPr fontId="5"/>
  </si>
  <si>
    <t>米長　洋和</t>
  </si>
  <si>
    <t>ﾖﾈﾅｶﾞ ﾋﾛｶｽﾞ</t>
  </si>
  <si>
    <t>中区総務部地域振興課</t>
    <phoneticPr fontId="5"/>
  </si>
  <si>
    <t>小谷野　貴弘</t>
  </si>
  <si>
    <t>ｺﾔﾉ ﾀｶﾋﾛ</t>
  </si>
  <si>
    <t>瀬谷区瀬谷土木事務所</t>
    <phoneticPr fontId="5"/>
  </si>
  <si>
    <t>徳永　裕太</t>
  </si>
  <si>
    <t>ﾄｸﾅｶﾞ ﾕｳﾀ</t>
  </si>
  <si>
    <t>鶴見区総務部税務課</t>
    <phoneticPr fontId="5"/>
  </si>
  <si>
    <t>阿部　久美子</t>
  </si>
  <si>
    <t>ｱﾍﾞ ｸﾐｺ</t>
  </si>
  <si>
    <t>資源循環局適正処理計画部施設課</t>
    <phoneticPr fontId="5"/>
  </si>
  <si>
    <t>大池　克実</t>
  </si>
  <si>
    <t>ｵｵｲｹ ｶﾂﾐ</t>
  </si>
  <si>
    <t>下水道河川局下水道管路部管路保全課</t>
    <phoneticPr fontId="5"/>
  </si>
  <si>
    <t>深堀　伸一</t>
  </si>
  <si>
    <t>ﾌｶﾎﾞﾘ ｼﾝｲﾁ</t>
  </si>
  <si>
    <t>都市整備局地域まちづくり部地域まちづくり課（青葉区総務部区政推進課兼務）</t>
    <rPh sb="33" eb="35">
      <t>ケンム</t>
    </rPh>
    <phoneticPr fontId="4"/>
  </si>
  <si>
    <t>梅谷　陽玄</t>
  </si>
  <si>
    <t>ｳﾒﾀﾆ ｱｷﾂﾈ</t>
  </si>
  <si>
    <t>建築局公共建築部学校整備課</t>
    <phoneticPr fontId="5"/>
  </si>
  <si>
    <t>井関　清之</t>
  </si>
  <si>
    <t>ｲｾｷ ｷﾖﾕｷ</t>
  </si>
  <si>
    <t>下水道河川局河川部河川流域管理課</t>
    <phoneticPr fontId="5"/>
  </si>
  <si>
    <t>菅野　裕一</t>
  </si>
  <si>
    <t>ｶﾝﾉ ﾕｳｲﾁ</t>
  </si>
  <si>
    <t>建築局公共建築部電気設備課（医療局病院経営本部兼務）</t>
    <phoneticPr fontId="5"/>
  </si>
  <si>
    <t>工藤　康博</t>
  </si>
  <si>
    <t>ｸﾄﾞｳ ﾔｽﾋﾛ</t>
  </si>
  <si>
    <t>下水道河川局北部下水道センター</t>
    <phoneticPr fontId="5"/>
  </si>
  <si>
    <t>中川　貴文</t>
  </si>
  <si>
    <t>ﾅｶｶﾞﾜ ﾀｶﾌﾐ</t>
  </si>
  <si>
    <t>医療局病院経営本部局　→　　市長部局</t>
    <rPh sb="0" eb="2">
      <t>イリョウ</t>
    </rPh>
    <rPh sb="2" eb="3">
      <t>キョク</t>
    </rPh>
    <rPh sb="3" eb="5">
      <t>ビョウイン</t>
    </rPh>
    <rPh sb="5" eb="7">
      <t>ケイエイ</t>
    </rPh>
    <rPh sb="7" eb="9">
      <t>ホンブ</t>
    </rPh>
    <rPh sb="9" eb="10">
      <t>キョク</t>
    </rPh>
    <rPh sb="14" eb="16">
      <t>シチョウ</t>
    </rPh>
    <rPh sb="16" eb="18">
      <t>ブキョク</t>
    </rPh>
    <phoneticPr fontId="3"/>
  </si>
  <si>
    <t>病院経営本部</t>
    <rPh sb="0" eb="6">
      <t>ビョウインケイエイホンブ</t>
    </rPh>
    <phoneticPr fontId="3"/>
  </si>
  <si>
    <t>医療局健康安全部医療安全課</t>
    <phoneticPr fontId="5"/>
  </si>
  <si>
    <t>竹迫　英一</t>
  </si>
  <si>
    <t>ﾀｹｻｺ ｴｲｲﾁ</t>
  </si>
  <si>
    <t>中区福祉保健センター福祉保健課</t>
    <phoneticPr fontId="5"/>
  </si>
  <si>
    <t>沖　広恵</t>
  </si>
  <si>
    <t>ｵｷ ﾋﾛｴ</t>
  </si>
  <si>
    <t>青葉区福祉保健センター保険年金課</t>
    <phoneticPr fontId="5"/>
  </si>
  <si>
    <t>鵜木　祥子</t>
  </si>
  <si>
    <t>ｳﾉｷ ｼﾖｳｺ</t>
  </si>
  <si>
    <t>監査事務局監査部財務監査課</t>
    <phoneticPr fontId="5"/>
  </si>
  <si>
    <t>筒井　幸美</t>
  </si>
  <si>
    <t>ﾂﾂｲ ﾕｷﾐ</t>
  </si>
  <si>
    <t>医療局地域医療部地域医療課</t>
    <phoneticPr fontId="5"/>
  </si>
  <si>
    <t>豊田　裕己</t>
  </si>
  <si>
    <t>ﾄﾖﾀﾞ ﾕｳｷ</t>
  </si>
  <si>
    <t>みどり環境局公園緑地部公園緑地管理課</t>
    <phoneticPr fontId="5"/>
  </si>
  <si>
    <t>小牛田　恵理</t>
  </si>
  <si>
    <t>ｺｺﾞﾀ ｴﾘ</t>
  </si>
  <si>
    <t>総務局主税部償却資産課</t>
    <phoneticPr fontId="5"/>
  </si>
  <si>
    <t>池ノ谷　佳菜子</t>
  </si>
  <si>
    <t>ｲｹﾉﾔ ｶﾅｺ</t>
  </si>
  <si>
    <t>政策経営・国際戦略局経営戦略部統計情報課</t>
    <phoneticPr fontId="5"/>
  </si>
  <si>
    <t>相良　思慧</t>
  </si>
  <si>
    <t>ｻｶﾞﾗ ｺﾄｴ</t>
  </si>
  <si>
    <t>青葉区総務部総務課</t>
    <phoneticPr fontId="5"/>
  </si>
  <si>
    <t>齋藤　晶</t>
  </si>
  <si>
    <t>ｻｲﾄｳ ｱｷﾗ</t>
  </si>
  <si>
    <t>みどり環境局公園緑地部南部公園緑地事務所</t>
    <phoneticPr fontId="5"/>
  </si>
  <si>
    <t>山田　学飛</t>
  </si>
  <si>
    <t>ﾔﾏﾀﾞ ｶﾞｸﾄ</t>
  </si>
  <si>
    <t>港北区福祉保健センター高齢・障害支援課</t>
    <phoneticPr fontId="5"/>
  </si>
  <si>
    <t>竹内　愛子</t>
  </si>
  <si>
    <t>ﾀｹｳﾁ ｱｲｺ</t>
  </si>
  <si>
    <t>泉区総務部総務課</t>
    <phoneticPr fontId="5"/>
  </si>
  <si>
    <t>大島　匡右</t>
  </si>
  <si>
    <t>ｵｵｼﾏ ｷﾖｳ</t>
  </si>
  <si>
    <t>金沢区総務部区政推進課</t>
    <phoneticPr fontId="5"/>
  </si>
  <si>
    <t>今野　瑞月</t>
  </si>
  <si>
    <t>ｺﾝﾉ ﾐｽﾞｷ</t>
  </si>
  <si>
    <t>脱炭素・GREEN×EXPO推進局GREEN×EXPO推進部GREEN×EXPO推進課</t>
    <phoneticPr fontId="5"/>
  </si>
  <si>
    <t>木下　直也</t>
  </si>
  <si>
    <t>ｷﾉｼﾀ ﾅｵﾔ</t>
  </si>
  <si>
    <t>戸塚区福祉保健センター高齢・障害支援課</t>
    <phoneticPr fontId="5"/>
  </si>
  <si>
    <t>乾　祐子</t>
  </si>
  <si>
    <t>ｲﾇｲ ﾕｳｺ</t>
  </si>
  <si>
    <t>社福</t>
  </si>
  <si>
    <t>保土ケ谷区福祉保健センター生活支援課</t>
    <phoneticPr fontId="5"/>
  </si>
  <si>
    <t>目黒　亜月</t>
  </si>
  <si>
    <t>ﾒｸﾞﾛ ｱﾂﾞｷ</t>
  </si>
  <si>
    <t>派遣　→　　市長部局</t>
    <rPh sb="0" eb="2">
      <t>ハケン</t>
    </rPh>
    <rPh sb="6" eb="8">
      <t>シチョウ</t>
    </rPh>
    <rPh sb="8" eb="10">
      <t>ブキョク</t>
    </rPh>
    <phoneticPr fontId="3"/>
  </si>
  <si>
    <t>職員番号</t>
    <rPh sb="0" eb="2">
      <t>ショクイン</t>
    </rPh>
    <rPh sb="2" eb="4">
      <t>バンゴウ</t>
    </rPh>
    <phoneticPr fontId="5"/>
  </si>
  <si>
    <t>新所属名</t>
    <rPh sb="0" eb="1">
      <t>シン</t>
    </rPh>
    <rPh sb="1" eb="3">
      <t>ショゾク</t>
    </rPh>
    <rPh sb="3" eb="4">
      <t>メイ</t>
    </rPh>
    <phoneticPr fontId="5"/>
  </si>
  <si>
    <t>氏名</t>
    <rPh sb="0" eb="2">
      <t>シメイ</t>
    </rPh>
    <phoneticPr fontId="5"/>
  </si>
  <si>
    <t>ﾌﾘｶﾞﾅ</t>
    <phoneticPr fontId="5"/>
  </si>
  <si>
    <t>職種</t>
    <rPh sb="0" eb="1">
      <t>ショク</t>
    </rPh>
    <rPh sb="1" eb="2">
      <t>シュ</t>
    </rPh>
    <phoneticPr fontId="5"/>
  </si>
  <si>
    <t>旧所属名</t>
    <rPh sb="0" eb="1">
      <t>キュウ</t>
    </rPh>
    <rPh sb="1" eb="3">
      <t>ショゾク</t>
    </rPh>
    <rPh sb="3" eb="4">
      <t>メイ</t>
    </rPh>
    <phoneticPr fontId="5"/>
  </si>
  <si>
    <t>総務局総務部総務課</t>
  </si>
  <si>
    <t>浅野　春樹</t>
  </si>
  <si>
    <t>ｱｻﾉ ﾊﾙｷ</t>
  </si>
  <si>
    <t>脱炭素・GREEN×EXPO推進局（２０２７年国際園芸博覧会協会派遣）</t>
  </si>
  <si>
    <t>資源循環局政策調整部政策調整課</t>
  </si>
  <si>
    <t>嶋中　愛</t>
  </si>
  <si>
    <t>ｼﾏﾅｶ ｱｲ</t>
  </si>
  <si>
    <t>総務局（公立大学法人横浜市立大学派遣）</t>
  </si>
  <si>
    <t>資源循環局金沢工場</t>
  </si>
  <si>
    <t>永井　敬祐</t>
  </si>
  <si>
    <t>ﾅｶﾞｲ ｹｲｽｹ</t>
  </si>
  <si>
    <t>鶴見区総務部地域振興課</t>
  </si>
  <si>
    <t>岡田　明香里</t>
  </si>
  <si>
    <t>ｵｶﾀﾞ ｱｶﾘ</t>
  </si>
  <si>
    <t>鶴見区鶴見土木事務所</t>
  </si>
  <si>
    <t>児玉　卓也</t>
  </si>
  <si>
    <t>ｺﾀﾞﾏ ﾀｸﾔ</t>
  </si>
  <si>
    <t>造園</t>
  </si>
  <si>
    <t>保土ケ谷区保土ケ谷土木事務所</t>
  </si>
  <si>
    <t>有賀　広季</t>
  </si>
  <si>
    <t>ｱﾘｶﾞ ﾋﾛｷ</t>
  </si>
  <si>
    <t>港北区総務部戸籍課</t>
  </si>
  <si>
    <t>伊藤　香澄</t>
  </si>
  <si>
    <t>ｲﾄｳ ｶｽﾐ</t>
  </si>
  <si>
    <t>教育委員会事務局教職員企画部教職員人事課</t>
  </si>
  <si>
    <t>竹内　篤司</t>
  </si>
  <si>
    <t>ﾀｹｳﾁ ｱﾂｼ</t>
  </si>
  <si>
    <t>企業局・派遣などから本市へ異動となる責任職</t>
    <rPh sb="0" eb="2">
      <t>キギョウ</t>
    </rPh>
    <rPh sb="2" eb="3">
      <t>キョク</t>
    </rPh>
    <rPh sb="4" eb="6">
      <t>ハケン</t>
    </rPh>
    <rPh sb="10" eb="11">
      <t>ホン</t>
    </rPh>
    <rPh sb="11" eb="12">
      <t>シ</t>
    </rPh>
    <rPh sb="13" eb="15">
      <t>イドウ</t>
    </rPh>
    <rPh sb="18" eb="20">
      <t>セキニン</t>
    </rPh>
    <rPh sb="20" eb="21">
      <t>ショク</t>
    </rPh>
    <phoneticPr fontId="3"/>
  </si>
  <si>
    <t>旧所属(R7年度）</t>
    <rPh sb="0" eb="3">
      <t>キュウショゾク</t>
    </rPh>
    <rPh sb="6" eb="8">
      <t>ネンド</t>
    </rPh>
    <phoneticPr fontId="3"/>
  </si>
  <si>
    <t>新所属(R8年度）</t>
    <rPh sb="0" eb="3">
      <t>シンショゾク</t>
    </rPh>
    <rPh sb="6" eb="8">
      <t>ネンド</t>
    </rPh>
    <phoneticPr fontId="3"/>
  </si>
  <si>
    <t>職員番号</t>
  </si>
  <si>
    <t>姓</t>
    <rPh sb="0" eb="1">
      <t>セイ</t>
    </rPh>
    <phoneticPr fontId="3"/>
  </si>
  <si>
    <t>名</t>
    <rPh sb="0" eb="1">
      <t>メイ</t>
    </rPh>
    <phoneticPr fontId="3"/>
  </si>
  <si>
    <t>局CD</t>
    <phoneticPr fontId="3"/>
  </si>
  <si>
    <t>旧補職名</t>
    <rPh sb="0" eb="1">
      <t>キュウ</t>
    </rPh>
    <rPh sb="1" eb="3">
      <t>ホショク</t>
    </rPh>
    <rPh sb="3" eb="4">
      <t>メイ</t>
    </rPh>
    <phoneticPr fontId="3"/>
  </si>
  <si>
    <t>.発令形態N</t>
    <phoneticPr fontId="3"/>
  </si>
  <si>
    <t>兼派先</t>
    <rPh sb="0" eb="1">
      <t>ケン</t>
    </rPh>
    <rPh sb="1" eb="2">
      <t>ハ</t>
    </rPh>
    <rPh sb="2" eb="3">
      <t>サキ</t>
    </rPh>
    <phoneticPr fontId="3"/>
  </si>
  <si>
    <t>新補職名</t>
    <rPh sb="0" eb="1">
      <t>シン</t>
    </rPh>
    <rPh sb="1" eb="3">
      <t>ホショク</t>
    </rPh>
    <rPh sb="3" eb="4">
      <t>メイ</t>
    </rPh>
    <phoneticPr fontId="3"/>
  </si>
  <si>
    <t>ホシノ キミタカ</t>
  </si>
  <si>
    <t>星野</t>
  </si>
  <si>
    <t>公孝</t>
  </si>
  <si>
    <t>医療局病院経営本部病院経営部病院経営課長</t>
  </si>
  <si>
    <t>兼務</t>
  </si>
  <si>
    <t>大都市制度推進担当</t>
  </si>
  <si>
    <t>脱炭素・ＧＲＥＥＮ×ＥＸＰＯ推進局担当課長</t>
  </si>
  <si>
    <t>モリカネ タカシ</t>
  </si>
  <si>
    <t>森兼</t>
  </si>
  <si>
    <t>孝司</t>
  </si>
  <si>
    <t>水道局経営部経営企画課長</t>
  </si>
  <si>
    <t>ＳＤＧｓ未来都市推進担当</t>
  </si>
  <si>
    <t>にぎわいスポーツ文化局文化芸術創造都市推進部文化振興課長</t>
  </si>
  <si>
    <t>イリエ ヨウジロウ</t>
  </si>
  <si>
    <t>入江</t>
  </si>
  <si>
    <t>洋二郎</t>
  </si>
  <si>
    <t>交通局総務部総務課長</t>
  </si>
  <si>
    <t>経済局中小企業振興部金融課長</t>
  </si>
  <si>
    <t>コジマ レイコ</t>
  </si>
  <si>
    <t>小島</t>
  </si>
  <si>
    <t>玲子</t>
  </si>
  <si>
    <t>水道局給水サービス部戸塚水道事務所料金係長</t>
  </si>
  <si>
    <t>健康福祉局高齢健康福祉部地域包括ケア推進課担当係長</t>
  </si>
  <si>
    <t>イシカワ ヒロシ</t>
  </si>
  <si>
    <t>石川</t>
  </si>
  <si>
    <t>博</t>
  </si>
  <si>
    <t>交通局経営管理部経営管理課契約会計管理係長</t>
  </si>
  <si>
    <t>健康福祉局高齢健康福祉部介護保険課担当係長</t>
  </si>
  <si>
    <t>フジワラ リエコ</t>
  </si>
  <si>
    <t>藤原</t>
  </si>
  <si>
    <t>理恵子</t>
  </si>
  <si>
    <t>脳卒中・神経脊椎センター管理部医事課医事企画調整係長</t>
  </si>
  <si>
    <t>脳卒中・神経脊椎センター医療安全管理室担当係長</t>
  </si>
  <si>
    <t>医療局医療政策部医療政策課担当係長</t>
  </si>
  <si>
    <t>ニタオ ケイ</t>
  </si>
  <si>
    <t>仁田尾</t>
  </si>
  <si>
    <t>慧</t>
  </si>
  <si>
    <t>交通局総務部人事課任用担当係長</t>
  </si>
  <si>
    <t>医療局総務部総務課経理担当係長</t>
  </si>
  <si>
    <t>キラ アキコ</t>
  </si>
  <si>
    <t>吉良</t>
  </si>
  <si>
    <t>亜希子</t>
  </si>
  <si>
    <t>市民病院管理部総務課担当係長</t>
  </si>
  <si>
    <t>医療局総務部職員課人材確保・育成係長</t>
  </si>
  <si>
    <t>スエナガ クニヒト</t>
  </si>
  <si>
    <t>末永</t>
  </si>
  <si>
    <t>邦仁</t>
  </si>
  <si>
    <t>市民病院管理部総務課管理担当課長</t>
  </si>
  <si>
    <t>医療局健康安全部健康安全課企画調整担当課長</t>
  </si>
  <si>
    <t>ハセガワ ナミ</t>
  </si>
  <si>
    <t>長谷川</t>
  </si>
  <si>
    <t>奈美</t>
  </si>
  <si>
    <t>脳卒中・神経脊椎センター画像診断部担当係長</t>
  </si>
  <si>
    <t>医療局健康安全部医療安全課担当係長</t>
  </si>
  <si>
    <t>セト ヒロミ</t>
  </si>
  <si>
    <t>瀬戸</t>
  </si>
  <si>
    <t>洋美</t>
  </si>
  <si>
    <t>水道局課長補佐（経営部経営企画課担当係長）</t>
  </si>
  <si>
    <t>資源循環局都筑事務所長</t>
  </si>
  <si>
    <t>ミヤモト カオル</t>
  </si>
  <si>
    <t>宮本</t>
  </si>
  <si>
    <t>薫</t>
  </si>
  <si>
    <t>交通局自動車本部営業課長</t>
  </si>
  <si>
    <t>みどり環境局公園緑地部北部公園緑地事務所長</t>
  </si>
  <si>
    <t>カタオカ マサキ</t>
  </si>
  <si>
    <t>片岡</t>
  </si>
  <si>
    <t>雅樹</t>
  </si>
  <si>
    <t>水道局浄水部水質課長</t>
  </si>
  <si>
    <t>放射線対策担当</t>
  </si>
  <si>
    <t>みどり環境局環境保全部環境影響評価課長</t>
  </si>
  <si>
    <t>タカノ アツキ</t>
  </si>
  <si>
    <t>高野</t>
  </si>
  <si>
    <t>充輝</t>
  </si>
  <si>
    <t>市民病院管理部総務課施設管理担当係長</t>
  </si>
  <si>
    <t>下水道河川局南部下水道センター担当係長</t>
  </si>
  <si>
    <t>ミヤシタ ヒデユキ</t>
  </si>
  <si>
    <t>宮下</t>
  </si>
  <si>
    <t>英之</t>
  </si>
  <si>
    <t>水道局施設部技術監理課検査安全係長</t>
  </si>
  <si>
    <t>下水道河川局河川部河川流域整備課担当係長</t>
  </si>
  <si>
    <t>コイケ タカヒロ</t>
  </si>
  <si>
    <t>小池</t>
  </si>
  <si>
    <t>崇裕</t>
  </si>
  <si>
    <t>交通局安全管理部安全管理課安全管理係長</t>
  </si>
  <si>
    <t>トヤ キミトモ</t>
  </si>
  <si>
    <t>戸谷</t>
  </si>
  <si>
    <t>公朋</t>
  </si>
  <si>
    <t>水道局施設部施設整備課長</t>
  </si>
  <si>
    <t>鶴見区鶴見土木事務所副所長</t>
  </si>
  <si>
    <t>タケモト ケンゴ</t>
  </si>
  <si>
    <t>竹本</t>
  </si>
  <si>
    <t>健吾</t>
  </si>
  <si>
    <t>医療局病院経営本部病院経営部病院経営課担当係長</t>
  </si>
  <si>
    <t>医療局</t>
  </si>
  <si>
    <t>鶴見区鶴見土木事務所下水道・公園係長</t>
  </si>
  <si>
    <t>タナカ シヨウゴ</t>
  </si>
  <si>
    <t>田中</t>
  </si>
  <si>
    <t>省吾</t>
  </si>
  <si>
    <t>交通局総務部人事課長</t>
  </si>
  <si>
    <t>西区総務部地域振興課長</t>
  </si>
  <si>
    <t>サトウ アサミ</t>
  </si>
  <si>
    <t>佐藤</t>
  </si>
  <si>
    <t>あさみ</t>
  </si>
  <si>
    <t>市民病院医療安全・医療品質管理センター医療品質管理担当係長</t>
  </si>
  <si>
    <t>市民病院臨床研究部担当係長</t>
  </si>
  <si>
    <t>西区福祉保健センターこども家庭支援課担当係長</t>
  </si>
  <si>
    <t>ヤマガタ タマミ</t>
  </si>
  <si>
    <t>山形</t>
  </si>
  <si>
    <t>珠実</t>
  </si>
  <si>
    <t>水道局配水部南部方面工事課長</t>
  </si>
  <si>
    <t>西区西土木事務所副所長</t>
  </si>
  <si>
    <t>カワノ ジユン</t>
  </si>
  <si>
    <t>河野</t>
  </si>
  <si>
    <t>絢</t>
  </si>
  <si>
    <t>水道局経営部経理課出納係長</t>
  </si>
  <si>
    <t>中区総務部税務課担当係長</t>
  </si>
  <si>
    <t>オジマ ヤスオ</t>
  </si>
  <si>
    <t>尾島</t>
  </si>
  <si>
    <t>靖生</t>
  </si>
  <si>
    <t>水道局経営部情報システム課長</t>
  </si>
  <si>
    <t>保土ケ谷区総務部戸籍課長</t>
  </si>
  <si>
    <t>イトウ キミオ</t>
  </si>
  <si>
    <t>伊藤</t>
  </si>
  <si>
    <t>公男</t>
  </si>
  <si>
    <t>水道局給水サービス部サービス推進課担当係長（料金制度担当）</t>
  </si>
  <si>
    <t>旭区総務部戸籍課担当係長</t>
  </si>
  <si>
    <t>ハチヤ カオリ</t>
  </si>
  <si>
    <t>蜂屋</t>
  </si>
  <si>
    <t>香利</t>
  </si>
  <si>
    <t>交通局総務部総務課担当係長</t>
  </si>
  <si>
    <t>旭区福祉保健センター高齢・障害支援課介護保険担当係長</t>
  </si>
  <si>
    <t>オバラ テツヤ</t>
  </si>
  <si>
    <t>小原</t>
  </si>
  <si>
    <t>徹也</t>
  </si>
  <si>
    <t>水道局給水サービス部鶴見水道事務所料金係長</t>
  </si>
  <si>
    <t>旭区旭土木事務所管理係長</t>
  </si>
  <si>
    <t>マツウラ ハナコ</t>
  </si>
  <si>
    <t>松浦</t>
  </si>
  <si>
    <t>華子</t>
  </si>
  <si>
    <t>水道局配水部北部方面工事課事務係長</t>
  </si>
  <si>
    <t>緑区福祉保健センター保険年金課給付担当係長</t>
  </si>
  <si>
    <t>カンナリ カズヒロ</t>
  </si>
  <si>
    <t>神成</t>
  </si>
  <si>
    <t>和博</t>
  </si>
  <si>
    <t>交通局課長補佐（自動車本部運輸課教育企画担当係長）</t>
  </si>
  <si>
    <t>交通局安全管理部安全管理課担当係長</t>
  </si>
  <si>
    <t>戸塚区総務部税務課担当係長</t>
  </si>
  <si>
    <t>カトウ コウイチ</t>
  </si>
  <si>
    <t>加藤</t>
  </si>
  <si>
    <t>耕一</t>
  </si>
  <si>
    <t>水道局給水サービス部洋光台水道事務所事務係長</t>
  </si>
  <si>
    <t>戸塚区福祉保健センター保険年金課国民年金係長</t>
  </si>
  <si>
    <t>ヤマザキ タケシ</t>
  </si>
  <si>
    <t>山崎</t>
  </si>
  <si>
    <t>健司</t>
  </si>
  <si>
    <t>水道局課長補佐（事業推進部広報課担当係長）</t>
  </si>
  <si>
    <t>栄区総務部地域振興課生涯学習支援係長</t>
  </si>
  <si>
    <t>ウリモト エイジ</t>
  </si>
  <si>
    <t>瓜本</t>
  </si>
  <si>
    <t>英二</t>
  </si>
  <si>
    <t>水道局総務部人事課長</t>
  </si>
  <si>
    <t>消防局総務部人事課長</t>
  </si>
  <si>
    <t>ハラグチ シンイチ</t>
  </si>
  <si>
    <t>原口</t>
  </si>
  <si>
    <t>紳一</t>
  </si>
  <si>
    <t>交通局総務部長</t>
  </si>
  <si>
    <t>会計室会計管理者</t>
  </si>
  <si>
    <t>マツオ ユウコ</t>
  </si>
  <si>
    <t>松尾</t>
  </si>
  <si>
    <t>ゆうこ</t>
  </si>
  <si>
    <t>脳卒中・神経脊椎センター管理部総務課庶務係長</t>
  </si>
  <si>
    <t>脳卒中・神経脊椎センター臨床研究部担当係長</t>
  </si>
  <si>
    <t>横浜サイエンスフロンティア高等学校事務長</t>
  </si>
  <si>
    <t>キムラ アヤカ</t>
  </si>
  <si>
    <t>木村</t>
  </si>
  <si>
    <t>綾花</t>
  </si>
  <si>
    <t>脱炭素・ＧＲＥＥＮ×ＥＸＰＯ推進局担当係長（環境省派遣）</t>
  </si>
  <si>
    <t>割愛退職</t>
  </si>
  <si>
    <t>環境省</t>
  </si>
  <si>
    <t>脱炭素・ＧＲＥＥＮ×ＥＸＰＯ推進局脱炭素社会移行推進部循環型社会推進課担当係長</t>
  </si>
  <si>
    <t>タカハシ ユウタ</t>
  </si>
  <si>
    <t>高橋</t>
  </si>
  <si>
    <t>悠太</t>
  </si>
  <si>
    <t>下水道河川局担当課長（日本下水道新技術機構派遣）</t>
  </si>
  <si>
    <t>職員派遣（２－１－２</t>
  </si>
  <si>
    <t>日本下水道新技術機構</t>
  </si>
  <si>
    <t>政策経営・国際戦略局経営戦略部経営戦略課担当課長</t>
  </si>
  <si>
    <t>ニシカワ ヒロキ</t>
  </si>
  <si>
    <t>西川</t>
  </si>
  <si>
    <t>啓基</t>
  </si>
  <si>
    <t>総務局担当係長（公立大学法人横浜市立大学派遣）</t>
  </si>
  <si>
    <t>職員派遣（２－１－１</t>
  </si>
  <si>
    <t>公立大学法人横浜市立大学</t>
  </si>
  <si>
    <t>行財政局財政部財政課担当係長</t>
  </si>
  <si>
    <t>カトウ ケイ</t>
  </si>
  <si>
    <t>系</t>
  </si>
  <si>
    <t>脱炭素・ＧＲＥＥＮ×ＥＸＰＯ推進局担当課長（公益社団法人２０２７年国際園芸博覧会協会派遣）</t>
  </si>
  <si>
    <t>公益社団法人２０２７年国際園芸博覧会協会</t>
  </si>
  <si>
    <t>総務局契約部契約第一課長</t>
  </si>
  <si>
    <t>サイトウ アキ</t>
  </si>
  <si>
    <t>齋藤</t>
  </si>
  <si>
    <t>亜希</t>
  </si>
  <si>
    <t>にぎわいスポーツ文化局にぎわい創出戦略部担当部長</t>
  </si>
  <si>
    <t>サカイ リコ</t>
  </si>
  <si>
    <t>酒井</t>
  </si>
  <si>
    <t>理子</t>
  </si>
  <si>
    <t>にぎわいスポーツ文化局担当部長（公益財団法人横浜市観光協会派遣）</t>
  </si>
  <si>
    <t>公益財団法人横浜市観光協会</t>
  </si>
  <si>
    <t>にぎわいスポーツ文化局観光ＭＩＣＥ振興部観光ＭＩＣＥ振興課担当課長</t>
  </si>
  <si>
    <t>ヨシダ トモカズ</t>
  </si>
  <si>
    <t>吉田</t>
  </si>
  <si>
    <t>智一</t>
  </si>
  <si>
    <t>総務局課長補佐（公立大学法人横浜市立大学派遣）</t>
  </si>
  <si>
    <t>にぎわいスポーツ文化局スポーツ振興部スポーツ振興課担当課長</t>
  </si>
  <si>
    <t>イノウエ ダイスケ</t>
  </si>
  <si>
    <t>井上</t>
  </si>
  <si>
    <t>大輔</t>
  </si>
  <si>
    <t>経済局担当課長（横浜食肉市場株式会社派遣）</t>
  </si>
  <si>
    <t>退職派遣（３－１－１</t>
  </si>
  <si>
    <t>横浜食肉市場株式会社</t>
  </si>
  <si>
    <t>経済局ビジネスイノベーション部企業投資促進課土地利用調整・拠点形成担当課長</t>
  </si>
  <si>
    <t>ヒラナカ フミオ</t>
  </si>
  <si>
    <t>平中</t>
  </si>
  <si>
    <t>文朗</t>
  </si>
  <si>
    <t>教育委員会事務局課長補佐（よこはま学校食育財団派遣）</t>
  </si>
  <si>
    <t>よこはま学校食育財団</t>
  </si>
  <si>
    <t>経済局市民経済労働部雇用労働課担当係長</t>
  </si>
  <si>
    <t>ハツトリ アツシ</t>
  </si>
  <si>
    <t>服部</t>
  </si>
  <si>
    <t>敦</t>
  </si>
  <si>
    <t>健康福祉局担当課長（神奈川県後期高齢者医療広域連合派遣）</t>
  </si>
  <si>
    <t>自治法派遣</t>
  </si>
  <si>
    <t>神奈川県後期高齢者医療広域連合</t>
  </si>
  <si>
    <t>健康福祉局生活福祉部医療援助課長</t>
  </si>
  <si>
    <t>カスヤ ヨシキ</t>
  </si>
  <si>
    <t>粕谷</t>
  </si>
  <si>
    <t>佳葵</t>
  </si>
  <si>
    <t>健康福祉局担当係長（厚生労働省派遣）</t>
  </si>
  <si>
    <t>厚生労働省</t>
  </si>
  <si>
    <t>健康福祉局生活福祉部医療援助課担当係長</t>
  </si>
  <si>
    <t>ヒラキ コウジ</t>
  </si>
  <si>
    <t>平木</t>
  </si>
  <si>
    <t>浩司</t>
  </si>
  <si>
    <t>総務局担当部長（公立大学法人横浜市立大学派遣）</t>
  </si>
  <si>
    <t>医療局健康安全部長</t>
  </si>
  <si>
    <t>フジモト ツヨシ</t>
  </si>
  <si>
    <t>藤本</t>
  </si>
  <si>
    <t>剛</t>
  </si>
  <si>
    <t>総務局担当課長（公立大学法人横浜市立大学派遣）</t>
  </si>
  <si>
    <t>資源循環局栄事務所長</t>
  </si>
  <si>
    <t>イトウ ケンジ</t>
  </si>
  <si>
    <t>研二</t>
  </si>
  <si>
    <t>資源循環局担当係長（環境省派遣）</t>
  </si>
  <si>
    <t>資源循環局事業系廃棄物対策部事業系廃棄物対策課担当係長</t>
  </si>
  <si>
    <t>キタムラ ナオヤ</t>
  </si>
  <si>
    <t>北村</t>
  </si>
  <si>
    <t>直也</t>
  </si>
  <si>
    <t>脱炭素・ＧＲＥＥＮ×ＥＸＰＯ推進局担当係長（国土交通省派遣）</t>
  </si>
  <si>
    <t>国土交通省</t>
  </si>
  <si>
    <t>みどり環境局戦略企画部戦略企画課担当係長</t>
  </si>
  <si>
    <t>コンドウ モトコ</t>
  </si>
  <si>
    <t>近藤</t>
  </si>
  <si>
    <t>元子</t>
  </si>
  <si>
    <t>みどり環境局担当部長（横浜市緑の協会派遣）</t>
  </si>
  <si>
    <t>横浜市緑の協会</t>
  </si>
  <si>
    <t>みどり環境局公園緑地部担当部長</t>
  </si>
  <si>
    <t>コイズミ ハルカ</t>
  </si>
  <si>
    <t>小泉</t>
  </si>
  <si>
    <t>春佳</t>
  </si>
  <si>
    <t>みどり環境局担当係長（横浜市緑の協会派遣）</t>
  </si>
  <si>
    <t>みどり環境局公園緑地部公園緑地維持課担当係長</t>
  </si>
  <si>
    <t>オンダ エイジ</t>
  </si>
  <si>
    <t>恩田</t>
  </si>
  <si>
    <t>英治</t>
  </si>
  <si>
    <t>みどり環境局課長補佐（横浜市緑の協会派遣）</t>
  </si>
  <si>
    <t>みどり環境局担当課長</t>
  </si>
  <si>
    <t>ミゾカミ キヨアキ</t>
  </si>
  <si>
    <t>溝上</t>
  </si>
  <si>
    <t>聖章</t>
  </si>
  <si>
    <t>下水道河川局担当係長（日本下水道協会派遣）</t>
  </si>
  <si>
    <t>日本下水道協会</t>
  </si>
  <si>
    <t>下水道河川局マネジメント推進部マネジメント推進課担当係長</t>
  </si>
  <si>
    <t>スズキ エイジロウ</t>
  </si>
  <si>
    <t>鈴木</t>
  </si>
  <si>
    <t>英二郎</t>
  </si>
  <si>
    <t>下水道河川局担当係長（横浜ウォーター株式会社派遣）</t>
  </si>
  <si>
    <t>横浜ウォーター株式会社</t>
  </si>
  <si>
    <t>下水道河川局下水道管路部管路保全課担当係長</t>
  </si>
  <si>
    <t>アオキ タカノリ</t>
  </si>
  <si>
    <t>青木</t>
  </si>
  <si>
    <t>崇憲</t>
  </si>
  <si>
    <t>下水道河川局担当課長（日本下水道事業団派遣）</t>
  </si>
  <si>
    <t>日本下水道事業団</t>
  </si>
  <si>
    <t>下水道河川局都筑水再生センター長</t>
  </si>
  <si>
    <t>ハラダ トシフミ</t>
  </si>
  <si>
    <t>原田</t>
  </si>
  <si>
    <t>俊文</t>
  </si>
  <si>
    <t>下水道河川局担当係長（日本下水道事業団派遣）</t>
  </si>
  <si>
    <t>オオハシ アケミ</t>
  </si>
  <si>
    <t>大橋</t>
  </si>
  <si>
    <t>朱美</t>
  </si>
  <si>
    <t>建築局担当課長（建築行政情報センター派遣）</t>
  </si>
  <si>
    <t>建築行政情報センター</t>
  </si>
  <si>
    <t>建築局建築指導部情報相談課長</t>
  </si>
  <si>
    <t>オオサキ ノリコ</t>
  </si>
  <si>
    <t>大崎</t>
  </si>
  <si>
    <t>典子</t>
  </si>
  <si>
    <t>都市整備局担当係長（一般社団法人横浜みなとみらい２１派遣）</t>
  </si>
  <si>
    <t>一般社団法人横浜みなとみらい２１</t>
  </si>
  <si>
    <t>建築局建築指導部建築企画課担当係長</t>
  </si>
  <si>
    <t>イケダ タカミツ</t>
  </si>
  <si>
    <t>池田</t>
  </si>
  <si>
    <t>貴光</t>
  </si>
  <si>
    <t>建築局担当課長（横浜市建築保全公社派遣）</t>
  </si>
  <si>
    <t>横浜市建築保全公社</t>
  </si>
  <si>
    <t>建築局公共建築部営繕企画課技術管理担当課長</t>
  </si>
  <si>
    <t>チバ カズシ</t>
  </si>
  <si>
    <t>千葉</t>
  </si>
  <si>
    <t>一史</t>
  </si>
  <si>
    <t>建築局担当係長（横浜市建築保全公社派遣）</t>
  </si>
  <si>
    <t>建築局公共建築部営繕企画課担当係長</t>
  </si>
  <si>
    <t>イトウ ヒロキ</t>
  </si>
  <si>
    <t>博貴</t>
  </si>
  <si>
    <t>建築局担当課長（横浜市住宅供給公社派遣）</t>
  </si>
  <si>
    <t>横浜市住宅供給公社</t>
  </si>
  <si>
    <t>建築局公共建築部施設整備課長</t>
  </si>
  <si>
    <t>ウエダ ハルヒコ</t>
  </si>
  <si>
    <t>植田</t>
  </si>
  <si>
    <t>晴彦</t>
  </si>
  <si>
    <t>道路局担当課長（首都高速道路株式会社派遣）</t>
  </si>
  <si>
    <t>退職派遣（３－１－２</t>
  </si>
  <si>
    <t>首都高速道路株式会社</t>
  </si>
  <si>
    <t>道路・交通政策局事業推進部事業推進課長</t>
  </si>
  <si>
    <t>オノザワ ケンジ</t>
  </si>
  <si>
    <t>小野澤</t>
  </si>
  <si>
    <t>賢二</t>
  </si>
  <si>
    <t>脱炭素・ＧＲＥＥＮ×ＥＸＰＯ推進局課長補佐（公益社団法人２０２７年国際園芸博覧会協会派遣）</t>
  </si>
  <si>
    <t>道路・交通政策局横浜環状道路調整課横浜環状道路調整担当課長</t>
  </si>
  <si>
    <t>ミウラ カツヤス</t>
  </si>
  <si>
    <t>三浦</t>
  </si>
  <si>
    <t>克康</t>
  </si>
  <si>
    <t>港湾局担当課長（国土交通省派遣）</t>
  </si>
  <si>
    <t>港湾局港湾物流部物流企画課長</t>
  </si>
  <si>
    <t>ミツオカ カズキ</t>
  </si>
  <si>
    <t>三岡</t>
  </si>
  <si>
    <t>和樹</t>
  </si>
  <si>
    <t>港湾局担当係長（みなと総合研究財団派遣）</t>
  </si>
  <si>
    <t>みなと総合研究財団</t>
  </si>
  <si>
    <t>港湾局港湾物流部物流企画課担当係長</t>
  </si>
  <si>
    <t>オオツカ テツヤ</t>
  </si>
  <si>
    <t>大塚</t>
  </si>
  <si>
    <t>哲也</t>
  </si>
  <si>
    <t>港湾局担当係長（横浜税関派遣）</t>
  </si>
  <si>
    <t>横浜税関</t>
  </si>
  <si>
    <t>港湾局みなと賑わい振興部客船事業推進課担当係長</t>
  </si>
  <si>
    <t>サカモト ヒロカズ</t>
  </si>
  <si>
    <t>坂本</t>
  </si>
  <si>
    <t>寛和</t>
  </si>
  <si>
    <t>港湾局担当係長（横浜港埠頭株式会社派遣）</t>
  </si>
  <si>
    <t>横浜港埠頭株式会社</t>
  </si>
  <si>
    <t>港湾局山下ふ頭再開発調整室山下ふ頭再開発調整課担当係長</t>
  </si>
  <si>
    <t>クロベ テツヤ</t>
  </si>
  <si>
    <t>黒部</t>
  </si>
  <si>
    <t>哲哉</t>
  </si>
  <si>
    <t>港湾局港湾管理部長</t>
  </si>
  <si>
    <t>ナリサワ シンゴ</t>
  </si>
  <si>
    <t>成澤</t>
  </si>
  <si>
    <t>新悟</t>
  </si>
  <si>
    <t>鶴見区福祉保健センター生活支援課事務係長</t>
  </si>
  <si>
    <t>ハナモト カズヨシ</t>
  </si>
  <si>
    <t>花本</t>
  </si>
  <si>
    <t>和義</t>
  </si>
  <si>
    <t>脱炭素・ＧＲＥＥＮ×ＥＸＰＯ推進局担当係長（公益社団法人２０２７年国際園芸博覧会協会派遣）</t>
  </si>
  <si>
    <t>神奈川区総務部区政推進課まちづくり調整担当係長</t>
  </si>
  <si>
    <t>カトウ マサト</t>
  </si>
  <si>
    <t>雅人</t>
  </si>
  <si>
    <t>サトウ ナオコ</t>
  </si>
  <si>
    <t>直子</t>
  </si>
  <si>
    <t>中区福祉保健センター保険年金課給付担当係長</t>
  </si>
  <si>
    <t>サカイ ヒロユキ</t>
  </si>
  <si>
    <t>博之</t>
  </si>
  <si>
    <t>都市整備局担当部長（横浜高速鉄道株式会社派遣）</t>
  </si>
  <si>
    <t>横浜高速鉄道株式会社</t>
  </si>
  <si>
    <t>中区中土木事務所長</t>
  </si>
  <si>
    <t>ナカヤマ ヨウコ</t>
  </si>
  <si>
    <t>中山</t>
  </si>
  <si>
    <t>陽子</t>
  </si>
  <si>
    <t>脱炭素・ＧＲＥＥＮ×ＥＸＰＯ推進局担当部長（公益社団法人２０２７年国際園芸博覧会協会派遣）</t>
  </si>
  <si>
    <t>港南区福祉保健センター担当部長</t>
  </si>
  <si>
    <t>コイケ ミチコ</t>
  </si>
  <si>
    <t>道子</t>
  </si>
  <si>
    <t>にぎわいスポーツ文化局担当部長（公益財団法人横浜市スポーツ協会派遣）</t>
  </si>
  <si>
    <t>公益財団法人横浜市スポーツ協会</t>
  </si>
  <si>
    <t>保土ケ谷区福祉保健センター担当部長</t>
  </si>
  <si>
    <t>ホリグチ カズミ</t>
  </si>
  <si>
    <t>堀口</t>
  </si>
  <si>
    <t>和美</t>
  </si>
  <si>
    <t>経済局担当理事（横浜企業経営支援財団派遣）</t>
  </si>
  <si>
    <t>横浜企業経営支援財団</t>
  </si>
  <si>
    <t>旭区長</t>
  </si>
  <si>
    <t>タカハシ カオリ</t>
  </si>
  <si>
    <t>香緒里</t>
  </si>
  <si>
    <t>にぎわいスポーツ文化局担当係長（公益財団法人三溪園保勝会派遣）</t>
  </si>
  <si>
    <t>公益財団法人三溪園保勝会</t>
  </si>
  <si>
    <t>磯子区福祉保健センターこども家庭支援課担当係長</t>
  </si>
  <si>
    <t>ソガ タイチ</t>
  </si>
  <si>
    <t>曽我</t>
  </si>
  <si>
    <t>太一</t>
  </si>
  <si>
    <t>港北区総務部地域振興課長</t>
  </si>
  <si>
    <t>サエグサ ミツアキ</t>
  </si>
  <si>
    <t>三枝</t>
  </si>
  <si>
    <t>光昭</t>
  </si>
  <si>
    <t>青葉区福祉保健センター保険年金課収納担当係長</t>
  </si>
  <si>
    <t>ノムラ キヌエ</t>
  </si>
  <si>
    <t>野村</t>
  </si>
  <si>
    <t>絹恵</t>
  </si>
  <si>
    <t>にぎわいスポーツ文化局担当部長（横浜市芸術文化振興財団派遣）</t>
  </si>
  <si>
    <t>横浜市芸術文化振興財団</t>
  </si>
  <si>
    <t>都筑区副区長</t>
  </si>
  <si>
    <t>カワグチ ユキテル</t>
  </si>
  <si>
    <t>川口</t>
  </si>
  <si>
    <t>幸輝</t>
  </si>
  <si>
    <t>みどり環境局担当課長（株式会社建設資源広域利用センター派遣）</t>
  </si>
  <si>
    <t>株式会社建設資源広域利用センター</t>
  </si>
  <si>
    <t>都筑区都筑土木事務所副所長</t>
  </si>
  <si>
    <t>タカハシ ユキオ</t>
  </si>
  <si>
    <t>幸男</t>
  </si>
  <si>
    <t>泉区福祉保健センター高齢・障害支援課長</t>
  </si>
  <si>
    <t>セノ ユウタ</t>
  </si>
  <si>
    <t>瀬野</t>
  </si>
  <si>
    <t>雄大</t>
  </si>
  <si>
    <t>教育委員会事務局担当係長（スポーツ庁派遣）</t>
  </si>
  <si>
    <t>スポーツ庁</t>
  </si>
  <si>
    <t>教育委員会事務局学校教育部学校経営支援課担当係長</t>
  </si>
  <si>
    <t>ナガイ トシオ</t>
  </si>
  <si>
    <t>永井</t>
  </si>
  <si>
    <t>俊雄</t>
  </si>
  <si>
    <t>経済局担当課長（株式会社横浜市食肉公社派遣）</t>
  </si>
  <si>
    <t>株式会社横浜市食肉公社</t>
  </si>
  <si>
    <t>教育委員会事務局学校教育部人権健康教育課長</t>
  </si>
  <si>
    <t>ミズイ エミ</t>
  </si>
  <si>
    <t>水井</t>
  </si>
  <si>
    <t>絵美</t>
  </si>
  <si>
    <t>にぎわいスポーツ文化局担当課長（株式会社横浜国際平和会議場派遣）</t>
  </si>
  <si>
    <t>株式会社横浜国際平和会議場</t>
  </si>
  <si>
    <t>人事委員会事務局調査任用部調査課長</t>
  </si>
  <si>
    <t>高木</t>
  </si>
  <si>
    <t>相佳</t>
  </si>
  <si>
    <t>こども青少年局総務部総務課（福島県浪江町派遣）</t>
    <rPh sb="14" eb="17">
      <t>フクシマケン</t>
    </rPh>
    <phoneticPr fontId="2"/>
  </si>
  <si>
    <t>みどり環境局農政部北部農政事務所</t>
  </si>
  <si>
    <t>土居</t>
  </si>
  <si>
    <t>志奈乃</t>
  </si>
  <si>
    <t>健康福祉局企画部職員課（石川県七尾市派遣）</t>
    <rPh sb="12" eb="15">
      <t>イシカワケン</t>
    </rPh>
    <phoneticPr fontId="2"/>
  </si>
  <si>
    <t>防災・危機管理統括本部防災・危機管理推進部防災企画課</t>
  </si>
  <si>
    <t>三部</t>
  </si>
  <si>
    <t>初美</t>
  </si>
  <si>
    <t>健康福祉局地域福祉保健部福祉保健課（石川県志賀町派遣）</t>
    <rPh sb="18" eb="21">
      <t>イシカワケン</t>
    </rPh>
    <phoneticPr fontId="2"/>
  </si>
  <si>
    <t>健康福祉局地域福祉保健部福祉保健課</t>
    <phoneticPr fontId="1"/>
  </si>
  <si>
    <t>本所</t>
  </si>
  <si>
    <t>清一</t>
  </si>
  <si>
    <t>港北区総務部総務課（福島県浪江町派遣）</t>
  </si>
  <si>
    <t>港北区総務部区政推進課</t>
  </si>
  <si>
    <t>矢野</t>
  </si>
  <si>
    <t>辰明</t>
  </si>
  <si>
    <t>瀬谷区総務部総務課担当係長（七尾市派遣）</t>
  </si>
  <si>
    <t>港湾局建設保全部建設第一課担当係長　</t>
    <phoneticPr fontId="1"/>
  </si>
  <si>
    <t>責任職対象外</t>
    <rPh sb="0" eb="3">
      <t>セキニンショク</t>
    </rPh>
    <rPh sb="3" eb="6">
      <t>タイショウガイ</t>
    </rPh>
    <phoneticPr fontId="1"/>
  </si>
  <si>
    <t>一般職対象外</t>
    <rPh sb="0" eb="3">
      <t>イッパンショク</t>
    </rPh>
    <rPh sb="3" eb="6">
      <t>タイショウガイ</t>
    </rPh>
    <phoneticPr fontId="1"/>
  </si>
  <si>
    <t>建築局住宅部住宅再生課</t>
  </si>
  <si>
    <t>建築局建築指導部建築指導課</t>
  </si>
  <si>
    <t>水道局</t>
    <rPh sb="0" eb="3">
      <t>スイドウキョク</t>
    </rPh>
    <phoneticPr fontId="16"/>
  </si>
  <si>
    <t>都市整備局都心活性化推進部関内関外事業推進課</t>
  </si>
  <si>
    <t>保土ケ谷区総務部地域振興課</t>
  </si>
  <si>
    <t>政策経営・国際戦略局シティプロモーション推進室広報・プロモーション戦略課</t>
  </si>
  <si>
    <t>防災・危機管理統括本部防災・危機管理推進部防災・危機管理推進課</t>
  </si>
  <si>
    <t>教育委員会事務局学校教育部学校経営支援課</t>
  </si>
  <si>
    <t>教育委員会事務局法務ガバナンス室</t>
  </si>
  <si>
    <t>消防局予防部予防課予防係</t>
  </si>
  <si>
    <t>消防局警防部警防課消防係</t>
  </si>
  <si>
    <t>消防局横浜へリポート航空科</t>
  </si>
  <si>
    <t>臼井</t>
  </si>
  <si>
    <t>優真</t>
  </si>
  <si>
    <t>上原</t>
  </si>
  <si>
    <t>利人</t>
  </si>
  <si>
    <t>七海</t>
  </si>
  <si>
    <t>林</t>
  </si>
  <si>
    <t>栞奈</t>
  </si>
  <si>
    <t>夏希</t>
  </si>
  <si>
    <t>小林</t>
  </si>
  <si>
    <t>樹</t>
  </si>
  <si>
    <t>松葉</t>
  </si>
  <si>
    <t>一成</t>
  </si>
  <si>
    <t>加瀬</t>
  </si>
  <si>
    <t>千尋</t>
  </si>
  <si>
    <t>武田</t>
  </si>
  <si>
    <t>夕佳</t>
  </si>
  <si>
    <t>三原</t>
  </si>
  <si>
    <t>尚</t>
  </si>
  <si>
    <t>光太郎</t>
  </si>
  <si>
    <t>金子</t>
  </si>
  <si>
    <t>裕宣</t>
  </si>
  <si>
    <t>申請番号</t>
  </si>
  <si>
    <t>集計対象フラグ</t>
    <rPh sb="0" eb="4">
      <t>シュウケイタイショウ</t>
    </rPh>
    <phoneticPr fontId="1"/>
  </si>
  <si>
    <t>本人の結婚</t>
    <rPh sb="0" eb="2">
      <t>ホンニン</t>
    </rPh>
    <rPh sb="3" eb="5">
      <t>ケッコン</t>
    </rPh>
    <phoneticPr fontId="1"/>
  </si>
  <si>
    <t>増減</t>
    <rPh sb="0" eb="2">
      <t>ゾウゲン</t>
    </rPh>
    <phoneticPr fontId="1"/>
  </si>
  <si>
    <t>区分</t>
    <rPh sb="0" eb="2">
      <t>クブン</t>
    </rPh>
    <phoneticPr fontId="1"/>
  </si>
  <si>
    <t>事実婚</t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</si>
  <si>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</si>
  <si>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</si>
  <si>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申請件数</t>
    <rPh sb="0" eb="2">
      <t>シンセイ</t>
    </rPh>
    <rPh sb="2" eb="4">
      <t>ケンスウ</t>
    </rPh>
    <phoneticPr fontId="1"/>
  </si>
  <si>
    <t>申請件数</t>
    <rPh sb="0" eb="4">
      <t>シンセイケンスウ</t>
    </rPh>
    <phoneticPr fontId="1"/>
  </si>
  <si>
    <t>項目名</t>
    <rPh sb="0" eb="2">
      <t>コウモク</t>
    </rPh>
    <rPh sb="2" eb="3">
      <t>メイ</t>
    </rPh>
    <phoneticPr fontId="1"/>
  </si>
  <si>
    <t>参考</t>
    <rPh sb="0" eb="2">
      <t>サンコウ</t>
    </rPh>
    <phoneticPr fontId="1"/>
  </si>
  <si>
    <t>3/29以前</t>
    <rPh sb="4" eb="6">
      <t>イゼン</t>
    </rPh>
    <phoneticPr fontId="1"/>
  </si>
  <si>
    <t>優先度</t>
    <rPh sb="0" eb="3">
      <t>ユウセンド</t>
    </rPh>
    <phoneticPr fontId="1"/>
  </si>
  <si>
    <t>-</t>
    <phoneticPr fontId="1"/>
  </si>
  <si>
    <t>扶養親族等異動届・児童手当　案件状況</t>
    <rPh sb="0" eb="5">
      <t>フヨウシンゾクトウ</t>
    </rPh>
    <rPh sb="5" eb="8">
      <t>イドウトドケ</t>
    </rPh>
    <rPh sb="9" eb="13">
      <t>ジドウテアテ</t>
    </rPh>
    <rPh sb="14" eb="18">
      <t>アンケンジョウキョウ</t>
    </rPh>
    <phoneticPr fontId="1"/>
  </si>
  <si>
    <t>SQLフォルダパス</t>
    <phoneticPr fontId="1"/>
  </si>
  <si>
    <t>T:\運用作業\0230.年次\年度繁忙進捗集計クエリv2.1</t>
    <phoneticPr fontId="1"/>
  </si>
  <si>
    <t>クエリ実行後、「SQLデータ」シートのA1セルに貼り付け</t>
    <rPh sb="3" eb="6">
      <t>ジッコウゴ</t>
    </rPh>
    <rPh sb="24" eb="25">
      <t>ハ</t>
    </rPh>
    <rPh sb="26" eb="27">
      <t>ツ</t>
    </rPh>
    <phoneticPr fontId="1"/>
  </si>
  <si>
    <t>※申請件数は、参考として「センターに申請のあがっている案件の総数」を記載しています。</t>
    <rPh sb="1" eb="5">
      <t>シンセイケンスウ</t>
    </rPh>
    <rPh sb="7" eb="9">
      <t>サンコウ</t>
    </rPh>
    <rPh sb="18" eb="20">
      <t>シンセイ</t>
    </rPh>
    <rPh sb="27" eb="29">
      <t>アンケン</t>
    </rPh>
    <rPh sb="30" eb="32">
      <t>ソウスウ</t>
    </rPh>
    <rPh sb="34" eb="36">
      <t>キサイ</t>
    </rPh>
    <phoneticPr fontId="1"/>
  </si>
  <si>
    <t>届出年月日毎の受付件数（週次毎の件数）</t>
    <rPh sb="0" eb="5">
      <t>トドケデネンガッピ</t>
    </rPh>
    <rPh sb="5" eb="6">
      <t>ゴト</t>
    </rPh>
    <rPh sb="7" eb="9">
      <t>ウケツケ</t>
    </rPh>
    <rPh sb="9" eb="11">
      <t>ケンスウ</t>
    </rPh>
    <rPh sb="12" eb="14">
      <t>シュウジ</t>
    </rPh>
    <rPh sb="14" eb="15">
      <t>ゴト</t>
    </rPh>
    <rPh sb="16" eb="18">
      <t>ケンスウ</t>
    </rPh>
    <phoneticPr fontId="1"/>
  </si>
  <si>
    <t>※「届出年月日毎の受付件数（週次毎の件数）」は、センターで認定を進められる案件を記載しています。（添付書類待ちや確認事項の回答待ちなどの案件は除外）</t>
    <rPh sb="2" eb="4">
      <t>トドケデ</t>
    </rPh>
    <rPh sb="4" eb="7">
      <t>ネンガッピ</t>
    </rPh>
    <rPh sb="7" eb="8">
      <t>ゴト</t>
    </rPh>
    <rPh sb="9" eb="11">
      <t>ウケツケ</t>
    </rPh>
    <rPh sb="11" eb="13">
      <t>ケンスウ</t>
    </rPh>
    <rPh sb="14" eb="16">
      <t>シュウジ</t>
    </rPh>
    <rPh sb="16" eb="17">
      <t>ゴト</t>
    </rPh>
    <rPh sb="18" eb="20">
      <t>ケンスウ</t>
    </rPh>
    <rPh sb="29" eb="31">
      <t>ニンテイ</t>
    </rPh>
    <rPh sb="32" eb="33">
      <t>スス</t>
    </rPh>
    <rPh sb="37" eb="39">
      <t>アンケン</t>
    </rPh>
    <rPh sb="40" eb="42">
      <t>キサイ</t>
    </rPh>
    <rPh sb="49" eb="51">
      <t>テンプ</t>
    </rPh>
    <rPh sb="51" eb="53">
      <t>ショルイ</t>
    </rPh>
    <rPh sb="53" eb="54">
      <t>マ</t>
    </rPh>
    <rPh sb="56" eb="58">
      <t>カクニン</t>
    </rPh>
    <rPh sb="58" eb="60">
      <t>ジコウ</t>
    </rPh>
    <rPh sb="61" eb="63">
      <t>カイトウ</t>
    </rPh>
    <rPh sb="63" eb="64">
      <t>マ</t>
    </rPh>
    <rPh sb="68" eb="70">
      <t>アンケン</t>
    </rPh>
    <rPh sb="71" eb="73">
      <t>ジョガイ</t>
    </rPh>
    <phoneticPr fontId="1"/>
  </si>
  <si>
    <t>1,7</t>
  </si>
  <si>
    <t>7,3</t>
  </si>
  <si>
    <t>5,2</t>
  </si>
  <si>
    <t>5,7</t>
  </si>
  <si>
    <t>同居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</si>
</sst>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m/d&quot;週&quot;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CCFFFF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9" fillId="0" borderId="0"/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</cellStyleXfs>
  <cellXfs count="151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 shrinkToFi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 shrinkToFi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 shrinkToFi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 shrinkToFi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shrinkToFi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177" fontId="8" fillId="0" borderId="0" xfId="1" applyNumberFormat="1" applyFont="1" applyAlignment="1">
      <alignment horizontal="left" vertical="center"/>
    </xf>
    <xf numFmtId="0" fontId="7" fillId="0" borderId="0" xfId="1"/>
    <xf numFmtId="177" fontId="7" fillId="0" borderId="0" xfId="1" applyNumberFormat="1"/>
    <xf numFmtId="177" fontId="10" fillId="7" borderId="1" xfId="2" applyNumberFormat="1" applyFont="1" applyFill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/>
    </xf>
    <xf numFmtId="0" fontId="10" fillId="7" borderId="30" xfId="2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horizontal="center" vertical="center"/>
    </xf>
    <xf numFmtId="0" fontId="7" fillId="0" borderId="0" xfId="1" applyAlignment="1">
      <alignment horizontal="center"/>
    </xf>
    <xf numFmtId="177" fontId="11" fillId="0" borderId="1" xfId="2" applyNumberFormat="1" applyFont="1" applyBorder="1" applyAlignment="1">
      <alignment horizontal="left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0" borderId="30" xfId="2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7" fillId="0" borderId="0" xfId="1" applyAlignment="1">
      <alignment horizontal="left" vertical="center"/>
    </xf>
    <xf numFmtId="0" fontId="7" fillId="0" borderId="0" xfId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14" fontId="11" fillId="0" borderId="1" xfId="3" applyNumberFormat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177" fontId="12" fillId="0" borderId="1" xfId="1" applyNumberFormat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176" fontId="14" fillId="0" borderId="1" xfId="4" applyNumberFormat="1" applyFont="1" applyBorder="1" applyAlignment="1">
      <alignment horizontal="left" vertical="center" wrapText="1"/>
    </xf>
    <xf numFmtId="0" fontId="12" fillId="0" borderId="1" xfId="1" applyFont="1" applyBorder="1"/>
    <xf numFmtId="0" fontId="14" fillId="0" borderId="1" xfId="5" applyFont="1" applyBorder="1" applyAlignment="1">
      <alignment horizontal="left" vertical="center" wrapText="1" shrinkToFit="1"/>
    </xf>
    <xf numFmtId="0" fontId="14" fillId="0" borderId="1" xfId="6" applyFont="1" applyBorder="1" applyAlignment="1">
      <alignment horizontal="left" vertical="center" wrapText="1" shrinkToFit="1"/>
    </xf>
    <xf numFmtId="176" fontId="14" fillId="0" borderId="1" xfId="7" applyNumberFormat="1" applyFont="1" applyBorder="1" applyAlignment="1">
      <alignment horizontal="left" vertical="center" wrapText="1"/>
    </xf>
    <xf numFmtId="176" fontId="14" fillId="0" borderId="1" xfId="7" applyNumberFormat="1" applyFont="1" applyBorder="1" applyAlignment="1">
      <alignment vertical="center" wrapText="1"/>
    </xf>
    <xf numFmtId="0" fontId="14" fillId="0" borderId="1" xfId="7" applyFont="1" applyBorder="1" applyAlignment="1">
      <alignment horizontal="left" vertical="center"/>
    </xf>
    <xf numFmtId="176" fontId="15" fillId="0" borderId="33" xfId="4" applyNumberFormat="1" applyFont="1" applyBorder="1" applyAlignment="1">
      <alignment horizontal="right" vertical="center" wrapText="1"/>
    </xf>
    <xf numFmtId="0" fontId="15" fillId="0" borderId="34" xfId="5" applyFont="1" applyBorder="1" applyAlignment="1">
      <alignment horizontal="left" vertical="center" wrapText="1" shrinkToFit="1"/>
    </xf>
    <xf numFmtId="0" fontId="15" fillId="0" borderId="34" xfId="6" applyFont="1" applyBorder="1" applyAlignment="1">
      <alignment horizontal="left" vertical="center" wrapText="1" shrinkToFit="1"/>
    </xf>
    <xf numFmtId="176" fontId="14" fillId="0" borderId="33" xfId="7" applyNumberFormat="1" applyFont="1" applyBorder="1" applyAlignment="1">
      <alignment horizontal="right" vertical="center" wrapText="1"/>
    </xf>
    <xf numFmtId="176" fontId="15" fillId="0" borderId="34" xfId="7" applyNumberFormat="1" applyFont="1" applyBorder="1" applyAlignment="1">
      <alignment vertical="center" wrapText="1"/>
    </xf>
    <xf numFmtId="176" fontId="15" fillId="0" borderId="19" xfId="4" applyNumberFormat="1" applyFont="1" applyBorder="1" applyAlignment="1">
      <alignment horizontal="right" vertical="center" wrapText="1"/>
    </xf>
    <xf numFmtId="0" fontId="15" fillId="0" borderId="35" xfId="5" applyFont="1" applyBorder="1" applyAlignment="1">
      <alignment horizontal="left" vertical="center" wrapText="1" shrinkToFit="1"/>
    </xf>
    <xf numFmtId="0" fontId="15" fillId="0" borderId="35" xfId="6" applyFont="1" applyBorder="1" applyAlignment="1">
      <alignment horizontal="left" vertical="center" wrapText="1" shrinkToFit="1"/>
    </xf>
    <xf numFmtId="176" fontId="14" fillId="0" borderId="19" xfId="7" applyNumberFormat="1" applyFont="1" applyBorder="1" applyAlignment="1">
      <alignment horizontal="right" vertical="center" wrapText="1"/>
    </xf>
    <xf numFmtId="176" fontId="15" fillId="0" borderId="35" xfId="7" applyNumberFormat="1" applyFont="1" applyBorder="1" applyAlignment="1">
      <alignment vertical="center" wrapText="1"/>
    </xf>
    <xf numFmtId="0" fontId="15" fillId="0" borderId="19" xfId="6" applyFont="1" applyBorder="1" applyAlignment="1">
      <alignment horizontal="left" vertical="center" wrapText="1" shrinkToFit="1"/>
    </xf>
    <xf numFmtId="0" fontId="0" fillId="10" borderId="0" xfId="0" applyFill="1">
      <alignment vertical="center"/>
    </xf>
    <xf numFmtId="176" fontId="0" fillId="11" borderId="0" xfId="0" applyNumberFormat="1" applyFill="1">
      <alignment vertical="center"/>
    </xf>
    <xf numFmtId="0" fontId="0" fillId="11" borderId="0" xfId="0" applyFill="1">
      <alignment vertical="center"/>
    </xf>
    <xf numFmtId="0" fontId="0" fillId="0" borderId="37" xfId="0" applyBorder="1">
      <alignment vertical="center"/>
    </xf>
    <xf numFmtId="0" fontId="0" fillId="0" borderId="30" xfId="0" applyBorder="1">
      <alignment vertical="center"/>
    </xf>
    <xf numFmtId="0" fontId="0" fillId="0" borderId="38" xfId="0" applyBorder="1">
      <alignment vertical="center"/>
    </xf>
    <xf numFmtId="0" fontId="0" fillId="0" borderId="2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1" xfId="0" applyBorder="1">
      <alignment vertical="center"/>
    </xf>
    <xf numFmtId="0" fontId="0" fillId="0" borderId="42" xfId="0" applyBorder="1">
      <alignment vertical="center"/>
    </xf>
    <xf numFmtId="14" fontId="0" fillId="0" borderId="4" xfId="0" applyNumberFormat="1" applyBorder="1">
      <alignment vertical="center"/>
    </xf>
    <xf numFmtId="14" fontId="0" fillId="0" borderId="5" xfId="0" applyNumberFormat="1" applyBorder="1">
      <alignment vertical="center"/>
    </xf>
    <xf numFmtId="14" fontId="0" fillId="0" borderId="7" xfId="0" applyNumberFormat="1" applyBorder="1">
      <alignment vertical="center"/>
    </xf>
    <xf numFmtId="14" fontId="0" fillId="0" borderId="8" xfId="0" applyNumberFormat="1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52" xfId="0" applyBorder="1">
      <alignment vertical="center"/>
    </xf>
    <xf numFmtId="0" fontId="0" fillId="0" borderId="36" xfId="0" applyBorder="1">
      <alignment vertical="center"/>
    </xf>
    <xf numFmtId="0" fontId="18" fillId="0" borderId="0" xfId="0" applyFont="1">
      <alignment vertical="center"/>
    </xf>
    <xf numFmtId="0" fontId="17" fillId="12" borderId="1" xfId="0" applyFont="1" applyFill="1" applyBorder="1">
      <alignment vertical="center"/>
    </xf>
    <xf numFmtId="0" fontId="17" fillId="13" borderId="1" xfId="0" applyFont="1" applyFill="1" applyBorder="1">
      <alignment vertical="center"/>
    </xf>
    <xf numFmtId="0" fontId="17" fillId="20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0" fillId="21" borderId="1" xfId="0" applyFill="1" applyBorder="1">
      <alignment vertical="center"/>
    </xf>
    <xf numFmtId="0" fontId="0" fillId="21" borderId="7" xfId="0" applyFill="1" applyBorder="1">
      <alignment vertical="center"/>
    </xf>
    <xf numFmtId="0" fontId="0" fillId="21" borderId="52" xfId="0" applyFill="1" applyBorder="1">
      <alignment vertical="center"/>
    </xf>
    <xf numFmtId="0" fontId="0" fillId="21" borderId="51" xfId="0" applyFill="1" applyBorder="1">
      <alignment vertical="center"/>
    </xf>
    <xf numFmtId="0" fontId="0" fillId="21" borderId="2" xfId="0" applyFill="1" applyBorder="1">
      <alignment vertical="center"/>
    </xf>
    <xf numFmtId="0" fontId="17" fillId="10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23" borderId="30" xfId="0" applyFont="1" applyFill="1" applyBorder="1" applyAlignment="1">
      <alignment horizontal="center" vertical="center"/>
    </xf>
    <xf numFmtId="0" fontId="18" fillId="17" borderId="30" xfId="0" applyFont="1" applyFill="1" applyBorder="1" applyAlignment="1">
      <alignment horizontal="right" vertical="center" indent="1"/>
    </xf>
    <xf numFmtId="0" fontId="18" fillId="0" borderId="53" xfId="0" applyFont="1" applyBorder="1" applyAlignment="1">
      <alignment horizontal="right" vertical="center" indent="1"/>
    </xf>
    <xf numFmtId="0" fontId="18" fillId="0" borderId="1" xfId="0" applyFont="1" applyBorder="1" applyAlignment="1">
      <alignment horizontal="right" vertical="center" indent="1"/>
    </xf>
    <xf numFmtId="0" fontId="19" fillId="24" borderId="0" xfId="0" applyFont="1" applyFill="1">
      <alignment vertical="center"/>
    </xf>
    <xf numFmtId="0" fontId="18" fillId="24" borderId="0" xfId="0" applyFont="1" applyFill="1">
      <alignment vertical="center"/>
    </xf>
    <xf numFmtId="14" fontId="17" fillId="22" borderId="53" xfId="0" applyNumberFormat="1" applyFont="1" applyFill="1" applyBorder="1" applyAlignment="1">
      <alignment horizontal="center" vertical="center"/>
    </xf>
    <xf numFmtId="178" fontId="17" fillId="22" borderId="1" xfId="0" applyNumberFormat="1" applyFont="1" applyFill="1" applyBorder="1" applyAlignment="1">
      <alignment horizontal="center" vertical="center"/>
    </xf>
    <xf numFmtId="0" fontId="17" fillId="22" borderId="54" xfId="0" applyFont="1" applyFill="1" applyBorder="1" applyAlignment="1">
      <alignment horizontal="centerContinuous" vertical="center"/>
    </xf>
    <xf numFmtId="0" fontId="17" fillId="22" borderId="31" xfId="0" applyFont="1" applyFill="1" applyBorder="1" applyAlignment="1">
      <alignment horizontal="centerContinuous" vertical="center"/>
    </xf>
    <xf numFmtId="0" fontId="17" fillId="22" borderId="32" xfId="0" applyFont="1" applyFill="1" applyBorder="1" applyAlignment="1">
      <alignment horizontal="centerContinuous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10" borderId="39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center" vertical="center"/>
    </xf>
    <xf numFmtId="0" fontId="7" fillId="5" borderId="30" xfId="1" applyFill="1" applyBorder="1" applyAlignment="1">
      <alignment horizontal="center"/>
    </xf>
    <xf numFmtId="0" fontId="7" fillId="5" borderId="31" xfId="1" applyFill="1" applyBorder="1" applyAlignment="1">
      <alignment horizontal="center"/>
    </xf>
    <xf numFmtId="0" fontId="7" fillId="5" borderId="32" xfId="1" applyFill="1" applyBorder="1" applyAlignment="1">
      <alignment horizontal="center"/>
    </xf>
    <xf numFmtId="0" fontId="7" fillId="6" borderId="30" xfId="1" applyFill="1" applyBorder="1" applyAlignment="1">
      <alignment horizontal="center"/>
    </xf>
    <xf numFmtId="0" fontId="7" fillId="6" borderId="31" xfId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8">
    <cellStyle name="標準" xfId="0" builtinId="0"/>
    <cellStyle name="標準 2" xfId="1" xr:uid="{E6B84BC8-9451-47D0-9FA6-5FEF0121F9D0}"/>
    <cellStyle name="標準 2 3" xfId="6" xr:uid="{8A45B137-A49F-4055-B86C-36344EC70C72}"/>
    <cellStyle name="標準_32【神奈川区】機構改革様式" xfId="5" xr:uid="{1EED7DE5-6A9A-41F5-A68F-EE54AA89C134}"/>
    <cellStyle name="標準_37【保土ケ谷区】機構改革様式" xfId="4" xr:uid="{2EBE96FC-1031-40D4-BD8E-709C109B8635}"/>
    <cellStyle name="標準_機構改革内示書【転出：全体】" xfId="7" xr:uid="{5BC434E3-EA2D-4978-A032-3AC3A45827D3}"/>
    <cellStyle name="標準_他者→本市" xfId="2" xr:uid="{50957E87-F3D4-403A-BE71-694F699F1967}"/>
    <cellStyle name="標準_本市→他者" xfId="3" xr:uid="{7FE00FC5-5D1E-4D1F-93E3-1B4663DB05A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561976</xdr:colOff>
      <xdr:row>13</xdr:row>
      <xdr:rowOff>47625</xdr:rowOff>
    </xdr:from>
    <xdr:to>
      <xdr:col>9</xdr:col>
      <xdr:colOff>219076</xdr:colOff>
      <xdr:row>19</xdr:row>
      <xdr:rowOff>171450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16D0597-7A88-34CF-4A47-4FA50E95EFBB}"/>
            </a:ext>
          </a:extLst>
        </xdr:cNvPr>
        <xdr:cNvSpPr/>
      </xdr:nvSpPr>
      <xdr:spPr>
        <a:xfrm>
          <a:off x="561976" y="3143250"/>
          <a:ext cx="5829300" cy="1552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集計メモ</a:t>
          </a:r>
          <a:endParaRPr kumimoji="1" lang="en-US" altLang="ja-JP" sz="1100"/>
        </a:p>
        <a:p>
          <a:pPr algn="l"/>
          <a:r>
            <a:rPr kumimoji="1" lang="ja-JP" altLang="en-US" sz="1100"/>
            <a:t>・児童手当は「確認待ち」はすべて除外</a:t>
          </a:r>
          <a:endParaRPr kumimoji="1" lang="en-US" altLang="ja-JP" sz="1100"/>
        </a:p>
        <a:p>
          <a:pPr algn="l"/>
          <a:r>
            <a:rPr kumimoji="1" lang="ja-JP" altLang="en-US" sz="1100"/>
            <a:t>・扶養は、「確認待ち」の場合、結婚の本人税のみと減・税のみは集計に含める。それ以外は除外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194395</xdr:colOff>
      <xdr:row>7</xdr:row>
      <xdr:rowOff>57979</xdr:rowOff>
    </xdr:from>
    <xdr:to>
      <xdr:col>23</xdr:col>
      <xdr:colOff>49693</xdr:colOff>
      <xdr:row>22</xdr:row>
      <xdr:rowOff>163286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67A51849-A37F-EDE1-A782-86289F7543D0}"/>
            </a:ext>
          </a:extLst>
        </xdr:cNvPr>
        <xdr:cNvSpPr/>
      </xdr:nvSpPr>
      <xdr:spPr>
        <a:xfrm>
          <a:off x="9079859" y="1337050"/>
          <a:ext cx="6808548" cy="4731736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■ご報告内容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4/17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（金）時点で、優先度ごとの受付件数の合計は、以下となりました。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優先度１：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優先度２：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111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優先度３：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優先度４：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優先度５：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優先度６：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165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件</a:t>
          </a:r>
        </a:p>
        <a:p>
          <a:pPr algn="l"/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4/20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週は、引き続き優先度順、かつ届出年月日順に認定を進める予定です。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ただし、先週ご依頼いただいた通り、現況届に向けて結婚・離婚の申請は優先して認定を行います。</a:t>
          </a:r>
        </a:p>
        <a:p>
          <a:pPr algn="l"/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・結婚・離婚の申請について、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4/24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（金）までにセンターで認定可能となった案件は、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月の締め日までに決裁を行います。</a:t>
          </a:r>
        </a:p>
        <a:p>
          <a:pPr algn="l"/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・児童手当は現況届に向けた対応として、５月の締め日までは「優先度２」として認定を進めます。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378B-47DD-4CC9-AA11-C4DA49B317A0}">
  <dimension ref="B2:B5"/>
  <sheetViews>
    <sheetView workbookViewId="0"/>
  </sheetViews>
  <sheetFormatPr defaultRowHeight="18.75" x14ac:dyDescent="0.4"/>
  <sheetData>
    <row r="2" spans="2:2" x14ac:dyDescent="0.4">
      <c r="B2" t="s">
        <v>886</v>
      </c>
    </row>
    <row r="3" spans="2:2" x14ac:dyDescent="0.4">
      <c r="B3" t="s">
        <v>887</v>
      </c>
    </row>
    <row r="5" spans="2:2" x14ac:dyDescent="0.4">
      <c r="B5" t="s">
        <v>888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39A8-1380-4718-ADF4-A8B54BD22625}">
  <dimension ref="A1:R4031"/>
  <sheetViews>
    <sheetView workbookViewId="0"/>
  </sheetViews>
  <sheetFormatPr defaultRowHeight="18.75" x14ac:dyDescent="0.4"/>
  <cols>
    <col min="1" max="1" width="14.75" style="1" bestFit="1" customWidth="1"/>
    <col min="2" max="2" width="14.75" style="1" customWidth="1"/>
    <col min="3" max="3" width="11.375" bestFit="1" customWidth="1"/>
    <col min="4" max="4" width="13" bestFit="1" customWidth="1"/>
    <col min="5" max="5" width="11" bestFit="1" customWidth="1"/>
    <col min="6" max="7" width="21.375" bestFit="1" customWidth="1"/>
    <col min="8" max="8" width="13" bestFit="1" customWidth="1"/>
    <col min="9" max="9" width="9" bestFit="1" customWidth="1"/>
    <col min="10" max="10" width="5.25" bestFit="1" customWidth="1"/>
    <col min="11" max="11" width="7.125" bestFit="1" customWidth="1"/>
    <col min="12" max="13" width="15.125" bestFit="1" customWidth="1"/>
    <col min="14" max="14" width="13" bestFit="1" customWidth="1"/>
    <col min="15" max="15" width="17.25" bestFit="1" customWidth="1"/>
    <col min="16" max="16" width="17.25" customWidth="1"/>
    <col min="17" max="18" width="13" bestFit="1" customWidth="1"/>
  </cols>
  <sheetData>
    <row r="1" spans="1:18" x14ac:dyDescent="0.4">
      <c r="A1" s="77" t="s">
        <v>870</v>
      </c>
      <c r="B1" s="77" t="s">
        <v>99</v>
      </c>
      <c r="C1" s="78" t="s">
        <v>41</v>
      </c>
      <c r="D1" s="78" t="s">
        <v>0</v>
      </c>
      <c r="E1" s="78" t="s">
        <v>1</v>
      </c>
      <c r="F1" s="78" t="s">
        <v>46</v>
      </c>
      <c r="G1" s="78" t="s">
        <v>2</v>
      </c>
      <c r="H1" s="78" t="s">
        <v>3</v>
      </c>
      <c r="I1" s="78" t="s">
        <v>4</v>
      </c>
      <c r="J1" s="78" t="s">
        <v>5</v>
      </c>
      <c r="K1" s="78" t="s">
        <v>6</v>
      </c>
      <c r="L1" s="76" t="s">
        <v>42</v>
      </c>
      <c r="M1" s="76" t="s">
        <v>43</v>
      </c>
      <c r="N1" s="76" t="s">
        <v>44</v>
      </c>
      <c r="O1" s="76" t="s">
        <v>45</v>
      </c>
      <c r="P1" s="76" t="s">
        <v>871</v>
      </c>
      <c r="Q1" s="76" t="s">
        <v>835</v>
      </c>
      <c r="R1" s="76" t="s">
        <v>836</v>
      </c>
    </row>
    <row r="2" spans="1:18" x14ac:dyDescent="0.4">
      <c r="A2" s="1">
        <v>202510000793</v>
      </c>
      <c r="B2" s="1">
        <v>1111083</v>
      </c>
      <c r="C2" s="2">
        <v>45866</v>
      </c>
      <c r="D2" t="s">
        <v>7</v>
      </c>
      <c r="E2" t="s">
        <v>10</v>
      </c>
      <c r="F2" t="s">
        <v>47</v>
      </c>
      <c r="G2" t="s">
        <v>9</v>
      </c>
      <c r="L2">
        <f t="shared" ref="L2:L65" si="0">IF(ISBLANK(J2),0,1)</f>
        <v>0</v>
      </c>
      <c r="M2">
        <f t="shared" ref="M2:M65" si="1">IF(AND(L2=0,I2&lt;&gt;""),1,0)</f>
        <v>0</v>
      </c>
      <c r="N2">
        <f t="shared" ref="N2:N65" si="2">IF(AND(L2=0,M2=0,K2&lt;&gt;""),1,0)</f>
        <v>0</v>
      </c>
      <c r="O2">
        <f>IF(COUNTIF(L2:N2,0)=3,1,0)</f>
        <v>1</v>
      </c>
      <c r="P2" t="str">
        <f t="shared" ref="P2:P65" si="3">IF(D2&lt;&gt;"扶養","",IF(E2&lt;&gt;"確認待ち",1,IF(OR(AND(G2="本人の結婚",O2=1),AND(H2="減",OR(N2=1,O2=1))),1,0)))</f>
        <v/>
      </c>
      <c r="Q2">
        <f>COUNTIF('責任職　企業局→市長部局'!A:A,SQLデータ!B2)</f>
        <v>0</v>
      </c>
      <c r="R2">
        <f>COUNTIF('一般職員　企業局→市長部局'!A:F,SQLデータ!B2)</f>
        <v>0</v>
      </c>
    </row>
    <row r="3" spans="1:18" x14ac:dyDescent="0.4">
      <c r="A3" s="1">
        <v>202510001619</v>
      </c>
      <c r="B3" s="1">
        <v>1122110</v>
      </c>
      <c r="C3" s="2">
        <v>46016</v>
      </c>
      <c r="D3" t="s">
        <v>7</v>
      </c>
      <c r="E3" t="s">
        <v>11</v>
      </c>
      <c r="F3" t="s">
        <v>48</v>
      </c>
      <c r="G3" t="s">
        <v>9</v>
      </c>
      <c r="L3">
        <f t="shared" si="0"/>
        <v>0</v>
      </c>
      <c r="M3">
        <f t="shared" si="1"/>
        <v>0</v>
      </c>
      <c r="N3">
        <f t="shared" si="2"/>
        <v>0</v>
      </c>
      <c r="O3">
        <f t="shared" ref="O3:O66" si="4">IF(COUNTIF(L3:N3,0)=3,1,0)</f>
        <v>1</v>
      </c>
      <c r="P3" t="str">
        <f t="shared" si="3"/>
        <v/>
      </c>
      <c r="Q3">
        <f>COUNTIF('責任職　企業局→市長部局'!A:A,SQLデータ!B3)</f>
        <v>0</v>
      </c>
      <c r="R3">
        <f>COUNTIF('一般職員　企業局→市長部局'!A:F,SQLデータ!B3)</f>
        <v>0</v>
      </c>
    </row>
    <row r="4" spans="1:18" x14ac:dyDescent="0.4">
      <c r="A4" s="1">
        <v>202510001748</v>
      </c>
      <c r="B4" s="1">
        <v>1256125</v>
      </c>
      <c r="C4" s="2">
        <v>46057</v>
      </c>
      <c r="D4" t="s">
        <v>7</v>
      </c>
      <c r="E4" t="s">
        <v>10</v>
      </c>
      <c r="F4" t="s">
        <v>47</v>
      </c>
      <c r="G4" t="s">
        <v>9</v>
      </c>
      <c r="L4">
        <f t="shared" si="0"/>
        <v>0</v>
      </c>
      <c r="M4">
        <f t="shared" si="1"/>
        <v>0</v>
      </c>
      <c r="N4">
        <f t="shared" si="2"/>
        <v>0</v>
      </c>
      <c r="O4">
        <f t="shared" si="4"/>
        <v>1</v>
      </c>
      <c r="P4" t="str">
        <f t="shared" si="3"/>
        <v/>
      </c>
      <c r="Q4">
        <f>COUNTIF('責任職　企業局→市長部局'!A:A,SQLデータ!B4)</f>
        <v>0</v>
      </c>
      <c r="R4">
        <f>COUNTIF('一般職員　企業局→市長部局'!A:F,SQLデータ!B4)</f>
        <v>0</v>
      </c>
    </row>
    <row r="5" spans="1:18" x14ac:dyDescent="0.4">
      <c r="A5" s="1">
        <v>202510001923</v>
      </c>
      <c r="B5" s="1">
        <v>1211445</v>
      </c>
      <c r="C5" s="2">
        <v>46069</v>
      </c>
      <c r="D5" t="s">
        <v>7</v>
      </c>
      <c r="E5" t="s">
        <v>10</v>
      </c>
      <c r="F5" t="s">
        <v>47</v>
      </c>
      <c r="G5" t="s">
        <v>9</v>
      </c>
      <c r="L5">
        <f t="shared" si="0"/>
        <v>0</v>
      </c>
      <c r="M5">
        <f t="shared" si="1"/>
        <v>0</v>
      </c>
      <c r="N5">
        <f t="shared" si="2"/>
        <v>0</v>
      </c>
      <c r="O5">
        <f t="shared" si="4"/>
        <v>1</v>
      </c>
      <c r="P5" t="str">
        <f t="shared" si="3"/>
        <v/>
      </c>
      <c r="Q5">
        <f>COUNTIF('責任職　企業局→市長部局'!A:A,SQLデータ!B5)</f>
        <v>0</v>
      </c>
      <c r="R5">
        <f>COUNTIF('一般職員　企業局→市長部局'!A:F,SQLデータ!B5)</f>
        <v>0</v>
      </c>
    </row>
    <row r="6" spans="1:18" x14ac:dyDescent="0.4">
      <c r="A6" s="1">
        <v>202510002028</v>
      </c>
      <c r="B6" s="1">
        <v>1256115</v>
      </c>
      <c r="C6" s="2">
        <v>46084</v>
      </c>
      <c r="D6" t="s">
        <v>7</v>
      </c>
      <c r="E6" t="s">
        <v>10</v>
      </c>
      <c r="F6" t="s">
        <v>47</v>
      </c>
      <c r="G6" t="s">
        <v>9</v>
      </c>
      <c r="L6">
        <f t="shared" si="0"/>
        <v>0</v>
      </c>
      <c r="M6">
        <f t="shared" si="1"/>
        <v>0</v>
      </c>
      <c r="N6">
        <f t="shared" si="2"/>
        <v>0</v>
      </c>
      <c r="O6">
        <f t="shared" si="4"/>
        <v>1</v>
      </c>
      <c r="P6" t="str">
        <f t="shared" si="3"/>
        <v/>
      </c>
      <c r="Q6">
        <f>COUNTIF('責任職　企業局→市長部局'!A:A,SQLデータ!B6)</f>
        <v>0</v>
      </c>
      <c r="R6">
        <f>COUNTIF('一般職員　企業局→市長部局'!A:F,SQLデータ!B6)</f>
        <v>0</v>
      </c>
    </row>
    <row r="7" spans="1:18" x14ac:dyDescent="0.4">
      <c r="A7" s="1">
        <v>202510002029</v>
      </c>
      <c r="B7" s="1">
        <v>1256115</v>
      </c>
      <c r="C7" s="2">
        <v>46084</v>
      </c>
      <c r="D7" t="s">
        <v>7</v>
      </c>
      <c r="E7" t="s">
        <v>10</v>
      </c>
      <c r="F7" t="s">
        <v>47</v>
      </c>
      <c r="G7" t="s">
        <v>9</v>
      </c>
      <c r="L7">
        <f t="shared" si="0"/>
        <v>0</v>
      </c>
      <c r="M7">
        <f t="shared" si="1"/>
        <v>0</v>
      </c>
      <c r="N7">
        <f t="shared" si="2"/>
        <v>0</v>
      </c>
      <c r="O7">
        <f t="shared" si="4"/>
        <v>1</v>
      </c>
      <c r="P7" t="str">
        <f t="shared" si="3"/>
        <v/>
      </c>
      <c r="Q7">
        <f>COUNTIF('責任職　企業局→市長部局'!A:A,SQLデータ!B7)</f>
        <v>0</v>
      </c>
      <c r="R7">
        <f>COUNTIF('一般職員　企業局→市長部局'!A:F,SQLデータ!B7)</f>
        <v>0</v>
      </c>
    </row>
    <row r="8" spans="1:18" x14ac:dyDescent="0.4">
      <c r="A8" s="1">
        <v>202510002056</v>
      </c>
      <c r="B8" s="1">
        <v>1176101</v>
      </c>
      <c r="C8" s="2">
        <v>46128</v>
      </c>
      <c r="D8" t="s">
        <v>7</v>
      </c>
      <c r="E8" t="s">
        <v>8</v>
      </c>
      <c r="G8" t="s">
        <v>9</v>
      </c>
      <c r="L8">
        <f t="shared" si="0"/>
        <v>0</v>
      </c>
      <c r="M8">
        <f t="shared" si="1"/>
        <v>0</v>
      </c>
      <c r="N8">
        <f t="shared" si="2"/>
        <v>0</v>
      </c>
      <c r="O8">
        <f t="shared" si="4"/>
        <v>1</v>
      </c>
      <c r="P8" t="str">
        <f t="shared" si="3"/>
        <v/>
      </c>
      <c r="Q8">
        <f>COUNTIF('責任職　企業局→市長部局'!A:A,SQLデータ!B8)</f>
        <v>0</v>
      </c>
      <c r="R8">
        <f>COUNTIF('一般職員　企業局→市長部局'!A:F,SQLデータ!B8)</f>
        <v>0</v>
      </c>
    </row>
    <row r="9" spans="1:18" x14ac:dyDescent="0.4">
      <c r="A9" s="1">
        <v>202510002069</v>
      </c>
      <c r="B9" s="1">
        <v>1182055</v>
      </c>
      <c r="C9" s="2">
        <v>46090</v>
      </c>
      <c r="D9" t="s">
        <v>7</v>
      </c>
      <c r="E9" t="s">
        <v>10</v>
      </c>
      <c r="F9" t="s">
        <v>47</v>
      </c>
      <c r="G9" t="s">
        <v>9</v>
      </c>
      <c r="L9">
        <f t="shared" si="0"/>
        <v>0</v>
      </c>
      <c r="M9">
        <f t="shared" si="1"/>
        <v>0</v>
      </c>
      <c r="N9">
        <f t="shared" si="2"/>
        <v>0</v>
      </c>
      <c r="O9">
        <f t="shared" si="4"/>
        <v>1</v>
      </c>
      <c r="P9" t="str">
        <f t="shared" si="3"/>
        <v/>
      </c>
      <c r="Q9">
        <f>COUNTIF('責任職　企業局→市長部局'!A:A,SQLデータ!B9)</f>
        <v>0</v>
      </c>
      <c r="R9">
        <f>COUNTIF('一般職員　企業局→市長部局'!A:F,SQLデータ!B9)</f>
        <v>0</v>
      </c>
    </row>
    <row r="10" spans="1:18" x14ac:dyDescent="0.4">
      <c r="A10" s="1">
        <v>202510002115</v>
      </c>
      <c r="B10" s="1">
        <v>1201456</v>
      </c>
      <c r="C10" s="2">
        <v>46097</v>
      </c>
      <c r="D10" t="s">
        <v>7</v>
      </c>
      <c r="E10" t="s">
        <v>10</v>
      </c>
      <c r="F10" t="s">
        <v>47</v>
      </c>
      <c r="G10" t="s">
        <v>9</v>
      </c>
      <c r="L10">
        <f t="shared" si="0"/>
        <v>0</v>
      </c>
      <c r="M10">
        <f t="shared" si="1"/>
        <v>0</v>
      </c>
      <c r="N10">
        <f t="shared" si="2"/>
        <v>0</v>
      </c>
      <c r="O10">
        <f t="shared" si="4"/>
        <v>1</v>
      </c>
      <c r="P10" t="str">
        <f t="shared" si="3"/>
        <v/>
      </c>
      <c r="Q10">
        <f>COUNTIF('責任職　企業局→市長部局'!A:A,SQLデータ!B10)</f>
        <v>0</v>
      </c>
      <c r="R10">
        <f>COUNTIF('一般職員　企業局→市長部局'!A:F,SQLデータ!B10)</f>
        <v>0</v>
      </c>
    </row>
    <row r="11" spans="1:18" x14ac:dyDescent="0.4">
      <c r="A11" s="1">
        <v>202510002128</v>
      </c>
      <c r="B11" s="1">
        <v>1111168</v>
      </c>
      <c r="C11" s="2">
        <v>46099</v>
      </c>
      <c r="D11" t="s">
        <v>7</v>
      </c>
      <c r="E11" t="s">
        <v>10</v>
      </c>
      <c r="F11" t="s">
        <v>47</v>
      </c>
      <c r="G11" t="s">
        <v>9</v>
      </c>
      <c r="L11">
        <f t="shared" si="0"/>
        <v>0</v>
      </c>
      <c r="M11">
        <f t="shared" si="1"/>
        <v>0</v>
      </c>
      <c r="N11">
        <f t="shared" si="2"/>
        <v>0</v>
      </c>
      <c r="O11">
        <f t="shared" si="4"/>
        <v>1</v>
      </c>
      <c r="P11" t="str">
        <f t="shared" si="3"/>
        <v/>
      </c>
      <c r="Q11">
        <f>COUNTIF('責任職　企業局→市長部局'!A:A,SQLデータ!B11)</f>
        <v>0</v>
      </c>
      <c r="R11">
        <f>COUNTIF('一般職員　企業局→市長部局'!A:F,SQLデータ!B11)</f>
        <v>0</v>
      </c>
    </row>
    <row r="12" spans="1:18" x14ac:dyDescent="0.4">
      <c r="A12" s="1">
        <v>202510002155</v>
      </c>
      <c r="B12" s="1">
        <v>1126064</v>
      </c>
      <c r="C12" s="2">
        <v>46104</v>
      </c>
      <c r="D12" t="s">
        <v>7</v>
      </c>
      <c r="E12" t="s">
        <v>12</v>
      </c>
      <c r="G12" t="s">
        <v>9</v>
      </c>
      <c r="L12">
        <f t="shared" si="0"/>
        <v>0</v>
      </c>
      <c r="M12">
        <f t="shared" si="1"/>
        <v>0</v>
      </c>
      <c r="N12">
        <f t="shared" si="2"/>
        <v>0</v>
      </c>
      <c r="O12">
        <f t="shared" si="4"/>
        <v>1</v>
      </c>
      <c r="P12" t="str">
        <f t="shared" si="3"/>
        <v/>
      </c>
      <c r="Q12">
        <f>COUNTIF('責任職　企業局→市長部局'!A:A,SQLデータ!B12)</f>
        <v>0</v>
      </c>
      <c r="R12">
        <f>COUNTIF('一般職員　企業局→市長部局'!A:F,SQLデータ!B12)</f>
        <v>0</v>
      </c>
    </row>
    <row r="13" spans="1:18" x14ac:dyDescent="0.4">
      <c r="A13" s="1">
        <v>202510002164</v>
      </c>
      <c r="B13" s="1">
        <v>1081458</v>
      </c>
      <c r="C13" s="2">
        <v>46105</v>
      </c>
      <c r="D13" t="s">
        <v>7</v>
      </c>
      <c r="E13" t="s">
        <v>10</v>
      </c>
      <c r="F13" t="s">
        <v>47</v>
      </c>
      <c r="G13" t="s">
        <v>9</v>
      </c>
      <c r="L13">
        <f t="shared" si="0"/>
        <v>0</v>
      </c>
      <c r="M13">
        <f t="shared" si="1"/>
        <v>0</v>
      </c>
      <c r="N13">
        <f t="shared" si="2"/>
        <v>0</v>
      </c>
      <c r="O13">
        <f t="shared" si="4"/>
        <v>1</v>
      </c>
      <c r="P13" t="str">
        <f t="shared" si="3"/>
        <v/>
      </c>
      <c r="Q13">
        <f>COUNTIF('責任職　企業局→市長部局'!A:A,SQLデータ!B13)</f>
        <v>0</v>
      </c>
      <c r="R13">
        <f>COUNTIF('一般職員　企業局→市長部局'!A:F,SQLデータ!B13)</f>
        <v>0</v>
      </c>
    </row>
    <row r="14" spans="1:18" x14ac:dyDescent="0.4">
      <c r="A14" s="1">
        <v>202510002216</v>
      </c>
      <c r="B14" s="1">
        <v>1122110</v>
      </c>
      <c r="C14" s="2">
        <v>46111</v>
      </c>
      <c r="D14" t="s">
        <v>7</v>
      </c>
      <c r="E14" t="s">
        <v>11</v>
      </c>
      <c r="F14" t="s">
        <v>50</v>
      </c>
      <c r="G14" t="s">
        <v>9</v>
      </c>
      <c r="L14">
        <f t="shared" si="0"/>
        <v>0</v>
      </c>
      <c r="M14">
        <f t="shared" si="1"/>
        <v>0</v>
      </c>
      <c r="N14">
        <f t="shared" si="2"/>
        <v>0</v>
      </c>
      <c r="O14">
        <f t="shared" si="4"/>
        <v>1</v>
      </c>
      <c r="P14" t="str">
        <f t="shared" si="3"/>
        <v/>
      </c>
      <c r="Q14">
        <f>COUNTIF('責任職　企業局→市長部局'!A:A,SQLデータ!B14)</f>
        <v>0</v>
      </c>
      <c r="R14">
        <f>COUNTIF('一般職員　企業局→市長部局'!A:F,SQLデータ!B14)</f>
        <v>0</v>
      </c>
    </row>
    <row r="15" spans="1:18" x14ac:dyDescent="0.4">
      <c r="A15" s="1">
        <v>202520000560</v>
      </c>
      <c r="B15" s="1">
        <v>1186140</v>
      </c>
      <c r="C15" s="2">
        <v>46053</v>
      </c>
      <c r="D15" t="s">
        <v>13</v>
      </c>
      <c r="E15" t="s">
        <v>10</v>
      </c>
      <c r="F15" t="s">
        <v>48</v>
      </c>
      <c r="G15" t="s">
        <v>9</v>
      </c>
      <c r="L15">
        <f t="shared" si="0"/>
        <v>0</v>
      </c>
      <c r="M15">
        <f t="shared" si="1"/>
        <v>0</v>
      </c>
      <c r="N15">
        <f t="shared" si="2"/>
        <v>0</v>
      </c>
      <c r="O15">
        <f t="shared" si="4"/>
        <v>1</v>
      </c>
      <c r="P15" t="str">
        <f t="shared" si="3"/>
        <v/>
      </c>
      <c r="Q15">
        <f>COUNTIF('責任職　企業局→市長部局'!A:A,SQLデータ!B15)</f>
        <v>0</v>
      </c>
      <c r="R15">
        <f>COUNTIF('一般職員　企業局→市長部局'!A:F,SQLデータ!B15)</f>
        <v>0</v>
      </c>
    </row>
    <row r="16" spans="1:18" x14ac:dyDescent="0.4">
      <c r="A16" s="1">
        <v>202520000561</v>
      </c>
      <c r="B16" s="1">
        <v>1156002</v>
      </c>
      <c r="C16" s="2">
        <v>46059</v>
      </c>
      <c r="D16" t="s">
        <v>13</v>
      </c>
      <c r="E16" t="s">
        <v>12</v>
      </c>
      <c r="G16" t="s">
        <v>9</v>
      </c>
      <c r="L16">
        <f t="shared" si="0"/>
        <v>0</v>
      </c>
      <c r="M16">
        <f t="shared" si="1"/>
        <v>0</v>
      </c>
      <c r="N16">
        <f t="shared" si="2"/>
        <v>0</v>
      </c>
      <c r="O16">
        <f t="shared" si="4"/>
        <v>1</v>
      </c>
      <c r="P16" t="str">
        <f t="shared" si="3"/>
        <v/>
      </c>
      <c r="Q16">
        <f>COUNTIF('責任職　企業局→市長部局'!A:A,SQLデータ!B16)</f>
        <v>0</v>
      </c>
      <c r="R16">
        <f>COUNTIF('一般職員　企業局→市長部局'!A:F,SQLデータ!B16)</f>
        <v>0</v>
      </c>
    </row>
    <row r="17" spans="1:18" x14ac:dyDescent="0.4">
      <c r="A17" s="1">
        <v>202520000585</v>
      </c>
      <c r="B17" s="1">
        <v>1251245</v>
      </c>
      <c r="C17" s="2">
        <v>46079</v>
      </c>
      <c r="D17" t="s">
        <v>13</v>
      </c>
      <c r="E17" t="s">
        <v>8</v>
      </c>
      <c r="F17" t="s">
        <v>47</v>
      </c>
      <c r="G17" t="s">
        <v>9</v>
      </c>
      <c r="L17">
        <f t="shared" si="0"/>
        <v>0</v>
      </c>
      <c r="M17">
        <f t="shared" si="1"/>
        <v>0</v>
      </c>
      <c r="N17">
        <f t="shared" si="2"/>
        <v>0</v>
      </c>
      <c r="O17">
        <f t="shared" si="4"/>
        <v>1</v>
      </c>
      <c r="P17" t="str">
        <f t="shared" si="3"/>
        <v/>
      </c>
      <c r="Q17">
        <f>COUNTIF('責任職　企業局→市長部局'!A:A,SQLデータ!B17)</f>
        <v>0</v>
      </c>
      <c r="R17">
        <f>COUNTIF('一般職員　企業局→市長部局'!A:F,SQLデータ!B17)</f>
        <v>0</v>
      </c>
    </row>
    <row r="18" spans="1:18" x14ac:dyDescent="0.4">
      <c r="A18" s="1">
        <v>202520000591</v>
      </c>
      <c r="B18" s="1">
        <v>1192017</v>
      </c>
      <c r="C18" s="2">
        <v>46084</v>
      </c>
      <c r="D18" t="s">
        <v>13</v>
      </c>
      <c r="E18" t="s">
        <v>12</v>
      </c>
      <c r="F18" t="s">
        <v>48</v>
      </c>
      <c r="G18" t="s">
        <v>9</v>
      </c>
      <c r="L18">
        <f t="shared" si="0"/>
        <v>0</v>
      </c>
      <c r="M18">
        <f t="shared" si="1"/>
        <v>0</v>
      </c>
      <c r="N18">
        <f t="shared" si="2"/>
        <v>0</v>
      </c>
      <c r="O18">
        <f t="shared" si="4"/>
        <v>1</v>
      </c>
      <c r="P18" t="str">
        <f t="shared" si="3"/>
        <v/>
      </c>
      <c r="Q18">
        <f>COUNTIF('責任職　企業局→市長部局'!A:A,SQLデータ!B18)</f>
        <v>0</v>
      </c>
      <c r="R18">
        <f>COUNTIF('一般職員　企業局→市長部局'!A:F,SQLデータ!B18)</f>
        <v>0</v>
      </c>
    </row>
    <row r="19" spans="1:18" x14ac:dyDescent="0.4">
      <c r="A19" s="1">
        <v>202520000600</v>
      </c>
      <c r="B19" s="1">
        <v>1211166</v>
      </c>
      <c r="C19" s="2">
        <v>46091</v>
      </c>
      <c r="D19" t="s">
        <v>13</v>
      </c>
      <c r="E19" t="s">
        <v>10</v>
      </c>
      <c r="F19" t="s">
        <v>48</v>
      </c>
      <c r="G19" t="s">
        <v>9</v>
      </c>
      <c r="L19">
        <f t="shared" si="0"/>
        <v>0</v>
      </c>
      <c r="M19">
        <f t="shared" si="1"/>
        <v>0</v>
      </c>
      <c r="N19">
        <f t="shared" si="2"/>
        <v>0</v>
      </c>
      <c r="O19">
        <f t="shared" si="4"/>
        <v>1</v>
      </c>
      <c r="P19" t="str">
        <f t="shared" si="3"/>
        <v/>
      </c>
      <c r="Q19">
        <f>COUNTIF('責任職　企業局→市長部局'!A:A,SQLデータ!B19)</f>
        <v>0</v>
      </c>
      <c r="R19">
        <f>COUNTIF('一般職員　企業局→市長部局'!A:F,SQLデータ!B19)</f>
        <v>0</v>
      </c>
    </row>
    <row r="20" spans="1:18" x14ac:dyDescent="0.4">
      <c r="A20" s="1">
        <v>202520000603</v>
      </c>
      <c r="B20" s="1">
        <v>920331</v>
      </c>
      <c r="C20" s="2">
        <v>46091</v>
      </c>
      <c r="D20" t="s">
        <v>13</v>
      </c>
      <c r="E20" t="s">
        <v>12</v>
      </c>
      <c r="G20" t="s">
        <v>9</v>
      </c>
      <c r="L20">
        <f t="shared" si="0"/>
        <v>0</v>
      </c>
      <c r="M20">
        <f t="shared" si="1"/>
        <v>0</v>
      </c>
      <c r="N20">
        <f t="shared" si="2"/>
        <v>0</v>
      </c>
      <c r="O20">
        <f t="shared" si="4"/>
        <v>1</v>
      </c>
      <c r="P20" t="str">
        <f t="shared" si="3"/>
        <v/>
      </c>
      <c r="Q20">
        <f>COUNTIF('責任職　企業局→市長部局'!A:A,SQLデータ!B20)</f>
        <v>0</v>
      </c>
      <c r="R20">
        <f>COUNTIF('一般職員　企業局→市長部局'!A:F,SQLデータ!B20)</f>
        <v>0</v>
      </c>
    </row>
    <row r="21" spans="1:18" x14ac:dyDescent="0.4">
      <c r="A21" s="1">
        <v>202520000605</v>
      </c>
      <c r="B21" s="1">
        <v>1161250</v>
      </c>
      <c r="C21" s="2">
        <v>46092</v>
      </c>
      <c r="D21" t="s">
        <v>13</v>
      </c>
      <c r="E21" t="s">
        <v>12</v>
      </c>
      <c r="F21" t="s">
        <v>48</v>
      </c>
      <c r="G21" t="s">
        <v>9</v>
      </c>
      <c r="L21">
        <f t="shared" si="0"/>
        <v>0</v>
      </c>
      <c r="M21">
        <f t="shared" si="1"/>
        <v>0</v>
      </c>
      <c r="N21">
        <f t="shared" si="2"/>
        <v>0</v>
      </c>
      <c r="O21">
        <f t="shared" si="4"/>
        <v>1</v>
      </c>
      <c r="P21" t="str">
        <f t="shared" si="3"/>
        <v/>
      </c>
      <c r="Q21">
        <f>COUNTIF('責任職　企業局→市長部局'!A:A,SQLデータ!B21)</f>
        <v>0</v>
      </c>
      <c r="R21">
        <f>COUNTIF('一般職員　企業局→市長部局'!A:F,SQLデータ!B21)</f>
        <v>0</v>
      </c>
    </row>
    <row r="22" spans="1:18" x14ac:dyDescent="0.4">
      <c r="A22" s="1">
        <v>202520000616</v>
      </c>
      <c r="B22" s="1">
        <v>1111437</v>
      </c>
      <c r="C22" s="2">
        <v>46104</v>
      </c>
      <c r="D22" t="s">
        <v>13</v>
      </c>
      <c r="E22" t="s">
        <v>11</v>
      </c>
      <c r="F22" t="s">
        <v>892</v>
      </c>
      <c r="G22" t="s">
        <v>9</v>
      </c>
      <c r="L22">
        <f t="shared" si="0"/>
        <v>0</v>
      </c>
      <c r="M22">
        <f t="shared" si="1"/>
        <v>0</v>
      </c>
      <c r="N22">
        <f t="shared" si="2"/>
        <v>0</v>
      </c>
      <c r="O22">
        <f t="shared" si="4"/>
        <v>1</v>
      </c>
      <c r="P22" t="str">
        <f t="shared" si="3"/>
        <v/>
      </c>
      <c r="Q22">
        <f>COUNTIF('責任職　企業局→市長部局'!A:A,SQLデータ!B22)</f>
        <v>0</v>
      </c>
      <c r="R22">
        <f>COUNTIF('一般職員　企業局→市長部局'!A:F,SQLデータ!B22)</f>
        <v>0</v>
      </c>
    </row>
    <row r="23" spans="1:18" x14ac:dyDescent="0.4">
      <c r="A23" s="1">
        <v>202520000617</v>
      </c>
      <c r="B23" s="1">
        <v>1156093</v>
      </c>
      <c r="C23" s="2">
        <v>46106</v>
      </c>
      <c r="D23" t="s">
        <v>13</v>
      </c>
      <c r="E23" t="s">
        <v>8</v>
      </c>
      <c r="F23" t="s">
        <v>47</v>
      </c>
      <c r="G23" t="s">
        <v>9</v>
      </c>
      <c r="L23">
        <f t="shared" si="0"/>
        <v>0</v>
      </c>
      <c r="M23">
        <f t="shared" si="1"/>
        <v>0</v>
      </c>
      <c r="N23">
        <f t="shared" si="2"/>
        <v>0</v>
      </c>
      <c r="O23">
        <f t="shared" si="4"/>
        <v>1</v>
      </c>
      <c r="P23" t="str">
        <f t="shared" si="3"/>
        <v/>
      </c>
      <c r="Q23">
        <f>COUNTIF('責任職　企業局→市長部局'!A:A,SQLデータ!B23)</f>
        <v>0</v>
      </c>
      <c r="R23">
        <f>COUNTIF('一般職員　企業局→市長部局'!A:F,SQLデータ!B23)</f>
        <v>0</v>
      </c>
    </row>
    <row r="24" spans="1:18" x14ac:dyDescent="0.4">
      <c r="A24" s="1">
        <v>202520000618</v>
      </c>
      <c r="B24" s="1">
        <v>1206045</v>
      </c>
      <c r="C24" s="2">
        <v>46107</v>
      </c>
      <c r="D24" t="s">
        <v>13</v>
      </c>
      <c r="E24" t="s">
        <v>8</v>
      </c>
      <c r="F24" t="s">
        <v>47</v>
      </c>
      <c r="G24" t="s">
        <v>9</v>
      </c>
      <c r="L24">
        <f t="shared" si="0"/>
        <v>0</v>
      </c>
      <c r="M24">
        <f t="shared" si="1"/>
        <v>0</v>
      </c>
      <c r="N24">
        <f t="shared" si="2"/>
        <v>0</v>
      </c>
      <c r="O24">
        <f t="shared" si="4"/>
        <v>1</v>
      </c>
      <c r="P24" t="str">
        <f t="shared" si="3"/>
        <v/>
      </c>
      <c r="Q24">
        <f>COUNTIF('責任職　企業局→市長部局'!A:A,SQLデータ!B24)</f>
        <v>0</v>
      </c>
      <c r="R24">
        <f>COUNTIF('一般職員　企業局→市長部局'!A:F,SQLデータ!B24)</f>
        <v>0</v>
      </c>
    </row>
    <row r="25" spans="1:18" x14ac:dyDescent="0.4">
      <c r="A25" s="1">
        <v>202520000621</v>
      </c>
      <c r="B25" s="1">
        <v>1151461</v>
      </c>
      <c r="C25" s="2">
        <v>46127</v>
      </c>
      <c r="D25" t="s">
        <v>13</v>
      </c>
      <c r="E25" t="s">
        <v>8</v>
      </c>
      <c r="G25" t="s">
        <v>9</v>
      </c>
      <c r="L25">
        <f t="shared" si="0"/>
        <v>0</v>
      </c>
      <c r="M25">
        <f t="shared" si="1"/>
        <v>0</v>
      </c>
      <c r="N25">
        <f t="shared" si="2"/>
        <v>0</v>
      </c>
      <c r="O25">
        <f t="shared" si="4"/>
        <v>1</v>
      </c>
      <c r="P25" t="str">
        <f t="shared" si="3"/>
        <v/>
      </c>
      <c r="Q25">
        <f>COUNTIF('責任職　企業局→市長部局'!A:A,SQLデータ!B25)</f>
        <v>0</v>
      </c>
      <c r="R25">
        <f>COUNTIF('一般職員　企業局→市長部局'!A:F,SQLデータ!B25)</f>
        <v>0</v>
      </c>
    </row>
    <row r="26" spans="1:18" x14ac:dyDescent="0.4">
      <c r="A26" s="1">
        <v>202520000622</v>
      </c>
      <c r="B26" s="1">
        <v>1194097</v>
      </c>
      <c r="C26" s="2">
        <v>46118</v>
      </c>
      <c r="D26" t="s">
        <v>13</v>
      </c>
      <c r="E26" t="s">
        <v>12</v>
      </c>
      <c r="F26" t="s">
        <v>48</v>
      </c>
      <c r="G26" t="s">
        <v>9</v>
      </c>
      <c r="L26">
        <f t="shared" si="0"/>
        <v>0</v>
      </c>
      <c r="M26">
        <f t="shared" si="1"/>
        <v>0</v>
      </c>
      <c r="N26">
        <f t="shared" si="2"/>
        <v>0</v>
      </c>
      <c r="O26">
        <f t="shared" si="4"/>
        <v>1</v>
      </c>
      <c r="P26" t="str">
        <f t="shared" si="3"/>
        <v/>
      </c>
      <c r="Q26">
        <f>COUNTIF('責任職　企業局→市長部局'!A:A,SQLデータ!B26)</f>
        <v>0</v>
      </c>
      <c r="R26">
        <f>COUNTIF('一般職員　企業局→市長部局'!A:F,SQLデータ!B26)</f>
        <v>0</v>
      </c>
    </row>
    <row r="27" spans="1:18" x14ac:dyDescent="0.4">
      <c r="A27" s="1">
        <v>202520000623</v>
      </c>
      <c r="B27" s="1">
        <v>1131048</v>
      </c>
      <c r="C27" s="2">
        <v>46111</v>
      </c>
      <c r="D27" t="s">
        <v>13</v>
      </c>
      <c r="E27" t="s">
        <v>12</v>
      </c>
      <c r="F27" t="s">
        <v>48</v>
      </c>
      <c r="G27" t="s">
        <v>9</v>
      </c>
      <c r="L27">
        <f t="shared" si="0"/>
        <v>0</v>
      </c>
      <c r="M27">
        <f t="shared" si="1"/>
        <v>0</v>
      </c>
      <c r="N27">
        <f t="shared" si="2"/>
        <v>0</v>
      </c>
      <c r="O27">
        <f t="shared" si="4"/>
        <v>1</v>
      </c>
      <c r="P27" t="str">
        <f t="shared" si="3"/>
        <v/>
      </c>
      <c r="Q27">
        <f>COUNTIF('責任職　企業局→市長部局'!A:A,SQLデータ!B27)</f>
        <v>0</v>
      </c>
      <c r="R27">
        <f>COUNTIF('一般職員　企業局→市長部局'!A:F,SQLデータ!B27)</f>
        <v>0</v>
      </c>
    </row>
    <row r="28" spans="1:18" x14ac:dyDescent="0.4">
      <c r="A28" s="1">
        <v>202530000153</v>
      </c>
      <c r="B28" s="1">
        <v>1071006</v>
      </c>
      <c r="C28" s="2">
        <v>45804</v>
      </c>
      <c r="D28" t="s">
        <v>14</v>
      </c>
      <c r="E28" t="s">
        <v>12</v>
      </c>
      <c r="G28" t="s">
        <v>9</v>
      </c>
      <c r="L28">
        <f t="shared" si="0"/>
        <v>0</v>
      </c>
      <c r="M28">
        <f t="shared" si="1"/>
        <v>0</v>
      </c>
      <c r="N28">
        <f t="shared" si="2"/>
        <v>0</v>
      </c>
      <c r="O28">
        <f t="shared" si="4"/>
        <v>1</v>
      </c>
      <c r="P28" t="str">
        <f t="shared" si="3"/>
        <v/>
      </c>
      <c r="Q28">
        <f>COUNTIF('責任職　企業局→市長部局'!A:A,SQLデータ!B28)</f>
        <v>0</v>
      </c>
      <c r="R28">
        <f>COUNTIF('一般職員　企業局→市長部局'!A:F,SQLデータ!B28)</f>
        <v>0</v>
      </c>
    </row>
    <row r="29" spans="1:18" x14ac:dyDescent="0.4">
      <c r="A29" s="1">
        <v>202530000259</v>
      </c>
      <c r="B29" s="1">
        <v>1034029</v>
      </c>
      <c r="C29" s="2">
        <v>45863</v>
      </c>
      <c r="D29" t="s">
        <v>14</v>
      </c>
      <c r="E29" t="s">
        <v>15</v>
      </c>
      <c r="F29" t="s">
        <v>50</v>
      </c>
      <c r="G29" t="s">
        <v>9</v>
      </c>
      <c r="L29">
        <f t="shared" si="0"/>
        <v>0</v>
      </c>
      <c r="M29">
        <f t="shared" si="1"/>
        <v>0</v>
      </c>
      <c r="N29">
        <f t="shared" si="2"/>
        <v>0</v>
      </c>
      <c r="O29">
        <f t="shared" si="4"/>
        <v>1</v>
      </c>
      <c r="P29" t="str">
        <f t="shared" si="3"/>
        <v/>
      </c>
      <c r="Q29">
        <f>COUNTIF('責任職　企業局→市長部局'!A:A,SQLデータ!B29)</f>
        <v>0</v>
      </c>
      <c r="R29">
        <f>COUNTIF('一般職員　企業局→市長部局'!A:F,SQLデータ!B29)</f>
        <v>0</v>
      </c>
    </row>
    <row r="30" spans="1:18" x14ac:dyDescent="0.4">
      <c r="A30" s="1">
        <v>202530000456</v>
      </c>
      <c r="B30" s="1">
        <v>1146122</v>
      </c>
      <c r="C30" s="2">
        <v>46099</v>
      </c>
      <c r="D30" t="s">
        <v>14</v>
      </c>
      <c r="E30" t="s">
        <v>12</v>
      </c>
      <c r="F30" t="s">
        <v>48</v>
      </c>
      <c r="G30" t="s">
        <v>9</v>
      </c>
      <c r="L30">
        <f t="shared" si="0"/>
        <v>0</v>
      </c>
      <c r="M30">
        <f t="shared" si="1"/>
        <v>0</v>
      </c>
      <c r="N30">
        <f t="shared" si="2"/>
        <v>0</v>
      </c>
      <c r="O30">
        <f t="shared" si="4"/>
        <v>1</v>
      </c>
      <c r="P30" t="str">
        <f t="shared" si="3"/>
        <v/>
      </c>
      <c r="Q30">
        <f>COUNTIF('責任職　企業局→市長部局'!A:A,SQLデータ!B30)</f>
        <v>0</v>
      </c>
      <c r="R30">
        <f>COUNTIF('一般職員　企業局→市長部局'!A:F,SQLデータ!B30)</f>
        <v>0</v>
      </c>
    </row>
    <row r="31" spans="1:18" x14ac:dyDescent="0.4">
      <c r="A31" s="1">
        <v>202530000458</v>
      </c>
      <c r="B31" s="1">
        <v>1186125</v>
      </c>
      <c r="C31" s="2">
        <v>46090</v>
      </c>
      <c r="D31" t="s">
        <v>14</v>
      </c>
      <c r="E31" t="s">
        <v>12</v>
      </c>
      <c r="F31" t="s">
        <v>48</v>
      </c>
      <c r="G31" t="s">
        <v>9</v>
      </c>
      <c r="L31">
        <f t="shared" si="0"/>
        <v>0</v>
      </c>
      <c r="M31">
        <f t="shared" si="1"/>
        <v>0</v>
      </c>
      <c r="N31">
        <f t="shared" si="2"/>
        <v>0</v>
      </c>
      <c r="O31">
        <f t="shared" si="4"/>
        <v>1</v>
      </c>
      <c r="P31" t="str">
        <f t="shared" si="3"/>
        <v/>
      </c>
      <c r="Q31">
        <f>COUNTIF('責任職　企業局→市長部局'!A:A,SQLデータ!B31)</f>
        <v>0</v>
      </c>
      <c r="R31">
        <f>COUNTIF('一般職員　企業局→市長部局'!A:F,SQLデータ!B31)</f>
        <v>0</v>
      </c>
    </row>
    <row r="32" spans="1:18" x14ac:dyDescent="0.4">
      <c r="A32" s="1">
        <v>202530000459</v>
      </c>
      <c r="B32" s="1">
        <v>1082041</v>
      </c>
      <c r="C32" s="2">
        <v>46080</v>
      </c>
      <c r="D32" t="s">
        <v>14</v>
      </c>
      <c r="E32" t="s">
        <v>12</v>
      </c>
      <c r="G32" t="s">
        <v>9</v>
      </c>
      <c r="L32">
        <f t="shared" si="0"/>
        <v>0</v>
      </c>
      <c r="M32">
        <f t="shared" si="1"/>
        <v>0</v>
      </c>
      <c r="N32">
        <f t="shared" si="2"/>
        <v>0</v>
      </c>
      <c r="O32">
        <f t="shared" si="4"/>
        <v>1</v>
      </c>
      <c r="P32" t="str">
        <f t="shared" si="3"/>
        <v/>
      </c>
      <c r="Q32">
        <f>COUNTIF('責任職　企業局→市長部局'!A:A,SQLデータ!B32)</f>
        <v>0</v>
      </c>
      <c r="R32">
        <f>COUNTIF('一般職員　企業局→市長部局'!A:F,SQLデータ!B32)</f>
        <v>0</v>
      </c>
    </row>
    <row r="33" spans="1:18" x14ac:dyDescent="0.4">
      <c r="A33" s="1">
        <v>202530000462</v>
      </c>
      <c r="B33" s="1">
        <v>1126005</v>
      </c>
      <c r="C33" s="2">
        <v>46092</v>
      </c>
      <c r="D33" t="s">
        <v>14</v>
      </c>
      <c r="E33" t="s">
        <v>12</v>
      </c>
      <c r="G33" t="s">
        <v>9</v>
      </c>
      <c r="L33">
        <f t="shared" si="0"/>
        <v>0</v>
      </c>
      <c r="M33">
        <f t="shared" si="1"/>
        <v>0</v>
      </c>
      <c r="N33">
        <f t="shared" si="2"/>
        <v>0</v>
      </c>
      <c r="O33">
        <f t="shared" si="4"/>
        <v>1</v>
      </c>
      <c r="P33" t="str">
        <f t="shared" si="3"/>
        <v/>
      </c>
      <c r="Q33">
        <f>COUNTIF('責任職　企業局→市長部局'!A:A,SQLデータ!B33)</f>
        <v>0</v>
      </c>
      <c r="R33">
        <f>COUNTIF('一般職員　企業局→市長部局'!A:F,SQLデータ!B33)</f>
        <v>0</v>
      </c>
    </row>
    <row r="34" spans="1:18" x14ac:dyDescent="0.4">
      <c r="A34" s="1">
        <v>202530000464</v>
      </c>
      <c r="B34" s="1">
        <v>1126011</v>
      </c>
      <c r="C34" s="2">
        <v>46097</v>
      </c>
      <c r="D34" t="s">
        <v>14</v>
      </c>
      <c r="E34" t="s">
        <v>12</v>
      </c>
      <c r="F34" t="s">
        <v>48</v>
      </c>
      <c r="G34" t="s">
        <v>9</v>
      </c>
      <c r="L34">
        <f t="shared" si="0"/>
        <v>0</v>
      </c>
      <c r="M34">
        <f t="shared" si="1"/>
        <v>0</v>
      </c>
      <c r="N34">
        <f t="shared" si="2"/>
        <v>0</v>
      </c>
      <c r="O34">
        <f t="shared" si="4"/>
        <v>1</v>
      </c>
      <c r="P34" t="str">
        <f t="shared" si="3"/>
        <v/>
      </c>
      <c r="Q34">
        <f>COUNTIF('責任職　企業局→市長部局'!A:A,SQLデータ!B34)</f>
        <v>0</v>
      </c>
      <c r="R34">
        <f>COUNTIF('一般職員　企業局→市長部局'!A:F,SQLデータ!B34)</f>
        <v>0</v>
      </c>
    </row>
    <row r="35" spans="1:18" x14ac:dyDescent="0.4">
      <c r="A35" s="1">
        <v>202530000465</v>
      </c>
      <c r="B35" s="1">
        <v>1191466</v>
      </c>
      <c r="C35" s="2">
        <v>46099</v>
      </c>
      <c r="D35" t="s">
        <v>14</v>
      </c>
      <c r="E35" t="s">
        <v>11</v>
      </c>
      <c r="G35" t="s">
        <v>9</v>
      </c>
      <c r="L35">
        <f t="shared" si="0"/>
        <v>0</v>
      </c>
      <c r="M35">
        <f t="shared" si="1"/>
        <v>0</v>
      </c>
      <c r="N35">
        <f t="shared" si="2"/>
        <v>0</v>
      </c>
      <c r="O35">
        <f t="shared" si="4"/>
        <v>1</v>
      </c>
      <c r="P35" t="str">
        <f t="shared" si="3"/>
        <v/>
      </c>
      <c r="Q35">
        <f>COUNTIF('責任職　企業局→市長部局'!A:A,SQLデータ!B35)</f>
        <v>0</v>
      </c>
      <c r="R35">
        <f>COUNTIF('一般職員　企業局→市長部局'!A:F,SQLデータ!B35)</f>
        <v>0</v>
      </c>
    </row>
    <row r="36" spans="1:18" x14ac:dyDescent="0.4">
      <c r="A36" s="1">
        <v>202530000468</v>
      </c>
      <c r="B36" s="1">
        <v>1193025</v>
      </c>
      <c r="C36" s="2">
        <v>46099</v>
      </c>
      <c r="D36" t="s">
        <v>14</v>
      </c>
      <c r="E36" t="s">
        <v>12</v>
      </c>
      <c r="F36" t="s">
        <v>48</v>
      </c>
      <c r="G36" t="s">
        <v>9</v>
      </c>
      <c r="L36">
        <f t="shared" si="0"/>
        <v>0</v>
      </c>
      <c r="M36">
        <f t="shared" si="1"/>
        <v>0</v>
      </c>
      <c r="N36">
        <f t="shared" si="2"/>
        <v>0</v>
      </c>
      <c r="O36">
        <f t="shared" si="4"/>
        <v>1</v>
      </c>
      <c r="P36" t="str">
        <f t="shared" si="3"/>
        <v/>
      </c>
      <c r="Q36">
        <f>COUNTIF('責任職　企業局→市長部局'!A:A,SQLデータ!B36)</f>
        <v>0</v>
      </c>
      <c r="R36">
        <f>COUNTIF('一般職員　企業局→市長部局'!A:F,SQLデータ!B36)</f>
        <v>0</v>
      </c>
    </row>
    <row r="37" spans="1:18" x14ac:dyDescent="0.4">
      <c r="A37" s="1">
        <v>202530000469</v>
      </c>
      <c r="B37" s="1">
        <v>974169</v>
      </c>
      <c r="C37" s="2">
        <v>46115</v>
      </c>
      <c r="D37" t="s">
        <v>14</v>
      </c>
      <c r="E37" t="s">
        <v>8</v>
      </c>
      <c r="G37" t="s">
        <v>9</v>
      </c>
      <c r="L37">
        <f t="shared" si="0"/>
        <v>0</v>
      </c>
      <c r="M37">
        <f t="shared" si="1"/>
        <v>0</v>
      </c>
      <c r="N37">
        <f t="shared" si="2"/>
        <v>0</v>
      </c>
      <c r="O37">
        <f t="shared" si="4"/>
        <v>1</v>
      </c>
      <c r="P37" t="str">
        <f t="shared" si="3"/>
        <v/>
      </c>
      <c r="Q37">
        <f>COUNTIF('責任職　企業局→市長部局'!A:A,SQLデータ!B37)</f>
        <v>0</v>
      </c>
      <c r="R37">
        <f>COUNTIF('一般職員　企業局→市長部局'!A:F,SQLデータ!B37)</f>
        <v>0</v>
      </c>
    </row>
    <row r="38" spans="1:18" x14ac:dyDescent="0.4">
      <c r="A38" s="1">
        <v>202530000470</v>
      </c>
      <c r="B38" s="1">
        <v>1162079</v>
      </c>
      <c r="C38" s="2">
        <v>46105</v>
      </c>
      <c r="D38" t="s">
        <v>14</v>
      </c>
      <c r="E38" t="s">
        <v>12</v>
      </c>
      <c r="G38" t="s">
        <v>9</v>
      </c>
      <c r="L38">
        <f t="shared" si="0"/>
        <v>0</v>
      </c>
      <c r="M38">
        <f t="shared" si="1"/>
        <v>0</v>
      </c>
      <c r="N38">
        <f t="shared" si="2"/>
        <v>0</v>
      </c>
      <c r="O38">
        <f t="shared" si="4"/>
        <v>1</v>
      </c>
      <c r="P38" t="str">
        <f t="shared" si="3"/>
        <v/>
      </c>
      <c r="Q38">
        <f>COUNTIF('責任職　企業局→市長部局'!A:A,SQLデータ!B38)</f>
        <v>0</v>
      </c>
      <c r="R38">
        <f>COUNTIF('一般職員　企業局→市長部局'!A:F,SQLデータ!B38)</f>
        <v>0</v>
      </c>
    </row>
    <row r="39" spans="1:18" x14ac:dyDescent="0.4">
      <c r="A39" s="1">
        <v>202530000471</v>
      </c>
      <c r="B39" s="1">
        <v>1176039</v>
      </c>
      <c r="C39" s="2">
        <v>46104</v>
      </c>
      <c r="D39" t="s">
        <v>14</v>
      </c>
      <c r="E39" t="s">
        <v>10</v>
      </c>
      <c r="F39" t="s">
        <v>48</v>
      </c>
      <c r="G39" t="s">
        <v>9</v>
      </c>
      <c r="L39">
        <f t="shared" si="0"/>
        <v>0</v>
      </c>
      <c r="M39">
        <f t="shared" si="1"/>
        <v>0</v>
      </c>
      <c r="N39">
        <f t="shared" si="2"/>
        <v>0</v>
      </c>
      <c r="O39">
        <f t="shared" si="4"/>
        <v>1</v>
      </c>
      <c r="P39" t="str">
        <f t="shared" si="3"/>
        <v/>
      </c>
      <c r="Q39">
        <f>COUNTIF('責任職　企業局→市長部局'!A:A,SQLデータ!B39)</f>
        <v>0</v>
      </c>
      <c r="R39">
        <f>COUNTIF('一般職員　企業局→市長部局'!A:F,SQLデータ!B39)</f>
        <v>0</v>
      </c>
    </row>
    <row r="40" spans="1:18" x14ac:dyDescent="0.4">
      <c r="A40" s="1">
        <v>202530000475</v>
      </c>
      <c r="B40" s="1">
        <v>1201040</v>
      </c>
      <c r="C40" s="2">
        <v>46108</v>
      </c>
      <c r="D40" t="s">
        <v>14</v>
      </c>
      <c r="E40" t="s">
        <v>12</v>
      </c>
      <c r="F40" t="s">
        <v>48</v>
      </c>
      <c r="G40" t="s">
        <v>9</v>
      </c>
      <c r="L40">
        <f t="shared" si="0"/>
        <v>0</v>
      </c>
      <c r="M40">
        <f t="shared" si="1"/>
        <v>0</v>
      </c>
      <c r="N40">
        <f t="shared" si="2"/>
        <v>0</v>
      </c>
      <c r="O40">
        <f t="shared" si="4"/>
        <v>1</v>
      </c>
      <c r="P40" t="str">
        <f t="shared" si="3"/>
        <v/>
      </c>
      <c r="Q40">
        <f>COUNTIF('責任職　企業局→市長部局'!A:A,SQLデータ!B40)</f>
        <v>0</v>
      </c>
      <c r="R40">
        <f>COUNTIF('一般職員　企業局→市長部局'!A:F,SQLデータ!B40)</f>
        <v>0</v>
      </c>
    </row>
    <row r="41" spans="1:18" x14ac:dyDescent="0.4">
      <c r="A41" s="1">
        <v>202530000476</v>
      </c>
      <c r="B41" s="1">
        <v>996031</v>
      </c>
      <c r="C41" s="2">
        <v>46108</v>
      </c>
      <c r="D41" t="s">
        <v>14</v>
      </c>
      <c r="E41" t="s">
        <v>8</v>
      </c>
      <c r="F41" t="s">
        <v>48</v>
      </c>
      <c r="G41" t="s">
        <v>9</v>
      </c>
      <c r="L41">
        <f t="shared" si="0"/>
        <v>0</v>
      </c>
      <c r="M41">
        <f t="shared" si="1"/>
        <v>0</v>
      </c>
      <c r="N41">
        <f t="shared" si="2"/>
        <v>0</v>
      </c>
      <c r="O41">
        <f t="shared" si="4"/>
        <v>1</v>
      </c>
      <c r="P41" t="str">
        <f t="shared" si="3"/>
        <v/>
      </c>
      <c r="Q41">
        <f>COUNTIF('責任職　企業局→市長部局'!A:A,SQLデータ!B41)</f>
        <v>0</v>
      </c>
      <c r="R41">
        <f>COUNTIF('一般職員　企業局→市長部局'!A:F,SQLデータ!B41)</f>
        <v>0</v>
      </c>
    </row>
    <row r="42" spans="1:18" x14ac:dyDescent="0.4">
      <c r="A42" s="1">
        <v>202530000478</v>
      </c>
      <c r="B42" s="1">
        <v>1176067</v>
      </c>
      <c r="C42" s="2">
        <v>46107</v>
      </c>
      <c r="D42" t="s">
        <v>14</v>
      </c>
      <c r="E42" t="s">
        <v>10</v>
      </c>
      <c r="F42" t="s">
        <v>48</v>
      </c>
      <c r="G42" t="s">
        <v>9</v>
      </c>
      <c r="L42">
        <f t="shared" si="0"/>
        <v>0</v>
      </c>
      <c r="M42">
        <f t="shared" si="1"/>
        <v>0</v>
      </c>
      <c r="N42">
        <f t="shared" si="2"/>
        <v>0</v>
      </c>
      <c r="O42">
        <f t="shared" si="4"/>
        <v>1</v>
      </c>
      <c r="P42" t="str">
        <f t="shared" si="3"/>
        <v/>
      </c>
      <c r="Q42">
        <f>COUNTIF('責任職　企業局→市長部局'!A:A,SQLデータ!B42)</f>
        <v>0</v>
      </c>
      <c r="R42">
        <f>COUNTIF('一般職員　企業局→市長部局'!A:F,SQLデータ!B42)</f>
        <v>0</v>
      </c>
    </row>
    <row r="43" spans="1:18" x14ac:dyDescent="0.4">
      <c r="A43" s="1">
        <v>202530000479</v>
      </c>
      <c r="B43" s="1">
        <v>1181211</v>
      </c>
      <c r="C43" s="2">
        <v>46112</v>
      </c>
      <c r="D43" t="s">
        <v>14</v>
      </c>
      <c r="E43" t="s">
        <v>12</v>
      </c>
      <c r="F43" t="s">
        <v>48</v>
      </c>
      <c r="G43" t="s">
        <v>9</v>
      </c>
      <c r="L43">
        <f t="shared" si="0"/>
        <v>0</v>
      </c>
      <c r="M43">
        <f t="shared" si="1"/>
        <v>0</v>
      </c>
      <c r="N43">
        <f t="shared" si="2"/>
        <v>0</v>
      </c>
      <c r="O43">
        <f t="shared" si="4"/>
        <v>1</v>
      </c>
      <c r="P43" t="str">
        <f t="shared" si="3"/>
        <v/>
      </c>
      <c r="Q43">
        <f>COUNTIF('責任職　企業局→市長部局'!A:A,SQLデータ!B43)</f>
        <v>0</v>
      </c>
      <c r="R43">
        <f>COUNTIF('一般職員　企業局→市長部局'!A:F,SQLデータ!B43)</f>
        <v>0</v>
      </c>
    </row>
    <row r="44" spans="1:18" x14ac:dyDescent="0.4">
      <c r="A44" s="1">
        <v>202540000188</v>
      </c>
      <c r="B44" s="1">
        <v>1221176</v>
      </c>
      <c r="C44" s="2">
        <v>45770</v>
      </c>
      <c r="D44" t="s">
        <v>16</v>
      </c>
      <c r="E44" t="s">
        <v>12</v>
      </c>
      <c r="F44" t="s">
        <v>893</v>
      </c>
      <c r="G44" t="s">
        <v>9</v>
      </c>
      <c r="L44">
        <f t="shared" si="0"/>
        <v>0</v>
      </c>
      <c r="M44">
        <f t="shared" si="1"/>
        <v>0</v>
      </c>
      <c r="N44">
        <f t="shared" si="2"/>
        <v>0</v>
      </c>
      <c r="O44">
        <f t="shared" si="4"/>
        <v>1</v>
      </c>
      <c r="P44" t="str">
        <f t="shared" si="3"/>
        <v/>
      </c>
      <c r="Q44">
        <f>COUNTIF('責任職　企業局→市長部局'!A:A,SQLデータ!B44)</f>
        <v>0</v>
      </c>
      <c r="R44">
        <f>COUNTIF('一般職員　企業局→市長部局'!A:F,SQLデータ!B44)</f>
        <v>0</v>
      </c>
    </row>
    <row r="45" spans="1:18" x14ac:dyDescent="0.4">
      <c r="A45" s="1">
        <v>202540001533</v>
      </c>
      <c r="B45" s="1">
        <v>1231105</v>
      </c>
      <c r="C45" s="2">
        <v>46115</v>
      </c>
      <c r="D45" t="s">
        <v>16</v>
      </c>
      <c r="E45" t="s">
        <v>8</v>
      </c>
      <c r="F45" t="s">
        <v>48</v>
      </c>
      <c r="G45" t="s">
        <v>9</v>
      </c>
      <c r="L45">
        <f t="shared" si="0"/>
        <v>0</v>
      </c>
      <c r="M45">
        <f t="shared" si="1"/>
        <v>0</v>
      </c>
      <c r="N45">
        <f t="shared" si="2"/>
        <v>0</v>
      </c>
      <c r="O45">
        <f t="shared" si="4"/>
        <v>1</v>
      </c>
      <c r="P45" t="str">
        <f t="shared" si="3"/>
        <v/>
      </c>
      <c r="Q45">
        <f>COUNTIF('責任職　企業局→市長部局'!A:A,SQLデータ!B45)</f>
        <v>0</v>
      </c>
      <c r="R45">
        <f>COUNTIF('一般職員　企業局→市長部局'!A:F,SQLデータ!B45)</f>
        <v>0</v>
      </c>
    </row>
    <row r="46" spans="1:18" x14ac:dyDescent="0.4">
      <c r="A46" s="1">
        <v>202540001567</v>
      </c>
      <c r="B46" s="1">
        <v>1096099</v>
      </c>
      <c r="C46" s="2">
        <v>45955</v>
      </c>
      <c r="D46" t="s">
        <v>16</v>
      </c>
      <c r="E46" t="s">
        <v>12</v>
      </c>
      <c r="F46" t="s">
        <v>48</v>
      </c>
      <c r="G46" t="s">
        <v>9</v>
      </c>
      <c r="L46">
        <f t="shared" si="0"/>
        <v>0</v>
      </c>
      <c r="M46">
        <f t="shared" si="1"/>
        <v>0</v>
      </c>
      <c r="N46">
        <f t="shared" si="2"/>
        <v>0</v>
      </c>
      <c r="O46">
        <f t="shared" si="4"/>
        <v>1</v>
      </c>
      <c r="P46" t="str">
        <f t="shared" si="3"/>
        <v/>
      </c>
      <c r="Q46">
        <f>COUNTIF('責任職　企業局→市長部局'!A:A,SQLデータ!B46)</f>
        <v>0</v>
      </c>
      <c r="R46">
        <f>COUNTIF('一般職員　企業局→市長部局'!A:F,SQLデータ!B46)</f>
        <v>0</v>
      </c>
    </row>
    <row r="47" spans="1:18" x14ac:dyDescent="0.4">
      <c r="A47" s="1">
        <v>202540001727</v>
      </c>
      <c r="B47" s="1">
        <v>1223027</v>
      </c>
      <c r="C47" s="2">
        <v>45971</v>
      </c>
      <c r="D47" t="s">
        <v>16</v>
      </c>
      <c r="E47" t="s">
        <v>11</v>
      </c>
      <c r="G47" t="s">
        <v>9</v>
      </c>
      <c r="L47">
        <f t="shared" si="0"/>
        <v>0</v>
      </c>
      <c r="M47">
        <f t="shared" si="1"/>
        <v>0</v>
      </c>
      <c r="N47">
        <f t="shared" si="2"/>
        <v>0</v>
      </c>
      <c r="O47">
        <f t="shared" si="4"/>
        <v>1</v>
      </c>
      <c r="P47" t="str">
        <f t="shared" si="3"/>
        <v/>
      </c>
      <c r="Q47">
        <f>COUNTIF('責任職　企業局→市長部局'!A:A,SQLデータ!B47)</f>
        <v>0</v>
      </c>
      <c r="R47">
        <f>COUNTIF('一般職員　企業局→市長部局'!A:F,SQLデータ!B47)</f>
        <v>0</v>
      </c>
    </row>
    <row r="48" spans="1:18" x14ac:dyDescent="0.4">
      <c r="A48" s="1">
        <v>202540001858</v>
      </c>
      <c r="B48" s="1">
        <v>1241228</v>
      </c>
      <c r="C48" s="2">
        <v>46023</v>
      </c>
      <c r="D48" t="s">
        <v>16</v>
      </c>
      <c r="E48" t="s">
        <v>8</v>
      </c>
      <c r="F48" t="s">
        <v>50</v>
      </c>
      <c r="G48" t="s">
        <v>9</v>
      </c>
      <c r="L48">
        <f t="shared" si="0"/>
        <v>0</v>
      </c>
      <c r="M48">
        <f t="shared" si="1"/>
        <v>0</v>
      </c>
      <c r="N48">
        <f t="shared" si="2"/>
        <v>0</v>
      </c>
      <c r="O48">
        <f t="shared" si="4"/>
        <v>1</v>
      </c>
      <c r="P48" t="str">
        <f t="shared" si="3"/>
        <v/>
      </c>
      <c r="Q48">
        <f>COUNTIF('責任職　企業局→市長部局'!A:A,SQLデータ!B48)</f>
        <v>0</v>
      </c>
      <c r="R48">
        <f>COUNTIF('一般職員　企業局→市長部局'!A:F,SQLデータ!B48)</f>
        <v>0</v>
      </c>
    </row>
    <row r="49" spans="1:18" x14ac:dyDescent="0.4">
      <c r="A49" s="1">
        <v>202540002042</v>
      </c>
      <c r="B49" s="1">
        <v>1234027</v>
      </c>
      <c r="C49" s="2">
        <v>46113</v>
      </c>
      <c r="D49" t="s">
        <v>16</v>
      </c>
      <c r="E49" t="s">
        <v>8</v>
      </c>
      <c r="G49" t="s">
        <v>9</v>
      </c>
      <c r="L49">
        <f t="shared" si="0"/>
        <v>0</v>
      </c>
      <c r="M49">
        <f t="shared" si="1"/>
        <v>0</v>
      </c>
      <c r="N49">
        <f t="shared" si="2"/>
        <v>0</v>
      </c>
      <c r="O49">
        <f t="shared" si="4"/>
        <v>1</v>
      </c>
      <c r="P49" t="str">
        <f t="shared" si="3"/>
        <v/>
      </c>
      <c r="Q49">
        <f>COUNTIF('責任職　企業局→市長部局'!A:A,SQLデータ!B49)</f>
        <v>0</v>
      </c>
      <c r="R49">
        <f>COUNTIF('一般職員　企業局→市長部局'!A:F,SQLデータ!B49)</f>
        <v>0</v>
      </c>
    </row>
    <row r="50" spans="1:18" x14ac:dyDescent="0.4">
      <c r="A50" s="1">
        <v>202540002060</v>
      </c>
      <c r="B50" s="1">
        <v>1096099</v>
      </c>
      <c r="C50" s="2">
        <v>46002</v>
      </c>
      <c r="D50" t="s">
        <v>16</v>
      </c>
      <c r="E50" t="s">
        <v>8</v>
      </c>
      <c r="F50" t="s">
        <v>892</v>
      </c>
      <c r="G50" t="s">
        <v>9</v>
      </c>
      <c r="L50">
        <f t="shared" si="0"/>
        <v>0</v>
      </c>
      <c r="M50">
        <f t="shared" si="1"/>
        <v>0</v>
      </c>
      <c r="N50">
        <f t="shared" si="2"/>
        <v>0</v>
      </c>
      <c r="O50">
        <f t="shared" si="4"/>
        <v>1</v>
      </c>
      <c r="P50" t="str">
        <f t="shared" si="3"/>
        <v/>
      </c>
      <c r="Q50">
        <f>COUNTIF('責任職　企業局→市長部局'!A:A,SQLデータ!B50)</f>
        <v>0</v>
      </c>
      <c r="R50">
        <f>COUNTIF('一般職員　企業局→市長部局'!A:F,SQLデータ!B50)</f>
        <v>0</v>
      </c>
    </row>
    <row r="51" spans="1:18" x14ac:dyDescent="0.4">
      <c r="A51" s="1">
        <v>202540002273</v>
      </c>
      <c r="B51" s="1">
        <v>1146049</v>
      </c>
      <c r="C51" s="2">
        <v>46038</v>
      </c>
      <c r="D51" t="s">
        <v>16</v>
      </c>
      <c r="E51" t="s">
        <v>8</v>
      </c>
      <c r="G51" t="s">
        <v>9</v>
      </c>
      <c r="L51">
        <f t="shared" si="0"/>
        <v>0</v>
      </c>
      <c r="M51">
        <f t="shared" si="1"/>
        <v>0</v>
      </c>
      <c r="N51">
        <f t="shared" si="2"/>
        <v>0</v>
      </c>
      <c r="O51">
        <f t="shared" si="4"/>
        <v>1</v>
      </c>
      <c r="P51" t="str">
        <f t="shared" si="3"/>
        <v/>
      </c>
      <c r="Q51">
        <f>COUNTIF('責任職　企業局→市長部局'!A:A,SQLデータ!B51)</f>
        <v>0</v>
      </c>
      <c r="R51">
        <f>COUNTIF('一般職員　企業局→市長部局'!A:F,SQLデータ!B51)</f>
        <v>0</v>
      </c>
    </row>
    <row r="52" spans="1:18" x14ac:dyDescent="0.4">
      <c r="A52" s="1">
        <v>202540002292</v>
      </c>
      <c r="B52" s="1">
        <v>1182055</v>
      </c>
      <c r="C52" s="2">
        <v>46041</v>
      </c>
      <c r="D52" t="s">
        <v>16</v>
      </c>
      <c r="E52" t="s">
        <v>12</v>
      </c>
      <c r="G52" t="s">
        <v>9</v>
      </c>
      <c r="L52">
        <f t="shared" si="0"/>
        <v>0</v>
      </c>
      <c r="M52">
        <f t="shared" si="1"/>
        <v>0</v>
      </c>
      <c r="N52">
        <f t="shared" si="2"/>
        <v>0</v>
      </c>
      <c r="O52">
        <f t="shared" si="4"/>
        <v>1</v>
      </c>
      <c r="P52" t="str">
        <f t="shared" si="3"/>
        <v/>
      </c>
      <c r="Q52">
        <f>COUNTIF('責任職　企業局→市長部局'!A:A,SQLデータ!B52)</f>
        <v>0</v>
      </c>
      <c r="R52">
        <f>COUNTIF('一般職員　企業局→市長部局'!A:F,SQLデータ!B52)</f>
        <v>0</v>
      </c>
    </row>
    <row r="53" spans="1:18" x14ac:dyDescent="0.4">
      <c r="A53" s="1">
        <v>202540002373</v>
      </c>
      <c r="B53" s="1">
        <v>1221303</v>
      </c>
      <c r="C53" s="2">
        <v>46111</v>
      </c>
      <c r="D53" t="s">
        <v>16</v>
      </c>
      <c r="E53" t="s">
        <v>8</v>
      </c>
      <c r="F53" t="s">
        <v>47</v>
      </c>
      <c r="G53" t="s">
        <v>9</v>
      </c>
      <c r="L53">
        <f t="shared" si="0"/>
        <v>0</v>
      </c>
      <c r="M53">
        <f t="shared" si="1"/>
        <v>0</v>
      </c>
      <c r="N53">
        <f t="shared" si="2"/>
        <v>0</v>
      </c>
      <c r="O53">
        <f t="shared" si="4"/>
        <v>1</v>
      </c>
      <c r="P53" t="str">
        <f t="shared" si="3"/>
        <v/>
      </c>
      <c r="Q53">
        <f>COUNTIF('責任職　企業局→市長部局'!A:A,SQLデータ!B53)</f>
        <v>0</v>
      </c>
      <c r="R53">
        <f>COUNTIF('一般職員　企業局→市長部局'!A:F,SQLデータ!B53)</f>
        <v>0</v>
      </c>
    </row>
    <row r="54" spans="1:18" x14ac:dyDescent="0.4">
      <c r="A54" s="1">
        <v>202540002377</v>
      </c>
      <c r="B54" s="1">
        <v>1251086</v>
      </c>
      <c r="C54" s="2">
        <v>46127</v>
      </c>
      <c r="D54" t="s">
        <v>16</v>
      </c>
      <c r="E54" t="s">
        <v>8</v>
      </c>
      <c r="G54" t="s">
        <v>9</v>
      </c>
      <c r="L54">
        <f t="shared" si="0"/>
        <v>0</v>
      </c>
      <c r="M54">
        <f t="shared" si="1"/>
        <v>0</v>
      </c>
      <c r="N54">
        <f t="shared" si="2"/>
        <v>0</v>
      </c>
      <c r="O54">
        <f t="shared" si="4"/>
        <v>1</v>
      </c>
      <c r="P54" t="str">
        <f t="shared" si="3"/>
        <v/>
      </c>
      <c r="Q54">
        <f>COUNTIF('責任職　企業局→市長部局'!A:A,SQLデータ!B54)</f>
        <v>0</v>
      </c>
      <c r="R54">
        <f>COUNTIF('一般職員　企業局→市長部局'!A:F,SQLデータ!B54)</f>
        <v>0</v>
      </c>
    </row>
    <row r="55" spans="1:18" x14ac:dyDescent="0.4">
      <c r="A55" s="1">
        <v>202540002394</v>
      </c>
      <c r="B55" s="1">
        <v>1221129</v>
      </c>
      <c r="C55" s="2">
        <v>46052</v>
      </c>
      <c r="D55" t="s">
        <v>16</v>
      </c>
      <c r="E55" t="s">
        <v>10</v>
      </c>
      <c r="F55" t="s">
        <v>47</v>
      </c>
      <c r="G55" t="s">
        <v>9</v>
      </c>
      <c r="L55">
        <f t="shared" si="0"/>
        <v>0</v>
      </c>
      <c r="M55">
        <f t="shared" si="1"/>
        <v>0</v>
      </c>
      <c r="N55">
        <f t="shared" si="2"/>
        <v>0</v>
      </c>
      <c r="O55">
        <f t="shared" si="4"/>
        <v>1</v>
      </c>
      <c r="P55" t="str">
        <f t="shared" si="3"/>
        <v/>
      </c>
      <c r="Q55">
        <f>COUNTIF('責任職　企業局→市長部局'!A:A,SQLデータ!B55)</f>
        <v>0</v>
      </c>
      <c r="R55">
        <f>COUNTIF('一般職員　企業局→市長部局'!A:F,SQLデータ!B55)</f>
        <v>0</v>
      </c>
    </row>
    <row r="56" spans="1:18" x14ac:dyDescent="0.4">
      <c r="A56" s="1">
        <v>202540002395</v>
      </c>
      <c r="B56" s="1">
        <v>1251145</v>
      </c>
      <c r="C56" s="2">
        <v>46084</v>
      </c>
      <c r="D56" t="s">
        <v>16</v>
      </c>
      <c r="E56" t="s">
        <v>8</v>
      </c>
      <c r="F56" t="s">
        <v>47</v>
      </c>
      <c r="G56" t="s">
        <v>9</v>
      </c>
      <c r="L56">
        <f t="shared" si="0"/>
        <v>0</v>
      </c>
      <c r="M56">
        <f t="shared" si="1"/>
        <v>0</v>
      </c>
      <c r="N56">
        <f t="shared" si="2"/>
        <v>0</v>
      </c>
      <c r="O56">
        <f t="shared" si="4"/>
        <v>1</v>
      </c>
      <c r="P56" t="str">
        <f t="shared" si="3"/>
        <v/>
      </c>
      <c r="Q56">
        <f>COUNTIF('責任職　企業局→市長部局'!A:A,SQLデータ!B56)</f>
        <v>0</v>
      </c>
      <c r="R56">
        <f>COUNTIF('一般職員　企業局→市長部局'!A:F,SQLデータ!B56)</f>
        <v>0</v>
      </c>
    </row>
    <row r="57" spans="1:18" x14ac:dyDescent="0.4">
      <c r="A57" s="1">
        <v>202540002480</v>
      </c>
      <c r="B57" s="1">
        <v>1131092</v>
      </c>
      <c r="C57" s="2">
        <v>46062</v>
      </c>
      <c r="D57" t="s">
        <v>16</v>
      </c>
      <c r="E57" t="s">
        <v>8</v>
      </c>
      <c r="F57" t="s">
        <v>47</v>
      </c>
      <c r="G57" t="s">
        <v>9</v>
      </c>
      <c r="L57">
        <f t="shared" si="0"/>
        <v>0</v>
      </c>
      <c r="M57">
        <f t="shared" si="1"/>
        <v>0</v>
      </c>
      <c r="N57">
        <f t="shared" si="2"/>
        <v>0</v>
      </c>
      <c r="O57">
        <f t="shared" si="4"/>
        <v>1</v>
      </c>
      <c r="P57" t="str">
        <f t="shared" si="3"/>
        <v/>
      </c>
      <c r="Q57">
        <f>COUNTIF('責任職　企業局→市長部局'!A:A,SQLデータ!B57)</f>
        <v>0</v>
      </c>
      <c r="R57">
        <f>COUNTIF('一般職員　企業局→市長部局'!A:F,SQLデータ!B57)</f>
        <v>0</v>
      </c>
    </row>
    <row r="58" spans="1:18" x14ac:dyDescent="0.4">
      <c r="A58" s="1">
        <v>202540002483</v>
      </c>
      <c r="B58" s="1">
        <v>1114002</v>
      </c>
      <c r="C58" s="2">
        <v>46060</v>
      </c>
      <c r="D58" t="s">
        <v>16</v>
      </c>
      <c r="E58" t="s">
        <v>12</v>
      </c>
      <c r="G58" t="s">
        <v>9</v>
      </c>
      <c r="L58">
        <f t="shared" si="0"/>
        <v>0</v>
      </c>
      <c r="M58">
        <f t="shared" si="1"/>
        <v>0</v>
      </c>
      <c r="N58">
        <f t="shared" si="2"/>
        <v>0</v>
      </c>
      <c r="O58">
        <f t="shared" si="4"/>
        <v>1</v>
      </c>
      <c r="P58" t="str">
        <f t="shared" si="3"/>
        <v/>
      </c>
      <c r="Q58">
        <f>COUNTIF('責任職　企業局→市長部局'!A:A,SQLデータ!B58)</f>
        <v>0</v>
      </c>
      <c r="R58">
        <f>COUNTIF('一般職員　企業局→市長部局'!A:F,SQLデータ!B58)</f>
        <v>0</v>
      </c>
    </row>
    <row r="59" spans="1:18" x14ac:dyDescent="0.4">
      <c r="A59" s="1">
        <v>202540002515</v>
      </c>
      <c r="B59" s="1">
        <v>1222023</v>
      </c>
      <c r="C59" s="2">
        <v>46066</v>
      </c>
      <c r="D59" t="s">
        <v>16</v>
      </c>
      <c r="E59" t="s">
        <v>11</v>
      </c>
      <c r="G59" t="s">
        <v>9</v>
      </c>
      <c r="L59">
        <f t="shared" si="0"/>
        <v>0</v>
      </c>
      <c r="M59">
        <f t="shared" si="1"/>
        <v>0</v>
      </c>
      <c r="N59">
        <f t="shared" si="2"/>
        <v>0</v>
      </c>
      <c r="O59">
        <f t="shared" si="4"/>
        <v>1</v>
      </c>
      <c r="P59" t="str">
        <f t="shared" si="3"/>
        <v/>
      </c>
      <c r="Q59">
        <f>COUNTIF('責任職　企業局→市長部局'!A:A,SQLデータ!B59)</f>
        <v>0</v>
      </c>
      <c r="R59">
        <f>COUNTIF('一般職員　企業局→市長部局'!A:F,SQLデータ!B59)</f>
        <v>0</v>
      </c>
    </row>
    <row r="60" spans="1:18" x14ac:dyDescent="0.4">
      <c r="A60" s="1">
        <v>202540002523</v>
      </c>
      <c r="B60" s="1">
        <v>1252092</v>
      </c>
      <c r="C60" s="2">
        <v>46083</v>
      </c>
      <c r="D60" t="s">
        <v>16</v>
      </c>
      <c r="E60" t="s">
        <v>11</v>
      </c>
      <c r="G60" t="s">
        <v>9</v>
      </c>
      <c r="L60">
        <f t="shared" si="0"/>
        <v>0</v>
      </c>
      <c r="M60">
        <f t="shared" si="1"/>
        <v>0</v>
      </c>
      <c r="N60">
        <f t="shared" si="2"/>
        <v>0</v>
      </c>
      <c r="O60">
        <f t="shared" si="4"/>
        <v>1</v>
      </c>
      <c r="P60" t="str">
        <f t="shared" si="3"/>
        <v/>
      </c>
      <c r="Q60">
        <f>COUNTIF('責任職　企業局→市長部局'!A:A,SQLデータ!B60)</f>
        <v>0</v>
      </c>
      <c r="R60">
        <f>COUNTIF('一般職員　企業局→市長部局'!A:F,SQLデータ!B60)</f>
        <v>0</v>
      </c>
    </row>
    <row r="61" spans="1:18" x14ac:dyDescent="0.4">
      <c r="A61" s="1">
        <v>202540002551</v>
      </c>
      <c r="B61" s="1">
        <v>1234067</v>
      </c>
      <c r="C61" s="2">
        <v>46073</v>
      </c>
      <c r="D61" t="s">
        <v>16</v>
      </c>
      <c r="E61" t="s">
        <v>8</v>
      </c>
      <c r="F61" t="s">
        <v>47</v>
      </c>
      <c r="G61" t="s">
        <v>9</v>
      </c>
      <c r="L61">
        <f t="shared" si="0"/>
        <v>0</v>
      </c>
      <c r="M61">
        <f t="shared" si="1"/>
        <v>0</v>
      </c>
      <c r="N61">
        <f t="shared" si="2"/>
        <v>0</v>
      </c>
      <c r="O61">
        <f t="shared" si="4"/>
        <v>1</v>
      </c>
      <c r="P61" t="str">
        <f t="shared" si="3"/>
        <v/>
      </c>
      <c r="Q61">
        <f>COUNTIF('責任職　企業局→市長部局'!A:A,SQLデータ!B61)</f>
        <v>0</v>
      </c>
      <c r="R61">
        <f>COUNTIF('一般職員　企業局→市長部局'!A:F,SQLデータ!B61)</f>
        <v>0</v>
      </c>
    </row>
    <row r="62" spans="1:18" x14ac:dyDescent="0.4">
      <c r="A62" s="1">
        <v>202540002587</v>
      </c>
      <c r="B62" s="1">
        <v>1234070</v>
      </c>
      <c r="C62" s="2">
        <v>46074</v>
      </c>
      <c r="D62" t="s">
        <v>16</v>
      </c>
      <c r="E62" t="s">
        <v>8</v>
      </c>
      <c r="F62" t="s">
        <v>892</v>
      </c>
      <c r="G62" t="s">
        <v>9</v>
      </c>
      <c r="L62">
        <f t="shared" si="0"/>
        <v>0</v>
      </c>
      <c r="M62">
        <f t="shared" si="1"/>
        <v>0</v>
      </c>
      <c r="N62">
        <f t="shared" si="2"/>
        <v>0</v>
      </c>
      <c r="O62">
        <f t="shared" si="4"/>
        <v>1</v>
      </c>
      <c r="P62" t="str">
        <f t="shared" si="3"/>
        <v/>
      </c>
      <c r="Q62">
        <f>COUNTIF('責任職　企業局→市長部局'!A:A,SQLデータ!B62)</f>
        <v>0</v>
      </c>
      <c r="R62">
        <f>COUNTIF('一般職員　企業局→市長部局'!A:F,SQLデータ!B62)</f>
        <v>0</v>
      </c>
    </row>
    <row r="63" spans="1:18" x14ac:dyDescent="0.4">
      <c r="A63" s="1">
        <v>202540002621</v>
      </c>
      <c r="B63" s="1">
        <v>1191168</v>
      </c>
      <c r="C63" s="2">
        <v>46098</v>
      </c>
      <c r="D63" t="s">
        <v>16</v>
      </c>
      <c r="E63" t="s">
        <v>11</v>
      </c>
      <c r="G63" t="s">
        <v>9</v>
      </c>
      <c r="L63">
        <f t="shared" si="0"/>
        <v>0</v>
      </c>
      <c r="M63">
        <f t="shared" si="1"/>
        <v>0</v>
      </c>
      <c r="N63">
        <f t="shared" si="2"/>
        <v>0</v>
      </c>
      <c r="O63">
        <f t="shared" si="4"/>
        <v>1</v>
      </c>
      <c r="P63" t="str">
        <f t="shared" si="3"/>
        <v/>
      </c>
      <c r="Q63">
        <f>COUNTIF('責任職　企業局→市長部局'!A:A,SQLデータ!B63)</f>
        <v>0</v>
      </c>
      <c r="R63">
        <f>COUNTIF('一般職員　企業局→市長部局'!A:F,SQLデータ!B63)</f>
        <v>0</v>
      </c>
    </row>
    <row r="64" spans="1:18" x14ac:dyDescent="0.4">
      <c r="A64" s="1">
        <v>202540002634</v>
      </c>
      <c r="B64" s="1">
        <v>1086105</v>
      </c>
      <c r="C64" s="2">
        <v>46090</v>
      </c>
      <c r="D64" t="s">
        <v>16</v>
      </c>
      <c r="E64" t="s">
        <v>15</v>
      </c>
      <c r="G64" t="s">
        <v>9</v>
      </c>
      <c r="L64">
        <f t="shared" si="0"/>
        <v>0</v>
      </c>
      <c r="M64">
        <f t="shared" si="1"/>
        <v>0</v>
      </c>
      <c r="N64">
        <f t="shared" si="2"/>
        <v>0</v>
      </c>
      <c r="O64">
        <f t="shared" si="4"/>
        <v>1</v>
      </c>
      <c r="P64" t="str">
        <f t="shared" si="3"/>
        <v/>
      </c>
      <c r="Q64">
        <f>COUNTIF('責任職　企業局→市長部局'!A:A,SQLデータ!B64)</f>
        <v>0</v>
      </c>
      <c r="R64">
        <f>COUNTIF('一般職員　企業局→市長部局'!A:F,SQLデータ!B64)</f>
        <v>0</v>
      </c>
    </row>
    <row r="65" spans="1:18" x14ac:dyDescent="0.4">
      <c r="A65" s="1">
        <v>202540002647</v>
      </c>
      <c r="B65" s="1">
        <v>1191028</v>
      </c>
      <c r="C65" s="2">
        <v>46083</v>
      </c>
      <c r="D65" t="s">
        <v>16</v>
      </c>
      <c r="E65" t="s">
        <v>11</v>
      </c>
      <c r="G65" t="s">
        <v>9</v>
      </c>
      <c r="L65">
        <f t="shared" si="0"/>
        <v>0</v>
      </c>
      <c r="M65">
        <f t="shared" si="1"/>
        <v>0</v>
      </c>
      <c r="N65">
        <f t="shared" si="2"/>
        <v>0</v>
      </c>
      <c r="O65">
        <f t="shared" si="4"/>
        <v>1</v>
      </c>
      <c r="P65" t="str">
        <f t="shared" si="3"/>
        <v/>
      </c>
      <c r="Q65">
        <f>COUNTIF('責任職　企業局→市長部局'!A:A,SQLデータ!B65)</f>
        <v>0</v>
      </c>
      <c r="R65">
        <f>COUNTIF('一般職員　企業局→市長部局'!A:F,SQLデータ!B65)</f>
        <v>0</v>
      </c>
    </row>
    <row r="66" spans="1:18" x14ac:dyDescent="0.4">
      <c r="A66" s="1">
        <v>202540002650</v>
      </c>
      <c r="B66" s="1">
        <v>1101204</v>
      </c>
      <c r="C66" s="2">
        <v>46083</v>
      </c>
      <c r="D66" t="s">
        <v>16</v>
      </c>
      <c r="E66" t="s">
        <v>11</v>
      </c>
      <c r="G66" t="s">
        <v>9</v>
      </c>
      <c r="L66">
        <f t="shared" ref="L66:L129" si="5">IF(ISBLANK(J66),0,1)</f>
        <v>0</v>
      </c>
      <c r="M66">
        <f t="shared" ref="M66:M129" si="6">IF(AND(L66=0,I66&lt;&gt;""),1,0)</f>
        <v>0</v>
      </c>
      <c r="N66">
        <f t="shared" ref="N66:N129" si="7">IF(AND(L66=0,M66=0,K66&lt;&gt;""),1,0)</f>
        <v>0</v>
      </c>
      <c r="O66">
        <f t="shared" si="4"/>
        <v>1</v>
      </c>
      <c r="P66" t="str">
        <f t="shared" ref="P66:P129" si="8">IF(D66&lt;&gt;"扶養","",IF(E66&lt;&gt;"確認待ち",1,IF(OR(AND(G66="本人の結婚",O66=1),AND(H66="減",OR(N66=1,O66=1))),1,0)))</f>
        <v/>
      </c>
      <c r="Q66">
        <f>COUNTIF('責任職　企業局→市長部局'!A:A,SQLデータ!B66)</f>
        <v>0</v>
      </c>
      <c r="R66">
        <f>COUNTIF('一般職員　企業局→市長部局'!A:F,SQLデータ!B66)</f>
        <v>0</v>
      </c>
    </row>
    <row r="67" spans="1:18" x14ac:dyDescent="0.4">
      <c r="A67" s="1">
        <v>202540002655</v>
      </c>
      <c r="B67" s="1">
        <v>1166137</v>
      </c>
      <c r="C67" s="2">
        <v>46083</v>
      </c>
      <c r="D67" t="s">
        <v>16</v>
      </c>
      <c r="E67" t="s">
        <v>8</v>
      </c>
      <c r="F67" t="s">
        <v>47</v>
      </c>
      <c r="G67" t="s">
        <v>9</v>
      </c>
      <c r="L67">
        <f t="shared" si="5"/>
        <v>0</v>
      </c>
      <c r="M67">
        <f t="shared" si="6"/>
        <v>0</v>
      </c>
      <c r="N67">
        <f t="shared" si="7"/>
        <v>0</v>
      </c>
      <c r="O67">
        <f t="shared" ref="O67:O130" si="9">IF(COUNTIF(L67:N67,0)=3,1,0)</f>
        <v>1</v>
      </c>
      <c r="P67" t="str">
        <f t="shared" si="8"/>
        <v/>
      </c>
      <c r="Q67">
        <f>COUNTIF('責任職　企業局→市長部局'!A:A,SQLデータ!B67)</f>
        <v>0</v>
      </c>
      <c r="R67">
        <f>COUNTIF('一般職員　企業局→市長部局'!A:F,SQLデータ!B67)</f>
        <v>0</v>
      </c>
    </row>
    <row r="68" spans="1:18" x14ac:dyDescent="0.4">
      <c r="A68" s="1">
        <v>202540002675</v>
      </c>
      <c r="B68" s="1">
        <v>1243005</v>
      </c>
      <c r="C68" s="2">
        <v>46085</v>
      </c>
      <c r="D68" t="s">
        <v>16</v>
      </c>
      <c r="E68" t="s">
        <v>11</v>
      </c>
      <c r="G68" t="s">
        <v>9</v>
      </c>
      <c r="L68">
        <f t="shared" si="5"/>
        <v>0</v>
      </c>
      <c r="M68">
        <f t="shared" si="6"/>
        <v>0</v>
      </c>
      <c r="N68">
        <f t="shared" si="7"/>
        <v>0</v>
      </c>
      <c r="O68">
        <f t="shared" si="9"/>
        <v>1</v>
      </c>
      <c r="P68" t="str">
        <f t="shared" si="8"/>
        <v/>
      </c>
      <c r="Q68">
        <f>COUNTIF('責任職　企業局→市長部局'!A:A,SQLデータ!B68)</f>
        <v>0</v>
      </c>
      <c r="R68">
        <f>COUNTIF('一般職員　企業局→市長部局'!A:F,SQLデータ!B68)</f>
        <v>0</v>
      </c>
    </row>
    <row r="69" spans="1:18" x14ac:dyDescent="0.4">
      <c r="A69" s="1">
        <v>202540002685</v>
      </c>
      <c r="B69" s="1">
        <v>1201382</v>
      </c>
      <c r="C69" s="2">
        <v>46086</v>
      </c>
      <c r="D69" t="s">
        <v>16</v>
      </c>
      <c r="E69" t="s">
        <v>11</v>
      </c>
      <c r="G69" t="s">
        <v>9</v>
      </c>
      <c r="L69">
        <f t="shared" si="5"/>
        <v>0</v>
      </c>
      <c r="M69">
        <f t="shared" si="6"/>
        <v>0</v>
      </c>
      <c r="N69">
        <f t="shared" si="7"/>
        <v>0</v>
      </c>
      <c r="O69">
        <f t="shared" si="9"/>
        <v>1</v>
      </c>
      <c r="P69" t="str">
        <f t="shared" si="8"/>
        <v/>
      </c>
      <c r="Q69">
        <f>COUNTIF('責任職　企業局→市長部局'!A:A,SQLデータ!B69)</f>
        <v>0</v>
      </c>
      <c r="R69">
        <f>COUNTIF('一般職員　企業局→市長部局'!A:F,SQLデータ!B69)</f>
        <v>0</v>
      </c>
    </row>
    <row r="70" spans="1:18" x14ac:dyDescent="0.4">
      <c r="A70" s="1">
        <v>202540002686</v>
      </c>
      <c r="B70" s="1">
        <v>1201057</v>
      </c>
      <c r="C70" s="2">
        <v>46085</v>
      </c>
      <c r="D70" t="s">
        <v>16</v>
      </c>
      <c r="E70" t="s">
        <v>11</v>
      </c>
      <c r="G70" t="s">
        <v>9</v>
      </c>
      <c r="L70">
        <f t="shared" si="5"/>
        <v>0</v>
      </c>
      <c r="M70">
        <f t="shared" si="6"/>
        <v>0</v>
      </c>
      <c r="N70">
        <f t="shared" si="7"/>
        <v>0</v>
      </c>
      <c r="O70">
        <f t="shared" si="9"/>
        <v>1</v>
      </c>
      <c r="P70" t="str">
        <f t="shared" si="8"/>
        <v/>
      </c>
      <c r="Q70">
        <f>COUNTIF('責任職　企業局→市長部局'!A:A,SQLデータ!B70)</f>
        <v>0</v>
      </c>
      <c r="R70">
        <f>COUNTIF('一般職員　企業局→市長部局'!A:F,SQLデータ!B70)</f>
        <v>0</v>
      </c>
    </row>
    <row r="71" spans="1:18" x14ac:dyDescent="0.4">
      <c r="A71" s="1">
        <v>202540002703</v>
      </c>
      <c r="B71" s="1">
        <v>1081380</v>
      </c>
      <c r="C71" s="2">
        <v>46098</v>
      </c>
      <c r="D71" t="s">
        <v>16</v>
      </c>
      <c r="E71" t="s">
        <v>11</v>
      </c>
      <c r="G71" t="s">
        <v>9</v>
      </c>
      <c r="L71">
        <f t="shared" si="5"/>
        <v>0</v>
      </c>
      <c r="M71">
        <f t="shared" si="6"/>
        <v>0</v>
      </c>
      <c r="N71">
        <f t="shared" si="7"/>
        <v>0</v>
      </c>
      <c r="O71">
        <f t="shared" si="9"/>
        <v>1</v>
      </c>
      <c r="P71" t="str">
        <f t="shared" si="8"/>
        <v/>
      </c>
      <c r="Q71">
        <f>COUNTIF('責任職　企業局→市長部局'!A:A,SQLデータ!B71)</f>
        <v>0</v>
      </c>
      <c r="R71">
        <f>COUNTIF('一般職員　企業局→市長部局'!A:F,SQLデータ!B71)</f>
        <v>0</v>
      </c>
    </row>
    <row r="72" spans="1:18" x14ac:dyDescent="0.4">
      <c r="A72" s="1">
        <v>202540002704</v>
      </c>
      <c r="B72" s="1">
        <v>1221154</v>
      </c>
      <c r="C72" s="2">
        <v>46087</v>
      </c>
      <c r="D72" t="s">
        <v>16</v>
      </c>
      <c r="E72" t="s">
        <v>11</v>
      </c>
      <c r="G72" t="s">
        <v>9</v>
      </c>
      <c r="L72">
        <f t="shared" si="5"/>
        <v>0</v>
      </c>
      <c r="M72">
        <f t="shared" si="6"/>
        <v>0</v>
      </c>
      <c r="N72">
        <f t="shared" si="7"/>
        <v>0</v>
      </c>
      <c r="O72">
        <f t="shared" si="9"/>
        <v>1</v>
      </c>
      <c r="P72" t="str">
        <f t="shared" si="8"/>
        <v/>
      </c>
      <c r="Q72">
        <f>COUNTIF('責任職　企業局→市長部局'!A:A,SQLデータ!B72)</f>
        <v>0</v>
      </c>
      <c r="R72">
        <f>COUNTIF('一般職員　企業局→市長部局'!A:F,SQLデータ!B72)</f>
        <v>0</v>
      </c>
    </row>
    <row r="73" spans="1:18" x14ac:dyDescent="0.4">
      <c r="A73" s="1">
        <v>202540002706</v>
      </c>
      <c r="B73" s="1">
        <v>1201271</v>
      </c>
      <c r="C73" s="2">
        <v>46087</v>
      </c>
      <c r="D73" t="s">
        <v>16</v>
      </c>
      <c r="E73" t="s">
        <v>11</v>
      </c>
      <c r="G73" t="s">
        <v>9</v>
      </c>
      <c r="L73">
        <f t="shared" si="5"/>
        <v>0</v>
      </c>
      <c r="M73">
        <f t="shared" si="6"/>
        <v>0</v>
      </c>
      <c r="N73">
        <f t="shared" si="7"/>
        <v>0</v>
      </c>
      <c r="O73">
        <f t="shared" si="9"/>
        <v>1</v>
      </c>
      <c r="P73" t="str">
        <f t="shared" si="8"/>
        <v/>
      </c>
      <c r="Q73">
        <f>COUNTIF('責任職　企業局→市長部局'!A:A,SQLデータ!B73)</f>
        <v>0</v>
      </c>
      <c r="R73">
        <f>COUNTIF('一般職員　企業局→市長部局'!A:F,SQLデータ!B73)</f>
        <v>0</v>
      </c>
    </row>
    <row r="74" spans="1:18" x14ac:dyDescent="0.4">
      <c r="A74" s="1">
        <v>202540002709</v>
      </c>
      <c r="B74" s="1">
        <v>1201519</v>
      </c>
      <c r="C74" s="2">
        <v>46087</v>
      </c>
      <c r="D74" t="s">
        <v>16</v>
      </c>
      <c r="E74" t="s">
        <v>8</v>
      </c>
      <c r="F74" t="s">
        <v>47</v>
      </c>
      <c r="G74" t="s">
        <v>9</v>
      </c>
      <c r="L74">
        <f t="shared" si="5"/>
        <v>0</v>
      </c>
      <c r="M74">
        <f t="shared" si="6"/>
        <v>0</v>
      </c>
      <c r="N74">
        <f t="shared" si="7"/>
        <v>0</v>
      </c>
      <c r="O74">
        <f t="shared" si="9"/>
        <v>1</v>
      </c>
      <c r="P74" t="str">
        <f t="shared" si="8"/>
        <v/>
      </c>
      <c r="Q74">
        <f>COUNTIF('責任職　企業局→市長部局'!A:A,SQLデータ!B74)</f>
        <v>0</v>
      </c>
      <c r="R74">
        <f>COUNTIF('一般職員　企業局→市長部局'!A:F,SQLデータ!B74)</f>
        <v>0</v>
      </c>
    </row>
    <row r="75" spans="1:18" x14ac:dyDescent="0.4">
      <c r="A75" s="1">
        <v>202540002710</v>
      </c>
      <c r="B75" s="1">
        <v>1191055</v>
      </c>
      <c r="C75" s="2">
        <v>46087</v>
      </c>
      <c r="D75" t="s">
        <v>16</v>
      </c>
      <c r="E75" t="s">
        <v>11</v>
      </c>
      <c r="G75" t="s">
        <v>9</v>
      </c>
      <c r="L75">
        <f t="shared" si="5"/>
        <v>0</v>
      </c>
      <c r="M75">
        <f t="shared" si="6"/>
        <v>0</v>
      </c>
      <c r="N75">
        <f t="shared" si="7"/>
        <v>0</v>
      </c>
      <c r="O75">
        <f t="shared" si="9"/>
        <v>1</v>
      </c>
      <c r="P75" t="str">
        <f t="shared" si="8"/>
        <v/>
      </c>
      <c r="Q75">
        <f>COUNTIF('責任職　企業局→市長部局'!A:A,SQLデータ!B75)</f>
        <v>0</v>
      </c>
      <c r="R75">
        <f>COUNTIF('一般職員　企業局→市長部局'!A:F,SQLデータ!B75)</f>
        <v>0</v>
      </c>
    </row>
    <row r="76" spans="1:18" x14ac:dyDescent="0.4">
      <c r="A76" s="1">
        <v>202540002717</v>
      </c>
      <c r="B76" s="1">
        <v>1201328</v>
      </c>
      <c r="C76" s="2">
        <v>46090</v>
      </c>
      <c r="D76" t="s">
        <v>16</v>
      </c>
      <c r="E76" t="s">
        <v>11</v>
      </c>
      <c r="G76" t="s">
        <v>9</v>
      </c>
      <c r="L76">
        <f t="shared" si="5"/>
        <v>0</v>
      </c>
      <c r="M76">
        <f t="shared" si="6"/>
        <v>0</v>
      </c>
      <c r="N76">
        <f t="shared" si="7"/>
        <v>0</v>
      </c>
      <c r="O76">
        <f t="shared" si="9"/>
        <v>1</v>
      </c>
      <c r="P76" t="str">
        <f t="shared" si="8"/>
        <v/>
      </c>
      <c r="Q76">
        <f>COUNTIF('責任職　企業局→市長部局'!A:A,SQLデータ!B76)</f>
        <v>0</v>
      </c>
      <c r="R76">
        <f>COUNTIF('一般職員　企業局→市長部局'!A:F,SQLデータ!B76)</f>
        <v>0</v>
      </c>
    </row>
    <row r="77" spans="1:18" x14ac:dyDescent="0.4">
      <c r="A77" s="1">
        <v>202540002718</v>
      </c>
      <c r="B77" s="1">
        <v>1254047</v>
      </c>
      <c r="C77" s="2">
        <v>46090</v>
      </c>
      <c r="D77" t="s">
        <v>16</v>
      </c>
      <c r="E77" t="s">
        <v>15</v>
      </c>
      <c r="G77" t="s">
        <v>9</v>
      </c>
      <c r="L77">
        <f t="shared" si="5"/>
        <v>0</v>
      </c>
      <c r="M77">
        <f t="shared" si="6"/>
        <v>0</v>
      </c>
      <c r="N77">
        <f t="shared" si="7"/>
        <v>0</v>
      </c>
      <c r="O77">
        <f t="shared" si="9"/>
        <v>1</v>
      </c>
      <c r="P77" t="str">
        <f t="shared" si="8"/>
        <v/>
      </c>
      <c r="Q77">
        <f>COUNTIF('責任職　企業局→市長部局'!A:A,SQLデータ!B77)</f>
        <v>0</v>
      </c>
      <c r="R77">
        <f>COUNTIF('一般職員　企業局→市長部局'!A:F,SQLデータ!B77)</f>
        <v>0</v>
      </c>
    </row>
    <row r="78" spans="1:18" x14ac:dyDescent="0.4">
      <c r="A78" s="1">
        <v>202540002727</v>
      </c>
      <c r="B78" s="1">
        <v>1233006</v>
      </c>
      <c r="C78" s="2">
        <v>46090</v>
      </c>
      <c r="D78" t="s">
        <v>16</v>
      </c>
      <c r="E78" t="s">
        <v>11</v>
      </c>
      <c r="G78" t="s">
        <v>9</v>
      </c>
      <c r="L78">
        <f t="shared" si="5"/>
        <v>0</v>
      </c>
      <c r="M78">
        <f t="shared" si="6"/>
        <v>0</v>
      </c>
      <c r="N78">
        <f t="shared" si="7"/>
        <v>0</v>
      </c>
      <c r="O78">
        <f t="shared" si="9"/>
        <v>1</v>
      </c>
      <c r="P78" t="str">
        <f t="shared" si="8"/>
        <v/>
      </c>
      <c r="Q78">
        <f>COUNTIF('責任職　企業局→市長部局'!A:A,SQLデータ!B78)</f>
        <v>0</v>
      </c>
      <c r="R78">
        <f>COUNTIF('一般職員　企業局→市長部局'!A:F,SQLデータ!B78)</f>
        <v>0</v>
      </c>
    </row>
    <row r="79" spans="1:18" x14ac:dyDescent="0.4">
      <c r="A79" s="1">
        <v>202540002731</v>
      </c>
      <c r="B79" s="1">
        <v>1211374</v>
      </c>
      <c r="C79" s="2">
        <v>46115</v>
      </c>
      <c r="D79" t="s">
        <v>16</v>
      </c>
      <c r="E79" t="s">
        <v>15</v>
      </c>
      <c r="F79" t="s">
        <v>50</v>
      </c>
      <c r="G79" t="s">
        <v>9</v>
      </c>
      <c r="L79">
        <f t="shared" si="5"/>
        <v>0</v>
      </c>
      <c r="M79">
        <f t="shared" si="6"/>
        <v>0</v>
      </c>
      <c r="N79">
        <f t="shared" si="7"/>
        <v>0</v>
      </c>
      <c r="O79">
        <f t="shared" si="9"/>
        <v>1</v>
      </c>
      <c r="P79" t="str">
        <f t="shared" si="8"/>
        <v/>
      </c>
      <c r="Q79">
        <f>COUNTIF('責任職　企業局→市長部局'!A:A,SQLデータ!B79)</f>
        <v>0</v>
      </c>
      <c r="R79">
        <f>COUNTIF('一般職員　企業局→市長部局'!A:F,SQLデータ!B79)</f>
        <v>0</v>
      </c>
    </row>
    <row r="80" spans="1:18" x14ac:dyDescent="0.4">
      <c r="A80" s="1">
        <v>202540002733</v>
      </c>
      <c r="B80" s="1">
        <v>1226096</v>
      </c>
      <c r="C80" s="2">
        <v>46091</v>
      </c>
      <c r="D80" t="s">
        <v>16</v>
      </c>
      <c r="E80" t="s">
        <v>11</v>
      </c>
      <c r="G80" t="s">
        <v>9</v>
      </c>
      <c r="L80">
        <f t="shared" si="5"/>
        <v>0</v>
      </c>
      <c r="M80">
        <f t="shared" si="6"/>
        <v>0</v>
      </c>
      <c r="N80">
        <f t="shared" si="7"/>
        <v>0</v>
      </c>
      <c r="O80">
        <f t="shared" si="9"/>
        <v>1</v>
      </c>
      <c r="P80" t="str">
        <f t="shared" si="8"/>
        <v/>
      </c>
      <c r="Q80">
        <f>COUNTIF('責任職　企業局→市長部局'!A:A,SQLデータ!B80)</f>
        <v>0</v>
      </c>
      <c r="R80">
        <f>COUNTIF('一般職員　企業局→市長部局'!A:F,SQLデータ!B80)</f>
        <v>0</v>
      </c>
    </row>
    <row r="81" spans="1:18" x14ac:dyDescent="0.4">
      <c r="A81" s="1">
        <v>202540002742</v>
      </c>
      <c r="B81" s="1">
        <v>1201070</v>
      </c>
      <c r="C81" s="2">
        <v>46091</v>
      </c>
      <c r="D81" t="s">
        <v>16</v>
      </c>
      <c r="E81" t="s">
        <v>12</v>
      </c>
      <c r="G81" t="s">
        <v>9</v>
      </c>
      <c r="L81">
        <f t="shared" si="5"/>
        <v>0</v>
      </c>
      <c r="M81">
        <f t="shared" si="6"/>
        <v>0</v>
      </c>
      <c r="N81">
        <f t="shared" si="7"/>
        <v>0</v>
      </c>
      <c r="O81">
        <f t="shared" si="9"/>
        <v>1</v>
      </c>
      <c r="P81" t="str">
        <f t="shared" si="8"/>
        <v/>
      </c>
      <c r="Q81">
        <f>COUNTIF('責任職　企業局→市長部局'!A:A,SQLデータ!B81)</f>
        <v>0</v>
      </c>
      <c r="R81">
        <f>COUNTIF('一般職員　企業局→市長部局'!A:F,SQLデータ!B81)</f>
        <v>0</v>
      </c>
    </row>
    <row r="82" spans="1:18" x14ac:dyDescent="0.4">
      <c r="A82" s="1">
        <v>202540002745</v>
      </c>
      <c r="B82" s="1">
        <v>1211467</v>
      </c>
      <c r="C82" s="2">
        <v>46092</v>
      </c>
      <c r="D82" t="s">
        <v>16</v>
      </c>
      <c r="E82" t="s">
        <v>11</v>
      </c>
      <c r="G82" t="s">
        <v>9</v>
      </c>
      <c r="L82">
        <f t="shared" si="5"/>
        <v>0</v>
      </c>
      <c r="M82">
        <f t="shared" si="6"/>
        <v>0</v>
      </c>
      <c r="N82">
        <f t="shared" si="7"/>
        <v>0</v>
      </c>
      <c r="O82">
        <f t="shared" si="9"/>
        <v>1</v>
      </c>
      <c r="P82" t="str">
        <f t="shared" si="8"/>
        <v/>
      </c>
      <c r="Q82">
        <f>COUNTIF('責任職　企業局→市長部局'!A:A,SQLデータ!B82)</f>
        <v>0</v>
      </c>
      <c r="R82">
        <f>COUNTIF('一般職員　企業局→市長部局'!A:F,SQLデータ!B82)</f>
        <v>0</v>
      </c>
    </row>
    <row r="83" spans="1:18" x14ac:dyDescent="0.4">
      <c r="A83" s="1">
        <v>202540002755</v>
      </c>
      <c r="B83" s="1">
        <v>1186065</v>
      </c>
      <c r="C83" s="2">
        <v>46093</v>
      </c>
      <c r="D83" t="s">
        <v>16</v>
      </c>
      <c r="E83" t="s">
        <v>11</v>
      </c>
      <c r="G83" t="s">
        <v>9</v>
      </c>
      <c r="L83">
        <f t="shared" si="5"/>
        <v>0</v>
      </c>
      <c r="M83">
        <f t="shared" si="6"/>
        <v>0</v>
      </c>
      <c r="N83">
        <f t="shared" si="7"/>
        <v>0</v>
      </c>
      <c r="O83">
        <f t="shared" si="9"/>
        <v>1</v>
      </c>
      <c r="P83" t="str">
        <f t="shared" si="8"/>
        <v/>
      </c>
      <c r="Q83">
        <f>COUNTIF('責任職　企業局→市長部局'!A:A,SQLデータ!B83)</f>
        <v>0</v>
      </c>
      <c r="R83">
        <f>COUNTIF('一般職員　企業局→市長部局'!A:F,SQLデータ!B83)</f>
        <v>0</v>
      </c>
    </row>
    <row r="84" spans="1:18" x14ac:dyDescent="0.4">
      <c r="A84" s="1">
        <v>202540002764</v>
      </c>
      <c r="B84" s="1">
        <v>910964</v>
      </c>
      <c r="C84" s="2">
        <v>46093</v>
      </c>
      <c r="D84" t="s">
        <v>16</v>
      </c>
      <c r="E84" t="s">
        <v>15</v>
      </c>
      <c r="F84" t="s">
        <v>50</v>
      </c>
      <c r="G84" t="s">
        <v>9</v>
      </c>
      <c r="L84">
        <f t="shared" si="5"/>
        <v>0</v>
      </c>
      <c r="M84">
        <f t="shared" si="6"/>
        <v>0</v>
      </c>
      <c r="N84">
        <f t="shared" si="7"/>
        <v>0</v>
      </c>
      <c r="O84">
        <f t="shared" si="9"/>
        <v>1</v>
      </c>
      <c r="P84" t="str">
        <f t="shared" si="8"/>
        <v/>
      </c>
      <c r="Q84">
        <f>COUNTIF('責任職　企業局→市長部局'!A:A,SQLデータ!B84)</f>
        <v>0</v>
      </c>
      <c r="R84">
        <f>COUNTIF('一般職員　企業局→市長部局'!A:F,SQLデータ!B84)</f>
        <v>0</v>
      </c>
    </row>
    <row r="85" spans="1:18" x14ac:dyDescent="0.4">
      <c r="A85" s="1">
        <v>202540002776</v>
      </c>
      <c r="B85" s="1">
        <v>1226129</v>
      </c>
      <c r="C85" s="2">
        <v>46094</v>
      </c>
      <c r="D85" t="s">
        <v>16</v>
      </c>
      <c r="E85" t="s">
        <v>11</v>
      </c>
      <c r="G85" t="s">
        <v>9</v>
      </c>
      <c r="L85">
        <f t="shared" si="5"/>
        <v>0</v>
      </c>
      <c r="M85">
        <f t="shared" si="6"/>
        <v>0</v>
      </c>
      <c r="N85">
        <f t="shared" si="7"/>
        <v>0</v>
      </c>
      <c r="O85">
        <f t="shared" si="9"/>
        <v>1</v>
      </c>
      <c r="P85" t="str">
        <f t="shared" si="8"/>
        <v/>
      </c>
      <c r="Q85">
        <f>COUNTIF('責任職　企業局→市長部局'!A:A,SQLデータ!B85)</f>
        <v>0</v>
      </c>
      <c r="R85">
        <f>COUNTIF('一般職員　企業局→市長部局'!A:F,SQLデータ!B85)</f>
        <v>0</v>
      </c>
    </row>
    <row r="86" spans="1:18" x14ac:dyDescent="0.4">
      <c r="A86" s="1">
        <v>202540002786</v>
      </c>
      <c r="B86" s="1">
        <v>1186154</v>
      </c>
      <c r="C86" s="2">
        <v>46098</v>
      </c>
      <c r="D86" t="s">
        <v>16</v>
      </c>
      <c r="E86" t="s">
        <v>11</v>
      </c>
      <c r="G86" t="s">
        <v>9</v>
      </c>
      <c r="L86">
        <f t="shared" si="5"/>
        <v>0</v>
      </c>
      <c r="M86">
        <f t="shared" si="6"/>
        <v>0</v>
      </c>
      <c r="N86">
        <f t="shared" si="7"/>
        <v>0</v>
      </c>
      <c r="O86">
        <f t="shared" si="9"/>
        <v>1</v>
      </c>
      <c r="P86" t="str">
        <f t="shared" si="8"/>
        <v/>
      </c>
      <c r="Q86">
        <f>COUNTIF('責任職　企業局→市長部局'!A:A,SQLデータ!B86)</f>
        <v>0</v>
      </c>
      <c r="R86">
        <f>COUNTIF('一般職員　企業局→市長部局'!A:F,SQLデータ!B86)</f>
        <v>0</v>
      </c>
    </row>
    <row r="87" spans="1:18" x14ac:dyDescent="0.4">
      <c r="A87" s="1">
        <v>202540002792</v>
      </c>
      <c r="B87" s="1">
        <v>930600</v>
      </c>
      <c r="C87" s="2">
        <v>46125</v>
      </c>
      <c r="D87" t="s">
        <v>16</v>
      </c>
      <c r="E87" t="s">
        <v>10</v>
      </c>
      <c r="G87" t="s">
        <v>9</v>
      </c>
      <c r="L87">
        <f t="shared" si="5"/>
        <v>0</v>
      </c>
      <c r="M87">
        <f t="shared" si="6"/>
        <v>0</v>
      </c>
      <c r="N87">
        <f t="shared" si="7"/>
        <v>0</v>
      </c>
      <c r="O87">
        <f t="shared" si="9"/>
        <v>1</v>
      </c>
      <c r="P87" t="str">
        <f t="shared" si="8"/>
        <v/>
      </c>
      <c r="Q87">
        <f>COUNTIF('責任職　企業局→市長部局'!A:A,SQLデータ!B87)</f>
        <v>0</v>
      </c>
      <c r="R87">
        <f>COUNTIF('一般職員　企業局→市長部局'!A:F,SQLデータ!B87)</f>
        <v>0</v>
      </c>
    </row>
    <row r="88" spans="1:18" x14ac:dyDescent="0.4">
      <c r="A88" s="1">
        <v>202540002794</v>
      </c>
      <c r="B88" s="1">
        <v>1191365</v>
      </c>
      <c r="C88" s="2">
        <v>46097</v>
      </c>
      <c r="D88" t="s">
        <v>16</v>
      </c>
      <c r="E88" t="s">
        <v>11</v>
      </c>
      <c r="G88" t="s">
        <v>9</v>
      </c>
      <c r="L88">
        <f t="shared" si="5"/>
        <v>0</v>
      </c>
      <c r="M88">
        <f t="shared" si="6"/>
        <v>0</v>
      </c>
      <c r="N88">
        <f t="shared" si="7"/>
        <v>0</v>
      </c>
      <c r="O88">
        <f t="shared" si="9"/>
        <v>1</v>
      </c>
      <c r="P88" t="str">
        <f t="shared" si="8"/>
        <v/>
      </c>
      <c r="Q88">
        <f>COUNTIF('責任職　企業局→市長部局'!A:A,SQLデータ!B88)</f>
        <v>0</v>
      </c>
      <c r="R88">
        <f>COUNTIF('一般職員　企業局→市長部局'!A:F,SQLデータ!B88)</f>
        <v>0</v>
      </c>
    </row>
    <row r="89" spans="1:18" x14ac:dyDescent="0.4">
      <c r="A89" s="1">
        <v>202540002797</v>
      </c>
      <c r="B89" s="1">
        <v>1201456</v>
      </c>
      <c r="C89" s="2">
        <v>46097</v>
      </c>
      <c r="D89" t="s">
        <v>16</v>
      </c>
      <c r="E89" t="s">
        <v>11</v>
      </c>
      <c r="G89" t="s">
        <v>9</v>
      </c>
      <c r="L89">
        <f t="shared" si="5"/>
        <v>0</v>
      </c>
      <c r="M89">
        <f t="shared" si="6"/>
        <v>0</v>
      </c>
      <c r="N89">
        <f t="shared" si="7"/>
        <v>0</v>
      </c>
      <c r="O89">
        <f t="shared" si="9"/>
        <v>1</v>
      </c>
      <c r="P89" t="str">
        <f t="shared" si="8"/>
        <v/>
      </c>
      <c r="Q89">
        <f>COUNTIF('責任職　企業局→市長部局'!A:A,SQLデータ!B89)</f>
        <v>0</v>
      </c>
      <c r="R89">
        <f>COUNTIF('一般職員　企業局→市長部局'!A:F,SQLデータ!B89)</f>
        <v>0</v>
      </c>
    </row>
    <row r="90" spans="1:18" x14ac:dyDescent="0.4">
      <c r="A90" s="1">
        <v>202540002801</v>
      </c>
      <c r="B90" s="1">
        <v>1102111</v>
      </c>
      <c r="C90" s="2">
        <v>46098</v>
      </c>
      <c r="D90" t="s">
        <v>16</v>
      </c>
      <c r="E90" t="s">
        <v>8</v>
      </c>
      <c r="F90" t="s">
        <v>47</v>
      </c>
      <c r="G90" t="s">
        <v>9</v>
      </c>
      <c r="L90">
        <f t="shared" si="5"/>
        <v>0</v>
      </c>
      <c r="M90">
        <f t="shared" si="6"/>
        <v>0</v>
      </c>
      <c r="N90">
        <f t="shared" si="7"/>
        <v>0</v>
      </c>
      <c r="O90">
        <f t="shared" si="9"/>
        <v>1</v>
      </c>
      <c r="P90" t="str">
        <f t="shared" si="8"/>
        <v/>
      </c>
      <c r="Q90">
        <f>COUNTIF('責任職　企業局→市長部局'!A:A,SQLデータ!B90)</f>
        <v>0</v>
      </c>
      <c r="R90">
        <f>COUNTIF('一般職員　企業局→市長部局'!A:F,SQLデータ!B90)</f>
        <v>0</v>
      </c>
    </row>
    <row r="91" spans="1:18" x14ac:dyDescent="0.4">
      <c r="A91" s="1">
        <v>202540002817</v>
      </c>
      <c r="B91" s="1">
        <v>1221491</v>
      </c>
      <c r="C91" s="2">
        <v>46098</v>
      </c>
      <c r="D91" t="s">
        <v>16</v>
      </c>
      <c r="E91" t="s">
        <v>11</v>
      </c>
      <c r="G91" t="s">
        <v>9</v>
      </c>
      <c r="L91">
        <f t="shared" si="5"/>
        <v>0</v>
      </c>
      <c r="M91">
        <f t="shared" si="6"/>
        <v>0</v>
      </c>
      <c r="N91">
        <f t="shared" si="7"/>
        <v>0</v>
      </c>
      <c r="O91">
        <f t="shared" si="9"/>
        <v>1</v>
      </c>
      <c r="P91" t="str">
        <f t="shared" si="8"/>
        <v/>
      </c>
      <c r="Q91">
        <f>COUNTIF('責任職　企業局→市長部局'!A:A,SQLデータ!B91)</f>
        <v>0</v>
      </c>
      <c r="R91">
        <f>COUNTIF('一般職員　企業局→市長部局'!A:F,SQLデータ!B91)</f>
        <v>0</v>
      </c>
    </row>
    <row r="92" spans="1:18" x14ac:dyDescent="0.4">
      <c r="A92" s="1">
        <v>202540002818</v>
      </c>
      <c r="B92" s="1">
        <v>1232017</v>
      </c>
      <c r="C92" s="2">
        <v>46098</v>
      </c>
      <c r="D92" t="s">
        <v>16</v>
      </c>
      <c r="E92" t="s">
        <v>8</v>
      </c>
      <c r="F92" t="s">
        <v>47</v>
      </c>
      <c r="G92" t="s">
        <v>9</v>
      </c>
      <c r="L92">
        <f t="shared" si="5"/>
        <v>0</v>
      </c>
      <c r="M92">
        <f t="shared" si="6"/>
        <v>0</v>
      </c>
      <c r="N92">
        <f t="shared" si="7"/>
        <v>0</v>
      </c>
      <c r="O92">
        <f t="shared" si="9"/>
        <v>1</v>
      </c>
      <c r="P92" t="str">
        <f t="shared" si="8"/>
        <v/>
      </c>
      <c r="Q92">
        <f>COUNTIF('責任職　企業局→市長部局'!A:A,SQLデータ!B92)</f>
        <v>0</v>
      </c>
      <c r="R92">
        <f>COUNTIF('一般職員　企業局→市長部局'!A:F,SQLデータ!B92)</f>
        <v>0</v>
      </c>
    </row>
    <row r="93" spans="1:18" x14ac:dyDescent="0.4">
      <c r="A93" s="1">
        <v>202540002819</v>
      </c>
      <c r="B93" s="1">
        <v>1251296</v>
      </c>
      <c r="C93" s="2">
        <v>46098</v>
      </c>
      <c r="D93" t="s">
        <v>16</v>
      </c>
      <c r="E93" t="s">
        <v>11</v>
      </c>
      <c r="G93" t="s">
        <v>9</v>
      </c>
      <c r="L93">
        <f t="shared" si="5"/>
        <v>0</v>
      </c>
      <c r="M93">
        <f t="shared" si="6"/>
        <v>0</v>
      </c>
      <c r="N93">
        <f t="shared" si="7"/>
        <v>0</v>
      </c>
      <c r="O93">
        <f t="shared" si="9"/>
        <v>1</v>
      </c>
      <c r="P93" t="str">
        <f t="shared" si="8"/>
        <v/>
      </c>
      <c r="Q93">
        <f>COUNTIF('責任職　企業局→市長部局'!A:A,SQLデータ!B93)</f>
        <v>0</v>
      </c>
      <c r="R93">
        <f>COUNTIF('一般職員　企業局→市長部局'!A:F,SQLデータ!B93)</f>
        <v>0</v>
      </c>
    </row>
    <row r="94" spans="1:18" x14ac:dyDescent="0.4">
      <c r="A94" s="1">
        <v>202540002821</v>
      </c>
      <c r="B94" s="1">
        <v>1206033</v>
      </c>
      <c r="C94" s="2">
        <v>46100</v>
      </c>
      <c r="D94" t="s">
        <v>16</v>
      </c>
      <c r="E94" t="s">
        <v>8</v>
      </c>
      <c r="F94" t="s">
        <v>47</v>
      </c>
      <c r="G94" t="s">
        <v>9</v>
      </c>
      <c r="L94">
        <f t="shared" si="5"/>
        <v>0</v>
      </c>
      <c r="M94">
        <f t="shared" si="6"/>
        <v>0</v>
      </c>
      <c r="N94">
        <f t="shared" si="7"/>
        <v>0</v>
      </c>
      <c r="O94">
        <f t="shared" si="9"/>
        <v>1</v>
      </c>
      <c r="P94" t="str">
        <f t="shared" si="8"/>
        <v/>
      </c>
      <c r="Q94">
        <f>COUNTIF('責任職　企業局→市長部局'!A:A,SQLデータ!B94)</f>
        <v>0</v>
      </c>
      <c r="R94">
        <f>COUNTIF('一般職員　企業局→市長部局'!A:F,SQLデータ!B94)</f>
        <v>0</v>
      </c>
    </row>
    <row r="95" spans="1:18" x14ac:dyDescent="0.4">
      <c r="A95" s="1">
        <v>202540002827</v>
      </c>
      <c r="B95" s="1">
        <v>1144034</v>
      </c>
      <c r="C95" s="2">
        <v>46100</v>
      </c>
      <c r="D95" t="s">
        <v>16</v>
      </c>
      <c r="E95" t="s">
        <v>8</v>
      </c>
      <c r="F95" t="s">
        <v>47</v>
      </c>
      <c r="G95" t="s">
        <v>9</v>
      </c>
      <c r="L95">
        <f t="shared" si="5"/>
        <v>0</v>
      </c>
      <c r="M95">
        <f t="shared" si="6"/>
        <v>0</v>
      </c>
      <c r="N95">
        <f t="shared" si="7"/>
        <v>0</v>
      </c>
      <c r="O95">
        <f t="shared" si="9"/>
        <v>1</v>
      </c>
      <c r="P95" t="str">
        <f t="shared" si="8"/>
        <v/>
      </c>
      <c r="Q95">
        <f>COUNTIF('責任職　企業局→市長部局'!A:A,SQLデータ!B95)</f>
        <v>0</v>
      </c>
      <c r="R95">
        <f>COUNTIF('一般職員　企業局→市長部局'!A:F,SQLデータ!B95)</f>
        <v>0</v>
      </c>
    </row>
    <row r="96" spans="1:18" x14ac:dyDescent="0.4">
      <c r="A96" s="1">
        <v>202540002828</v>
      </c>
      <c r="B96" s="1">
        <v>1226077</v>
      </c>
      <c r="C96" s="2">
        <v>46100</v>
      </c>
      <c r="D96" t="s">
        <v>16</v>
      </c>
      <c r="E96" t="s">
        <v>15</v>
      </c>
      <c r="G96" t="s">
        <v>9</v>
      </c>
      <c r="L96">
        <f t="shared" si="5"/>
        <v>0</v>
      </c>
      <c r="M96">
        <f t="shared" si="6"/>
        <v>0</v>
      </c>
      <c r="N96">
        <f t="shared" si="7"/>
        <v>0</v>
      </c>
      <c r="O96">
        <f t="shared" si="9"/>
        <v>1</v>
      </c>
      <c r="P96" t="str">
        <f t="shared" si="8"/>
        <v/>
      </c>
      <c r="Q96">
        <f>COUNTIF('責任職　企業局→市長部局'!A:A,SQLデータ!B96)</f>
        <v>0</v>
      </c>
      <c r="R96">
        <f>COUNTIF('一般職員　企業局→市長部局'!A:F,SQLデータ!B96)</f>
        <v>0</v>
      </c>
    </row>
    <row r="97" spans="1:18" x14ac:dyDescent="0.4">
      <c r="A97" s="1">
        <v>202540002829</v>
      </c>
      <c r="B97" s="1">
        <v>1253013</v>
      </c>
      <c r="C97" s="2">
        <v>46100</v>
      </c>
      <c r="D97" t="s">
        <v>16</v>
      </c>
      <c r="E97" t="s">
        <v>15</v>
      </c>
      <c r="G97" t="s">
        <v>9</v>
      </c>
      <c r="L97">
        <f t="shared" si="5"/>
        <v>0</v>
      </c>
      <c r="M97">
        <f t="shared" si="6"/>
        <v>0</v>
      </c>
      <c r="N97">
        <f t="shared" si="7"/>
        <v>0</v>
      </c>
      <c r="O97">
        <f t="shared" si="9"/>
        <v>1</v>
      </c>
      <c r="P97" t="str">
        <f t="shared" si="8"/>
        <v/>
      </c>
      <c r="Q97">
        <f>COUNTIF('責任職　企業局→市長部局'!A:A,SQLデータ!B97)</f>
        <v>0</v>
      </c>
      <c r="R97">
        <f>COUNTIF('一般職員　企業局→市長部局'!A:F,SQLデータ!B97)</f>
        <v>0</v>
      </c>
    </row>
    <row r="98" spans="1:18" x14ac:dyDescent="0.4">
      <c r="A98" s="1">
        <v>202540002838</v>
      </c>
      <c r="B98" s="1">
        <v>1106098</v>
      </c>
      <c r="C98" s="2">
        <v>46102</v>
      </c>
      <c r="D98" t="s">
        <v>16</v>
      </c>
      <c r="E98" t="s">
        <v>11</v>
      </c>
      <c r="G98" t="s">
        <v>9</v>
      </c>
      <c r="L98">
        <f t="shared" si="5"/>
        <v>0</v>
      </c>
      <c r="M98">
        <f t="shared" si="6"/>
        <v>0</v>
      </c>
      <c r="N98">
        <f t="shared" si="7"/>
        <v>0</v>
      </c>
      <c r="O98">
        <f t="shared" si="9"/>
        <v>1</v>
      </c>
      <c r="P98" t="str">
        <f t="shared" si="8"/>
        <v/>
      </c>
      <c r="Q98">
        <f>COUNTIF('責任職　企業局→市長部局'!A:A,SQLデータ!B98)</f>
        <v>0</v>
      </c>
      <c r="R98">
        <f>COUNTIF('一般職員　企業局→市長部局'!A:F,SQLデータ!B98)</f>
        <v>0</v>
      </c>
    </row>
    <row r="99" spans="1:18" x14ac:dyDescent="0.4">
      <c r="A99" s="1">
        <v>202540002857</v>
      </c>
      <c r="B99" s="1">
        <v>1216111</v>
      </c>
      <c r="C99" s="2">
        <v>46104</v>
      </c>
      <c r="D99" t="s">
        <v>16</v>
      </c>
      <c r="E99" t="s">
        <v>8</v>
      </c>
      <c r="F99" t="s">
        <v>47</v>
      </c>
      <c r="G99" t="s">
        <v>9</v>
      </c>
      <c r="L99">
        <f t="shared" si="5"/>
        <v>0</v>
      </c>
      <c r="M99">
        <f t="shared" si="6"/>
        <v>0</v>
      </c>
      <c r="N99">
        <f t="shared" si="7"/>
        <v>0</v>
      </c>
      <c r="O99">
        <f t="shared" si="9"/>
        <v>1</v>
      </c>
      <c r="P99" t="str">
        <f t="shared" si="8"/>
        <v/>
      </c>
      <c r="Q99">
        <f>COUNTIF('責任職　企業局→市長部局'!A:A,SQLデータ!B99)</f>
        <v>0</v>
      </c>
      <c r="R99">
        <f>COUNTIF('一般職員　企業局→市長部局'!A:F,SQLデータ!B99)</f>
        <v>0</v>
      </c>
    </row>
    <row r="100" spans="1:18" x14ac:dyDescent="0.4">
      <c r="A100" s="1">
        <v>202540002861</v>
      </c>
      <c r="B100" s="1">
        <v>1234124</v>
      </c>
      <c r="C100" s="2">
        <v>46105</v>
      </c>
      <c r="D100" t="s">
        <v>16</v>
      </c>
      <c r="E100" t="s">
        <v>11</v>
      </c>
      <c r="F100" t="s">
        <v>48</v>
      </c>
      <c r="G100" t="s">
        <v>9</v>
      </c>
      <c r="L100">
        <f t="shared" si="5"/>
        <v>0</v>
      </c>
      <c r="M100">
        <f t="shared" si="6"/>
        <v>0</v>
      </c>
      <c r="N100">
        <f t="shared" si="7"/>
        <v>0</v>
      </c>
      <c r="O100">
        <f t="shared" si="9"/>
        <v>1</v>
      </c>
      <c r="P100" t="str">
        <f t="shared" si="8"/>
        <v/>
      </c>
      <c r="Q100">
        <f>COUNTIF('責任職　企業局→市長部局'!A:A,SQLデータ!B100)</f>
        <v>0</v>
      </c>
      <c r="R100">
        <f>COUNTIF('一般職員　企業局→市長部局'!A:F,SQLデータ!B100)</f>
        <v>0</v>
      </c>
    </row>
    <row r="101" spans="1:18" x14ac:dyDescent="0.4">
      <c r="A101" s="1">
        <v>202540002870</v>
      </c>
      <c r="B101" s="1">
        <v>1191312</v>
      </c>
      <c r="C101" s="2">
        <v>46118</v>
      </c>
      <c r="D101" t="s">
        <v>16</v>
      </c>
      <c r="E101" t="s">
        <v>8</v>
      </c>
      <c r="F101" t="s">
        <v>50</v>
      </c>
      <c r="G101" t="s">
        <v>9</v>
      </c>
      <c r="L101">
        <f t="shared" si="5"/>
        <v>0</v>
      </c>
      <c r="M101">
        <f t="shared" si="6"/>
        <v>0</v>
      </c>
      <c r="N101">
        <f t="shared" si="7"/>
        <v>0</v>
      </c>
      <c r="O101">
        <f t="shared" si="9"/>
        <v>1</v>
      </c>
      <c r="P101" t="str">
        <f t="shared" si="8"/>
        <v/>
      </c>
      <c r="Q101">
        <f>COUNTIF('責任職　企業局→市長部局'!A:A,SQLデータ!B101)</f>
        <v>0</v>
      </c>
      <c r="R101">
        <f>COUNTIF('一般職員　企業局→市長部局'!A:F,SQLデータ!B101)</f>
        <v>0</v>
      </c>
    </row>
    <row r="102" spans="1:18" x14ac:dyDescent="0.4">
      <c r="A102" s="1">
        <v>202540002871</v>
      </c>
      <c r="B102" s="1">
        <v>1181090</v>
      </c>
      <c r="C102" s="2">
        <v>46105</v>
      </c>
      <c r="D102" t="s">
        <v>16</v>
      </c>
      <c r="E102" t="s">
        <v>15</v>
      </c>
      <c r="G102" t="s">
        <v>9</v>
      </c>
      <c r="L102">
        <f t="shared" si="5"/>
        <v>0</v>
      </c>
      <c r="M102">
        <f t="shared" si="6"/>
        <v>0</v>
      </c>
      <c r="N102">
        <f t="shared" si="7"/>
        <v>0</v>
      </c>
      <c r="O102">
        <f t="shared" si="9"/>
        <v>1</v>
      </c>
      <c r="P102" t="str">
        <f t="shared" si="8"/>
        <v/>
      </c>
      <c r="Q102">
        <f>COUNTIF('責任職　企業局→市長部局'!A:A,SQLデータ!B102)</f>
        <v>0</v>
      </c>
      <c r="R102">
        <f>COUNTIF('一般職員　企業局→市長部局'!A:F,SQLデータ!B102)</f>
        <v>0</v>
      </c>
    </row>
    <row r="103" spans="1:18" x14ac:dyDescent="0.4">
      <c r="A103" s="1">
        <v>202540002879</v>
      </c>
      <c r="B103" s="1">
        <v>1240011</v>
      </c>
      <c r="C103" s="2">
        <v>46106</v>
      </c>
      <c r="D103" t="s">
        <v>16</v>
      </c>
      <c r="E103" t="s">
        <v>15</v>
      </c>
      <c r="G103" t="s">
        <v>9</v>
      </c>
      <c r="L103">
        <f t="shared" si="5"/>
        <v>0</v>
      </c>
      <c r="M103">
        <f t="shared" si="6"/>
        <v>0</v>
      </c>
      <c r="N103">
        <f t="shared" si="7"/>
        <v>0</v>
      </c>
      <c r="O103">
        <f t="shared" si="9"/>
        <v>1</v>
      </c>
      <c r="P103" t="str">
        <f t="shared" si="8"/>
        <v/>
      </c>
      <c r="Q103">
        <f>COUNTIF('責任職　企業局→市長部局'!A:A,SQLデータ!B103)</f>
        <v>0</v>
      </c>
      <c r="R103">
        <f>COUNTIF('一般職員　企業局→市長部局'!A:F,SQLデータ!B103)</f>
        <v>0</v>
      </c>
    </row>
    <row r="104" spans="1:18" x14ac:dyDescent="0.4">
      <c r="A104" s="1">
        <v>202540002881</v>
      </c>
      <c r="B104" s="1">
        <v>1241128</v>
      </c>
      <c r="C104" s="2">
        <v>46106</v>
      </c>
      <c r="D104" t="s">
        <v>16</v>
      </c>
      <c r="E104" t="s">
        <v>15</v>
      </c>
      <c r="G104" t="s">
        <v>9</v>
      </c>
      <c r="L104">
        <f t="shared" si="5"/>
        <v>0</v>
      </c>
      <c r="M104">
        <f t="shared" si="6"/>
        <v>0</v>
      </c>
      <c r="N104">
        <f t="shared" si="7"/>
        <v>0</v>
      </c>
      <c r="O104">
        <f t="shared" si="9"/>
        <v>1</v>
      </c>
      <c r="P104" t="str">
        <f t="shared" si="8"/>
        <v/>
      </c>
      <c r="Q104">
        <f>COUNTIF('責任職　企業局→市長部局'!A:A,SQLデータ!B104)</f>
        <v>0</v>
      </c>
      <c r="R104">
        <f>COUNTIF('一般職員　企業局→市長部局'!A:F,SQLデータ!B104)</f>
        <v>0</v>
      </c>
    </row>
    <row r="105" spans="1:18" x14ac:dyDescent="0.4">
      <c r="A105" s="1">
        <v>202540002882</v>
      </c>
      <c r="B105" s="1">
        <v>1202508</v>
      </c>
      <c r="C105" s="2">
        <v>46106</v>
      </c>
      <c r="D105" t="s">
        <v>16</v>
      </c>
      <c r="E105" t="s">
        <v>15</v>
      </c>
      <c r="G105" t="s">
        <v>9</v>
      </c>
      <c r="L105">
        <f t="shared" si="5"/>
        <v>0</v>
      </c>
      <c r="M105">
        <f t="shared" si="6"/>
        <v>0</v>
      </c>
      <c r="N105">
        <f t="shared" si="7"/>
        <v>0</v>
      </c>
      <c r="O105">
        <f t="shared" si="9"/>
        <v>1</v>
      </c>
      <c r="P105" t="str">
        <f t="shared" si="8"/>
        <v/>
      </c>
      <c r="Q105">
        <f>COUNTIF('責任職　企業局→市長部局'!A:A,SQLデータ!B105)</f>
        <v>0</v>
      </c>
      <c r="R105">
        <f>COUNTIF('一般職員　企業局→市長部局'!A:F,SQLデータ!B105)</f>
        <v>0</v>
      </c>
    </row>
    <row r="106" spans="1:18" x14ac:dyDescent="0.4">
      <c r="A106" s="1">
        <v>202540002891</v>
      </c>
      <c r="B106" s="1">
        <v>1222081</v>
      </c>
      <c r="C106" s="2">
        <v>46106</v>
      </c>
      <c r="D106" t="s">
        <v>16</v>
      </c>
      <c r="E106" t="s">
        <v>8</v>
      </c>
      <c r="F106" t="s">
        <v>47</v>
      </c>
      <c r="G106" t="s">
        <v>9</v>
      </c>
      <c r="L106">
        <f t="shared" si="5"/>
        <v>0</v>
      </c>
      <c r="M106">
        <f t="shared" si="6"/>
        <v>0</v>
      </c>
      <c r="N106">
        <f t="shared" si="7"/>
        <v>0</v>
      </c>
      <c r="O106">
        <f t="shared" si="9"/>
        <v>1</v>
      </c>
      <c r="P106" t="str">
        <f t="shared" si="8"/>
        <v/>
      </c>
      <c r="Q106">
        <f>COUNTIF('責任職　企業局→市長部局'!A:A,SQLデータ!B106)</f>
        <v>0</v>
      </c>
      <c r="R106">
        <f>COUNTIF('一般職員　企業局→市長部局'!A:F,SQLデータ!B106)</f>
        <v>0</v>
      </c>
    </row>
    <row r="107" spans="1:18" x14ac:dyDescent="0.4">
      <c r="A107" s="1">
        <v>202540002897</v>
      </c>
      <c r="B107" s="1">
        <v>1116086</v>
      </c>
      <c r="C107" s="2">
        <v>46119</v>
      </c>
      <c r="D107" t="s">
        <v>16</v>
      </c>
      <c r="E107" t="s">
        <v>12</v>
      </c>
      <c r="G107" t="s">
        <v>9</v>
      </c>
      <c r="L107">
        <f t="shared" si="5"/>
        <v>0</v>
      </c>
      <c r="M107">
        <f t="shared" si="6"/>
        <v>0</v>
      </c>
      <c r="N107">
        <f t="shared" si="7"/>
        <v>0</v>
      </c>
      <c r="O107">
        <f t="shared" si="9"/>
        <v>1</v>
      </c>
      <c r="P107" t="str">
        <f t="shared" si="8"/>
        <v/>
      </c>
      <c r="Q107">
        <f>COUNTIF('責任職　企業局→市長部局'!A:A,SQLデータ!B107)</f>
        <v>0</v>
      </c>
      <c r="R107">
        <f>COUNTIF('一般職員　企業局→市長部局'!A:F,SQLデータ!B107)</f>
        <v>0</v>
      </c>
    </row>
    <row r="108" spans="1:18" x14ac:dyDescent="0.4">
      <c r="A108" s="1">
        <v>202540002900</v>
      </c>
      <c r="B108" s="1">
        <v>1241257</v>
      </c>
      <c r="C108" s="2">
        <v>46127</v>
      </c>
      <c r="D108" t="s">
        <v>16</v>
      </c>
      <c r="E108" t="s">
        <v>8</v>
      </c>
      <c r="G108" t="s">
        <v>9</v>
      </c>
      <c r="L108">
        <f t="shared" si="5"/>
        <v>0</v>
      </c>
      <c r="M108">
        <f t="shared" si="6"/>
        <v>0</v>
      </c>
      <c r="N108">
        <f t="shared" si="7"/>
        <v>0</v>
      </c>
      <c r="O108">
        <f t="shared" si="9"/>
        <v>1</v>
      </c>
      <c r="P108" t="str">
        <f t="shared" si="8"/>
        <v/>
      </c>
      <c r="Q108">
        <f>COUNTIF('責任職　企業局→市長部局'!A:A,SQLデータ!B108)</f>
        <v>0</v>
      </c>
      <c r="R108">
        <f>COUNTIF('一般職員　企業局→市長部局'!A:F,SQLデータ!B108)</f>
        <v>0</v>
      </c>
    </row>
    <row r="109" spans="1:18" x14ac:dyDescent="0.4">
      <c r="A109" s="1">
        <v>202540002906</v>
      </c>
      <c r="B109" s="1">
        <v>1246033</v>
      </c>
      <c r="C109" s="2">
        <v>46108</v>
      </c>
      <c r="D109" t="s">
        <v>16</v>
      </c>
      <c r="E109" t="s">
        <v>15</v>
      </c>
      <c r="G109" t="s">
        <v>9</v>
      </c>
      <c r="L109">
        <f t="shared" si="5"/>
        <v>0</v>
      </c>
      <c r="M109">
        <f t="shared" si="6"/>
        <v>0</v>
      </c>
      <c r="N109">
        <f t="shared" si="7"/>
        <v>0</v>
      </c>
      <c r="O109">
        <f t="shared" si="9"/>
        <v>1</v>
      </c>
      <c r="P109" t="str">
        <f t="shared" si="8"/>
        <v/>
      </c>
      <c r="Q109">
        <f>COUNTIF('責任職　企業局→市長部局'!A:A,SQLデータ!B109)</f>
        <v>0</v>
      </c>
      <c r="R109">
        <f>COUNTIF('一般職員　企業局→市長部局'!A:F,SQLデータ!B109)</f>
        <v>0</v>
      </c>
    </row>
    <row r="110" spans="1:18" x14ac:dyDescent="0.4">
      <c r="A110" s="1">
        <v>202540002912</v>
      </c>
      <c r="B110" s="1">
        <v>1256006</v>
      </c>
      <c r="C110" s="2">
        <v>46110</v>
      </c>
      <c r="D110" t="s">
        <v>16</v>
      </c>
      <c r="E110" t="s">
        <v>10</v>
      </c>
      <c r="G110" t="s">
        <v>9</v>
      </c>
      <c r="L110">
        <f t="shared" si="5"/>
        <v>0</v>
      </c>
      <c r="M110">
        <f t="shared" si="6"/>
        <v>0</v>
      </c>
      <c r="N110">
        <f t="shared" si="7"/>
        <v>0</v>
      </c>
      <c r="O110">
        <f t="shared" si="9"/>
        <v>1</v>
      </c>
      <c r="P110" t="str">
        <f t="shared" si="8"/>
        <v/>
      </c>
      <c r="Q110">
        <f>COUNTIF('責任職　企業局→市長部局'!A:A,SQLデータ!B110)</f>
        <v>0</v>
      </c>
      <c r="R110">
        <f>COUNTIF('一般職員　企業局→市長部局'!A:F,SQLデータ!B110)</f>
        <v>0</v>
      </c>
    </row>
    <row r="111" spans="1:18" x14ac:dyDescent="0.4">
      <c r="A111" s="1">
        <v>202540002916</v>
      </c>
      <c r="B111" s="1">
        <v>1061110</v>
      </c>
      <c r="C111" s="2">
        <v>46111</v>
      </c>
      <c r="D111" t="s">
        <v>16</v>
      </c>
      <c r="E111" t="s">
        <v>8</v>
      </c>
      <c r="F111" t="s">
        <v>47</v>
      </c>
      <c r="G111" t="s">
        <v>9</v>
      </c>
      <c r="L111">
        <f t="shared" si="5"/>
        <v>0</v>
      </c>
      <c r="M111">
        <f t="shared" si="6"/>
        <v>0</v>
      </c>
      <c r="N111">
        <f t="shared" si="7"/>
        <v>0</v>
      </c>
      <c r="O111">
        <f t="shared" si="9"/>
        <v>1</v>
      </c>
      <c r="P111" t="str">
        <f t="shared" si="8"/>
        <v/>
      </c>
      <c r="Q111">
        <f>COUNTIF('責任職　企業局→市長部局'!A:A,SQLデータ!B111)</f>
        <v>0</v>
      </c>
      <c r="R111">
        <f>COUNTIF('一般職員　企業局→市長部局'!A:F,SQLデータ!B111)</f>
        <v>0</v>
      </c>
    </row>
    <row r="112" spans="1:18" x14ac:dyDescent="0.4">
      <c r="A112" s="1">
        <v>202540002921</v>
      </c>
      <c r="B112" s="1">
        <v>1191291</v>
      </c>
      <c r="C112" s="2">
        <v>46118</v>
      </c>
      <c r="D112" t="s">
        <v>16</v>
      </c>
      <c r="E112" t="s">
        <v>15</v>
      </c>
      <c r="F112" t="s">
        <v>50</v>
      </c>
      <c r="G112" t="s">
        <v>9</v>
      </c>
      <c r="L112">
        <f t="shared" si="5"/>
        <v>0</v>
      </c>
      <c r="M112">
        <f t="shared" si="6"/>
        <v>0</v>
      </c>
      <c r="N112">
        <f t="shared" si="7"/>
        <v>0</v>
      </c>
      <c r="O112">
        <f t="shared" si="9"/>
        <v>1</v>
      </c>
      <c r="P112" t="str">
        <f t="shared" si="8"/>
        <v/>
      </c>
      <c r="Q112">
        <f>COUNTIF('責任職　企業局→市長部局'!A:A,SQLデータ!B112)</f>
        <v>0</v>
      </c>
      <c r="R112">
        <f>COUNTIF('一般職員　企業局→市長部局'!A:F,SQLデータ!B112)</f>
        <v>0</v>
      </c>
    </row>
    <row r="113" spans="1:18" x14ac:dyDescent="0.4">
      <c r="A113" s="1">
        <v>202540002928</v>
      </c>
      <c r="B113" s="1">
        <v>1221075</v>
      </c>
      <c r="C113" s="2">
        <v>46115</v>
      </c>
      <c r="D113" t="s">
        <v>16</v>
      </c>
      <c r="E113" t="s">
        <v>15</v>
      </c>
      <c r="G113" t="s">
        <v>9</v>
      </c>
      <c r="L113">
        <f t="shared" si="5"/>
        <v>0</v>
      </c>
      <c r="M113">
        <f t="shared" si="6"/>
        <v>0</v>
      </c>
      <c r="N113">
        <f t="shared" si="7"/>
        <v>0</v>
      </c>
      <c r="O113">
        <f t="shared" si="9"/>
        <v>1</v>
      </c>
      <c r="P113" t="str">
        <f t="shared" si="8"/>
        <v/>
      </c>
      <c r="Q113">
        <f>COUNTIF('責任職　企業局→市長部局'!A:A,SQLデータ!B113)</f>
        <v>0</v>
      </c>
      <c r="R113">
        <f>COUNTIF('一般職員　企業局→市長部局'!A:F,SQLデータ!B113)</f>
        <v>0</v>
      </c>
    </row>
    <row r="114" spans="1:18" x14ac:dyDescent="0.4">
      <c r="A114" s="1">
        <v>202540002929</v>
      </c>
      <c r="B114" s="1">
        <v>1191544</v>
      </c>
      <c r="C114" s="2">
        <v>46111</v>
      </c>
      <c r="D114" t="s">
        <v>16</v>
      </c>
      <c r="E114" t="s">
        <v>15</v>
      </c>
      <c r="G114" t="s">
        <v>9</v>
      </c>
      <c r="L114">
        <f t="shared" si="5"/>
        <v>0</v>
      </c>
      <c r="M114">
        <f t="shared" si="6"/>
        <v>0</v>
      </c>
      <c r="N114">
        <f t="shared" si="7"/>
        <v>0</v>
      </c>
      <c r="O114">
        <f t="shared" si="9"/>
        <v>1</v>
      </c>
      <c r="P114" t="str">
        <f t="shared" si="8"/>
        <v/>
      </c>
      <c r="Q114">
        <f>COUNTIF('責任職　企業局→市長部局'!A:A,SQLデータ!B114)</f>
        <v>0</v>
      </c>
      <c r="R114">
        <f>COUNTIF('一般職員　企業局→市長部局'!A:F,SQLデータ!B114)</f>
        <v>0</v>
      </c>
    </row>
    <row r="115" spans="1:18" x14ac:dyDescent="0.4">
      <c r="A115" s="1">
        <v>202540002933</v>
      </c>
      <c r="B115" s="1">
        <v>1221315</v>
      </c>
      <c r="C115" s="2">
        <v>46125</v>
      </c>
      <c r="D115" t="s">
        <v>16</v>
      </c>
      <c r="E115" t="s">
        <v>12</v>
      </c>
      <c r="G115" t="s">
        <v>9</v>
      </c>
      <c r="L115">
        <f t="shared" si="5"/>
        <v>0</v>
      </c>
      <c r="M115">
        <f t="shared" si="6"/>
        <v>0</v>
      </c>
      <c r="N115">
        <f t="shared" si="7"/>
        <v>0</v>
      </c>
      <c r="O115">
        <f t="shared" si="9"/>
        <v>1</v>
      </c>
      <c r="P115" t="str">
        <f t="shared" si="8"/>
        <v/>
      </c>
      <c r="Q115">
        <f>COUNTIF('責任職　企業局→市長部局'!A:A,SQLデータ!B115)</f>
        <v>0</v>
      </c>
      <c r="R115">
        <f>COUNTIF('一般職員　企業局→市長部局'!A:F,SQLデータ!B115)</f>
        <v>0</v>
      </c>
    </row>
    <row r="116" spans="1:18" x14ac:dyDescent="0.4">
      <c r="A116" s="1">
        <v>202540002938</v>
      </c>
      <c r="B116" s="1">
        <v>1201053</v>
      </c>
      <c r="C116" s="2">
        <v>46112</v>
      </c>
      <c r="D116" t="s">
        <v>16</v>
      </c>
      <c r="E116" t="s">
        <v>15</v>
      </c>
      <c r="G116" t="s">
        <v>9</v>
      </c>
      <c r="L116">
        <f t="shared" si="5"/>
        <v>0</v>
      </c>
      <c r="M116">
        <f t="shared" si="6"/>
        <v>0</v>
      </c>
      <c r="N116">
        <f t="shared" si="7"/>
        <v>0</v>
      </c>
      <c r="O116">
        <f t="shared" si="9"/>
        <v>1</v>
      </c>
      <c r="P116" t="str">
        <f t="shared" si="8"/>
        <v/>
      </c>
      <c r="Q116">
        <f>COUNTIF('責任職　企業局→市長部局'!A:A,SQLデータ!B116)</f>
        <v>0</v>
      </c>
      <c r="R116">
        <f>COUNTIF('一般職員　企業局→市長部局'!A:F,SQLデータ!B116)</f>
        <v>0</v>
      </c>
    </row>
    <row r="117" spans="1:18" x14ac:dyDescent="0.4">
      <c r="A117" s="1">
        <v>202540002940</v>
      </c>
      <c r="B117" s="1">
        <v>1196081</v>
      </c>
      <c r="C117" s="2">
        <v>46112</v>
      </c>
      <c r="D117" t="s">
        <v>16</v>
      </c>
      <c r="E117" t="s">
        <v>11</v>
      </c>
      <c r="G117" t="s">
        <v>9</v>
      </c>
      <c r="L117">
        <f t="shared" si="5"/>
        <v>0</v>
      </c>
      <c r="M117">
        <f t="shared" si="6"/>
        <v>0</v>
      </c>
      <c r="N117">
        <f t="shared" si="7"/>
        <v>0</v>
      </c>
      <c r="O117">
        <f t="shared" si="9"/>
        <v>1</v>
      </c>
      <c r="P117" t="str">
        <f t="shared" si="8"/>
        <v/>
      </c>
      <c r="Q117">
        <f>COUNTIF('責任職　企業局→市長部局'!A:A,SQLデータ!B117)</f>
        <v>0</v>
      </c>
      <c r="R117">
        <f>COUNTIF('一般職員　企業局→市長部局'!A:F,SQLデータ!B117)</f>
        <v>0</v>
      </c>
    </row>
    <row r="118" spans="1:18" x14ac:dyDescent="0.4">
      <c r="A118" s="1">
        <v>202540002941</v>
      </c>
      <c r="B118" s="1">
        <v>1251452</v>
      </c>
      <c r="C118" s="2">
        <v>46112</v>
      </c>
      <c r="D118" t="s">
        <v>16</v>
      </c>
      <c r="E118" t="s">
        <v>11</v>
      </c>
      <c r="G118" t="s">
        <v>9</v>
      </c>
      <c r="L118">
        <f t="shared" si="5"/>
        <v>0</v>
      </c>
      <c r="M118">
        <f t="shared" si="6"/>
        <v>0</v>
      </c>
      <c r="N118">
        <f t="shared" si="7"/>
        <v>0</v>
      </c>
      <c r="O118">
        <f t="shared" si="9"/>
        <v>1</v>
      </c>
      <c r="P118" t="str">
        <f t="shared" si="8"/>
        <v/>
      </c>
      <c r="Q118">
        <f>COUNTIF('責任職　企業局→市長部局'!A:A,SQLデータ!B118)</f>
        <v>0</v>
      </c>
      <c r="R118">
        <f>COUNTIF('一般職員　企業局→市長部局'!A:F,SQLデータ!B118)</f>
        <v>0</v>
      </c>
    </row>
    <row r="119" spans="1:18" x14ac:dyDescent="0.4">
      <c r="A119" s="1">
        <v>202550004289</v>
      </c>
      <c r="B119" s="1">
        <v>1250049</v>
      </c>
      <c r="C119" s="2">
        <v>45804</v>
      </c>
      <c r="D119" t="s">
        <v>17</v>
      </c>
      <c r="E119" t="s">
        <v>11</v>
      </c>
      <c r="G119" t="s">
        <v>9</v>
      </c>
      <c r="L119">
        <f t="shared" si="5"/>
        <v>0</v>
      </c>
      <c r="M119">
        <f t="shared" si="6"/>
        <v>0</v>
      </c>
      <c r="N119">
        <f t="shared" si="7"/>
        <v>0</v>
      </c>
      <c r="O119">
        <f t="shared" si="9"/>
        <v>1</v>
      </c>
      <c r="P119" t="str">
        <f t="shared" si="8"/>
        <v/>
      </c>
      <c r="Q119">
        <f>COUNTIF('責任職　企業局→市長部局'!A:A,SQLデータ!B119)</f>
        <v>0</v>
      </c>
      <c r="R119">
        <f>COUNTIF('一般職員　企業局→市長部局'!A:F,SQLデータ!B119)</f>
        <v>0</v>
      </c>
    </row>
    <row r="120" spans="1:18" x14ac:dyDescent="0.4">
      <c r="A120" s="1">
        <v>202550005100</v>
      </c>
      <c r="B120" s="1">
        <v>1096061</v>
      </c>
      <c r="C120" s="2">
        <v>46097</v>
      </c>
      <c r="D120" t="s">
        <v>17</v>
      </c>
      <c r="E120" t="s">
        <v>10</v>
      </c>
      <c r="F120" t="s">
        <v>47</v>
      </c>
      <c r="G120" t="s">
        <v>9</v>
      </c>
      <c r="L120">
        <f t="shared" si="5"/>
        <v>0</v>
      </c>
      <c r="M120">
        <f t="shared" si="6"/>
        <v>0</v>
      </c>
      <c r="N120">
        <f t="shared" si="7"/>
        <v>0</v>
      </c>
      <c r="O120">
        <f t="shared" si="9"/>
        <v>1</v>
      </c>
      <c r="P120" t="str">
        <f t="shared" si="8"/>
        <v/>
      </c>
      <c r="Q120">
        <f>COUNTIF('責任職　企業局→市長部局'!A:A,SQLデータ!B120)</f>
        <v>0</v>
      </c>
      <c r="R120">
        <f>COUNTIF('一般職員　企業局→市長部局'!A:F,SQLデータ!B120)</f>
        <v>0</v>
      </c>
    </row>
    <row r="121" spans="1:18" x14ac:dyDescent="0.4">
      <c r="A121" s="1">
        <v>202550006112</v>
      </c>
      <c r="B121" s="1">
        <v>1216080</v>
      </c>
      <c r="C121" s="2">
        <v>45988</v>
      </c>
      <c r="D121" t="s">
        <v>17</v>
      </c>
      <c r="E121" t="s">
        <v>10</v>
      </c>
      <c r="F121" t="s">
        <v>47</v>
      </c>
      <c r="G121" t="s">
        <v>9</v>
      </c>
      <c r="L121">
        <f t="shared" si="5"/>
        <v>0</v>
      </c>
      <c r="M121">
        <f t="shared" si="6"/>
        <v>0</v>
      </c>
      <c r="N121">
        <f t="shared" si="7"/>
        <v>0</v>
      </c>
      <c r="O121">
        <f t="shared" si="9"/>
        <v>1</v>
      </c>
      <c r="P121" t="str">
        <f t="shared" si="8"/>
        <v/>
      </c>
      <c r="Q121">
        <f>COUNTIF('責任職　企業局→市長部局'!A:A,SQLデータ!B121)</f>
        <v>0</v>
      </c>
      <c r="R121">
        <f>COUNTIF('一般職員　企業局→市長部局'!A:F,SQLデータ!B121)</f>
        <v>0</v>
      </c>
    </row>
    <row r="122" spans="1:18" x14ac:dyDescent="0.4">
      <c r="A122" s="1">
        <v>202550006671</v>
      </c>
      <c r="B122" s="1">
        <v>1242062</v>
      </c>
      <c r="C122" s="2">
        <v>46070</v>
      </c>
      <c r="D122" t="s">
        <v>17</v>
      </c>
      <c r="E122" t="s">
        <v>11</v>
      </c>
      <c r="F122" t="s">
        <v>48</v>
      </c>
      <c r="G122" t="s">
        <v>9</v>
      </c>
      <c r="L122">
        <f t="shared" si="5"/>
        <v>0</v>
      </c>
      <c r="M122">
        <f t="shared" si="6"/>
        <v>0</v>
      </c>
      <c r="N122">
        <f t="shared" si="7"/>
        <v>0</v>
      </c>
      <c r="O122">
        <f t="shared" si="9"/>
        <v>1</v>
      </c>
      <c r="P122" t="str">
        <f t="shared" si="8"/>
        <v/>
      </c>
      <c r="Q122">
        <f>COUNTIF('責任職　企業局→市長部局'!A:A,SQLデータ!B122)</f>
        <v>0</v>
      </c>
      <c r="R122">
        <f>COUNTIF('一般職員　企業局→市長部局'!A:F,SQLデータ!B122)</f>
        <v>0</v>
      </c>
    </row>
    <row r="123" spans="1:18" x14ac:dyDescent="0.4">
      <c r="A123" s="1">
        <v>202550006738</v>
      </c>
      <c r="B123" s="1">
        <v>1201473</v>
      </c>
      <c r="C123" s="2">
        <v>46080</v>
      </c>
      <c r="D123" t="s">
        <v>17</v>
      </c>
      <c r="E123" t="s">
        <v>10</v>
      </c>
      <c r="G123" t="s">
        <v>9</v>
      </c>
      <c r="L123">
        <f t="shared" si="5"/>
        <v>0</v>
      </c>
      <c r="M123">
        <f t="shared" si="6"/>
        <v>0</v>
      </c>
      <c r="N123">
        <f t="shared" si="7"/>
        <v>0</v>
      </c>
      <c r="O123">
        <f t="shared" si="9"/>
        <v>1</v>
      </c>
      <c r="P123" t="str">
        <f t="shared" si="8"/>
        <v/>
      </c>
      <c r="Q123">
        <f>COUNTIF('責任職　企業局→市長部局'!A:A,SQLデータ!B123)</f>
        <v>0</v>
      </c>
      <c r="R123">
        <f>COUNTIF('一般職員　企業局→市長部局'!A:F,SQLデータ!B123)</f>
        <v>0</v>
      </c>
    </row>
    <row r="124" spans="1:18" x14ac:dyDescent="0.4">
      <c r="A124" s="1">
        <v>202550006778</v>
      </c>
      <c r="B124" s="1">
        <v>1251145</v>
      </c>
      <c r="C124" s="2">
        <v>46084</v>
      </c>
      <c r="D124" t="s">
        <v>17</v>
      </c>
      <c r="E124" t="s">
        <v>8</v>
      </c>
      <c r="F124" t="s">
        <v>52</v>
      </c>
      <c r="G124" t="s">
        <v>9</v>
      </c>
      <c r="L124">
        <f t="shared" si="5"/>
        <v>0</v>
      </c>
      <c r="M124">
        <f t="shared" si="6"/>
        <v>0</v>
      </c>
      <c r="N124">
        <f t="shared" si="7"/>
        <v>0</v>
      </c>
      <c r="O124">
        <f t="shared" si="9"/>
        <v>1</v>
      </c>
      <c r="P124" t="str">
        <f t="shared" si="8"/>
        <v/>
      </c>
      <c r="Q124">
        <f>COUNTIF('責任職　企業局→市長部局'!A:A,SQLデータ!B124)</f>
        <v>0</v>
      </c>
      <c r="R124">
        <f>COUNTIF('一般職員　企業局→市長部局'!A:F,SQLデータ!B124)</f>
        <v>0</v>
      </c>
    </row>
    <row r="125" spans="1:18" x14ac:dyDescent="0.4">
      <c r="A125" s="1">
        <v>202550006781</v>
      </c>
      <c r="B125" s="1">
        <v>1192017</v>
      </c>
      <c r="C125" s="2">
        <v>46084</v>
      </c>
      <c r="D125" t="s">
        <v>17</v>
      </c>
      <c r="E125" t="s">
        <v>8</v>
      </c>
      <c r="F125" t="s">
        <v>47</v>
      </c>
      <c r="G125" t="s">
        <v>9</v>
      </c>
      <c r="L125">
        <f t="shared" si="5"/>
        <v>0</v>
      </c>
      <c r="M125">
        <f t="shared" si="6"/>
        <v>0</v>
      </c>
      <c r="N125">
        <f t="shared" si="7"/>
        <v>0</v>
      </c>
      <c r="O125">
        <f t="shared" si="9"/>
        <v>1</v>
      </c>
      <c r="P125" t="str">
        <f t="shared" si="8"/>
        <v/>
      </c>
      <c r="Q125">
        <f>COUNTIF('責任職　企業局→市長部局'!A:A,SQLデータ!B125)</f>
        <v>0</v>
      </c>
      <c r="R125">
        <f>COUNTIF('一般職員　企業局→市長部局'!A:F,SQLデータ!B125)</f>
        <v>0</v>
      </c>
    </row>
    <row r="126" spans="1:18" x14ac:dyDescent="0.4">
      <c r="A126" s="1">
        <v>202550006822</v>
      </c>
      <c r="B126" s="1">
        <v>1182055</v>
      </c>
      <c r="C126" s="2">
        <v>46090</v>
      </c>
      <c r="D126" t="s">
        <v>17</v>
      </c>
      <c r="E126" t="s">
        <v>10</v>
      </c>
      <c r="G126" t="s">
        <v>9</v>
      </c>
      <c r="L126">
        <f t="shared" si="5"/>
        <v>0</v>
      </c>
      <c r="M126">
        <f t="shared" si="6"/>
        <v>0</v>
      </c>
      <c r="N126">
        <f t="shared" si="7"/>
        <v>0</v>
      </c>
      <c r="O126">
        <f t="shared" si="9"/>
        <v>1</v>
      </c>
      <c r="P126" t="str">
        <f t="shared" si="8"/>
        <v/>
      </c>
      <c r="Q126">
        <f>COUNTIF('責任職　企業局→市長部局'!A:A,SQLデータ!B126)</f>
        <v>0</v>
      </c>
      <c r="R126">
        <f>COUNTIF('一般職員　企業局→市長部局'!A:F,SQLデータ!B126)</f>
        <v>0</v>
      </c>
    </row>
    <row r="127" spans="1:18" x14ac:dyDescent="0.4">
      <c r="A127" s="1">
        <v>202550006831</v>
      </c>
      <c r="B127" s="1">
        <v>1206027</v>
      </c>
      <c r="C127" s="2">
        <v>46091</v>
      </c>
      <c r="D127" t="s">
        <v>17</v>
      </c>
      <c r="E127" t="s">
        <v>11</v>
      </c>
      <c r="G127" t="s">
        <v>9</v>
      </c>
      <c r="L127">
        <f t="shared" si="5"/>
        <v>0</v>
      </c>
      <c r="M127">
        <f t="shared" si="6"/>
        <v>0</v>
      </c>
      <c r="N127">
        <f t="shared" si="7"/>
        <v>0</v>
      </c>
      <c r="O127">
        <f t="shared" si="9"/>
        <v>1</v>
      </c>
      <c r="P127" t="str">
        <f t="shared" si="8"/>
        <v/>
      </c>
      <c r="Q127">
        <f>COUNTIF('責任職　企業局→市長部局'!A:A,SQLデータ!B127)</f>
        <v>0</v>
      </c>
      <c r="R127">
        <f>COUNTIF('一般職員　企業局→市長部局'!A:F,SQLデータ!B127)</f>
        <v>0</v>
      </c>
    </row>
    <row r="128" spans="1:18" x14ac:dyDescent="0.4">
      <c r="A128" s="1">
        <v>202550006856</v>
      </c>
      <c r="B128" s="1">
        <v>1161401</v>
      </c>
      <c r="C128" s="2">
        <v>46111</v>
      </c>
      <c r="D128" t="s">
        <v>17</v>
      </c>
      <c r="E128" t="s">
        <v>11</v>
      </c>
      <c r="F128" t="s">
        <v>47</v>
      </c>
      <c r="G128" t="s">
        <v>9</v>
      </c>
      <c r="L128">
        <f t="shared" si="5"/>
        <v>0</v>
      </c>
      <c r="M128">
        <f t="shared" si="6"/>
        <v>0</v>
      </c>
      <c r="N128">
        <f t="shared" si="7"/>
        <v>0</v>
      </c>
      <c r="O128">
        <f t="shared" si="9"/>
        <v>1</v>
      </c>
      <c r="P128" t="str">
        <f t="shared" si="8"/>
        <v/>
      </c>
      <c r="Q128">
        <f>COUNTIF('責任職　企業局→市長部局'!A:A,SQLデータ!B128)</f>
        <v>0</v>
      </c>
      <c r="R128">
        <f>COUNTIF('一般職員　企業局→市長部局'!A:F,SQLデータ!B128)</f>
        <v>0</v>
      </c>
    </row>
    <row r="129" spans="1:18" x14ac:dyDescent="0.4">
      <c r="A129" s="1">
        <v>202550006859</v>
      </c>
      <c r="B129" s="1">
        <v>1096065</v>
      </c>
      <c r="C129" s="2">
        <v>46120</v>
      </c>
      <c r="D129" t="s">
        <v>17</v>
      </c>
      <c r="E129" t="s">
        <v>8</v>
      </c>
      <c r="G129" t="s">
        <v>9</v>
      </c>
      <c r="L129">
        <f t="shared" si="5"/>
        <v>0</v>
      </c>
      <c r="M129">
        <f t="shared" si="6"/>
        <v>0</v>
      </c>
      <c r="N129">
        <f t="shared" si="7"/>
        <v>0</v>
      </c>
      <c r="O129">
        <f t="shared" si="9"/>
        <v>1</v>
      </c>
      <c r="P129" t="str">
        <f t="shared" si="8"/>
        <v/>
      </c>
      <c r="Q129">
        <f>COUNTIF('責任職　企業局→市長部局'!A:A,SQLデータ!B129)</f>
        <v>0</v>
      </c>
      <c r="R129">
        <f>COUNTIF('一般職員　企業局→市長部局'!A:F,SQLデータ!B129)</f>
        <v>0</v>
      </c>
    </row>
    <row r="130" spans="1:18" x14ac:dyDescent="0.4">
      <c r="A130" s="1">
        <v>202550006871</v>
      </c>
      <c r="B130" s="1">
        <v>1086007</v>
      </c>
      <c r="C130" s="2">
        <v>46094</v>
      </c>
      <c r="D130" t="s">
        <v>17</v>
      </c>
      <c r="E130" t="s">
        <v>11</v>
      </c>
      <c r="F130" t="s">
        <v>47</v>
      </c>
      <c r="G130" t="s">
        <v>9</v>
      </c>
      <c r="L130">
        <f t="shared" ref="L130:L193" si="10">IF(ISBLANK(J130),0,1)</f>
        <v>0</v>
      </c>
      <c r="M130">
        <f t="shared" ref="M130:M193" si="11">IF(AND(L130=0,I130&lt;&gt;""),1,0)</f>
        <v>0</v>
      </c>
      <c r="N130">
        <f t="shared" ref="N130:N193" si="12">IF(AND(L130=0,M130=0,K130&lt;&gt;""),1,0)</f>
        <v>0</v>
      </c>
      <c r="O130">
        <f t="shared" si="9"/>
        <v>1</v>
      </c>
      <c r="P130" t="str">
        <f t="shared" ref="P130:P193" si="13">IF(D130&lt;&gt;"扶養","",IF(E130&lt;&gt;"確認待ち",1,IF(OR(AND(G130="本人の結婚",O130=1),AND(H130="減",OR(N130=1,O130=1))),1,0)))</f>
        <v/>
      </c>
      <c r="Q130">
        <f>COUNTIF('責任職　企業局→市長部局'!A:A,SQLデータ!B130)</f>
        <v>0</v>
      </c>
      <c r="R130">
        <f>COUNTIF('一般職員　企業局→市長部局'!A:F,SQLデータ!B130)</f>
        <v>0</v>
      </c>
    </row>
    <row r="131" spans="1:18" x14ac:dyDescent="0.4">
      <c r="A131" s="1">
        <v>202550006880</v>
      </c>
      <c r="B131" s="1">
        <v>1201391</v>
      </c>
      <c r="C131" s="2">
        <v>46095</v>
      </c>
      <c r="D131" t="s">
        <v>17</v>
      </c>
      <c r="E131" t="s">
        <v>10</v>
      </c>
      <c r="G131" t="s">
        <v>9</v>
      </c>
      <c r="L131">
        <f t="shared" si="10"/>
        <v>0</v>
      </c>
      <c r="M131">
        <f t="shared" si="11"/>
        <v>0</v>
      </c>
      <c r="N131">
        <f t="shared" si="12"/>
        <v>0</v>
      </c>
      <c r="O131">
        <f t="shared" ref="O131:O194" si="14">IF(COUNTIF(L131:N131,0)=3,1,0)</f>
        <v>1</v>
      </c>
      <c r="P131" t="str">
        <f t="shared" si="13"/>
        <v/>
      </c>
      <c r="Q131">
        <f>COUNTIF('責任職　企業局→市長部局'!A:A,SQLデータ!B131)</f>
        <v>0</v>
      </c>
      <c r="R131">
        <f>COUNTIF('一般職員　企業局→市長部局'!A:F,SQLデータ!B131)</f>
        <v>0</v>
      </c>
    </row>
    <row r="132" spans="1:18" x14ac:dyDescent="0.4">
      <c r="A132" s="1">
        <v>202550006884</v>
      </c>
      <c r="B132" s="1">
        <v>1216038</v>
      </c>
      <c r="C132" s="2">
        <v>46096</v>
      </c>
      <c r="D132" t="s">
        <v>17</v>
      </c>
      <c r="E132" t="s">
        <v>11</v>
      </c>
      <c r="F132" t="s">
        <v>48</v>
      </c>
      <c r="G132" t="s">
        <v>9</v>
      </c>
      <c r="L132">
        <f t="shared" si="10"/>
        <v>0</v>
      </c>
      <c r="M132">
        <f t="shared" si="11"/>
        <v>0</v>
      </c>
      <c r="N132">
        <f t="shared" si="12"/>
        <v>0</v>
      </c>
      <c r="O132">
        <f t="shared" si="14"/>
        <v>1</v>
      </c>
      <c r="P132" t="str">
        <f t="shared" si="13"/>
        <v/>
      </c>
      <c r="Q132">
        <f>COUNTIF('責任職　企業局→市長部局'!A:A,SQLデータ!B132)</f>
        <v>0</v>
      </c>
      <c r="R132">
        <f>COUNTIF('一般職員　企業局→市長部局'!A:F,SQLデータ!B132)</f>
        <v>0</v>
      </c>
    </row>
    <row r="133" spans="1:18" x14ac:dyDescent="0.4">
      <c r="A133" s="1">
        <v>202550006899</v>
      </c>
      <c r="B133" s="1">
        <v>1182310</v>
      </c>
      <c r="C133" s="2">
        <v>46098</v>
      </c>
      <c r="D133" t="s">
        <v>17</v>
      </c>
      <c r="E133" t="s">
        <v>11</v>
      </c>
      <c r="G133" t="s">
        <v>9</v>
      </c>
      <c r="L133">
        <f t="shared" si="10"/>
        <v>0</v>
      </c>
      <c r="M133">
        <f t="shared" si="11"/>
        <v>0</v>
      </c>
      <c r="N133">
        <f t="shared" si="12"/>
        <v>0</v>
      </c>
      <c r="O133">
        <f t="shared" si="14"/>
        <v>1</v>
      </c>
      <c r="P133" t="str">
        <f t="shared" si="13"/>
        <v/>
      </c>
      <c r="Q133">
        <f>COUNTIF('責任職　企業局→市長部局'!A:A,SQLデータ!B133)</f>
        <v>0</v>
      </c>
      <c r="R133">
        <f>COUNTIF('一般職員　企業局→市長部局'!A:F,SQLデータ!B133)</f>
        <v>0</v>
      </c>
    </row>
    <row r="134" spans="1:18" x14ac:dyDescent="0.4">
      <c r="A134" s="1">
        <v>202550006902</v>
      </c>
      <c r="B134" s="1">
        <v>1136023</v>
      </c>
      <c r="C134" s="2">
        <v>46122</v>
      </c>
      <c r="D134" t="s">
        <v>17</v>
      </c>
      <c r="E134" t="s">
        <v>8</v>
      </c>
      <c r="F134" t="s">
        <v>47</v>
      </c>
      <c r="G134" t="s">
        <v>9</v>
      </c>
      <c r="L134">
        <f t="shared" si="10"/>
        <v>0</v>
      </c>
      <c r="M134">
        <f t="shared" si="11"/>
        <v>0</v>
      </c>
      <c r="N134">
        <f t="shared" si="12"/>
        <v>0</v>
      </c>
      <c r="O134">
        <f t="shared" si="14"/>
        <v>1</v>
      </c>
      <c r="P134" t="str">
        <f t="shared" si="13"/>
        <v/>
      </c>
      <c r="Q134">
        <f>COUNTIF('責任職　企業局→市長部局'!A:A,SQLデータ!B134)</f>
        <v>0</v>
      </c>
      <c r="R134">
        <f>COUNTIF('一般職員　企業局→市長部局'!A:F,SQLデータ!B134)</f>
        <v>0</v>
      </c>
    </row>
    <row r="135" spans="1:18" x14ac:dyDescent="0.4">
      <c r="A135" s="1">
        <v>202550006909</v>
      </c>
      <c r="B135" s="1">
        <v>1221070</v>
      </c>
      <c r="C135" s="2">
        <v>46098</v>
      </c>
      <c r="D135" t="s">
        <v>17</v>
      </c>
      <c r="E135" t="s">
        <v>11</v>
      </c>
      <c r="F135" t="s">
        <v>50</v>
      </c>
      <c r="G135" t="s">
        <v>9</v>
      </c>
      <c r="L135">
        <f t="shared" si="10"/>
        <v>0</v>
      </c>
      <c r="M135">
        <f t="shared" si="11"/>
        <v>0</v>
      </c>
      <c r="N135">
        <f t="shared" si="12"/>
        <v>0</v>
      </c>
      <c r="O135">
        <f t="shared" si="14"/>
        <v>1</v>
      </c>
      <c r="P135" t="str">
        <f t="shared" si="13"/>
        <v/>
      </c>
      <c r="Q135">
        <f>COUNTIF('責任職　企業局→市長部局'!A:A,SQLデータ!B135)</f>
        <v>0</v>
      </c>
      <c r="R135">
        <f>COUNTIF('一般職員　企業局→市長部局'!A:F,SQLデータ!B135)</f>
        <v>0</v>
      </c>
    </row>
    <row r="136" spans="1:18" x14ac:dyDescent="0.4">
      <c r="A136" s="1">
        <v>202550006924</v>
      </c>
      <c r="B136" s="1">
        <v>1101259</v>
      </c>
      <c r="C136" s="2">
        <v>46100</v>
      </c>
      <c r="D136" t="s">
        <v>17</v>
      </c>
      <c r="E136" t="s">
        <v>11</v>
      </c>
      <c r="G136" t="s">
        <v>9</v>
      </c>
      <c r="L136">
        <f t="shared" si="10"/>
        <v>0</v>
      </c>
      <c r="M136">
        <f t="shared" si="11"/>
        <v>0</v>
      </c>
      <c r="N136">
        <f t="shared" si="12"/>
        <v>0</v>
      </c>
      <c r="O136">
        <f t="shared" si="14"/>
        <v>1</v>
      </c>
      <c r="P136" t="str">
        <f t="shared" si="13"/>
        <v/>
      </c>
      <c r="Q136">
        <f>COUNTIF('責任職　企業局→市長部局'!A:A,SQLデータ!B136)</f>
        <v>0</v>
      </c>
      <c r="R136">
        <f>COUNTIF('一般職員　企業局→市長部局'!A:F,SQLデータ!B136)</f>
        <v>0</v>
      </c>
    </row>
    <row r="137" spans="1:18" x14ac:dyDescent="0.4">
      <c r="A137" s="1">
        <v>202550006929</v>
      </c>
      <c r="B137" s="1">
        <v>930052</v>
      </c>
      <c r="C137" s="2">
        <v>46100</v>
      </c>
      <c r="D137" t="s">
        <v>17</v>
      </c>
      <c r="E137" t="s">
        <v>10</v>
      </c>
      <c r="G137" t="s">
        <v>9</v>
      </c>
      <c r="L137">
        <f t="shared" si="10"/>
        <v>0</v>
      </c>
      <c r="M137">
        <f t="shared" si="11"/>
        <v>0</v>
      </c>
      <c r="N137">
        <f t="shared" si="12"/>
        <v>0</v>
      </c>
      <c r="O137">
        <f t="shared" si="14"/>
        <v>1</v>
      </c>
      <c r="P137" t="str">
        <f t="shared" si="13"/>
        <v/>
      </c>
      <c r="Q137">
        <f>COUNTIF('責任職　企業局→市長部局'!A:A,SQLデータ!B137)</f>
        <v>0</v>
      </c>
      <c r="R137">
        <f>COUNTIF('一般職員　企業局→市長部局'!A:F,SQLデータ!B137)</f>
        <v>0</v>
      </c>
    </row>
    <row r="138" spans="1:18" x14ac:dyDescent="0.4">
      <c r="A138" s="1">
        <v>202550006936</v>
      </c>
      <c r="B138" s="1">
        <v>1216085</v>
      </c>
      <c r="C138" s="2">
        <v>46100</v>
      </c>
      <c r="D138" t="s">
        <v>17</v>
      </c>
      <c r="E138" t="s">
        <v>11</v>
      </c>
      <c r="F138" t="s">
        <v>49</v>
      </c>
      <c r="G138" t="s">
        <v>9</v>
      </c>
      <c r="L138">
        <f t="shared" si="10"/>
        <v>0</v>
      </c>
      <c r="M138">
        <f t="shared" si="11"/>
        <v>0</v>
      </c>
      <c r="N138">
        <f t="shared" si="12"/>
        <v>0</v>
      </c>
      <c r="O138">
        <f t="shared" si="14"/>
        <v>1</v>
      </c>
      <c r="P138" t="str">
        <f t="shared" si="13"/>
        <v/>
      </c>
      <c r="Q138">
        <f>COUNTIF('責任職　企業局→市長部局'!A:A,SQLデータ!B138)</f>
        <v>0</v>
      </c>
      <c r="R138">
        <f>COUNTIF('一般職員　企業局→市長部局'!A:F,SQLデータ!B138)</f>
        <v>0</v>
      </c>
    </row>
    <row r="139" spans="1:18" x14ac:dyDescent="0.4">
      <c r="A139" s="1">
        <v>202550006938</v>
      </c>
      <c r="B139" s="1">
        <v>1102111</v>
      </c>
      <c r="C139" s="2">
        <v>46100</v>
      </c>
      <c r="D139" t="s">
        <v>17</v>
      </c>
      <c r="E139" t="s">
        <v>8</v>
      </c>
      <c r="F139" t="s">
        <v>52</v>
      </c>
      <c r="G139" t="s">
        <v>9</v>
      </c>
      <c r="L139">
        <f t="shared" si="10"/>
        <v>0</v>
      </c>
      <c r="M139">
        <f t="shared" si="11"/>
        <v>0</v>
      </c>
      <c r="N139">
        <f t="shared" si="12"/>
        <v>0</v>
      </c>
      <c r="O139">
        <f t="shared" si="14"/>
        <v>1</v>
      </c>
      <c r="P139" t="str">
        <f t="shared" si="13"/>
        <v/>
      </c>
      <c r="Q139">
        <f>COUNTIF('責任職　企業局→市長部局'!A:A,SQLデータ!B139)</f>
        <v>0</v>
      </c>
      <c r="R139">
        <f>COUNTIF('一般職員　企業局→市長部局'!A:F,SQLデータ!B139)</f>
        <v>0</v>
      </c>
    </row>
    <row r="140" spans="1:18" x14ac:dyDescent="0.4">
      <c r="A140" s="1">
        <v>202550006939</v>
      </c>
      <c r="B140" s="1">
        <v>1206033</v>
      </c>
      <c r="C140" s="2">
        <v>46100</v>
      </c>
      <c r="D140" t="s">
        <v>17</v>
      </c>
      <c r="E140" t="s">
        <v>8</v>
      </c>
      <c r="F140" t="s">
        <v>52</v>
      </c>
      <c r="G140" t="s">
        <v>9</v>
      </c>
      <c r="L140">
        <f t="shared" si="10"/>
        <v>0</v>
      </c>
      <c r="M140">
        <f t="shared" si="11"/>
        <v>0</v>
      </c>
      <c r="N140">
        <f t="shared" si="12"/>
        <v>0</v>
      </c>
      <c r="O140">
        <f t="shared" si="14"/>
        <v>1</v>
      </c>
      <c r="P140" t="str">
        <f t="shared" si="13"/>
        <v/>
      </c>
      <c r="Q140">
        <f>COUNTIF('責任職　企業局→市長部局'!A:A,SQLデータ!B140)</f>
        <v>0</v>
      </c>
      <c r="R140">
        <f>COUNTIF('一般職員　企業局→市長部局'!A:F,SQLデータ!B140)</f>
        <v>0</v>
      </c>
    </row>
    <row r="141" spans="1:18" x14ac:dyDescent="0.4">
      <c r="A141" s="1">
        <v>202550006946</v>
      </c>
      <c r="B141" s="1">
        <v>920093</v>
      </c>
      <c r="C141" s="2">
        <v>46105</v>
      </c>
      <c r="D141" t="s">
        <v>17</v>
      </c>
      <c r="E141" t="s">
        <v>8</v>
      </c>
      <c r="F141" t="s">
        <v>47</v>
      </c>
      <c r="G141" t="s">
        <v>9</v>
      </c>
      <c r="L141">
        <f t="shared" si="10"/>
        <v>0</v>
      </c>
      <c r="M141">
        <f t="shared" si="11"/>
        <v>0</v>
      </c>
      <c r="N141">
        <f t="shared" si="12"/>
        <v>0</v>
      </c>
      <c r="O141">
        <f t="shared" si="14"/>
        <v>1</v>
      </c>
      <c r="P141" t="str">
        <f t="shared" si="13"/>
        <v/>
      </c>
      <c r="Q141">
        <f>COUNTIF('責任職　企業局→市長部局'!A:A,SQLデータ!B141)</f>
        <v>0</v>
      </c>
      <c r="R141">
        <f>COUNTIF('一般職員　企業局→市長部局'!A:F,SQLデータ!B141)</f>
        <v>0</v>
      </c>
    </row>
    <row r="142" spans="1:18" x14ac:dyDescent="0.4">
      <c r="A142" s="1">
        <v>202550006949</v>
      </c>
      <c r="B142" s="1">
        <v>1106098</v>
      </c>
      <c r="C142" s="2">
        <v>46102</v>
      </c>
      <c r="D142" t="s">
        <v>17</v>
      </c>
      <c r="E142" t="s">
        <v>11</v>
      </c>
      <c r="G142" t="s">
        <v>9</v>
      </c>
      <c r="L142">
        <f t="shared" si="10"/>
        <v>0</v>
      </c>
      <c r="M142">
        <f t="shared" si="11"/>
        <v>0</v>
      </c>
      <c r="N142">
        <f t="shared" si="12"/>
        <v>0</v>
      </c>
      <c r="O142">
        <f t="shared" si="14"/>
        <v>1</v>
      </c>
      <c r="P142" t="str">
        <f t="shared" si="13"/>
        <v/>
      </c>
      <c r="Q142">
        <f>COUNTIF('責任職　企業局→市長部局'!A:A,SQLデータ!B142)</f>
        <v>0</v>
      </c>
      <c r="R142">
        <f>COUNTIF('一般職員　企業局→市長部局'!A:F,SQLデータ!B142)</f>
        <v>0</v>
      </c>
    </row>
    <row r="143" spans="1:18" x14ac:dyDescent="0.4">
      <c r="A143" s="1">
        <v>202550006954</v>
      </c>
      <c r="B143" s="1">
        <v>1016048</v>
      </c>
      <c r="C143" s="2">
        <v>46115</v>
      </c>
      <c r="D143" t="s">
        <v>17</v>
      </c>
      <c r="E143" t="s">
        <v>8</v>
      </c>
      <c r="G143" t="s">
        <v>9</v>
      </c>
      <c r="L143">
        <f t="shared" si="10"/>
        <v>0</v>
      </c>
      <c r="M143">
        <f t="shared" si="11"/>
        <v>0</v>
      </c>
      <c r="N143">
        <f t="shared" si="12"/>
        <v>0</v>
      </c>
      <c r="O143">
        <f t="shared" si="14"/>
        <v>1</v>
      </c>
      <c r="P143" t="str">
        <f t="shared" si="13"/>
        <v/>
      </c>
      <c r="Q143">
        <f>COUNTIF('責任職　企業局→市長部局'!A:A,SQLデータ!B143)</f>
        <v>0</v>
      </c>
      <c r="R143">
        <f>COUNTIF('一般職員　企業局→市長部局'!A:F,SQLデータ!B143)</f>
        <v>0</v>
      </c>
    </row>
    <row r="144" spans="1:18" x14ac:dyDescent="0.4">
      <c r="A144" s="1">
        <v>202550006957</v>
      </c>
      <c r="B144" s="1">
        <v>1116052</v>
      </c>
      <c r="C144" s="2">
        <v>46117</v>
      </c>
      <c r="D144" t="s">
        <v>17</v>
      </c>
      <c r="E144" t="s">
        <v>8</v>
      </c>
      <c r="F144" t="s">
        <v>47</v>
      </c>
      <c r="G144" t="s">
        <v>9</v>
      </c>
      <c r="L144">
        <f t="shared" si="10"/>
        <v>0</v>
      </c>
      <c r="M144">
        <f t="shared" si="11"/>
        <v>0</v>
      </c>
      <c r="N144">
        <f t="shared" si="12"/>
        <v>0</v>
      </c>
      <c r="O144">
        <f t="shared" si="14"/>
        <v>1</v>
      </c>
      <c r="P144" t="str">
        <f t="shared" si="13"/>
        <v/>
      </c>
      <c r="Q144">
        <f>COUNTIF('責任職　企業局→市長部局'!A:A,SQLデータ!B144)</f>
        <v>0</v>
      </c>
      <c r="R144">
        <f>COUNTIF('一般職員　企業局→市長部局'!A:F,SQLデータ!B144)</f>
        <v>0</v>
      </c>
    </row>
    <row r="145" spans="1:18" x14ac:dyDescent="0.4">
      <c r="A145" s="1">
        <v>202550006966</v>
      </c>
      <c r="B145" s="1">
        <v>1056025</v>
      </c>
      <c r="C145" s="2">
        <v>46116</v>
      </c>
      <c r="D145" t="s">
        <v>17</v>
      </c>
      <c r="E145" t="s">
        <v>8</v>
      </c>
      <c r="F145" t="s">
        <v>47</v>
      </c>
      <c r="G145" t="s">
        <v>9</v>
      </c>
      <c r="L145">
        <f t="shared" si="10"/>
        <v>0</v>
      </c>
      <c r="M145">
        <f t="shared" si="11"/>
        <v>0</v>
      </c>
      <c r="N145">
        <f t="shared" si="12"/>
        <v>0</v>
      </c>
      <c r="O145">
        <f t="shared" si="14"/>
        <v>1</v>
      </c>
      <c r="P145" t="str">
        <f t="shared" si="13"/>
        <v/>
      </c>
      <c r="Q145">
        <f>COUNTIF('責任職　企業局→市長部局'!A:A,SQLデータ!B145)</f>
        <v>0</v>
      </c>
      <c r="R145">
        <f>COUNTIF('一般職員　企業局→市長部局'!A:F,SQLデータ!B145)</f>
        <v>0</v>
      </c>
    </row>
    <row r="146" spans="1:18" x14ac:dyDescent="0.4">
      <c r="A146" s="1">
        <v>202550006967</v>
      </c>
      <c r="B146" s="1">
        <v>986022</v>
      </c>
      <c r="C146" s="2">
        <v>46118</v>
      </c>
      <c r="D146" t="s">
        <v>17</v>
      </c>
      <c r="E146" t="s">
        <v>10</v>
      </c>
      <c r="G146" t="s">
        <v>9</v>
      </c>
      <c r="L146">
        <f t="shared" si="10"/>
        <v>0</v>
      </c>
      <c r="M146">
        <f t="shared" si="11"/>
        <v>0</v>
      </c>
      <c r="N146">
        <f t="shared" si="12"/>
        <v>0</v>
      </c>
      <c r="O146">
        <f t="shared" si="14"/>
        <v>1</v>
      </c>
      <c r="P146" t="str">
        <f t="shared" si="13"/>
        <v/>
      </c>
      <c r="Q146">
        <f>COUNTIF('責任職　企業局→市長部局'!A:A,SQLデータ!B146)</f>
        <v>0</v>
      </c>
      <c r="R146">
        <f>COUNTIF('一般職員　企業局→市長部局'!A:F,SQLデータ!B146)</f>
        <v>0</v>
      </c>
    </row>
    <row r="147" spans="1:18" x14ac:dyDescent="0.4">
      <c r="A147" s="1">
        <v>202550006969</v>
      </c>
      <c r="B147" s="1">
        <v>1146076</v>
      </c>
      <c r="C147" s="2">
        <v>46117</v>
      </c>
      <c r="D147" t="s">
        <v>17</v>
      </c>
      <c r="E147" t="s">
        <v>11</v>
      </c>
      <c r="F147" t="s">
        <v>49</v>
      </c>
      <c r="G147" t="s">
        <v>9</v>
      </c>
      <c r="L147">
        <f t="shared" si="10"/>
        <v>0</v>
      </c>
      <c r="M147">
        <f t="shared" si="11"/>
        <v>0</v>
      </c>
      <c r="N147">
        <f t="shared" si="12"/>
        <v>0</v>
      </c>
      <c r="O147">
        <f t="shared" si="14"/>
        <v>1</v>
      </c>
      <c r="P147" t="str">
        <f t="shared" si="13"/>
        <v/>
      </c>
      <c r="Q147">
        <f>COUNTIF('責任職　企業局→市長部局'!A:A,SQLデータ!B147)</f>
        <v>0</v>
      </c>
      <c r="R147">
        <f>COUNTIF('一般職員　企業局→市長部局'!A:F,SQLデータ!B147)</f>
        <v>0</v>
      </c>
    </row>
    <row r="148" spans="1:18" x14ac:dyDescent="0.4">
      <c r="A148" s="1">
        <v>202550006976</v>
      </c>
      <c r="B148" s="1">
        <v>1101221</v>
      </c>
      <c r="C148" s="2">
        <v>46122</v>
      </c>
      <c r="D148" t="s">
        <v>17</v>
      </c>
      <c r="E148" t="s">
        <v>12</v>
      </c>
      <c r="G148" t="s">
        <v>9</v>
      </c>
      <c r="L148">
        <f t="shared" si="10"/>
        <v>0</v>
      </c>
      <c r="M148">
        <f t="shared" si="11"/>
        <v>0</v>
      </c>
      <c r="N148">
        <f t="shared" si="12"/>
        <v>0</v>
      </c>
      <c r="O148">
        <f t="shared" si="14"/>
        <v>1</v>
      </c>
      <c r="P148" t="str">
        <f t="shared" si="13"/>
        <v/>
      </c>
      <c r="Q148">
        <f>COUNTIF('責任職　企業局→市長部局'!A:A,SQLデータ!B148)</f>
        <v>0</v>
      </c>
      <c r="R148">
        <f>COUNTIF('一般職員　企業局→市長部局'!A:F,SQLデータ!B148)</f>
        <v>0</v>
      </c>
    </row>
    <row r="149" spans="1:18" x14ac:dyDescent="0.4">
      <c r="A149" s="1">
        <v>202550006977</v>
      </c>
      <c r="B149" s="1">
        <v>1216111</v>
      </c>
      <c r="C149" s="2">
        <v>46115</v>
      </c>
      <c r="D149" t="s">
        <v>17</v>
      </c>
      <c r="E149" t="s">
        <v>8</v>
      </c>
      <c r="F149" t="s">
        <v>52</v>
      </c>
      <c r="G149" t="s">
        <v>9</v>
      </c>
      <c r="L149">
        <f t="shared" si="10"/>
        <v>0</v>
      </c>
      <c r="M149">
        <f t="shared" si="11"/>
        <v>0</v>
      </c>
      <c r="N149">
        <f t="shared" si="12"/>
        <v>0</v>
      </c>
      <c r="O149">
        <f t="shared" si="14"/>
        <v>1</v>
      </c>
      <c r="P149" t="str">
        <f t="shared" si="13"/>
        <v/>
      </c>
      <c r="Q149">
        <f>COUNTIF('責任職　企業局→市長部局'!A:A,SQLデータ!B149)</f>
        <v>0</v>
      </c>
      <c r="R149">
        <f>COUNTIF('一般職員　企業局→市長部局'!A:F,SQLデータ!B149)</f>
        <v>0</v>
      </c>
    </row>
    <row r="150" spans="1:18" x14ac:dyDescent="0.4">
      <c r="A150" s="1">
        <v>202550006979</v>
      </c>
      <c r="B150" s="1">
        <v>1221270</v>
      </c>
      <c r="C150" s="2">
        <v>46105</v>
      </c>
      <c r="D150" t="s">
        <v>17</v>
      </c>
      <c r="E150" t="s">
        <v>11</v>
      </c>
      <c r="G150" t="s">
        <v>9</v>
      </c>
      <c r="L150">
        <f t="shared" si="10"/>
        <v>0</v>
      </c>
      <c r="M150">
        <f t="shared" si="11"/>
        <v>0</v>
      </c>
      <c r="N150">
        <f t="shared" si="12"/>
        <v>0</v>
      </c>
      <c r="O150">
        <f t="shared" si="14"/>
        <v>1</v>
      </c>
      <c r="P150" t="str">
        <f t="shared" si="13"/>
        <v/>
      </c>
      <c r="Q150">
        <f>COUNTIF('責任職　企業局→市長部局'!A:A,SQLデータ!B150)</f>
        <v>0</v>
      </c>
      <c r="R150">
        <f>COUNTIF('一般職員　企業局→市長部局'!A:F,SQLデータ!B150)</f>
        <v>0</v>
      </c>
    </row>
    <row r="151" spans="1:18" x14ac:dyDescent="0.4">
      <c r="A151" s="1">
        <v>202550006997</v>
      </c>
      <c r="B151" s="1">
        <v>981183</v>
      </c>
      <c r="C151" s="2">
        <v>46106</v>
      </c>
      <c r="D151" t="s">
        <v>17</v>
      </c>
      <c r="E151" t="s">
        <v>11</v>
      </c>
      <c r="G151" t="s">
        <v>9</v>
      </c>
      <c r="L151">
        <f t="shared" si="10"/>
        <v>0</v>
      </c>
      <c r="M151">
        <f t="shared" si="11"/>
        <v>0</v>
      </c>
      <c r="N151">
        <f t="shared" si="12"/>
        <v>0</v>
      </c>
      <c r="O151">
        <f t="shared" si="14"/>
        <v>1</v>
      </c>
      <c r="P151" t="str">
        <f t="shared" si="13"/>
        <v/>
      </c>
      <c r="Q151">
        <f>COUNTIF('責任職　企業局→市長部局'!A:A,SQLデータ!B151)</f>
        <v>0</v>
      </c>
      <c r="R151">
        <f>COUNTIF('一般職員　企業局→市長部局'!A:F,SQLデータ!B151)</f>
        <v>0</v>
      </c>
    </row>
    <row r="152" spans="1:18" x14ac:dyDescent="0.4">
      <c r="A152" s="1">
        <v>202550007004</v>
      </c>
      <c r="B152" s="1">
        <v>1146103</v>
      </c>
      <c r="C152" s="2">
        <v>46116</v>
      </c>
      <c r="D152" t="s">
        <v>17</v>
      </c>
      <c r="E152" t="s">
        <v>11</v>
      </c>
      <c r="F152" t="s">
        <v>53</v>
      </c>
      <c r="G152" t="s">
        <v>9</v>
      </c>
      <c r="L152">
        <f t="shared" si="10"/>
        <v>0</v>
      </c>
      <c r="M152">
        <f t="shared" si="11"/>
        <v>0</v>
      </c>
      <c r="N152">
        <f t="shared" si="12"/>
        <v>0</v>
      </c>
      <c r="O152">
        <f t="shared" si="14"/>
        <v>1</v>
      </c>
      <c r="P152" t="str">
        <f t="shared" si="13"/>
        <v/>
      </c>
      <c r="Q152">
        <f>COUNTIF('責任職　企業局→市長部局'!A:A,SQLデータ!B152)</f>
        <v>0</v>
      </c>
      <c r="R152">
        <f>COUNTIF('一般職員　企業局→市長部局'!A:F,SQLデータ!B152)</f>
        <v>0</v>
      </c>
    </row>
    <row r="153" spans="1:18" x14ac:dyDescent="0.4">
      <c r="A153" s="1">
        <v>202550007007</v>
      </c>
      <c r="B153" s="1">
        <v>1222081</v>
      </c>
      <c r="C153" s="2">
        <v>46106</v>
      </c>
      <c r="D153" t="s">
        <v>17</v>
      </c>
      <c r="E153" t="s">
        <v>8</v>
      </c>
      <c r="F153" t="s">
        <v>52</v>
      </c>
      <c r="G153" t="s">
        <v>9</v>
      </c>
      <c r="L153">
        <f t="shared" si="10"/>
        <v>0</v>
      </c>
      <c r="M153">
        <f t="shared" si="11"/>
        <v>0</v>
      </c>
      <c r="N153">
        <f t="shared" si="12"/>
        <v>0</v>
      </c>
      <c r="O153">
        <f t="shared" si="14"/>
        <v>1</v>
      </c>
      <c r="P153" t="str">
        <f t="shared" si="13"/>
        <v/>
      </c>
      <c r="Q153">
        <f>COUNTIF('責任職　企業局→市長部局'!A:A,SQLデータ!B153)</f>
        <v>0</v>
      </c>
      <c r="R153">
        <f>COUNTIF('一般職員　企業局→市長部局'!A:F,SQLデータ!B153)</f>
        <v>0</v>
      </c>
    </row>
    <row r="154" spans="1:18" x14ac:dyDescent="0.4">
      <c r="A154" s="1">
        <v>202550007017</v>
      </c>
      <c r="B154" s="1">
        <v>1116086</v>
      </c>
      <c r="C154" s="2">
        <v>46115</v>
      </c>
      <c r="D154" t="s">
        <v>17</v>
      </c>
      <c r="E154" t="s">
        <v>10</v>
      </c>
      <c r="G154" t="s">
        <v>9</v>
      </c>
      <c r="L154">
        <f t="shared" si="10"/>
        <v>0</v>
      </c>
      <c r="M154">
        <f t="shared" si="11"/>
        <v>0</v>
      </c>
      <c r="N154">
        <f t="shared" si="12"/>
        <v>0</v>
      </c>
      <c r="O154">
        <f t="shared" si="14"/>
        <v>1</v>
      </c>
      <c r="P154" t="str">
        <f t="shared" si="13"/>
        <v/>
      </c>
      <c r="Q154">
        <f>COUNTIF('責任職　企業局→市長部局'!A:A,SQLデータ!B154)</f>
        <v>0</v>
      </c>
      <c r="R154">
        <f>COUNTIF('一般職員　企業局→市長部局'!A:F,SQLデータ!B154)</f>
        <v>0</v>
      </c>
    </row>
    <row r="155" spans="1:18" x14ac:dyDescent="0.4">
      <c r="A155" s="1">
        <v>202550007018</v>
      </c>
      <c r="B155" s="1">
        <v>1116159</v>
      </c>
      <c r="C155" s="2">
        <v>46115</v>
      </c>
      <c r="D155" t="s">
        <v>17</v>
      </c>
      <c r="E155" t="s">
        <v>11</v>
      </c>
      <c r="F155" t="s">
        <v>50</v>
      </c>
      <c r="G155" t="s">
        <v>9</v>
      </c>
      <c r="L155">
        <f t="shared" si="10"/>
        <v>0</v>
      </c>
      <c r="M155">
        <f t="shared" si="11"/>
        <v>0</v>
      </c>
      <c r="N155">
        <f t="shared" si="12"/>
        <v>0</v>
      </c>
      <c r="O155">
        <f t="shared" si="14"/>
        <v>1</v>
      </c>
      <c r="P155" t="str">
        <f t="shared" si="13"/>
        <v/>
      </c>
      <c r="Q155">
        <f>COUNTIF('責任職　企業局→市長部局'!A:A,SQLデータ!B155)</f>
        <v>0</v>
      </c>
      <c r="R155">
        <f>COUNTIF('一般職員　企業局→市長部局'!A:F,SQLデータ!B155)</f>
        <v>0</v>
      </c>
    </row>
    <row r="156" spans="1:18" x14ac:dyDescent="0.4">
      <c r="A156" s="1">
        <v>202550007024</v>
      </c>
      <c r="B156" s="1">
        <v>1211029</v>
      </c>
      <c r="C156" s="2">
        <v>46108</v>
      </c>
      <c r="D156" t="s">
        <v>17</v>
      </c>
      <c r="E156" t="s">
        <v>10</v>
      </c>
      <c r="G156" t="s">
        <v>9</v>
      </c>
      <c r="L156">
        <f t="shared" si="10"/>
        <v>0</v>
      </c>
      <c r="M156">
        <f t="shared" si="11"/>
        <v>0</v>
      </c>
      <c r="N156">
        <f t="shared" si="12"/>
        <v>0</v>
      </c>
      <c r="O156">
        <f t="shared" si="14"/>
        <v>1</v>
      </c>
      <c r="P156" t="str">
        <f t="shared" si="13"/>
        <v/>
      </c>
      <c r="Q156">
        <f>COUNTIF('責任職　企業局→市長部局'!A:A,SQLデータ!B156)</f>
        <v>0</v>
      </c>
      <c r="R156">
        <f>COUNTIF('一般職員　企業局→市長部局'!A:F,SQLデータ!B156)</f>
        <v>0</v>
      </c>
    </row>
    <row r="157" spans="1:18" x14ac:dyDescent="0.4">
      <c r="A157" s="1">
        <v>202550007030</v>
      </c>
      <c r="B157" s="1">
        <v>1256066</v>
      </c>
      <c r="C157" s="2">
        <v>46116</v>
      </c>
      <c r="D157" t="s">
        <v>17</v>
      </c>
      <c r="E157" t="s">
        <v>8</v>
      </c>
      <c r="F157" t="s">
        <v>47</v>
      </c>
      <c r="G157" t="s">
        <v>9</v>
      </c>
      <c r="L157">
        <f t="shared" si="10"/>
        <v>0</v>
      </c>
      <c r="M157">
        <f t="shared" si="11"/>
        <v>0</v>
      </c>
      <c r="N157">
        <f t="shared" si="12"/>
        <v>0</v>
      </c>
      <c r="O157">
        <f t="shared" si="14"/>
        <v>1</v>
      </c>
      <c r="P157" t="str">
        <f t="shared" si="13"/>
        <v/>
      </c>
      <c r="Q157">
        <f>COUNTIF('責任職　企業局→市長部局'!A:A,SQLデータ!B157)</f>
        <v>0</v>
      </c>
      <c r="R157">
        <f>COUNTIF('一般職員　企業局→市長部局'!A:F,SQLデータ!B157)</f>
        <v>0</v>
      </c>
    </row>
    <row r="158" spans="1:18" x14ac:dyDescent="0.4">
      <c r="A158" s="1">
        <v>202550007034</v>
      </c>
      <c r="B158" s="1">
        <v>1191545</v>
      </c>
      <c r="C158" s="2">
        <v>46108</v>
      </c>
      <c r="D158" t="s">
        <v>17</v>
      </c>
      <c r="E158" t="s">
        <v>10</v>
      </c>
      <c r="G158" t="s">
        <v>9</v>
      </c>
      <c r="L158">
        <f t="shared" si="10"/>
        <v>0</v>
      </c>
      <c r="M158">
        <f t="shared" si="11"/>
        <v>0</v>
      </c>
      <c r="N158">
        <f t="shared" si="12"/>
        <v>0</v>
      </c>
      <c r="O158">
        <f t="shared" si="14"/>
        <v>1</v>
      </c>
      <c r="P158" t="str">
        <f t="shared" si="13"/>
        <v/>
      </c>
      <c r="Q158">
        <f>COUNTIF('責任職　企業局→市長部局'!A:A,SQLデータ!B158)</f>
        <v>0</v>
      </c>
      <c r="R158">
        <f>COUNTIF('一般職員　企業局→市長部局'!A:F,SQLデータ!B158)</f>
        <v>0</v>
      </c>
    </row>
    <row r="159" spans="1:18" x14ac:dyDescent="0.4">
      <c r="A159" s="1">
        <v>202550007037</v>
      </c>
      <c r="B159" s="1">
        <v>1236055</v>
      </c>
      <c r="C159" s="2">
        <v>46116</v>
      </c>
      <c r="D159" t="s">
        <v>17</v>
      </c>
      <c r="E159" t="s">
        <v>8</v>
      </c>
      <c r="F159" t="s">
        <v>47</v>
      </c>
      <c r="G159" t="s">
        <v>9</v>
      </c>
      <c r="L159">
        <f t="shared" si="10"/>
        <v>0</v>
      </c>
      <c r="M159">
        <f t="shared" si="11"/>
        <v>0</v>
      </c>
      <c r="N159">
        <f t="shared" si="12"/>
        <v>0</v>
      </c>
      <c r="O159">
        <f t="shared" si="14"/>
        <v>1</v>
      </c>
      <c r="P159" t="str">
        <f t="shared" si="13"/>
        <v/>
      </c>
      <c r="Q159">
        <f>COUNTIF('責任職　企業局→市長部局'!A:A,SQLデータ!B159)</f>
        <v>0</v>
      </c>
      <c r="R159">
        <f>COUNTIF('一般職員　企業局→市長部局'!A:F,SQLデータ!B159)</f>
        <v>0</v>
      </c>
    </row>
    <row r="160" spans="1:18" x14ac:dyDescent="0.4">
      <c r="A160" s="1">
        <v>202550007040</v>
      </c>
      <c r="B160" s="1">
        <v>1196045</v>
      </c>
      <c r="C160" s="2">
        <v>46115</v>
      </c>
      <c r="D160" t="s">
        <v>17</v>
      </c>
      <c r="E160" t="s">
        <v>11</v>
      </c>
      <c r="F160" t="s">
        <v>49</v>
      </c>
      <c r="G160" t="s">
        <v>9</v>
      </c>
      <c r="L160">
        <f t="shared" si="10"/>
        <v>0</v>
      </c>
      <c r="M160">
        <f t="shared" si="11"/>
        <v>0</v>
      </c>
      <c r="N160">
        <f t="shared" si="12"/>
        <v>0</v>
      </c>
      <c r="O160">
        <f t="shared" si="14"/>
        <v>1</v>
      </c>
      <c r="P160" t="str">
        <f t="shared" si="13"/>
        <v/>
      </c>
      <c r="Q160">
        <f>COUNTIF('責任職　企業局→市長部局'!A:A,SQLデータ!B160)</f>
        <v>0</v>
      </c>
      <c r="R160">
        <f>COUNTIF('一般職員　企業局→市長部局'!A:F,SQLデータ!B160)</f>
        <v>0</v>
      </c>
    </row>
    <row r="161" spans="1:18" x14ac:dyDescent="0.4">
      <c r="A161" s="1">
        <v>202550007041</v>
      </c>
      <c r="B161" s="1">
        <v>974158</v>
      </c>
      <c r="C161" s="2">
        <v>46113</v>
      </c>
      <c r="D161" t="s">
        <v>17</v>
      </c>
      <c r="E161" t="s">
        <v>10</v>
      </c>
      <c r="F161" t="s">
        <v>53</v>
      </c>
      <c r="G161" t="s">
        <v>9</v>
      </c>
      <c r="L161">
        <f t="shared" si="10"/>
        <v>0</v>
      </c>
      <c r="M161">
        <f t="shared" si="11"/>
        <v>0</v>
      </c>
      <c r="N161">
        <f t="shared" si="12"/>
        <v>0</v>
      </c>
      <c r="O161">
        <f t="shared" si="14"/>
        <v>1</v>
      </c>
      <c r="P161" t="str">
        <f t="shared" si="13"/>
        <v/>
      </c>
      <c r="Q161">
        <f>COUNTIF('責任職　企業局→市長部局'!A:A,SQLデータ!B161)</f>
        <v>0</v>
      </c>
      <c r="R161">
        <f>COUNTIF('一般職員　企業局→市長部局'!A:F,SQLデータ!B161)</f>
        <v>0</v>
      </c>
    </row>
    <row r="162" spans="1:18" x14ac:dyDescent="0.4">
      <c r="A162" s="1">
        <v>202550007043</v>
      </c>
      <c r="B162" s="1">
        <v>1256006</v>
      </c>
      <c r="C162" s="2">
        <v>46110</v>
      </c>
      <c r="D162" t="s">
        <v>17</v>
      </c>
      <c r="E162" t="s">
        <v>11</v>
      </c>
      <c r="G162" t="s">
        <v>9</v>
      </c>
      <c r="L162">
        <f t="shared" si="10"/>
        <v>0</v>
      </c>
      <c r="M162">
        <f t="shared" si="11"/>
        <v>0</v>
      </c>
      <c r="N162">
        <f t="shared" si="12"/>
        <v>0</v>
      </c>
      <c r="O162">
        <f t="shared" si="14"/>
        <v>1</v>
      </c>
      <c r="P162" t="str">
        <f t="shared" si="13"/>
        <v/>
      </c>
      <c r="Q162">
        <f>COUNTIF('責任職　企業局→市長部局'!A:A,SQLデータ!B162)</f>
        <v>0</v>
      </c>
      <c r="R162">
        <f>COUNTIF('一般職員　企業局→市長部局'!A:F,SQLデータ!B162)</f>
        <v>0</v>
      </c>
    </row>
    <row r="163" spans="1:18" x14ac:dyDescent="0.4">
      <c r="A163" s="1">
        <v>202550007044</v>
      </c>
      <c r="B163" s="1">
        <v>1102055</v>
      </c>
      <c r="C163" s="2">
        <v>46115</v>
      </c>
      <c r="D163" t="s">
        <v>17</v>
      </c>
      <c r="E163" t="s">
        <v>8</v>
      </c>
      <c r="F163" t="s">
        <v>52</v>
      </c>
      <c r="G163" t="s">
        <v>9</v>
      </c>
      <c r="L163">
        <f t="shared" si="10"/>
        <v>0</v>
      </c>
      <c r="M163">
        <f t="shared" si="11"/>
        <v>0</v>
      </c>
      <c r="N163">
        <f t="shared" si="12"/>
        <v>0</v>
      </c>
      <c r="O163">
        <f t="shared" si="14"/>
        <v>1</v>
      </c>
      <c r="P163" t="str">
        <f t="shared" si="13"/>
        <v/>
      </c>
      <c r="Q163">
        <f>COUNTIF('責任職　企業局→市長部局'!A:A,SQLデータ!B163)</f>
        <v>0</v>
      </c>
      <c r="R163">
        <f>COUNTIF('一般職員　企業局→市長部局'!A:F,SQLデータ!B163)</f>
        <v>0</v>
      </c>
    </row>
    <row r="164" spans="1:18" x14ac:dyDescent="0.4">
      <c r="A164" s="1">
        <v>202550007046</v>
      </c>
      <c r="B164" s="1">
        <v>1191374</v>
      </c>
      <c r="C164" s="2">
        <v>46111</v>
      </c>
      <c r="D164" t="s">
        <v>17</v>
      </c>
      <c r="E164" t="s">
        <v>11</v>
      </c>
      <c r="G164" t="s">
        <v>9</v>
      </c>
      <c r="L164">
        <f t="shared" si="10"/>
        <v>0</v>
      </c>
      <c r="M164">
        <f t="shared" si="11"/>
        <v>0</v>
      </c>
      <c r="N164">
        <f t="shared" si="12"/>
        <v>0</v>
      </c>
      <c r="O164">
        <f t="shared" si="14"/>
        <v>1</v>
      </c>
      <c r="P164" t="str">
        <f t="shared" si="13"/>
        <v/>
      </c>
      <c r="Q164">
        <f>COUNTIF('責任職　企業局→市長部局'!A:A,SQLデータ!B164)</f>
        <v>0</v>
      </c>
      <c r="R164">
        <f>COUNTIF('一般職員　企業局→市長部局'!A:F,SQLデータ!B164)</f>
        <v>0</v>
      </c>
    </row>
    <row r="165" spans="1:18" x14ac:dyDescent="0.4">
      <c r="A165" s="1">
        <v>202550007048</v>
      </c>
      <c r="B165" s="1">
        <v>1061110</v>
      </c>
      <c r="C165" s="2">
        <v>46111</v>
      </c>
      <c r="D165" t="s">
        <v>17</v>
      </c>
      <c r="E165" t="s">
        <v>8</v>
      </c>
      <c r="F165" t="s">
        <v>52</v>
      </c>
      <c r="G165" t="s">
        <v>9</v>
      </c>
      <c r="L165">
        <f t="shared" si="10"/>
        <v>0</v>
      </c>
      <c r="M165">
        <f t="shared" si="11"/>
        <v>0</v>
      </c>
      <c r="N165">
        <f t="shared" si="12"/>
        <v>0</v>
      </c>
      <c r="O165">
        <f t="shared" si="14"/>
        <v>1</v>
      </c>
      <c r="P165" t="str">
        <f t="shared" si="13"/>
        <v/>
      </c>
      <c r="Q165">
        <f>COUNTIF('責任職　企業局→市長部局'!A:A,SQLデータ!B165)</f>
        <v>0</v>
      </c>
      <c r="R165">
        <f>COUNTIF('一般職員　企業局→市長部局'!A:F,SQLデータ!B165)</f>
        <v>0</v>
      </c>
    </row>
    <row r="166" spans="1:18" x14ac:dyDescent="0.4">
      <c r="A166" s="1">
        <v>202550007052</v>
      </c>
      <c r="B166" s="1">
        <v>1176011</v>
      </c>
      <c r="C166" s="2">
        <v>46115</v>
      </c>
      <c r="D166" t="s">
        <v>17</v>
      </c>
      <c r="E166" t="s">
        <v>10</v>
      </c>
      <c r="G166" t="s">
        <v>9</v>
      </c>
      <c r="L166">
        <f t="shared" si="10"/>
        <v>0</v>
      </c>
      <c r="M166">
        <f t="shared" si="11"/>
        <v>0</v>
      </c>
      <c r="N166">
        <f t="shared" si="12"/>
        <v>0</v>
      </c>
      <c r="O166">
        <f t="shared" si="14"/>
        <v>1</v>
      </c>
      <c r="P166" t="str">
        <f t="shared" si="13"/>
        <v/>
      </c>
      <c r="Q166">
        <f>COUNTIF('責任職　企業局→市長部局'!A:A,SQLデータ!B166)</f>
        <v>0</v>
      </c>
      <c r="R166">
        <f>COUNTIF('一般職員　企業局→市長部局'!A:F,SQLデータ!B166)</f>
        <v>0</v>
      </c>
    </row>
    <row r="167" spans="1:18" x14ac:dyDescent="0.4">
      <c r="A167" s="1">
        <v>202550007056</v>
      </c>
      <c r="B167" s="1">
        <v>1211409</v>
      </c>
      <c r="C167" s="2">
        <v>46111</v>
      </c>
      <c r="D167" t="s">
        <v>17</v>
      </c>
      <c r="E167" t="s">
        <v>10</v>
      </c>
      <c r="G167" t="s">
        <v>9</v>
      </c>
      <c r="L167">
        <f t="shared" si="10"/>
        <v>0</v>
      </c>
      <c r="M167">
        <f t="shared" si="11"/>
        <v>0</v>
      </c>
      <c r="N167">
        <f t="shared" si="12"/>
        <v>0</v>
      </c>
      <c r="O167">
        <f t="shared" si="14"/>
        <v>1</v>
      </c>
      <c r="P167" t="str">
        <f t="shared" si="13"/>
        <v/>
      </c>
      <c r="Q167">
        <f>COUNTIF('責任職　企業局→市長部局'!A:A,SQLデータ!B167)</f>
        <v>0</v>
      </c>
      <c r="R167">
        <f>COUNTIF('一般職員　企業局→市長部局'!A:F,SQLデータ!B167)</f>
        <v>0</v>
      </c>
    </row>
    <row r="168" spans="1:18" x14ac:dyDescent="0.4">
      <c r="A168" s="1">
        <v>202550007057</v>
      </c>
      <c r="B168" s="1">
        <v>1244020</v>
      </c>
      <c r="C168" s="2">
        <v>46111</v>
      </c>
      <c r="D168" t="s">
        <v>17</v>
      </c>
      <c r="E168" t="s">
        <v>11</v>
      </c>
      <c r="F168" t="s">
        <v>47</v>
      </c>
      <c r="G168" t="s">
        <v>9</v>
      </c>
      <c r="L168">
        <f t="shared" si="10"/>
        <v>0</v>
      </c>
      <c r="M168">
        <f t="shared" si="11"/>
        <v>0</v>
      </c>
      <c r="N168">
        <f t="shared" si="12"/>
        <v>0</v>
      </c>
      <c r="O168">
        <f t="shared" si="14"/>
        <v>1</v>
      </c>
      <c r="P168" t="str">
        <f t="shared" si="13"/>
        <v/>
      </c>
      <c r="Q168">
        <f>COUNTIF('責任職　企業局→市長部局'!A:A,SQLデータ!B168)</f>
        <v>0</v>
      </c>
      <c r="R168">
        <f>COUNTIF('一般職員　企業局→市長部局'!A:F,SQLデータ!B168)</f>
        <v>0</v>
      </c>
    </row>
    <row r="169" spans="1:18" x14ac:dyDescent="0.4">
      <c r="A169" s="1">
        <v>202550007059</v>
      </c>
      <c r="B169" s="1">
        <v>1106110</v>
      </c>
      <c r="C169" s="2">
        <v>46118</v>
      </c>
      <c r="D169" t="s">
        <v>17</v>
      </c>
      <c r="E169" t="s">
        <v>10</v>
      </c>
      <c r="G169" t="s">
        <v>9</v>
      </c>
      <c r="L169">
        <f t="shared" si="10"/>
        <v>0</v>
      </c>
      <c r="M169">
        <f t="shared" si="11"/>
        <v>0</v>
      </c>
      <c r="N169">
        <f t="shared" si="12"/>
        <v>0</v>
      </c>
      <c r="O169">
        <f t="shared" si="14"/>
        <v>1</v>
      </c>
      <c r="P169" t="str">
        <f t="shared" si="13"/>
        <v/>
      </c>
      <c r="Q169">
        <f>COUNTIF('責任職　企業局→市長部局'!A:A,SQLデータ!B169)</f>
        <v>0</v>
      </c>
      <c r="R169">
        <f>COUNTIF('一般職員　企業局→市長部局'!A:F,SQLデータ!B169)</f>
        <v>0</v>
      </c>
    </row>
    <row r="170" spans="1:18" x14ac:dyDescent="0.4">
      <c r="A170" s="1">
        <v>202550007068</v>
      </c>
      <c r="B170" s="1">
        <v>910456</v>
      </c>
      <c r="C170" s="2">
        <v>46111</v>
      </c>
      <c r="D170" t="s">
        <v>17</v>
      </c>
      <c r="E170" t="s">
        <v>11</v>
      </c>
      <c r="G170" t="s">
        <v>9</v>
      </c>
      <c r="L170">
        <f t="shared" si="10"/>
        <v>0</v>
      </c>
      <c r="M170">
        <f t="shared" si="11"/>
        <v>0</v>
      </c>
      <c r="N170">
        <f t="shared" si="12"/>
        <v>0</v>
      </c>
      <c r="O170">
        <f t="shared" si="14"/>
        <v>1</v>
      </c>
      <c r="P170" t="str">
        <f t="shared" si="13"/>
        <v/>
      </c>
      <c r="Q170">
        <f>COUNTIF('責任職　企業局→市長部局'!A:A,SQLデータ!B170)</f>
        <v>0</v>
      </c>
      <c r="R170">
        <f>COUNTIF('一般職員　企業局→市長部局'!A:F,SQLデータ!B170)</f>
        <v>0</v>
      </c>
    </row>
    <row r="171" spans="1:18" x14ac:dyDescent="0.4">
      <c r="A171" s="1">
        <v>202550007070</v>
      </c>
      <c r="B171" s="1">
        <v>1231121</v>
      </c>
      <c r="C171" s="2">
        <v>46111</v>
      </c>
      <c r="D171" t="s">
        <v>17</v>
      </c>
      <c r="E171" t="s">
        <v>12</v>
      </c>
      <c r="G171" t="s">
        <v>9</v>
      </c>
      <c r="L171">
        <f t="shared" si="10"/>
        <v>0</v>
      </c>
      <c r="M171">
        <f t="shared" si="11"/>
        <v>0</v>
      </c>
      <c r="N171">
        <f t="shared" si="12"/>
        <v>0</v>
      </c>
      <c r="O171">
        <f t="shared" si="14"/>
        <v>1</v>
      </c>
      <c r="P171" t="str">
        <f t="shared" si="13"/>
        <v/>
      </c>
      <c r="Q171">
        <f>COUNTIF('責任職　企業局→市長部局'!A:A,SQLデータ!B171)</f>
        <v>0</v>
      </c>
      <c r="R171">
        <f>COUNTIF('一般職員　企業局→市長部局'!A:F,SQLデータ!B171)</f>
        <v>0</v>
      </c>
    </row>
    <row r="172" spans="1:18" x14ac:dyDescent="0.4">
      <c r="A172" s="1">
        <v>202550007071</v>
      </c>
      <c r="B172" s="1">
        <v>1241115</v>
      </c>
      <c r="C172" s="2">
        <v>46111</v>
      </c>
      <c r="D172" t="s">
        <v>17</v>
      </c>
      <c r="E172" t="s">
        <v>12</v>
      </c>
      <c r="G172" t="s">
        <v>9</v>
      </c>
      <c r="L172">
        <f t="shared" si="10"/>
        <v>0</v>
      </c>
      <c r="M172">
        <f t="shared" si="11"/>
        <v>0</v>
      </c>
      <c r="N172">
        <f t="shared" si="12"/>
        <v>0</v>
      </c>
      <c r="O172">
        <f t="shared" si="14"/>
        <v>1</v>
      </c>
      <c r="P172" t="str">
        <f t="shared" si="13"/>
        <v/>
      </c>
      <c r="Q172">
        <f>COUNTIF('責任職　企業局→市長部局'!A:A,SQLデータ!B172)</f>
        <v>0</v>
      </c>
      <c r="R172">
        <f>COUNTIF('一般職員　企業局→市長部局'!A:F,SQLデータ!B172)</f>
        <v>0</v>
      </c>
    </row>
    <row r="173" spans="1:18" x14ac:dyDescent="0.4">
      <c r="A173" s="1">
        <v>202550007076</v>
      </c>
      <c r="B173" s="1">
        <v>1221303</v>
      </c>
      <c r="C173" s="2">
        <v>46112</v>
      </c>
      <c r="D173" t="s">
        <v>17</v>
      </c>
      <c r="E173" t="s">
        <v>8</v>
      </c>
      <c r="F173" t="s">
        <v>52</v>
      </c>
      <c r="G173" t="s">
        <v>9</v>
      </c>
      <c r="L173">
        <f t="shared" si="10"/>
        <v>0</v>
      </c>
      <c r="M173">
        <f t="shared" si="11"/>
        <v>0</v>
      </c>
      <c r="N173">
        <f t="shared" si="12"/>
        <v>0</v>
      </c>
      <c r="O173">
        <f t="shared" si="14"/>
        <v>1</v>
      </c>
      <c r="P173" t="str">
        <f t="shared" si="13"/>
        <v/>
      </c>
      <c r="Q173">
        <f>COUNTIF('責任職　企業局→市長部局'!A:A,SQLデータ!B173)</f>
        <v>0</v>
      </c>
      <c r="R173">
        <f>COUNTIF('一般職員　企業局→市長部局'!A:F,SQLデータ!B173)</f>
        <v>0</v>
      </c>
    </row>
    <row r="174" spans="1:18" x14ac:dyDescent="0.4">
      <c r="A174" s="1">
        <v>202550007077</v>
      </c>
      <c r="B174" s="1">
        <v>1110061</v>
      </c>
      <c r="C174" s="2">
        <v>46111</v>
      </c>
      <c r="D174" t="s">
        <v>17</v>
      </c>
      <c r="E174" t="s">
        <v>10</v>
      </c>
      <c r="G174" t="s">
        <v>9</v>
      </c>
      <c r="L174">
        <f t="shared" si="10"/>
        <v>0</v>
      </c>
      <c r="M174">
        <f t="shared" si="11"/>
        <v>0</v>
      </c>
      <c r="N174">
        <f t="shared" si="12"/>
        <v>0</v>
      </c>
      <c r="O174">
        <f t="shared" si="14"/>
        <v>1</v>
      </c>
      <c r="P174" t="str">
        <f t="shared" si="13"/>
        <v/>
      </c>
      <c r="Q174">
        <f>COUNTIF('責任職　企業局→市長部局'!A:A,SQLデータ!B174)</f>
        <v>0</v>
      </c>
      <c r="R174">
        <f>COUNTIF('一般職員　企業局→市長部局'!A:F,SQLデータ!B174)</f>
        <v>0</v>
      </c>
    </row>
    <row r="175" spans="1:18" x14ac:dyDescent="0.4">
      <c r="A175" s="1">
        <v>202550007078</v>
      </c>
      <c r="B175" s="1">
        <v>1231340</v>
      </c>
      <c r="C175" s="2">
        <v>46112</v>
      </c>
      <c r="D175" t="s">
        <v>17</v>
      </c>
      <c r="E175" t="s">
        <v>12</v>
      </c>
      <c r="G175" t="s">
        <v>9</v>
      </c>
      <c r="L175">
        <f t="shared" si="10"/>
        <v>0</v>
      </c>
      <c r="M175">
        <f t="shared" si="11"/>
        <v>0</v>
      </c>
      <c r="N175">
        <f t="shared" si="12"/>
        <v>0</v>
      </c>
      <c r="O175">
        <f t="shared" si="14"/>
        <v>1</v>
      </c>
      <c r="P175" t="str">
        <f t="shared" si="13"/>
        <v/>
      </c>
      <c r="Q175">
        <f>COUNTIF('責任職　企業局→市長部局'!A:A,SQLデータ!B175)</f>
        <v>0</v>
      </c>
      <c r="R175">
        <f>COUNTIF('一般職員　企業局→市長部局'!A:F,SQLデータ!B175)</f>
        <v>0</v>
      </c>
    </row>
    <row r="176" spans="1:18" x14ac:dyDescent="0.4">
      <c r="A176" s="1">
        <v>202550007080</v>
      </c>
      <c r="B176" s="1">
        <v>1186004</v>
      </c>
      <c r="C176" s="2">
        <v>46115</v>
      </c>
      <c r="D176" t="s">
        <v>17</v>
      </c>
      <c r="E176" t="s">
        <v>10</v>
      </c>
      <c r="G176" t="s">
        <v>9</v>
      </c>
      <c r="L176">
        <f t="shared" si="10"/>
        <v>0</v>
      </c>
      <c r="M176">
        <f t="shared" si="11"/>
        <v>0</v>
      </c>
      <c r="N176">
        <f t="shared" si="12"/>
        <v>0</v>
      </c>
      <c r="O176">
        <f t="shared" si="14"/>
        <v>1</v>
      </c>
      <c r="P176" t="str">
        <f t="shared" si="13"/>
        <v/>
      </c>
      <c r="Q176">
        <f>COUNTIF('責任職　企業局→市長部局'!A:A,SQLデータ!B176)</f>
        <v>0</v>
      </c>
      <c r="R176">
        <f>COUNTIF('一般職員　企業局→市長部局'!A:F,SQLデータ!B176)</f>
        <v>0</v>
      </c>
    </row>
    <row r="177" spans="1:18" x14ac:dyDescent="0.4">
      <c r="A177" s="1">
        <v>202550007084</v>
      </c>
      <c r="B177" s="1">
        <v>1154015</v>
      </c>
      <c r="C177" s="2">
        <v>46112</v>
      </c>
      <c r="D177" t="s">
        <v>17</v>
      </c>
      <c r="E177" t="s">
        <v>10</v>
      </c>
      <c r="G177" t="s">
        <v>9</v>
      </c>
      <c r="L177">
        <f t="shared" si="10"/>
        <v>0</v>
      </c>
      <c r="M177">
        <f t="shared" si="11"/>
        <v>0</v>
      </c>
      <c r="N177">
        <f t="shared" si="12"/>
        <v>0</v>
      </c>
      <c r="O177">
        <f t="shared" si="14"/>
        <v>1</v>
      </c>
      <c r="P177" t="str">
        <f t="shared" si="13"/>
        <v/>
      </c>
      <c r="Q177">
        <f>COUNTIF('責任職　企業局→市長部局'!A:A,SQLデータ!B177)</f>
        <v>0</v>
      </c>
      <c r="R177">
        <f>COUNTIF('一般職員　企業局→市長部局'!A:F,SQLデータ!B177)</f>
        <v>0</v>
      </c>
    </row>
    <row r="178" spans="1:18" x14ac:dyDescent="0.4">
      <c r="A178" s="1">
        <v>202550007086</v>
      </c>
      <c r="B178" s="1">
        <v>960223</v>
      </c>
      <c r="C178" s="2">
        <v>46127</v>
      </c>
      <c r="D178" t="s">
        <v>17</v>
      </c>
      <c r="E178" t="s">
        <v>11</v>
      </c>
      <c r="G178" t="s">
        <v>9</v>
      </c>
      <c r="L178">
        <f t="shared" si="10"/>
        <v>0</v>
      </c>
      <c r="M178">
        <f t="shared" si="11"/>
        <v>0</v>
      </c>
      <c r="N178">
        <f t="shared" si="12"/>
        <v>0</v>
      </c>
      <c r="O178">
        <f t="shared" si="14"/>
        <v>1</v>
      </c>
      <c r="P178" t="str">
        <f t="shared" si="13"/>
        <v/>
      </c>
      <c r="Q178">
        <f>COUNTIF('責任職　企業局→市長部局'!A:A,SQLデータ!B178)</f>
        <v>0</v>
      </c>
      <c r="R178">
        <f>COUNTIF('一般職員　企業局→市長部局'!A:F,SQLデータ!B178)</f>
        <v>0</v>
      </c>
    </row>
    <row r="179" spans="1:18" x14ac:dyDescent="0.4">
      <c r="A179" s="1">
        <v>202550007087</v>
      </c>
      <c r="B179" s="1">
        <v>5037609</v>
      </c>
      <c r="C179" s="2">
        <v>46112</v>
      </c>
      <c r="D179" t="s">
        <v>17</v>
      </c>
      <c r="E179" t="s">
        <v>11</v>
      </c>
      <c r="F179" t="s">
        <v>48</v>
      </c>
      <c r="G179" t="s">
        <v>9</v>
      </c>
      <c r="L179">
        <f t="shared" si="10"/>
        <v>0</v>
      </c>
      <c r="M179">
        <f t="shared" si="11"/>
        <v>0</v>
      </c>
      <c r="N179">
        <f t="shared" si="12"/>
        <v>0</v>
      </c>
      <c r="O179">
        <f t="shared" si="14"/>
        <v>1</v>
      </c>
      <c r="P179" t="str">
        <f t="shared" si="13"/>
        <v/>
      </c>
      <c r="Q179">
        <f>COUNTIF('責任職　企業局→市長部局'!A:A,SQLデータ!B179)</f>
        <v>0</v>
      </c>
      <c r="R179">
        <f>COUNTIF('一般職員　企業局→市長部局'!A:F,SQLデータ!B179)</f>
        <v>0</v>
      </c>
    </row>
    <row r="180" spans="1:18" x14ac:dyDescent="0.4">
      <c r="A180" s="1">
        <v>202550007090</v>
      </c>
      <c r="B180" s="1">
        <v>1196081</v>
      </c>
      <c r="C180" s="2">
        <v>46112</v>
      </c>
      <c r="D180" t="s">
        <v>17</v>
      </c>
      <c r="E180" t="s">
        <v>8</v>
      </c>
      <c r="F180" t="s">
        <v>52</v>
      </c>
      <c r="G180" t="s">
        <v>9</v>
      </c>
      <c r="L180">
        <f t="shared" si="10"/>
        <v>0</v>
      </c>
      <c r="M180">
        <f t="shared" si="11"/>
        <v>0</v>
      </c>
      <c r="N180">
        <f t="shared" si="12"/>
        <v>0</v>
      </c>
      <c r="O180">
        <f t="shared" si="14"/>
        <v>1</v>
      </c>
      <c r="P180" t="str">
        <f t="shared" si="13"/>
        <v/>
      </c>
      <c r="Q180">
        <f>COUNTIF('責任職　企業局→市長部局'!A:A,SQLデータ!B180)</f>
        <v>0</v>
      </c>
      <c r="R180">
        <f>COUNTIF('一般職員　企業局→市長部局'!A:F,SQLデータ!B180)</f>
        <v>0</v>
      </c>
    </row>
    <row r="181" spans="1:18" x14ac:dyDescent="0.4">
      <c r="A181" s="1">
        <v>202550007092</v>
      </c>
      <c r="B181" s="1">
        <v>830396</v>
      </c>
      <c r="C181" s="2">
        <v>46115</v>
      </c>
      <c r="D181" t="s">
        <v>17</v>
      </c>
      <c r="E181" t="s">
        <v>8</v>
      </c>
      <c r="F181" t="s">
        <v>47</v>
      </c>
      <c r="G181" t="s">
        <v>9</v>
      </c>
      <c r="L181">
        <f t="shared" si="10"/>
        <v>0</v>
      </c>
      <c r="M181">
        <f t="shared" si="11"/>
        <v>0</v>
      </c>
      <c r="N181">
        <f t="shared" si="12"/>
        <v>0</v>
      </c>
      <c r="O181">
        <f t="shared" si="14"/>
        <v>1</v>
      </c>
      <c r="P181" t="str">
        <f t="shared" si="13"/>
        <v/>
      </c>
      <c r="Q181">
        <f>COUNTIF('責任職　企業局→市長部局'!A:A,SQLデータ!B181)</f>
        <v>0</v>
      </c>
      <c r="R181">
        <f>COUNTIF('一般職員　企業局→市長部局'!A:F,SQLデータ!B181)</f>
        <v>0</v>
      </c>
    </row>
    <row r="182" spans="1:18" x14ac:dyDescent="0.4">
      <c r="A182" s="1">
        <v>202550007093</v>
      </c>
      <c r="B182" s="1">
        <v>1011134</v>
      </c>
      <c r="C182" s="2">
        <v>46127</v>
      </c>
      <c r="D182" t="s">
        <v>17</v>
      </c>
      <c r="E182" t="s">
        <v>11</v>
      </c>
      <c r="G182" t="s">
        <v>9</v>
      </c>
      <c r="L182">
        <f t="shared" si="10"/>
        <v>0</v>
      </c>
      <c r="M182">
        <f t="shared" si="11"/>
        <v>0</v>
      </c>
      <c r="N182">
        <f t="shared" si="12"/>
        <v>0</v>
      </c>
      <c r="O182">
        <f t="shared" si="14"/>
        <v>1</v>
      </c>
      <c r="P182" t="str">
        <f t="shared" si="13"/>
        <v/>
      </c>
      <c r="Q182">
        <f>COUNTIF('責任職　企業局→市長部局'!A:A,SQLデータ!B182)</f>
        <v>0</v>
      </c>
      <c r="R182">
        <f>COUNTIF('一般職員　企業局→市長部局'!A:F,SQLデータ!B182)</f>
        <v>0</v>
      </c>
    </row>
    <row r="183" spans="1:18" x14ac:dyDescent="0.4">
      <c r="A183" s="1">
        <v>202550007094</v>
      </c>
      <c r="B183" s="1">
        <v>1251452</v>
      </c>
      <c r="C183" s="2">
        <v>46112</v>
      </c>
      <c r="D183" t="s">
        <v>17</v>
      </c>
      <c r="E183" t="s">
        <v>10</v>
      </c>
      <c r="F183" t="s">
        <v>52</v>
      </c>
      <c r="G183" t="s">
        <v>9</v>
      </c>
      <c r="L183">
        <f t="shared" si="10"/>
        <v>0</v>
      </c>
      <c r="M183">
        <f t="shared" si="11"/>
        <v>0</v>
      </c>
      <c r="N183">
        <f t="shared" si="12"/>
        <v>0</v>
      </c>
      <c r="O183">
        <f t="shared" si="14"/>
        <v>1</v>
      </c>
      <c r="P183" t="str">
        <f t="shared" si="13"/>
        <v/>
      </c>
      <c r="Q183">
        <f>COUNTIF('責任職　企業局→市長部局'!A:A,SQLデータ!B183)</f>
        <v>0</v>
      </c>
      <c r="R183">
        <f>COUNTIF('一般職員　企業局→市長部局'!A:F,SQLデータ!B183)</f>
        <v>0</v>
      </c>
    </row>
    <row r="184" spans="1:18" x14ac:dyDescent="0.4">
      <c r="A184" s="1">
        <v>202560000309</v>
      </c>
      <c r="B184" s="1">
        <v>1026051</v>
      </c>
      <c r="C184" s="2">
        <v>45757</v>
      </c>
      <c r="D184" t="s">
        <v>18</v>
      </c>
      <c r="E184" t="s">
        <v>10</v>
      </c>
      <c r="F184" t="s">
        <v>892</v>
      </c>
      <c r="G184" t="s">
        <v>22</v>
      </c>
      <c r="H184" t="s">
        <v>23</v>
      </c>
      <c r="I184" t="s">
        <v>23</v>
      </c>
      <c r="J184" t="s">
        <v>23</v>
      </c>
      <c r="L184">
        <f t="shared" si="10"/>
        <v>1</v>
      </c>
      <c r="M184">
        <f t="shared" si="11"/>
        <v>0</v>
      </c>
      <c r="N184">
        <f t="shared" si="12"/>
        <v>0</v>
      </c>
      <c r="O184">
        <f t="shared" si="14"/>
        <v>0</v>
      </c>
      <c r="P184">
        <f t="shared" si="13"/>
        <v>1</v>
      </c>
      <c r="Q184">
        <f>COUNTIF('責任職　企業局→市長部局'!A:A,SQLデータ!B184)</f>
        <v>0</v>
      </c>
      <c r="R184">
        <f>COUNTIF('一般職員　企業局→市長部局'!A:F,SQLデータ!B184)</f>
        <v>0</v>
      </c>
    </row>
    <row r="185" spans="1:18" x14ac:dyDescent="0.4">
      <c r="A185" s="1">
        <v>202560000773</v>
      </c>
      <c r="B185" s="1">
        <v>1071006</v>
      </c>
      <c r="C185" s="2">
        <v>45804</v>
      </c>
      <c r="D185" t="s">
        <v>18</v>
      </c>
      <c r="E185" t="s">
        <v>11</v>
      </c>
      <c r="F185" t="s">
        <v>51</v>
      </c>
      <c r="G185" t="s">
        <v>27</v>
      </c>
      <c r="H185" t="s">
        <v>23</v>
      </c>
      <c r="I185" t="s">
        <v>23</v>
      </c>
      <c r="J185" t="s">
        <v>23</v>
      </c>
      <c r="K185" t="s">
        <v>23</v>
      </c>
      <c r="L185">
        <f t="shared" si="10"/>
        <v>1</v>
      </c>
      <c r="M185">
        <f t="shared" si="11"/>
        <v>0</v>
      </c>
      <c r="N185">
        <f t="shared" si="12"/>
        <v>0</v>
      </c>
      <c r="O185">
        <f t="shared" si="14"/>
        <v>0</v>
      </c>
      <c r="P185">
        <f t="shared" si="13"/>
        <v>1</v>
      </c>
      <c r="Q185">
        <f>COUNTIF('責任職　企業局→市長部局'!A:A,SQLデータ!B185)</f>
        <v>0</v>
      </c>
      <c r="R185">
        <f>COUNTIF('一般職員　企業局→市長部局'!A:F,SQLデータ!B185)</f>
        <v>0</v>
      </c>
    </row>
    <row r="186" spans="1:18" x14ac:dyDescent="0.4">
      <c r="A186" s="1">
        <v>202560001201</v>
      </c>
      <c r="B186" s="1">
        <v>1034029</v>
      </c>
      <c r="C186" s="2">
        <v>45875</v>
      </c>
      <c r="D186" t="s">
        <v>18</v>
      </c>
      <c r="E186" t="s">
        <v>10</v>
      </c>
      <c r="G186" t="s">
        <v>30</v>
      </c>
      <c r="H186" t="s">
        <v>23</v>
      </c>
      <c r="I186" t="s">
        <v>23</v>
      </c>
      <c r="J186" t="s">
        <v>23</v>
      </c>
      <c r="K186" t="s">
        <v>23</v>
      </c>
      <c r="L186">
        <f t="shared" si="10"/>
        <v>1</v>
      </c>
      <c r="M186">
        <f t="shared" si="11"/>
        <v>0</v>
      </c>
      <c r="N186">
        <f t="shared" si="12"/>
        <v>0</v>
      </c>
      <c r="O186">
        <f t="shared" si="14"/>
        <v>0</v>
      </c>
      <c r="P186">
        <f t="shared" si="13"/>
        <v>1</v>
      </c>
      <c r="Q186">
        <f>COUNTIF('責任職　企業局→市長部局'!A:A,SQLデータ!B186)</f>
        <v>0</v>
      </c>
      <c r="R186">
        <f>COUNTIF('一般職員　企業局→市長部局'!A:F,SQLデータ!B186)</f>
        <v>0</v>
      </c>
    </row>
    <row r="187" spans="1:18" x14ac:dyDescent="0.4">
      <c r="A187" s="1">
        <v>202560001724</v>
      </c>
      <c r="B187" s="1">
        <v>1191537</v>
      </c>
      <c r="C187" s="2">
        <v>45951</v>
      </c>
      <c r="D187" t="s">
        <v>18</v>
      </c>
      <c r="E187" t="s">
        <v>10</v>
      </c>
      <c r="F187" t="s">
        <v>47</v>
      </c>
      <c r="G187" t="s">
        <v>27</v>
      </c>
      <c r="H187" t="s">
        <v>20</v>
      </c>
      <c r="I187" t="s">
        <v>20</v>
      </c>
      <c r="L187">
        <f t="shared" si="10"/>
        <v>0</v>
      </c>
      <c r="M187">
        <f t="shared" si="11"/>
        <v>1</v>
      </c>
      <c r="N187">
        <f t="shared" si="12"/>
        <v>0</v>
      </c>
      <c r="O187">
        <f t="shared" si="14"/>
        <v>0</v>
      </c>
      <c r="P187">
        <f t="shared" si="13"/>
        <v>1</v>
      </c>
      <c r="Q187">
        <f>COUNTIF('責任職　企業局→市長部局'!A:A,SQLデータ!B187)</f>
        <v>0</v>
      </c>
      <c r="R187">
        <f>COUNTIF('一般職員　企業局→市長部局'!A:F,SQLデータ!B187)</f>
        <v>0</v>
      </c>
    </row>
    <row r="188" spans="1:18" x14ac:dyDescent="0.4">
      <c r="A188" s="1">
        <v>202560002469</v>
      </c>
      <c r="B188" s="1">
        <v>930342</v>
      </c>
      <c r="C188" s="2">
        <v>46009</v>
      </c>
      <c r="D188" t="s">
        <v>18</v>
      </c>
      <c r="E188" t="s">
        <v>10</v>
      </c>
      <c r="F188" t="s">
        <v>892</v>
      </c>
      <c r="G188" t="s">
        <v>21</v>
      </c>
      <c r="H188" t="s">
        <v>20</v>
      </c>
      <c r="J188" t="s">
        <v>20</v>
      </c>
      <c r="L188">
        <f t="shared" si="10"/>
        <v>1</v>
      </c>
      <c r="M188">
        <f t="shared" si="11"/>
        <v>0</v>
      </c>
      <c r="N188">
        <f t="shared" si="12"/>
        <v>0</v>
      </c>
      <c r="O188">
        <f t="shared" si="14"/>
        <v>0</v>
      </c>
      <c r="P188">
        <f t="shared" si="13"/>
        <v>1</v>
      </c>
      <c r="Q188">
        <f>COUNTIF('責任職　企業局→市長部局'!A:A,SQLデータ!B188)</f>
        <v>0</v>
      </c>
      <c r="R188">
        <f>COUNTIF('一般職員　企業局→市長部局'!A:F,SQLデータ!B188)</f>
        <v>0</v>
      </c>
    </row>
    <row r="189" spans="1:18" x14ac:dyDescent="0.4">
      <c r="A189" s="1">
        <v>202560002495</v>
      </c>
      <c r="B189" s="1">
        <v>1206026</v>
      </c>
      <c r="C189" s="2">
        <v>46026</v>
      </c>
      <c r="D189" t="s">
        <v>18</v>
      </c>
      <c r="E189" t="s">
        <v>10</v>
      </c>
      <c r="F189" t="s">
        <v>892</v>
      </c>
      <c r="G189" t="s">
        <v>22</v>
      </c>
      <c r="H189" t="s">
        <v>23</v>
      </c>
      <c r="I189" t="s">
        <v>23</v>
      </c>
      <c r="J189" t="s">
        <v>23</v>
      </c>
      <c r="L189">
        <f t="shared" si="10"/>
        <v>1</v>
      </c>
      <c r="M189">
        <f t="shared" si="11"/>
        <v>0</v>
      </c>
      <c r="N189">
        <f t="shared" si="12"/>
        <v>0</v>
      </c>
      <c r="O189">
        <f t="shared" si="14"/>
        <v>0</v>
      </c>
      <c r="P189">
        <f t="shared" si="13"/>
        <v>1</v>
      </c>
      <c r="Q189">
        <f>COUNTIF('責任職　企業局→市長部局'!A:A,SQLデータ!B189)</f>
        <v>0</v>
      </c>
      <c r="R189">
        <f>COUNTIF('一般職員　企業局→市長部局'!A:F,SQLデータ!B189)</f>
        <v>0</v>
      </c>
    </row>
    <row r="190" spans="1:18" x14ac:dyDescent="0.4">
      <c r="A190" s="1">
        <v>202560002505</v>
      </c>
      <c r="B190" s="1">
        <v>1246014</v>
      </c>
      <c r="C190" s="2">
        <v>46017</v>
      </c>
      <c r="D190" t="s">
        <v>18</v>
      </c>
      <c r="E190" t="s">
        <v>8</v>
      </c>
      <c r="F190" t="s">
        <v>47</v>
      </c>
      <c r="G190" t="s">
        <v>31</v>
      </c>
      <c r="H190" t="s">
        <v>20</v>
      </c>
      <c r="I190" t="s">
        <v>20</v>
      </c>
      <c r="J190" t="s">
        <v>20</v>
      </c>
      <c r="L190">
        <f t="shared" si="10"/>
        <v>1</v>
      </c>
      <c r="M190">
        <f t="shared" si="11"/>
        <v>0</v>
      </c>
      <c r="N190">
        <f t="shared" si="12"/>
        <v>0</v>
      </c>
      <c r="O190">
        <f t="shared" si="14"/>
        <v>0</v>
      </c>
      <c r="P190">
        <f t="shared" si="13"/>
        <v>0</v>
      </c>
      <c r="Q190">
        <f>COUNTIF('責任職　企業局→市長部局'!A:A,SQLデータ!B190)</f>
        <v>0</v>
      </c>
      <c r="R190">
        <f>COUNTIF('一般職員　企業局→市長部局'!A:F,SQLデータ!B190)</f>
        <v>0</v>
      </c>
    </row>
    <row r="191" spans="1:18" x14ac:dyDescent="0.4">
      <c r="A191" s="1">
        <v>202560002647</v>
      </c>
      <c r="B191" s="1">
        <v>930614</v>
      </c>
      <c r="C191" s="2">
        <v>46044</v>
      </c>
      <c r="D191" t="s">
        <v>18</v>
      </c>
      <c r="E191" t="s">
        <v>11</v>
      </c>
      <c r="G191" t="s">
        <v>22</v>
      </c>
      <c r="H191" t="s">
        <v>23</v>
      </c>
      <c r="K191" t="s">
        <v>23</v>
      </c>
      <c r="L191">
        <f t="shared" si="10"/>
        <v>0</v>
      </c>
      <c r="M191">
        <f t="shared" si="11"/>
        <v>0</v>
      </c>
      <c r="N191">
        <f t="shared" si="12"/>
        <v>1</v>
      </c>
      <c r="O191">
        <f t="shared" si="14"/>
        <v>0</v>
      </c>
      <c r="P191">
        <f t="shared" si="13"/>
        <v>1</v>
      </c>
      <c r="Q191">
        <f>COUNTIF('責任職　企業局→市長部局'!A:A,SQLデータ!B191)</f>
        <v>0</v>
      </c>
      <c r="R191">
        <f>COUNTIF('一般職員　企業局→市長部局'!A:F,SQLデータ!B191)</f>
        <v>0</v>
      </c>
    </row>
    <row r="192" spans="1:18" x14ac:dyDescent="0.4">
      <c r="A192" s="1">
        <v>202560002657</v>
      </c>
      <c r="B192" s="1">
        <v>1102098</v>
      </c>
      <c r="C192" s="2">
        <v>46043</v>
      </c>
      <c r="D192" t="s">
        <v>18</v>
      </c>
      <c r="E192" t="s">
        <v>8</v>
      </c>
      <c r="F192" t="s">
        <v>892</v>
      </c>
      <c r="G192" t="s">
        <v>22</v>
      </c>
      <c r="H192" t="s">
        <v>23</v>
      </c>
      <c r="I192" t="s">
        <v>23</v>
      </c>
      <c r="J192" t="s">
        <v>23</v>
      </c>
      <c r="K192" t="s">
        <v>23</v>
      </c>
      <c r="L192">
        <f t="shared" si="10"/>
        <v>1</v>
      </c>
      <c r="M192">
        <f t="shared" si="11"/>
        <v>0</v>
      </c>
      <c r="N192">
        <f t="shared" si="12"/>
        <v>0</v>
      </c>
      <c r="O192">
        <f t="shared" si="14"/>
        <v>0</v>
      </c>
      <c r="P192">
        <f t="shared" si="13"/>
        <v>0</v>
      </c>
      <c r="Q192">
        <f>COUNTIF('責任職　企業局→市長部局'!A:A,SQLデータ!B192)</f>
        <v>0</v>
      </c>
      <c r="R192">
        <f>COUNTIF('一般職員　企業局→市長部局'!A:F,SQLデータ!B192)</f>
        <v>0</v>
      </c>
    </row>
    <row r="193" spans="1:18" x14ac:dyDescent="0.4">
      <c r="A193" s="1">
        <v>202560002666</v>
      </c>
      <c r="B193" s="1">
        <v>1246014</v>
      </c>
      <c r="C193" s="2">
        <v>46079</v>
      </c>
      <c r="D193" t="s">
        <v>18</v>
      </c>
      <c r="E193" t="s">
        <v>8</v>
      </c>
      <c r="F193" t="s">
        <v>47</v>
      </c>
      <c r="G193" t="s">
        <v>31</v>
      </c>
      <c r="H193" t="s">
        <v>20</v>
      </c>
      <c r="K193" t="s">
        <v>20</v>
      </c>
      <c r="L193">
        <f t="shared" si="10"/>
        <v>0</v>
      </c>
      <c r="M193">
        <f t="shared" si="11"/>
        <v>0</v>
      </c>
      <c r="N193">
        <f t="shared" si="12"/>
        <v>1</v>
      </c>
      <c r="O193">
        <f t="shared" si="14"/>
        <v>0</v>
      </c>
      <c r="P193">
        <f t="shared" si="13"/>
        <v>0</v>
      </c>
      <c r="Q193">
        <f>COUNTIF('責任職　企業局→市長部局'!A:A,SQLデータ!B193)</f>
        <v>0</v>
      </c>
      <c r="R193">
        <f>COUNTIF('一般職員　企業局→市長部局'!A:F,SQLデータ!B193)</f>
        <v>0</v>
      </c>
    </row>
    <row r="194" spans="1:18" x14ac:dyDescent="0.4">
      <c r="A194" s="1">
        <v>202560002743</v>
      </c>
      <c r="B194" s="1">
        <v>1166118</v>
      </c>
      <c r="C194" s="2">
        <v>46059</v>
      </c>
      <c r="D194" t="s">
        <v>18</v>
      </c>
      <c r="E194" t="s">
        <v>10</v>
      </c>
      <c r="F194" t="s">
        <v>50</v>
      </c>
      <c r="G194" t="s">
        <v>36</v>
      </c>
      <c r="H194" t="s">
        <v>20</v>
      </c>
      <c r="I194" t="s">
        <v>20</v>
      </c>
      <c r="J194" t="s">
        <v>20</v>
      </c>
      <c r="K194" t="s">
        <v>20</v>
      </c>
      <c r="L194">
        <f t="shared" ref="L194:L257" si="15">IF(ISBLANK(J194),0,1)</f>
        <v>1</v>
      </c>
      <c r="M194">
        <f t="shared" ref="M194:M257" si="16">IF(AND(L194=0,I194&lt;&gt;""),1,0)</f>
        <v>0</v>
      </c>
      <c r="N194">
        <f t="shared" ref="N194:N257" si="17">IF(AND(L194=0,M194=0,K194&lt;&gt;""),1,0)</f>
        <v>0</v>
      </c>
      <c r="O194">
        <f t="shared" si="14"/>
        <v>0</v>
      </c>
      <c r="P194">
        <f t="shared" ref="P194:P257" si="18">IF(D194&lt;&gt;"扶養","",IF(E194&lt;&gt;"確認待ち",1,IF(OR(AND(G194="本人の結婚",O194=1),AND(H194="減",OR(N194=1,O194=1))),1,0)))</f>
        <v>1</v>
      </c>
      <c r="Q194">
        <f>COUNTIF('責任職　企業局→市長部局'!A:A,SQLデータ!B194)</f>
        <v>0</v>
      </c>
      <c r="R194">
        <f>COUNTIF('一般職員　企業局→市長部局'!A:F,SQLデータ!B194)</f>
        <v>0</v>
      </c>
    </row>
    <row r="195" spans="1:18" x14ac:dyDescent="0.4">
      <c r="A195" s="1">
        <v>202560002767</v>
      </c>
      <c r="B195" s="1">
        <v>1134002</v>
      </c>
      <c r="C195" s="2">
        <v>46113</v>
      </c>
      <c r="D195" t="s">
        <v>18</v>
      </c>
      <c r="E195" t="s">
        <v>11</v>
      </c>
      <c r="G195" t="s">
        <v>21</v>
      </c>
      <c r="H195" t="s">
        <v>20</v>
      </c>
      <c r="I195" t="s">
        <v>20</v>
      </c>
      <c r="J195" t="s">
        <v>20</v>
      </c>
      <c r="K195" t="s">
        <v>20</v>
      </c>
      <c r="L195">
        <f t="shared" si="15"/>
        <v>1</v>
      </c>
      <c r="M195">
        <f t="shared" si="16"/>
        <v>0</v>
      </c>
      <c r="N195">
        <f t="shared" si="17"/>
        <v>0</v>
      </c>
      <c r="O195">
        <f t="shared" ref="O195:O258" si="19">IF(COUNTIF(L195:N195,0)=3,1,0)</f>
        <v>0</v>
      </c>
      <c r="P195">
        <f t="shared" si="18"/>
        <v>1</v>
      </c>
      <c r="Q195">
        <f>COUNTIF('責任職　企業局→市長部局'!A:A,SQLデータ!B195)</f>
        <v>0</v>
      </c>
      <c r="R195">
        <f>COUNTIF('一般職員　企業局→市長部局'!A:F,SQLデータ!B195)</f>
        <v>0</v>
      </c>
    </row>
    <row r="196" spans="1:18" x14ac:dyDescent="0.4">
      <c r="A196" s="1">
        <v>202560002776</v>
      </c>
      <c r="B196" s="1">
        <v>1156075</v>
      </c>
      <c r="C196" s="2">
        <v>46066</v>
      </c>
      <c r="D196" t="s">
        <v>18</v>
      </c>
      <c r="E196" t="s">
        <v>8</v>
      </c>
      <c r="F196" t="s">
        <v>47</v>
      </c>
      <c r="G196" t="s">
        <v>36</v>
      </c>
      <c r="H196" t="s">
        <v>20</v>
      </c>
      <c r="I196" t="s">
        <v>20</v>
      </c>
      <c r="J196" t="s">
        <v>20</v>
      </c>
      <c r="L196">
        <f t="shared" si="15"/>
        <v>1</v>
      </c>
      <c r="M196">
        <f t="shared" si="16"/>
        <v>0</v>
      </c>
      <c r="N196">
        <f t="shared" si="17"/>
        <v>0</v>
      </c>
      <c r="O196">
        <f t="shared" si="19"/>
        <v>0</v>
      </c>
      <c r="P196">
        <f t="shared" si="18"/>
        <v>0</v>
      </c>
      <c r="Q196">
        <f>COUNTIF('責任職　企業局→市長部局'!A:A,SQLデータ!B196)</f>
        <v>0</v>
      </c>
      <c r="R196">
        <f>COUNTIF('一般職員　企業局→市長部局'!A:F,SQLデータ!B196)</f>
        <v>0</v>
      </c>
    </row>
    <row r="197" spans="1:18" x14ac:dyDescent="0.4">
      <c r="A197" s="1">
        <v>202560002821</v>
      </c>
      <c r="B197" s="1">
        <v>1106097</v>
      </c>
      <c r="C197" s="2">
        <v>46078</v>
      </c>
      <c r="D197" t="s">
        <v>18</v>
      </c>
      <c r="E197" t="s">
        <v>11</v>
      </c>
      <c r="F197" t="s">
        <v>49</v>
      </c>
      <c r="G197" t="s">
        <v>26</v>
      </c>
      <c r="H197" t="s">
        <v>20</v>
      </c>
      <c r="I197" t="s">
        <v>20</v>
      </c>
      <c r="J197" t="s">
        <v>20</v>
      </c>
      <c r="K197" t="s">
        <v>20</v>
      </c>
      <c r="L197">
        <f t="shared" si="15"/>
        <v>1</v>
      </c>
      <c r="M197">
        <f t="shared" si="16"/>
        <v>0</v>
      </c>
      <c r="N197">
        <f t="shared" si="17"/>
        <v>0</v>
      </c>
      <c r="O197">
        <f t="shared" si="19"/>
        <v>0</v>
      </c>
      <c r="P197">
        <f t="shared" si="18"/>
        <v>1</v>
      </c>
      <c r="Q197">
        <f>COUNTIF('責任職　企業局→市長部局'!A:A,SQLデータ!B197)</f>
        <v>0</v>
      </c>
      <c r="R197">
        <f>COUNTIF('一般職員　企業局→市長部局'!A:F,SQLデータ!B197)</f>
        <v>0</v>
      </c>
    </row>
    <row r="198" spans="1:18" x14ac:dyDescent="0.4">
      <c r="A198" s="1">
        <v>202560002827</v>
      </c>
      <c r="B198" s="1">
        <v>1141151</v>
      </c>
      <c r="C198" s="2">
        <v>46084</v>
      </c>
      <c r="D198" t="s">
        <v>18</v>
      </c>
      <c r="E198" t="s">
        <v>8</v>
      </c>
      <c r="F198" t="s">
        <v>47</v>
      </c>
      <c r="G198" t="s">
        <v>26</v>
      </c>
      <c r="H198" t="s">
        <v>20</v>
      </c>
      <c r="I198" t="s">
        <v>20</v>
      </c>
      <c r="J198" t="s">
        <v>20</v>
      </c>
      <c r="K198" t="s">
        <v>20</v>
      </c>
      <c r="L198">
        <f t="shared" si="15"/>
        <v>1</v>
      </c>
      <c r="M198">
        <f t="shared" si="16"/>
        <v>0</v>
      </c>
      <c r="N198">
        <f t="shared" si="17"/>
        <v>0</v>
      </c>
      <c r="O198">
        <f t="shared" si="19"/>
        <v>0</v>
      </c>
      <c r="P198">
        <f t="shared" si="18"/>
        <v>0</v>
      </c>
      <c r="Q198">
        <f>COUNTIF('責任職　企業局→市長部局'!A:A,SQLデータ!B198)</f>
        <v>0</v>
      </c>
      <c r="R198">
        <f>COUNTIF('一般職員　企業局→市長部局'!A:F,SQLデータ!B198)</f>
        <v>0</v>
      </c>
    </row>
    <row r="199" spans="1:18" x14ac:dyDescent="0.4">
      <c r="A199" s="1">
        <v>202560002829</v>
      </c>
      <c r="B199" s="1">
        <v>1234070</v>
      </c>
      <c r="C199" s="2">
        <v>46074</v>
      </c>
      <c r="D199" t="s">
        <v>18</v>
      </c>
      <c r="E199" t="s">
        <v>8</v>
      </c>
      <c r="F199" t="s">
        <v>47</v>
      </c>
      <c r="G199" t="s">
        <v>28</v>
      </c>
      <c r="H199" t="s">
        <v>20</v>
      </c>
      <c r="I199" t="s">
        <v>20</v>
      </c>
      <c r="J199" t="s">
        <v>20</v>
      </c>
      <c r="L199">
        <f t="shared" si="15"/>
        <v>1</v>
      </c>
      <c r="M199">
        <f t="shared" si="16"/>
        <v>0</v>
      </c>
      <c r="N199">
        <f t="shared" si="17"/>
        <v>0</v>
      </c>
      <c r="O199">
        <f t="shared" si="19"/>
        <v>0</v>
      </c>
      <c r="P199">
        <f t="shared" si="18"/>
        <v>0</v>
      </c>
      <c r="Q199">
        <f>COUNTIF('責任職　企業局→市長部局'!A:A,SQLデータ!B199)</f>
        <v>0</v>
      </c>
      <c r="R199">
        <f>COUNTIF('一般職員　企業局→市長部局'!A:F,SQLデータ!B199)</f>
        <v>0</v>
      </c>
    </row>
    <row r="200" spans="1:18" x14ac:dyDescent="0.4">
      <c r="A200" s="1">
        <v>202560002836</v>
      </c>
      <c r="B200" s="1">
        <v>890321</v>
      </c>
      <c r="C200" s="2">
        <v>46115</v>
      </c>
      <c r="D200" t="s">
        <v>18</v>
      </c>
      <c r="E200" t="s">
        <v>8</v>
      </c>
      <c r="F200" t="s">
        <v>47</v>
      </c>
      <c r="G200" t="s">
        <v>24</v>
      </c>
      <c r="H200" t="s">
        <v>23</v>
      </c>
      <c r="J200" t="s">
        <v>23</v>
      </c>
      <c r="K200" t="s">
        <v>23</v>
      </c>
      <c r="L200">
        <f t="shared" si="15"/>
        <v>1</v>
      </c>
      <c r="M200">
        <f t="shared" si="16"/>
        <v>0</v>
      </c>
      <c r="N200">
        <f t="shared" si="17"/>
        <v>0</v>
      </c>
      <c r="O200">
        <f t="shared" si="19"/>
        <v>0</v>
      </c>
      <c r="P200">
        <f t="shared" si="18"/>
        <v>0</v>
      </c>
      <c r="Q200">
        <f>COUNTIF('責任職　企業局→市長部局'!A:A,SQLデータ!B200)</f>
        <v>0</v>
      </c>
      <c r="R200">
        <f>COUNTIF('一般職員　企業局→市長部局'!A:F,SQLデータ!B200)</f>
        <v>0</v>
      </c>
    </row>
    <row r="201" spans="1:18" x14ac:dyDescent="0.4">
      <c r="A201" s="1">
        <v>202560002842</v>
      </c>
      <c r="B201" s="1">
        <v>1191168</v>
      </c>
      <c r="C201" s="2">
        <v>46098</v>
      </c>
      <c r="D201" t="s">
        <v>18</v>
      </c>
      <c r="E201" t="s">
        <v>11</v>
      </c>
      <c r="G201" t="s">
        <v>31</v>
      </c>
      <c r="H201" t="s">
        <v>20</v>
      </c>
      <c r="L201">
        <f t="shared" si="15"/>
        <v>0</v>
      </c>
      <c r="M201">
        <f t="shared" si="16"/>
        <v>0</v>
      </c>
      <c r="N201">
        <f t="shared" si="17"/>
        <v>0</v>
      </c>
      <c r="O201">
        <f t="shared" si="19"/>
        <v>1</v>
      </c>
      <c r="P201">
        <f t="shared" si="18"/>
        <v>1</v>
      </c>
      <c r="Q201">
        <f>COUNTIF('責任職　企業局→市長部局'!A:A,SQLデータ!B201)</f>
        <v>0</v>
      </c>
      <c r="R201">
        <f>COUNTIF('一般職員　企業局→市長部局'!A:F,SQLデータ!B201)</f>
        <v>0</v>
      </c>
    </row>
    <row r="202" spans="1:18" x14ac:dyDescent="0.4">
      <c r="A202" s="1">
        <v>202560002846</v>
      </c>
      <c r="B202" s="1">
        <v>1191291</v>
      </c>
      <c r="C202" s="2">
        <v>46090</v>
      </c>
      <c r="D202" t="s">
        <v>18</v>
      </c>
      <c r="E202" t="s">
        <v>11</v>
      </c>
      <c r="G202" t="s">
        <v>31</v>
      </c>
      <c r="H202" t="s">
        <v>20</v>
      </c>
      <c r="L202">
        <f t="shared" si="15"/>
        <v>0</v>
      </c>
      <c r="M202">
        <f t="shared" si="16"/>
        <v>0</v>
      </c>
      <c r="N202">
        <f t="shared" si="17"/>
        <v>0</v>
      </c>
      <c r="O202">
        <f t="shared" si="19"/>
        <v>1</v>
      </c>
      <c r="P202">
        <f t="shared" si="18"/>
        <v>1</v>
      </c>
      <c r="Q202">
        <f>COUNTIF('責任職　企業局→市長部局'!A:A,SQLデータ!B202)</f>
        <v>0</v>
      </c>
      <c r="R202">
        <f>COUNTIF('一般職員　企業局→市長部局'!A:F,SQLデータ!B202)</f>
        <v>0</v>
      </c>
    </row>
    <row r="203" spans="1:18" x14ac:dyDescent="0.4">
      <c r="A203" s="1">
        <v>202560002860</v>
      </c>
      <c r="B203" s="1">
        <v>1071021</v>
      </c>
      <c r="C203" s="2">
        <v>46083</v>
      </c>
      <c r="D203" t="s">
        <v>18</v>
      </c>
      <c r="E203" t="s">
        <v>11</v>
      </c>
      <c r="G203" t="s">
        <v>36</v>
      </c>
      <c r="H203" t="s">
        <v>20</v>
      </c>
      <c r="I203" t="s">
        <v>20</v>
      </c>
      <c r="J203" t="s">
        <v>20</v>
      </c>
      <c r="L203">
        <f t="shared" si="15"/>
        <v>1</v>
      </c>
      <c r="M203">
        <f t="shared" si="16"/>
        <v>0</v>
      </c>
      <c r="N203">
        <f t="shared" si="17"/>
        <v>0</v>
      </c>
      <c r="O203">
        <f t="shared" si="19"/>
        <v>0</v>
      </c>
      <c r="P203">
        <f t="shared" si="18"/>
        <v>1</v>
      </c>
      <c r="Q203">
        <f>COUNTIF('責任職　企業局→市長部局'!A:A,SQLデータ!B203)</f>
        <v>0</v>
      </c>
      <c r="R203">
        <f>COUNTIF('一般職員　企業局→市長部局'!A:F,SQLデータ!B203)</f>
        <v>0</v>
      </c>
    </row>
    <row r="204" spans="1:18" x14ac:dyDescent="0.4">
      <c r="A204" s="1">
        <v>202560002862</v>
      </c>
      <c r="B204" s="1">
        <v>1231258</v>
      </c>
      <c r="C204" s="2">
        <v>46083</v>
      </c>
      <c r="D204" t="s">
        <v>18</v>
      </c>
      <c r="E204" t="s">
        <v>15</v>
      </c>
      <c r="G204" t="s">
        <v>29</v>
      </c>
      <c r="H204" t="s">
        <v>23</v>
      </c>
      <c r="K204" t="s">
        <v>23</v>
      </c>
      <c r="L204">
        <f t="shared" si="15"/>
        <v>0</v>
      </c>
      <c r="M204">
        <f t="shared" si="16"/>
        <v>0</v>
      </c>
      <c r="N204">
        <f t="shared" si="17"/>
        <v>1</v>
      </c>
      <c r="O204">
        <f t="shared" si="19"/>
        <v>0</v>
      </c>
      <c r="P204">
        <f t="shared" si="18"/>
        <v>1</v>
      </c>
      <c r="Q204">
        <f>COUNTIF('責任職　企業局→市長部局'!A:A,SQLデータ!B204)</f>
        <v>0</v>
      </c>
      <c r="R204">
        <f>COUNTIF('一般職員　企業局→市長部局'!A:F,SQLデータ!B204)</f>
        <v>0</v>
      </c>
    </row>
    <row r="205" spans="1:18" x14ac:dyDescent="0.4">
      <c r="A205" s="1">
        <v>202560002872</v>
      </c>
      <c r="B205" s="1">
        <v>1244084</v>
      </c>
      <c r="C205" s="2">
        <v>46084</v>
      </c>
      <c r="D205" t="s">
        <v>18</v>
      </c>
      <c r="E205" t="s">
        <v>10</v>
      </c>
      <c r="G205" t="s">
        <v>24</v>
      </c>
      <c r="H205" t="s">
        <v>23</v>
      </c>
      <c r="I205" t="s">
        <v>23</v>
      </c>
      <c r="J205" t="s">
        <v>23</v>
      </c>
      <c r="L205">
        <f t="shared" si="15"/>
        <v>1</v>
      </c>
      <c r="M205">
        <f t="shared" si="16"/>
        <v>0</v>
      </c>
      <c r="N205">
        <f t="shared" si="17"/>
        <v>0</v>
      </c>
      <c r="O205">
        <f t="shared" si="19"/>
        <v>0</v>
      </c>
      <c r="P205">
        <f t="shared" si="18"/>
        <v>1</v>
      </c>
      <c r="Q205">
        <f>COUNTIF('責任職　企業局→市長部局'!A:A,SQLデータ!B205)</f>
        <v>0</v>
      </c>
      <c r="R205">
        <f>COUNTIF('一般職員　企業局→市長部局'!A:F,SQLデータ!B205)</f>
        <v>0</v>
      </c>
    </row>
    <row r="206" spans="1:18" x14ac:dyDescent="0.4">
      <c r="A206" s="1">
        <v>202560002878</v>
      </c>
      <c r="B206" s="1">
        <v>1162074</v>
      </c>
      <c r="C206" s="2">
        <v>46092</v>
      </c>
      <c r="D206" t="s">
        <v>18</v>
      </c>
      <c r="E206" t="s">
        <v>8</v>
      </c>
      <c r="F206" t="s">
        <v>47</v>
      </c>
      <c r="G206" t="s">
        <v>33</v>
      </c>
      <c r="H206" t="s">
        <v>20</v>
      </c>
      <c r="I206" t="s">
        <v>20</v>
      </c>
      <c r="K206" t="s">
        <v>20</v>
      </c>
      <c r="L206">
        <f t="shared" si="15"/>
        <v>0</v>
      </c>
      <c r="M206">
        <f t="shared" si="16"/>
        <v>1</v>
      </c>
      <c r="N206">
        <f t="shared" si="17"/>
        <v>0</v>
      </c>
      <c r="O206">
        <f t="shared" si="19"/>
        <v>0</v>
      </c>
      <c r="P206">
        <f t="shared" si="18"/>
        <v>0</v>
      </c>
      <c r="Q206">
        <f>COUNTIF('責任職　企業局→市長部局'!A:A,SQLデータ!B206)</f>
        <v>0</v>
      </c>
      <c r="R206">
        <f>COUNTIF('一般職員　企業局→市長部局'!A:F,SQLデータ!B206)</f>
        <v>0</v>
      </c>
    </row>
    <row r="207" spans="1:18" x14ac:dyDescent="0.4">
      <c r="A207" s="1">
        <v>202560002882</v>
      </c>
      <c r="B207" s="1">
        <v>1081380</v>
      </c>
      <c r="C207" s="2">
        <v>46087</v>
      </c>
      <c r="D207" t="s">
        <v>18</v>
      </c>
      <c r="E207" t="s">
        <v>11</v>
      </c>
      <c r="G207" t="s">
        <v>31</v>
      </c>
      <c r="H207" t="s">
        <v>20</v>
      </c>
      <c r="L207">
        <f t="shared" si="15"/>
        <v>0</v>
      </c>
      <c r="M207">
        <f t="shared" si="16"/>
        <v>0</v>
      </c>
      <c r="N207">
        <f t="shared" si="17"/>
        <v>0</v>
      </c>
      <c r="O207">
        <f t="shared" si="19"/>
        <v>1</v>
      </c>
      <c r="P207">
        <f t="shared" si="18"/>
        <v>1</v>
      </c>
      <c r="Q207">
        <f>COUNTIF('責任職　企業局→市長部局'!A:A,SQLデータ!B207)</f>
        <v>0</v>
      </c>
      <c r="R207">
        <f>COUNTIF('一般職員　企業局→市長部局'!A:F,SQLデータ!B207)</f>
        <v>0</v>
      </c>
    </row>
    <row r="208" spans="1:18" x14ac:dyDescent="0.4">
      <c r="A208" s="1">
        <v>202560002891</v>
      </c>
      <c r="B208" s="1">
        <v>900095</v>
      </c>
      <c r="C208" s="2">
        <v>46115</v>
      </c>
      <c r="D208" t="s">
        <v>18</v>
      </c>
      <c r="E208" t="s">
        <v>11</v>
      </c>
      <c r="G208" t="s">
        <v>24</v>
      </c>
      <c r="H208" t="s">
        <v>23</v>
      </c>
      <c r="I208" t="s">
        <v>23</v>
      </c>
      <c r="J208" t="s">
        <v>23</v>
      </c>
      <c r="K208" t="s">
        <v>23</v>
      </c>
      <c r="L208">
        <f t="shared" si="15"/>
        <v>1</v>
      </c>
      <c r="M208">
        <f t="shared" si="16"/>
        <v>0</v>
      </c>
      <c r="N208">
        <f t="shared" si="17"/>
        <v>0</v>
      </c>
      <c r="O208">
        <f t="shared" si="19"/>
        <v>0</v>
      </c>
      <c r="P208">
        <f t="shared" si="18"/>
        <v>1</v>
      </c>
      <c r="Q208">
        <f>COUNTIF('責任職　企業局→市長部局'!A:A,SQLデータ!B208)</f>
        <v>0</v>
      </c>
      <c r="R208">
        <f>COUNTIF('一般職員　企業局→市長部局'!A:F,SQLデータ!B208)</f>
        <v>0</v>
      </c>
    </row>
    <row r="209" spans="1:18" x14ac:dyDescent="0.4">
      <c r="A209" s="1">
        <v>202560002896</v>
      </c>
      <c r="B209" s="1">
        <v>910422</v>
      </c>
      <c r="C209" s="2">
        <v>46098</v>
      </c>
      <c r="D209" t="s">
        <v>18</v>
      </c>
      <c r="E209" t="s">
        <v>11</v>
      </c>
      <c r="G209" t="s">
        <v>26</v>
      </c>
      <c r="H209" t="s">
        <v>20</v>
      </c>
      <c r="I209" t="s">
        <v>20</v>
      </c>
      <c r="J209" t="s">
        <v>20</v>
      </c>
      <c r="K209" t="s">
        <v>20</v>
      </c>
      <c r="L209">
        <f t="shared" si="15"/>
        <v>1</v>
      </c>
      <c r="M209">
        <f t="shared" si="16"/>
        <v>0</v>
      </c>
      <c r="N209">
        <f t="shared" si="17"/>
        <v>0</v>
      </c>
      <c r="O209">
        <f t="shared" si="19"/>
        <v>0</v>
      </c>
      <c r="P209">
        <f t="shared" si="18"/>
        <v>1</v>
      </c>
      <c r="Q209">
        <f>COUNTIF('責任職　企業局→市長部局'!A:A,SQLデータ!B209)</f>
        <v>0</v>
      </c>
      <c r="R209">
        <f>COUNTIF('一般職員　企業局→市長部局'!A:F,SQLデータ!B209)</f>
        <v>0</v>
      </c>
    </row>
    <row r="210" spans="1:18" x14ac:dyDescent="0.4">
      <c r="A210" s="1">
        <v>202560002897</v>
      </c>
      <c r="B210" s="1">
        <v>1081183</v>
      </c>
      <c r="C210" s="2">
        <v>46086</v>
      </c>
      <c r="D210" t="s">
        <v>18</v>
      </c>
      <c r="E210" t="s">
        <v>12</v>
      </c>
      <c r="F210" t="s">
        <v>48</v>
      </c>
      <c r="G210" t="s">
        <v>27</v>
      </c>
      <c r="H210" t="s">
        <v>23</v>
      </c>
      <c r="I210" t="s">
        <v>23</v>
      </c>
      <c r="J210" t="s">
        <v>23</v>
      </c>
      <c r="K210" t="s">
        <v>23</v>
      </c>
      <c r="L210">
        <f t="shared" si="15"/>
        <v>1</v>
      </c>
      <c r="M210">
        <f t="shared" si="16"/>
        <v>0</v>
      </c>
      <c r="N210">
        <f t="shared" si="17"/>
        <v>0</v>
      </c>
      <c r="O210">
        <f t="shared" si="19"/>
        <v>0</v>
      </c>
      <c r="P210">
        <f t="shared" si="18"/>
        <v>1</v>
      </c>
      <c r="Q210">
        <f>COUNTIF('責任職　企業局→市長部局'!A:A,SQLデータ!B210)</f>
        <v>0</v>
      </c>
      <c r="R210">
        <f>COUNTIF('一般職員　企業局→市長部局'!A:F,SQLデータ!B210)</f>
        <v>0</v>
      </c>
    </row>
    <row r="211" spans="1:18" x14ac:dyDescent="0.4">
      <c r="A211" s="1">
        <v>202560002902</v>
      </c>
      <c r="B211" s="1">
        <v>1221154</v>
      </c>
      <c r="C211" s="2">
        <v>46087</v>
      </c>
      <c r="D211" t="s">
        <v>18</v>
      </c>
      <c r="E211" t="s">
        <v>11</v>
      </c>
      <c r="G211" t="s">
        <v>31</v>
      </c>
      <c r="H211" t="s">
        <v>20</v>
      </c>
      <c r="L211">
        <f t="shared" si="15"/>
        <v>0</v>
      </c>
      <c r="M211">
        <f t="shared" si="16"/>
        <v>0</v>
      </c>
      <c r="N211">
        <f t="shared" si="17"/>
        <v>0</v>
      </c>
      <c r="O211">
        <f t="shared" si="19"/>
        <v>1</v>
      </c>
      <c r="P211">
        <f t="shared" si="18"/>
        <v>1</v>
      </c>
      <c r="Q211">
        <f>COUNTIF('責任職　企業局→市長部局'!A:A,SQLデータ!B211)</f>
        <v>0</v>
      </c>
      <c r="R211">
        <f>COUNTIF('一般職員　企業局→市長部局'!A:F,SQLデータ!B211)</f>
        <v>0</v>
      </c>
    </row>
    <row r="212" spans="1:18" x14ac:dyDescent="0.4">
      <c r="A212" s="1">
        <v>202560002903</v>
      </c>
      <c r="B212" s="1">
        <v>1201271</v>
      </c>
      <c r="C212" s="2">
        <v>46087</v>
      </c>
      <c r="D212" t="s">
        <v>18</v>
      </c>
      <c r="E212" t="s">
        <v>11</v>
      </c>
      <c r="G212" t="s">
        <v>31</v>
      </c>
      <c r="H212" t="s">
        <v>20</v>
      </c>
      <c r="L212">
        <f t="shared" si="15"/>
        <v>0</v>
      </c>
      <c r="M212">
        <f t="shared" si="16"/>
        <v>0</v>
      </c>
      <c r="N212">
        <f t="shared" si="17"/>
        <v>0</v>
      </c>
      <c r="O212">
        <f t="shared" si="19"/>
        <v>1</v>
      </c>
      <c r="P212">
        <f t="shared" si="18"/>
        <v>1</v>
      </c>
      <c r="Q212">
        <f>COUNTIF('責任職　企業局→市長部局'!A:A,SQLデータ!B212)</f>
        <v>0</v>
      </c>
      <c r="R212">
        <f>COUNTIF('一般職員　企業局→市長部局'!A:F,SQLデータ!B212)</f>
        <v>0</v>
      </c>
    </row>
    <row r="213" spans="1:18" x14ac:dyDescent="0.4">
      <c r="A213" s="1">
        <v>202560002908</v>
      </c>
      <c r="B213" s="1">
        <v>1191055</v>
      </c>
      <c r="C213" s="2">
        <v>46087</v>
      </c>
      <c r="D213" t="s">
        <v>18</v>
      </c>
      <c r="E213" t="s">
        <v>11</v>
      </c>
      <c r="G213" t="s">
        <v>31</v>
      </c>
      <c r="H213" t="s">
        <v>20</v>
      </c>
      <c r="L213">
        <f t="shared" si="15"/>
        <v>0</v>
      </c>
      <c r="M213">
        <f t="shared" si="16"/>
        <v>0</v>
      </c>
      <c r="N213">
        <f t="shared" si="17"/>
        <v>0</v>
      </c>
      <c r="O213">
        <f t="shared" si="19"/>
        <v>1</v>
      </c>
      <c r="P213">
        <f t="shared" si="18"/>
        <v>1</v>
      </c>
      <c r="Q213">
        <f>COUNTIF('責任職　企業局→市長部局'!A:A,SQLデータ!B213)</f>
        <v>0</v>
      </c>
      <c r="R213">
        <f>COUNTIF('一般職員　企業局→市長部局'!A:F,SQLデータ!B213)</f>
        <v>0</v>
      </c>
    </row>
    <row r="214" spans="1:18" x14ac:dyDescent="0.4">
      <c r="A214" s="1">
        <v>202560002910</v>
      </c>
      <c r="B214" s="1">
        <v>830542</v>
      </c>
      <c r="C214" s="2">
        <v>46119</v>
      </c>
      <c r="D214" t="s">
        <v>18</v>
      </c>
      <c r="E214" t="s">
        <v>8</v>
      </c>
      <c r="G214" t="s">
        <v>24</v>
      </c>
      <c r="H214" t="s">
        <v>23</v>
      </c>
      <c r="J214" t="s">
        <v>23</v>
      </c>
      <c r="K214" t="s">
        <v>23</v>
      </c>
      <c r="L214">
        <f t="shared" si="15"/>
        <v>1</v>
      </c>
      <c r="M214">
        <f t="shared" si="16"/>
        <v>0</v>
      </c>
      <c r="N214">
        <f t="shared" si="17"/>
        <v>0</v>
      </c>
      <c r="O214">
        <f t="shared" si="19"/>
        <v>0</v>
      </c>
      <c r="P214">
        <f t="shared" si="18"/>
        <v>0</v>
      </c>
      <c r="Q214">
        <f>COUNTIF('責任職　企業局→市長部局'!A:A,SQLデータ!B214)</f>
        <v>0</v>
      </c>
      <c r="R214">
        <f>COUNTIF('一般職員　企業局→市長部局'!A:F,SQLデータ!B214)</f>
        <v>0</v>
      </c>
    </row>
    <row r="215" spans="1:18" x14ac:dyDescent="0.4">
      <c r="A215" s="1">
        <v>202560002913</v>
      </c>
      <c r="B215" s="1">
        <v>1254047</v>
      </c>
      <c r="C215" s="2">
        <v>46090</v>
      </c>
      <c r="D215" t="s">
        <v>18</v>
      </c>
      <c r="E215" t="s">
        <v>11</v>
      </c>
      <c r="G215" t="s">
        <v>31</v>
      </c>
      <c r="H215" t="s">
        <v>20</v>
      </c>
      <c r="L215">
        <f t="shared" si="15"/>
        <v>0</v>
      </c>
      <c r="M215">
        <f t="shared" si="16"/>
        <v>0</v>
      </c>
      <c r="N215">
        <f t="shared" si="17"/>
        <v>0</v>
      </c>
      <c r="O215">
        <f t="shared" si="19"/>
        <v>1</v>
      </c>
      <c r="P215">
        <f t="shared" si="18"/>
        <v>1</v>
      </c>
      <c r="Q215">
        <f>COUNTIF('責任職　企業局→市長部局'!A:A,SQLデータ!B215)</f>
        <v>0</v>
      </c>
      <c r="R215">
        <f>COUNTIF('一般職員　企業局→市長部局'!A:F,SQLデータ!B215)</f>
        <v>0</v>
      </c>
    </row>
    <row r="216" spans="1:18" x14ac:dyDescent="0.4">
      <c r="A216" s="1">
        <v>202560002914</v>
      </c>
      <c r="B216" s="1">
        <v>1182055</v>
      </c>
      <c r="C216" s="2">
        <v>46090</v>
      </c>
      <c r="D216" t="s">
        <v>18</v>
      </c>
      <c r="E216" t="s">
        <v>11</v>
      </c>
      <c r="G216" t="s">
        <v>31</v>
      </c>
      <c r="H216" t="s">
        <v>20</v>
      </c>
      <c r="L216">
        <f t="shared" si="15"/>
        <v>0</v>
      </c>
      <c r="M216">
        <f t="shared" si="16"/>
        <v>0</v>
      </c>
      <c r="N216">
        <f t="shared" si="17"/>
        <v>0</v>
      </c>
      <c r="O216">
        <f t="shared" si="19"/>
        <v>1</v>
      </c>
      <c r="P216">
        <f t="shared" si="18"/>
        <v>1</v>
      </c>
      <c r="Q216">
        <f>COUNTIF('責任職　企業局→市長部局'!A:A,SQLデータ!B216)</f>
        <v>0</v>
      </c>
      <c r="R216">
        <f>COUNTIF('一般職員　企業局→市長部局'!A:F,SQLデータ!B216)</f>
        <v>0</v>
      </c>
    </row>
    <row r="217" spans="1:18" x14ac:dyDescent="0.4">
      <c r="A217" s="1">
        <v>202560002919</v>
      </c>
      <c r="B217" s="1">
        <v>1181206</v>
      </c>
      <c r="C217" s="2">
        <v>46097</v>
      </c>
      <c r="D217" t="s">
        <v>18</v>
      </c>
      <c r="E217" t="s">
        <v>11</v>
      </c>
      <c r="G217" t="s">
        <v>31</v>
      </c>
      <c r="H217" t="s">
        <v>20</v>
      </c>
      <c r="L217">
        <f t="shared" si="15"/>
        <v>0</v>
      </c>
      <c r="M217">
        <f t="shared" si="16"/>
        <v>0</v>
      </c>
      <c r="N217">
        <f t="shared" si="17"/>
        <v>0</v>
      </c>
      <c r="O217">
        <f t="shared" si="19"/>
        <v>1</v>
      </c>
      <c r="P217">
        <f t="shared" si="18"/>
        <v>1</v>
      </c>
      <c r="Q217">
        <f>COUNTIF('責任職　企業局→市長部局'!A:A,SQLデータ!B217)</f>
        <v>0</v>
      </c>
      <c r="R217">
        <f>COUNTIF('一般職員　企業局→市長部局'!A:F,SQLデータ!B217)</f>
        <v>0</v>
      </c>
    </row>
    <row r="218" spans="1:18" x14ac:dyDescent="0.4">
      <c r="A218" s="1">
        <v>202560002924</v>
      </c>
      <c r="B218" s="1">
        <v>920047</v>
      </c>
      <c r="C218" s="2">
        <v>46124</v>
      </c>
      <c r="D218" t="s">
        <v>18</v>
      </c>
      <c r="E218" t="s">
        <v>10</v>
      </c>
      <c r="G218" t="s">
        <v>24</v>
      </c>
      <c r="H218" t="s">
        <v>23</v>
      </c>
      <c r="J218" t="s">
        <v>23</v>
      </c>
      <c r="K218" t="s">
        <v>23</v>
      </c>
      <c r="L218">
        <f t="shared" si="15"/>
        <v>1</v>
      </c>
      <c r="M218">
        <f t="shared" si="16"/>
        <v>0</v>
      </c>
      <c r="N218">
        <f t="shared" si="17"/>
        <v>0</v>
      </c>
      <c r="O218">
        <f t="shared" si="19"/>
        <v>0</v>
      </c>
      <c r="P218">
        <f t="shared" si="18"/>
        <v>1</v>
      </c>
      <c r="Q218">
        <f>COUNTIF('責任職　企業局→市長部局'!A:A,SQLデータ!B218)</f>
        <v>0</v>
      </c>
      <c r="R218">
        <f>COUNTIF('一般職員　企業局→市長部局'!A:F,SQLデータ!B218)</f>
        <v>0</v>
      </c>
    </row>
    <row r="219" spans="1:18" x14ac:dyDescent="0.4">
      <c r="A219" s="1">
        <v>202560002926</v>
      </c>
      <c r="B219" s="1">
        <v>974051</v>
      </c>
      <c r="C219" s="2">
        <v>46127</v>
      </c>
      <c r="D219" t="s">
        <v>18</v>
      </c>
      <c r="E219" t="s">
        <v>8</v>
      </c>
      <c r="G219" t="s">
        <v>24</v>
      </c>
      <c r="H219" t="s">
        <v>23</v>
      </c>
      <c r="I219" t="s">
        <v>23</v>
      </c>
      <c r="J219" t="s">
        <v>23</v>
      </c>
      <c r="K219" t="s">
        <v>23</v>
      </c>
      <c r="L219">
        <f t="shared" si="15"/>
        <v>1</v>
      </c>
      <c r="M219">
        <f t="shared" si="16"/>
        <v>0</v>
      </c>
      <c r="N219">
        <f t="shared" si="17"/>
        <v>0</v>
      </c>
      <c r="O219">
        <f t="shared" si="19"/>
        <v>0</v>
      </c>
      <c r="P219">
        <f t="shared" si="18"/>
        <v>0</v>
      </c>
      <c r="Q219">
        <f>COUNTIF('責任職　企業局→市長部局'!A:A,SQLデータ!B219)</f>
        <v>0</v>
      </c>
      <c r="R219">
        <f>COUNTIF('一般職員　企業局→市長部局'!A:F,SQLデータ!B219)</f>
        <v>0</v>
      </c>
    </row>
    <row r="220" spans="1:18" x14ac:dyDescent="0.4">
      <c r="A220" s="1">
        <v>202560002930</v>
      </c>
      <c r="B220" s="1">
        <v>1226096</v>
      </c>
      <c r="C220" s="2">
        <v>46091</v>
      </c>
      <c r="D220" t="s">
        <v>18</v>
      </c>
      <c r="E220" t="s">
        <v>11</v>
      </c>
      <c r="G220" t="s">
        <v>31</v>
      </c>
      <c r="H220" t="s">
        <v>20</v>
      </c>
      <c r="L220">
        <f t="shared" si="15"/>
        <v>0</v>
      </c>
      <c r="M220">
        <f t="shared" si="16"/>
        <v>0</v>
      </c>
      <c r="N220">
        <f t="shared" si="17"/>
        <v>0</v>
      </c>
      <c r="O220">
        <f t="shared" si="19"/>
        <v>1</v>
      </c>
      <c r="P220">
        <f t="shared" si="18"/>
        <v>1</v>
      </c>
      <c r="Q220">
        <f>COUNTIF('責任職　企業局→市長部局'!A:A,SQLデータ!B220)</f>
        <v>0</v>
      </c>
      <c r="R220">
        <f>COUNTIF('一般職員　企業局→市長部局'!A:F,SQLデータ!B220)</f>
        <v>0</v>
      </c>
    </row>
    <row r="221" spans="1:18" x14ac:dyDescent="0.4">
      <c r="A221" s="1">
        <v>202560002935</v>
      </c>
      <c r="B221" s="1">
        <v>1132504</v>
      </c>
      <c r="C221" s="2">
        <v>46091</v>
      </c>
      <c r="D221" t="s">
        <v>18</v>
      </c>
      <c r="E221" t="s">
        <v>15</v>
      </c>
      <c r="G221" t="s">
        <v>27</v>
      </c>
      <c r="H221" t="s">
        <v>23</v>
      </c>
      <c r="K221" t="s">
        <v>23</v>
      </c>
      <c r="L221">
        <f t="shared" si="15"/>
        <v>0</v>
      </c>
      <c r="M221">
        <f t="shared" si="16"/>
        <v>0</v>
      </c>
      <c r="N221">
        <f t="shared" si="17"/>
        <v>1</v>
      </c>
      <c r="O221">
        <f t="shared" si="19"/>
        <v>0</v>
      </c>
      <c r="P221">
        <f t="shared" si="18"/>
        <v>1</v>
      </c>
      <c r="Q221">
        <f>COUNTIF('責任職　企業局→市長部局'!A:A,SQLデータ!B221)</f>
        <v>0</v>
      </c>
      <c r="R221">
        <f>COUNTIF('一般職員　企業局→市長部局'!A:F,SQLデータ!B221)</f>
        <v>0</v>
      </c>
    </row>
    <row r="222" spans="1:18" x14ac:dyDescent="0.4">
      <c r="A222" s="1">
        <v>202560002937</v>
      </c>
      <c r="B222" s="1">
        <v>984109</v>
      </c>
      <c r="C222" s="2">
        <v>46091</v>
      </c>
      <c r="D222" t="s">
        <v>18</v>
      </c>
      <c r="E222" t="s">
        <v>11</v>
      </c>
      <c r="G222" t="s">
        <v>24</v>
      </c>
      <c r="H222" t="s">
        <v>23</v>
      </c>
      <c r="I222" t="s">
        <v>23</v>
      </c>
      <c r="J222" t="s">
        <v>23</v>
      </c>
      <c r="K222" t="s">
        <v>23</v>
      </c>
      <c r="L222">
        <f t="shared" si="15"/>
        <v>1</v>
      </c>
      <c r="M222">
        <f t="shared" si="16"/>
        <v>0</v>
      </c>
      <c r="N222">
        <f t="shared" si="17"/>
        <v>0</v>
      </c>
      <c r="O222">
        <f t="shared" si="19"/>
        <v>0</v>
      </c>
      <c r="P222">
        <f t="shared" si="18"/>
        <v>1</v>
      </c>
      <c r="Q222">
        <f>COUNTIF('責任職　企業局→市長部局'!A:A,SQLデータ!B222)</f>
        <v>0</v>
      </c>
      <c r="R222">
        <f>COUNTIF('一般職員　企業局→市長部局'!A:F,SQLデータ!B222)</f>
        <v>0</v>
      </c>
    </row>
    <row r="223" spans="1:18" x14ac:dyDescent="0.4">
      <c r="A223" s="1">
        <v>202560002939</v>
      </c>
      <c r="B223" s="1">
        <v>1134059</v>
      </c>
      <c r="C223" s="2">
        <v>46091</v>
      </c>
      <c r="D223" t="s">
        <v>18</v>
      </c>
      <c r="E223" t="s">
        <v>10</v>
      </c>
      <c r="F223" t="s">
        <v>48</v>
      </c>
      <c r="G223" t="s">
        <v>21</v>
      </c>
      <c r="H223" t="s">
        <v>20</v>
      </c>
      <c r="I223" t="s">
        <v>20</v>
      </c>
      <c r="J223" t="s">
        <v>20</v>
      </c>
      <c r="K223" t="s">
        <v>20</v>
      </c>
      <c r="L223">
        <f t="shared" si="15"/>
        <v>1</v>
      </c>
      <c r="M223">
        <f t="shared" si="16"/>
        <v>0</v>
      </c>
      <c r="N223">
        <f t="shared" si="17"/>
        <v>0</v>
      </c>
      <c r="O223">
        <f t="shared" si="19"/>
        <v>0</v>
      </c>
      <c r="P223">
        <f t="shared" si="18"/>
        <v>1</v>
      </c>
      <c r="Q223">
        <f>COUNTIF('責任職　企業局→市長部局'!A:A,SQLデータ!B223)</f>
        <v>0</v>
      </c>
      <c r="R223">
        <f>COUNTIF('一般職員　企業局→市長部局'!A:F,SQLデータ!B223)</f>
        <v>0</v>
      </c>
    </row>
    <row r="224" spans="1:18" x14ac:dyDescent="0.4">
      <c r="A224" s="1">
        <v>202560002941</v>
      </c>
      <c r="B224" s="1">
        <v>1211467</v>
      </c>
      <c r="C224" s="2">
        <v>46092</v>
      </c>
      <c r="D224" t="s">
        <v>18</v>
      </c>
      <c r="E224" t="s">
        <v>11</v>
      </c>
      <c r="G224" t="s">
        <v>31</v>
      </c>
      <c r="H224" t="s">
        <v>20</v>
      </c>
      <c r="L224">
        <f t="shared" si="15"/>
        <v>0</v>
      </c>
      <c r="M224">
        <f t="shared" si="16"/>
        <v>0</v>
      </c>
      <c r="N224">
        <f t="shared" si="17"/>
        <v>0</v>
      </c>
      <c r="O224">
        <f t="shared" si="19"/>
        <v>1</v>
      </c>
      <c r="P224">
        <f t="shared" si="18"/>
        <v>1</v>
      </c>
      <c r="Q224">
        <f>COUNTIF('責任職　企業局→市長部局'!A:A,SQLデータ!B224)</f>
        <v>0</v>
      </c>
      <c r="R224">
        <f>COUNTIF('一般職員　企業局→市長部局'!A:F,SQLデータ!B224)</f>
        <v>0</v>
      </c>
    </row>
    <row r="225" spans="1:18" x14ac:dyDescent="0.4">
      <c r="A225" s="1">
        <v>202560002944</v>
      </c>
      <c r="B225" s="1">
        <v>930505</v>
      </c>
      <c r="C225" s="2">
        <v>46119</v>
      </c>
      <c r="D225" t="s">
        <v>18</v>
      </c>
      <c r="E225" t="s">
        <v>11</v>
      </c>
      <c r="G225" t="s">
        <v>24</v>
      </c>
      <c r="H225" t="s">
        <v>23</v>
      </c>
      <c r="I225" t="s">
        <v>23</v>
      </c>
      <c r="J225" t="s">
        <v>23</v>
      </c>
      <c r="K225" t="s">
        <v>23</v>
      </c>
      <c r="L225">
        <f t="shared" si="15"/>
        <v>1</v>
      </c>
      <c r="M225">
        <f t="shared" si="16"/>
        <v>0</v>
      </c>
      <c r="N225">
        <f t="shared" si="17"/>
        <v>0</v>
      </c>
      <c r="O225">
        <f t="shared" si="19"/>
        <v>0</v>
      </c>
      <c r="P225">
        <f t="shared" si="18"/>
        <v>1</v>
      </c>
      <c r="Q225">
        <f>COUNTIF('責任職　企業局→市長部局'!A:A,SQLデータ!B225)</f>
        <v>0</v>
      </c>
      <c r="R225">
        <f>COUNTIF('一般職員　企業局→市長部局'!A:F,SQLデータ!B225)</f>
        <v>0</v>
      </c>
    </row>
    <row r="226" spans="1:18" x14ac:dyDescent="0.4">
      <c r="A226" s="1">
        <v>202560002949</v>
      </c>
      <c r="B226" s="1">
        <v>971181</v>
      </c>
      <c r="C226" s="2">
        <v>46093</v>
      </c>
      <c r="D226" t="s">
        <v>18</v>
      </c>
      <c r="E226" t="s">
        <v>11</v>
      </c>
      <c r="G226" t="s">
        <v>37</v>
      </c>
      <c r="H226" t="s">
        <v>20</v>
      </c>
      <c r="L226">
        <f t="shared" si="15"/>
        <v>0</v>
      </c>
      <c r="M226">
        <f t="shared" si="16"/>
        <v>0</v>
      </c>
      <c r="N226">
        <f t="shared" si="17"/>
        <v>0</v>
      </c>
      <c r="O226">
        <f t="shared" si="19"/>
        <v>1</v>
      </c>
      <c r="P226">
        <f t="shared" si="18"/>
        <v>1</v>
      </c>
      <c r="Q226">
        <f>COUNTIF('責任職　企業局→市長部局'!A:A,SQLデータ!B226)</f>
        <v>0</v>
      </c>
      <c r="R226">
        <f>COUNTIF('一般職員　企業局→市長部局'!A:F,SQLデータ!B226)</f>
        <v>0</v>
      </c>
    </row>
    <row r="227" spans="1:18" x14ac:dyDescent="0.4">
      <c r="A227" s="1">
        <v>202560002952</v>
      </c>
      <c r="B227" s="1">
        <v>920106</v>
      </c>
      <c r="C227" s="2">
        <v>46115</v>
      </c>
      <c r="D227" t="s">
        <v>18</v>
      </c>
      <c r="E227" t="s">
        <v>8</v>
      </c>
      <c r="F227" t="s">
        <v>47</v>
      </c>
      <c r="G227" t="s">
        <v>24</v>
      </c>
      <c r="H227" t="s">
        <v>23</v>
      </c>
      <c r="I227" t="s">
        <v>23</v>
      </c>
      <c r="J227" t="s">
        <v>23</v>
      </c>
      <c r="K227" t="s">
        <v>23</v>
      </c>
      <c r="L227">
        <f t="shared" si="15"/>
        <v>1</v>
      </c>
      <c r="M227">
        <f t="shared" si="16"/>
        <v>0</v>
      </c>
      <c r="N227">
        <f t="shared" si="17"/>
        <v>0</v>
      </c>
      <c r="O227">
        <f t="shared" si="19"/>
        <v>0</v>
      </c>
      <c r="P227">
        <f t="shared" si="18"/>
        <v>0</v>
      </c>
      <c r="Q227">
        <f>COUNTIF('責任職　企業局→市長部局'!A:A,SQLデータ!B227)</f>
        <v>0</v>
      </c>
      <c r="R227">
        <f>COUNTIF('一般職員　企業局→市長部局'!A:F,SQLデータ!B227)</f>
        <v>0</v>
      </c>
    </row>
    <row r="228" spans="1:18" x14ac:dyDescent="0.4">
      <c r="A228" s="1">
        <v>202560002954</v>
      </c>
      <c r="B228" s="1">
        <v>1226129</v>
      </c>
      <c r="C228" s="2">
        <v>46094</v>
      </c>
      <c r="D228" t="s">
        <v>18</v>
      </c>
      <c r="E228" t="s">
        <v>11</v>
      </c>
      <c r="G228" t="s">
        <v>31</v>
      </c>
      <c r="H228" t="s">
        <v>20</v>
      </c>
      <c r="L228">
        <f t="shared" si="15"/>
        <v>0</v>
      </c>
      <c r="M228">
        <f t="shared" si="16"/>
        <v>0</v>
      </c>
      <c r="N228">
        <f t="shared" si="17"/>
        <v>0</v>
      </c>
      <c r="O228">
        <f t="shared" si="19"/>
        <v>1</v>
      </c>
      <c r="P228">
        <f t="shared" si="18"/>
        <v>1</v>
      </c>
      <c r="Q228">
        <f>COUNTIF('責任職　企業局→市長部局'!A:A,SQLデータ!B228)</f>
        <v>0</v>
      </c>
      <c r="R228">
        <f>COUNTIF('一般職員　企業局→市長部局'!A:F,SQLデータ!B228)</f>
        <v>0</v>
      </c>
    </row>
    <row r="229" spans="1:18" x14ac:dyDescent="0.4">
      <c r="A229" s="1">
        <v>202560002956</v>
      </c>
      <c r="B229" s="1">
        <v>1186154</v>
      </c>
      <c r="C229" s="2">
        <v>46096</v>
      </c>
      <c r="D229" t="s">
        <v>18</v>
      </c>
      <c r="E229" t="s">
        <v>11</v>
      </c>
      <c r="G229" t="s">
        <v>31</v>
      </c>
      <c r="H229" t="s">
        <v>20</v>
      </c>
      <c r="L229">
        <f t="shared" si="15"/>
        <v>0</v>
      </c>
      <c r="M229">
        <f t="shared" si="16"/>
        <v>0</v>
      </c>
      <c r="N229">
        <f t="shared" si="17"/>
        <v>0</v>
      </c>
      <c r="O229">
        <f t="shared" si="19"/>
        <v>1</v>
      </c>
      <c r="P229">
        <f t="shared" si="18"/>
        <v>1</v>
      </c>
      <c r="Q229">
        <f>COUNTIF('責任職　企業局→市長部局'!A:A,SQLデータ!B229)</f>
        <v>0</v>
      </c>
      <c r="R229">
        <f>COUNTIF('一般職員　企業局→市長部局'!A:F,SQLデータ!B229)</f>
        <v>0</v>
      </c>
    </row>
    <row r="230" spans="1:18" x14ac:dyDescent="0.4">
      <c r="A230" s="1">
        <v>202560002960</v>
      </c>
      <c r="B230" s="1">
        <v>1191365</v>
      </c>
      <c r="C230" s="2">
        <v>46097</v>
      </c>
      <c r="D230" t="s">
        <v>18</v>
      </c>
      <c r="E230" t="s">
        <v>11</v>
      </c>
      <c r="G230" t="s">
        <v>31</v>
      </c>
      <c r="H230" t="s">
        <v>20</v>
      </c>
      <c r="L230">
        <f t="shared" si="15"/>
        <v>0</v>
      </c>
      <c r="M230">
        <f t="shared" si="16"/>
        <v>0</v>
      </c>
      <c r="N230">
        <f t="shared" si="17"/>
        <v>0</v>
      </c>
      <c r="O230">
        <f t="shared" si="19"/>
        <v>1</v>
      </c>
      <c r="P230">
        <f t="shared" si="18"/>
        <v>1</v>
      </c>
      <c r="Q230">
        <f>COUNTIF('責任職　企業局→市長部局'!A:A,SQLデータ!B230)</f>
        <v>0</v>
      </c>
      <c r="R230">
        <f>COUNTIF('一般職員　企業局→市長部局'!A:F,SQLデータ!B230)</f>
        <v>0</v>
      </c>
    </row>
    <row r="231" spans="1:18" x14ac:dyDescent="0.4">
      <c r="A231" s="1">
        <v>202560002965</v>
      </c>
      <c r="B231" s="1">
        <v>960341</v>
      </c>
      <c r="C231" s="2">
        <v>46104</v>
      </c>
      <c r="D231" t="s">
        <v>18</v>
      </c>
      <c r="E231" t="s">
        <v>10</v>
      </c>
      <c r="G231" t="s">
        <v>32</v>
      </c>
      <c r="H231" t="s">
        <v>23</v>
      </c>
      <c r="K231" t="s">
        <v>23</v>
      </c>
      <c r="L231">
        <f t="shared" si="15"/>
        <v>0</v>
      </c>
      <c r="M231">
        <f t="shared" si="16"/>
        <v>0</v>
      </c>
      <c r="N231">
        <f t="shared" si="17"/>
        <v>1</v>
      </c>
      <c r="O231">
        <f t="shared" si="19"/>
        <v>0</v>
      </c>
      <c r="P231">
        <f t="shared" si="18"/>
        <v>1</v>
      </c>
      <c r="Q231">
        <f>COUNTIF('責任職　企業局→市長部局'!A:A,SQLデータ!B231)</f>
        <v>0</v>
      </c>
      <c r="R231">
        <f>COUNTIF('一般職員　企業局→市長部局'!A:F,SQLデータ!B231)</f>
        <v>0</v>
      </c>
    </row>
    <row r="232" spans="1:18" x14ac:dyDescent="0.4">
      <c r="A232" s="1">
        <v>202560002968</v>
      </c>
      <c r="B232" s="1">
        <v>1201456</v>
      </c>
      <c r="C232" s="2">
        <v>46097</v>
      </c>
      <c r="D232" t="s">
        <v>18</v>
      </c>
      <c r="E232" t="s">
        <v>11</v>
      </c>
      <c r="G232" t="s">
        <v>31</v>
      </c>
      <c r="H232" t="s">
        <v>20</v>
      </c>
      <c r="L232">
        <f t="shared" si="15"/>
        <v>0</v>
      </c>
      <c r="M232">
        <f t="shared" si="16"/>
        <v>0</v>
      </c>
      <c r="N232">
        <f t="shared" si="17"/>
        <v>0</v>
      </c>
      <c r="O232">
        <f t="shared" si="19"/>
        <v>1</v>
      </c>
      <c r="P232">
        <f t="shared" si="18"/>
        <v>1</v>
      </c>
      <c r="Q232">
        <f>COUNTIF('責任職　企業局→市長部局'!A:A,SQLデータ!B232)</f>
        <v>0</v>
      </c>
      <c r="R232">
        <f>COUNTIF('一般職員　企業局→市長部局'!A:F,SQLデータ!B232)</f>
        <v>0</v>
      </c>
    </row>
    <row r="233" spans="1:18" x14ac:dyDescent="0.4">
      <c r="A233" s="1">
        <v>202560002969</v>
      </c>
      <c r="B233" s="1">
        <v>1076089</v>
      </c>
      <c r="C233" s="2">
        <v>46099</v>
      </c>
      <c r="D233" t="s">
        <v>18</v>
      </c>
      <c r="E233" t="s">
        <v>10</v>
      </c>
      <c r="G233" t="s">
        <v>26</v>
      </c>
      <c r="H233" t="s">
        <v>20</v>
      </c>
      <c r="I233" t="s">
        <v>20</v>
      </c>
      <c r="J233" t="s">
        <v>20</v>
      </c>
      <c r="L233">
        <f t="shared" si="15"/>
        <v>1</v>
      </c>
      <c r="M233">
        <f t="shared" si="16"/>
        <v>0</v>
      </c>
      <c r="N233">
        <f t="shared" si="17"/>
        <v>0</v>
      </c>
      <c r="O233">
        <f t="shared" si="19"/>
        <v>0</v>
      </c>
      <c r="P233">
        <f t="shared" si="18"/>
        <v>1</v>
      </c>
      <c r="Q233">
        <f>COUNTIF('責任職　企業局→市長部局'!A:A,SQLデータ!B233)</f>
        <v>0</v>
      </c>
      <c r="R233">
        <f>COUNTIF('一般職員　企業局→市長部局'!A:F,SQLデータ!B233)</f>
        <v>0</v>
      </c>
    </row>
    <row r="234" spans="1:18" x14ac:dyDescent="0.4">
      <c r="A234" s="1">
        <v>202560002970</v>
      </c>
      <c r="B234" s="1">
        <v>1161335</v>
      </c>
      <c r="C234" s="2">
        <v>46092</v>
      </c>
      <c r="D234" t="s">
        <v>18</v>
      </c>
      <c r="E234" t="s">
        <v>10</v>
      </c>
      <c r="G234" t="s">
        <v>28</v>
      </c>
      <c r="H234" t="s">
        <v>20</v>
      </c>
      <c r="I234" t="s">
        <v>20</v>
      </c>
      <c r="J234" t="s">
        <v>20</v>
      </c>
      <c r="K234" t="s">
        <v>20</v>
      </c>
      <c r="L234">
        <f t="shared" si="15"/>
        <v>1</v>
      </c>
      <c r="M234">
        <f t="shared" si="16"/>
        <v>0</v>
      </c>
      <c r="N234">
        <f t="shared" si="17"/>
        <v>0</v>
      </c>
      <c r="O234">
        <f t="shared" si="19"/>
        <v>0</v>
      </c>
      <c r="P234">
        <f t="shared" si="18"/>
        <v>1</v>
      </c>
      <c r="Q234">
        <f>COUNTIF('責任職　企業局→市長部局'!A:A,SQLデータ!B234)</f>
        <v>0</v>
      </c>
      <c r="R234">
        <f>COUNTIF('一般職員　企業局→市長部局'!A:F,SQLデータ!B234)</f>
        <v>0</v>
      </c>
    </row>
    <row r="235" spans="1:18" x14ac:dyDescent="0.4">
      <c r="A235" s="1">
        <v>202560002972</v>
      </c>
      <c r="B235" s="1">
        <v>1253013</v>
      </c>
      <c r="C235" s="2">
        <v>46098</v>
      </c>
      <c r="D235" t="s">
        <v>18</v>
      </c>
      <c r="E235" t="s">
        <v>11</v>
      </c>
      <c r="G235" t="s">
        <v>31</v>
      </c>
      <c r="H235" t="s">
        <v>20</v>
      </c>
      <c r="L235">
        <f t="shared" si="15"/>
        <v>0</v>
      </c>
      <c r="M235">
        <f t="shared" si="16"/>
        <v>0</v>
      </c>
      <c r="N235">
        <f t="shared" si="17"/>
        <v>0</v>
      </c>
      <c r="O235">
        <f t="shared" si="19"/>
        <v>1</v>
      </c>
      <c r="P235">
        <f t="shared" si="18"/>
        <v>1</v>
      </c>
      <c r="Q235">
        <f>COUNTIF('責任職　企業局→市長部局'!A:A,SQLデータ!B235)</f>
        <v>0</v>
      </c>
      <c r="R235">
        <f>COUNTIF('一般職員　企業局→市長部局'!A:F,SQLデータ!B235)</f>
        <v>0</v>
      </c>
    </row>
    <row r="236" spans="1:18" x14ac:dyDescent="0.4">
      <c r="A236" s="1">
        <v>202560002973</v>
      </c>
      <c r="B236" s="1">
        <v>1193012</v>
      </c>
      <c r="C236" s="2">
        <v>46098</v>
      </c>
      <c r="D236" t="s">
        <v>18</v>
      </c>
      <c r="E236" t="s">
        <v>11</v>
      </c>
      <c r="G236" t="s">
        <v>31</v>
      </c>
      <c r="H236" t="s">
        <v>20</v>
      </c>
      <c r="L236">
        <f t="shared" si="15"/>
        <v>0</v>
      </c>
      <c r="M236">
        <f t="shared" si="16"/>
        <v>0</v>
      </c>
      <c r="N236">
        <f t="shared" si="17"/>
        <v>0</v>
      </c>
      <c r="O236">
        <f t="shared" si="19"/>
        <v>1</v>
      </c>
      <c r="P236">
        <f t="shared" si="18"/>
        <v>1</v>
      </c>
      <c r="Q236">
        <f>COUNTIF('責任職　企業局→市長部局'!A:A,SQLデータ!B236)</f>
        <v>0</v>
      </c>
      <c r="R236">
        <f>COUNTIF('一般職員　企業局→市長部局'!A:F,SQLデータ!B236)</f>
        <v>0</v>
      </c>
    </row>
    <row r="237" spans="1:18" x14ac:dyDescent="0.4">
      <c r="A237" s="1">
        <v>202560002978</v>
      </c>
      <c r="B237" s="1">
        <v>900398</v>
      </c>
      <c r="C237" s="2">
        <v>46118</v>
      </c>
      <c r="D237" t="s">
        <v>18</v>
      </c>
      <c r="E237" t="s">
        <v>8</v>
      </c>
      <c r="F237" t="s">
        <v>47</v>
      </c>
      <c r="G237" t="s">
        <v>26</v>
      </c>
      <c r="H237" t="s">
        <v>20</v>
      </c>
      <c r="I237" t="s">
        <v>20</v>
      </c>
      <c r="J237" t="s">
        <v>20</v>
      </c>
      <c r="L237">
        <f t="shared" si="15"/>
        <v>1</v>
      </c>
      <c r="M237">
        <f t="shared" si="16"/>
        <v>0</v>
      </c>
      <c r="N237">
        <f t="shared" si="17"/>
        <v>0</v>
      </c>
      <c r="O237">
        <f t="shared" si="19"/>
        <v>0</v>
      </c>
      <c r="P237">
        <f t="shared" si="18"/>
        <v>0</v>
      </c>
      <c r="Q237">
        <f>COUNTIF('責任職　企業局→市長部局'!A:A,SQLデータ!B237)</f>
        <v>0</v>
      </c>
      <c r="R237">
        <f>COUNTIF('一般職員　企業局→市長部局'!A:F,SQLデータ!B237)</f>
        <v>0</v>
      </c>
    </row>
    <row r="238" spans="1:18" x14ac:dyDescent="0.4">
      <c r="A238" s="1">
        <v>202560002979</v>
      </c>
      <c r="B238" s="1">
        <v>1221491</v>
      </c>
      <c r="C238" s="2">
        <v>46098</v>
      </c>
      <c r="D238" t="s">
        <v>18</v>
      </c>
      <c r="E238" t="s">
        <v>11</v>
      </c>
      <c r="G238" t="s">
        <v>31</v>
      </c>
      <c r="H238" t="s">
        <v>20</v>
      </c>
      <c r="L238">
        <f t="shared" si="15"/>
        <v>0</v>
      </c>
      <c r="M238">
        <f t="shared" si="16"/>
        <v>0</v>
      </c>
      <c r="N238">
        <f t="shared" si="17"/>
        <v>0</v>
      </c>
      <c r="O238">
        <f t="shared" si="19"/>
        <v>1</v>
      </c>
      <c r="P238">
        <f t="shared" si="18"/>
        <v>1</v>
      </c>
      <c r="Q238">
        <f>COUNTIF('責任職　企業局→市長部局'!A:A,SQLデータ!B238)</f>
        <v>0</v>
      </c>
      <c r="R238">
        <f>COUNTIF('一般職員　企業局→市長部局'!A:F,SQLデータ!B238)</f>
        <v>0</v>
      </c>
    </row>
    <row r="239" spans="1:18" x14ac:dyDescent="0.4">
      <c r="A239" s="1">
        <v>202560002980</v>
      </c>
      <c r="B239" s="1">
        <v>1251296</v>
      </c>
      <c r="C239" s="2">
        <v>46098</v>
      </c>
      <c r="D239" t="s">
        <v>18</v>
      </c>
      <c r="E239" t="s">
        <v>11</v>
      </c>
      <c r="G239" t="s">
        <v>31</v>
      </c>
      <c r="H239" t="s">
        <v>20</v>
      </c>
      <c r="L239">
        <f t="shared" si="15"/>
        <v>0</v>
      </c>
      <c r="M239">
        <f t="shared" si="16"/>
        <v>0</v>
      </c>
      <c r="N239">
        <f t="shared" si="17"/>
        <v>0</v>
      </c>
      <c r="O239">
        <f t="shared" si="19"/>
        <v>1</v>
      </c>
      <c r="P239">
        <f t="shared" si="18"/>
        <v>1</v>
      </c>
      <c r="Q239">
        <f>COUNTIF('責任職　企業局→市長部局'!A:A,SQLデータ!B239)</f>
        <v>0</v>
      </c>
      <c r="R239">
        <f>COUNTIF('一般職員　企業局→市長部局'!A:F,SQLデータ!B239)</f>
        <v>0</v>
      </c>
    </row>
    <row r="240" spans="1:18" x14ac:dyDescent="0.4">
      <c r="A240" s="1">
        <v>202560002984</v>
      </c>
      <c r="B240" s="1">
        <v>1193025</v>
      </c>
      <c r="C240" s="2">
        <v>46099</v>
      </c>
      <c r="D240" t="s">
        <v>18</v>
      </c>
      <c r="E240" t="s">
        <v>8</v>
      </c>
      <c r="F240" t="s">
        <v>47</v>
      </c>
      <c r="G240" t="s">
        <v>28</v>
      </c>
      <c r="H240" t="s">
        <v>20</v>
      </c>
      <c r="I240" t="s">
        <v>20</v>
      </c>
      <c r="J240" t="s">
        <v>20</v>
      </c>
      <c r="K240" t="s">
        <v>20</v>
      </c>
      <c r="L240">
        <f t="shared" si="15"/>
        <v>1</v>
      </c>
      <c r="M240">
        <f t="shared" si="16"/>
        <v>0</v>
      </c>
      <c r="N240">
        <f t="shared" si="17"/>
        <v>0</v>
      </c>
      <c r="O240">
        <f t="shared" si="19"/>
        <v>0</v>
      </c>
      <c r="P240">
        <f t="shared" si="18"/>
        <v>0</v>
      </c>
      <c r="Q240">
        <f>COUNTIF('責任職　企業局→市長部局'!A:A,SQLデータ!B240)</f>
        <v>0</v>
      </c>
      <c r="R240">
        <f>COUNTIF('一般職員　企業局→市長部局'!A:F,SQLデータ!B240)</f>
        <v>0</v>
      </c>
    </row>
    <row r="241" spans="1:18" x14ac:dyDescent="0.4">
      <c r="A241" s="1">
        <v>202560002987</v>
      </c>
      <c r="B241" s="1">
        <v>1226077</v>
      </c>
      <c r="C241" s="2">
        <v>46100</v>
      </c>
      <c r="D241" t="s">
        <v>18</v>
      </c>
      <c r="E241" t="s">
        <v>11</v>
      </c>
      <c r="G241" t="s">
        <v>31</v>
      </c>
      <c r="H241" t="s">
        <v>20</v>
      </c>
      <c r="L241">
        <f t="shared" si="15"/>
        <v>0</v>
      </c>
      <c r="M241">
        <f t="shared" si="16"/>
        <v>0</v>
      </c>
      <c r="N241">
        <f t="shared" si="17"/>
        <v>0</v>
      </c>
      <c r="O241">
        <f t="shared" si="19"/>
        <v>1</v>
      </c>
      <c r="P241">
        <f t="shared" si="18"/>
        <v>1</v>
      </c>
      <c r="Q241">
        <f>COUNTIF('責任職　企業局→市長部局'!A:A,SQLデータ!B241)</f>
        <v>0</v>
      </c>
      <c r="R241">
        <f>COUNTIF('一般職員　企業局→市長部局'!A:F,SQLデータ!B241)</f>
        <v>0</v>
      </c>
    </row>
    <row r="242" spans="1:18" x14ac:dyDescent="0.4">
      <c r="A242" s="1">
        <v>202560002991</v>
      </c>
      <c r="B242" s="1">
        <v>950040</v>
      </c>
      <c r="C242" s="2">
        <v>46102</v>
      </c>
      <c r="D242" t="s">
        <v>18</v>
      </c>
      <c r="E242" t="s">
        <v>11</v>
      </c>
      <c r="F242" t="s">
        <v>50</v>
      </c>
      <c r="G242" t="s">
        <v>22</v>
      </c>
      <c r="H242" t="s">
        <v>23</v>
      </c>
      <c r="I242" t="s">
        <v>23</v>
      </c>
      <c r="J242" t="s">
        <v>23</v>
      </c>
      <c r="L242">
        <f t="shared" si="15"/>
        <v>1</v>
      </c>
      <c r="M242">
        <f t="shared" si="16"/>
        <v>0</v>
      </c>
      <c r="N242">
        <f t="shared" si="17"/>
        <v>0</v>
      </c>
      <c r="O242">
        <f t="shared" si="19"/>
        <v>0</v>
      </c>
      <c r="P242">
        <f t="shared" si="18"/>
        <v>1</v>
      </c>
      <c r="Q242">
        <f>COUNTIF('責任職　企業局→市長部局'!A:A,SQLデータ!B242)</f>
        <v>0</v>
      </c>
      <c r="R242">
        <f>COUNTIF('一般職員　企業局→市長部局'!A:F,SQLデータ!B242)</f>
        <v>0</v>
      </c>
    </row>
    <row r="243" spans="1:18" x14ac:dyDescent="0.4">
      <c r="A243" s="1">
        <v>202560002996</v>
      </c>
      <c r="B243" s="1">
        <v>1042099</v>
      </c>
      <c r="C243" s="2">
        <v>46105</v>
      </c>
      <c r="D243" t="s">
        <v>18</v>
      </c>
      <c r="E243" t="s">
        <v>10</v>
      </c>
      <c r="F243" t="s">
        <v>50</v>
      </c>
      <c r="G243" t="s">
        <v>19</v>
      </c>
      <c r="H243" t="s">
        <v>23</v>
      </c>
      <c r="J243" t="s">
        <v>23</v>
      </c>
      <c r="L243">
        <f t="shared" si="15"/>
        <v>1</v>
      </c>
      <c r="M243">
        <f t="shared" si="16"/>
        <v>0</v>
      </c>
      <c r="N243">
        <f t="shared" si="17"/>
        <v>0</v>
      </c>
      <c r="O243">
        <f t="shared" si="19"/>
        <v>0</v>
      </c>
      <c r="P243">
        <f t="shared" si="18"/>
        <v>1</v>
      </c>
      <c r="Q243">
        <f>COUNTIF('責任職　企業局→市長部局'!A:A,SQLデータ!B243)</f>
        <v>0</v>
      </c>
      <c r="R243">
        <f>COUNTIF('一般職員　企業局→市長部局'!A:F,SQLデータ!B243)</f>
        <v>0</v>
      </c>
    </row>
    <row r="244" spans="1:18" x14ac:dyDescent="0.4">
      <c r="A244" s="1">
        <v>202560002997</v>
      </c>
      <c r="B244" s="1">
        <v>1246033</v>
      </c>
      <c r="C244" s="2">
        <v>46104</v>
      </c>
      <c r="D244" t="s">
        <v>18</v>
      </c>
      <c r="E244" t="s">
        <v>11</v>
      </c>
      <c r="G244" t="s">
        <v>31</v>
      </c>
      <c r="H244" t="s">
        <v>20</v>
      </c>
      <c r="L244">
        <f t="shared" si="15"/>
        <v>0</v>
      </c>
      <c r="M244">
        <f t="shared" si="16"/>
        <v>0</v>
      </c>
      <c r="N244">
        <f t="shared" si="17"/>
        <v>0</v>
      </c>
      <c r="O244">
        <f t="shared" si="19"/>
        <v>1</v>
      </c>
      <c r="P244">
        <f t="shared" si="18"/>
        <v>1</v>
      </c>
      <c r="Q244">
        <f>COUNTIF('責任職　企業局→市長部局'!A:A,SQLデータ!B244)</f>
        <v>0</v>
      </c>
      <c r="R244">
        <f>COUNTIF('一般職員　企業局→市長部局'!A:F,SQLデータ!B244)</f>
        <v>0</v>
      </c>
    </row>
    <row r="245" spans="1:18" x14ac:dyDescent="0.4">
      <c r="A245" s="1">
        <v>202560003000</v>
      </c>
      <c r="B245" s="1">
        <v>1061117</v>
      </c>
      <c r="C245" s="2">
        <v>46104</v>
      </c>
      <c r="D245" t="s">
        <v>18</v>
      </c>
      <c r="E245" t="s">
        <v>10</v>
      </c>
      <c r="F245" t="s">
        <v>50</v>
      </c>
      <c r="G245" t="s">
        <v>24</v>
      </c>
      <c r="H245" t="s">
        <v>23</v>
      </c>
      <c r="I245" t="s">
        <v>23</v>
      </c>
      <c r="J245" t="s">
        <v>23</v>
      </c>
      <c r="L245">
        <f t="shared" si="15"/>
        <v>1</v>
      </c>
      <c r="M245">
        <f t="shared" si="16"/>
        <v>0</v>
      </c>
      <c r="N245">
        <f t="shared" si="17"/>
        <v>0</v>
      </c>
      <c r="O245">
        <f t="shared" si="19"/>
        <v>0</v>
      </c>
      <c r="P245">
        <f t="shared" si="18"/>
        <v>1</v>
      </c>
      <c r="Q245">
        <f>COUNTIF('責任職　企業局→市長部局'!A:A,SQLデータ!B245)</f>
        <v>0</v>
      </c>
      <c r="R245">
        <f>COUNTIF('一般職員　企業局→市長部局'!A:F,SQLデータ!B245)</f>
        <v>0</v>
      </c>
    </row>
    <row r="246" spans="1:18" x14ac:dyDescent="0.4">
      <c r="A246" s="1">
        <v>202560003001</v>
      </c>
      <c r="B246" s="1">
        <v>1250015</v>
      </c>
      <c r="C246" s="2">
        <v>46119</v>
      </c>
      <c r="D246" t="s">
        <v>18</v>
      </c>
      <c r="E246" t="s">
        <v>8</v>
      </c>
      <c r="G246" t="s">
        <v>24</v>
      </c>
      <c r="H246" t="s">
        <v>23</v>
      </c>
      <c r="I246" t="s">
        <v>23</v>
      </c>
      <c r="J246" t="s">
        <v>23</v>
      </c>
      <c r="K246" t="s">
        <v>23</v>
      </c>
      <c r="L246">
        <f t="shared" si="15"/>
        <v>1</v>
      </c>
      <c r="M246">
        <f t="shared" si="16"/>
        <v>0</v>
      </c>
      <c r="N246">
        <f t="shared" si="17"/>
        <v>0</v>
      </c>
      <c r="O246">
        <f t="shared" si="19"/>
        <v>0</v>
      </c>
      <c r="P246">
        <f t="shared" si="18"/>
        <v>0</v>
      </c>
      <c r="Q246">
        <f>COUNTIF('責任職　企業局→市長部局'!A:A,SQLデータ!B246)</f>
        <v>0</v>
      </c>
      <c r="R246">
        <f>COUNTIF('一般職員　企業局→市長部局'!A:F,SQLデータ!B246)</f>
        <v>0</v>
      </c>
    </row>
    <row r="247" spans="1:18" x14ac:dyDescent="0.4">
      <c r="A247" s="1">
        <v>202560003002</v>
      </c>
      <c r="B247" s="1">
        <v>1202508</v>
      </c>
      <c r="C247" s="2">
        <v>46104</v>
      </c>
      <c r="D247" t="s">
        <v>18</v>
      </c>
      <c r="E247" t="s">
        <v>11</v>
      </c>
      <c r="G247" t="s">
        <v>31</v>
      </c>
      <c r="H247" t="s">
        <v>20</v>
      </c>
      <c r="L247">
        <f t="shared" si="15"/>
        <v>0</v>
      </c>
      <c r="M247">
        <f t="shared" si="16"/>
        <v>0</v>
      </c>
      <c r="N247">
        <f t="shared" si="17"/>
        <v>0</v>
      </c>
      <c r="O247">
        <f t="shared" si="19"/>
        <v>1</v>
      </c>
      <c r="P247">
        <f t="shared" si="18"/>
        <v>1</v>
      </c>
      <c r="Q247">
        <f>COUNTIF('責任職　企業局→市長部局'!A:A,SQLデータ!B247)</f>
        <v>0</v>
      </c>
      <c r="R247">
        <f>COUNTIF('一般職員　企業局→市長部局'!A:F,SQLデータ!B247)</f>
        <v>0</v>
      </c>
    </row>
    <row r="248" spans="1:18" x14ac:dyDescent="0.4">
      <c r="A248" s="1">
        <v>202560003003</v>
      </c>
      <c r="B248" s="1">
        <v>1191544</v>
      </c>
      <c r="C248" s="2">
        <v>46104</v>
      </c>
      <c r="D248" t="s">
        <v>18</v>
      </c>
      <c r="E248" t="s">
        <v>11</v>
      </c>
      <c r="G248" t="s">
        <v>31</v>
      </c>
      <c r="H248" t="s">
        <v>20</v>
      </c>
      <c r="L248">
        <f t="shared" si="15"/>
        <v>0</v>
      </c>
      <c r="M248">
        <f t="shared" si="16"/>
        <v>0</v>
      </c>
      <c r="N248">
        <f t="shared" si="17"/>
        <v>0</v>
      </c>
      <c r="O248">
        <f t="shared" si="19"/>
        <v>1</v>
      </c>
      <c r="P248">
        <f t="shared" si="18"/>
        <v>1</v>
      </c>
      <c r="Q248">
        <f>COUNTIF('責任職　企業局→市長部局'!A:A,SQLデータ!B248)</f>
        <v>0</v>
      </c>
      <c r="R248">
        <f>COUNTIF('一般職員　企業局→市長部局'!A:F,SQLデータ!B248)</f>
        <v>0</v>
      </c>
    </row>
    <row r="249" spans="1:18" x14ac:dyDescent="0.4">
      <c r="A249" s="1">
        <v>202560003004</v>
      </c>
      <c r="B249" s="1">
        <v>1231071</v>
      </c>
      <c r="C249" s="2">
        <v>46104</v>
      </c>
      <c r="D249" t="s">
        <v>18</v>
      </c>
      <c r="E249" t="s">
        <v>8</v>
      </c>
      <c r="F249" t="s">
        <v>47</v>
      </c>
      <c r="G249" t="s">
        <v>31</v>
      </c>
      <c r="H249" t="s">
        <v>20</v>
      </c>
      <c r="I249" t="s">
        <v>20</v>
      </c>
      <c r="J249" t="s">
        <v>20</v>
      </c>
      <c r="K249" t="s">
        <v>20</v>
      </c>
      <c r="L249">
        <f t="shared" si="15"/>
        <v>1</v>
      </c>
      <c r="M249">
        <f t="shared" si="16"/>
        <v>0</v>
      </c>
      <c r="N249">
        <f t="shared" si="17"/>
        <v>0</v>
      </c>
      <c r="O249">
        <f t="shared" si="19"/>
        <v>0</v>
      </c>
      <c r="P249">
        <f t="shared" si="18"/>
        <v>0</v>
      </c>
      <c r="Q249">
        <f>COUNTIF('責任職　企業局→市長部局'!A:A,SQLデータ!B249)</f>
        <v>0</v>
      </c>
      <c r="R249">
        <f>COUNTIF('一般職員　企業局→市長部局'!A:F,SQLデータ!B249)</f>
        <v>0</v>
      </c>
    </row>
    <row r="250" spans="1:18" x14ac:dyDescent="0.4">
      <c r="A250" s="1">
        <v>202560003005</v>
      </c>
      <c r="B250" s="1">
        <v>1251412</v>
      </c>
      <c r="C250" s="2">
        <v>46104</v>
      </c>
      <c r="D250" t="s">
        <v>18</v>
      </c>
      <c r="E250" t="s">
        <v>11</v>
      </c>
      <c r="G250" t="s">
        <v>31</v>
      </c>
      <c r="H250" t="s">
        <v>20</v>
      </c>
      <c r="L250">
        <f t="shared" si="15"/>
        <v>0</v>
      </c>
      <c r="M250">
        <f t="shared" si="16"/>
        <v>0</v>
      </c>
      <c r="N250">
        <f t="shared" si="17"/>
        <v>0</v>
      </c>
      <c r="O250">
        <f t="shared" si="19"/>
        <v>1</v>
      </c>
      <c r="P250">
        <f t="shared" si="18"/>
        <v>1</v>
      </c>
      <c r="Q250">
        <f>COUNTIF('責任職　企業局→市長部局'!A:A,SQLデータ!B250)</f>
        <v>0</v>
      </c>
      <c r="R250">
        <f>COUNTIF('一般職員　企業局→市長部局'!A:F,SQLデータ!B250)</f>
        <v>0</v>
      </c>
    </row>
    <row r="251" spans="1:18" x14ac:dyDescent="0.4">
      <c r="A251" s="1">
        <v>202560003006</v>
      </c>
      <c r="B251" s="1">
        <v>1111437</v>
      </c>
      <c r="C251" s="2">
        <v>46105</v>
      </c>
      <c r="D251" t="s">
        <v>18</v>
      </c>
      <c r="E251" t="s">
        <v>11</v>
      </c>
      <c r="F251" t="s">
        <v>47</v>
      </c>
      <c r="G251" t="s">
        <v>27</v>
      </c>
      <c r="H251" t="s">
        <v>20</v>
      </c>
      <c r="I251" t="s">
        <v>20</v>
      </c>
      <c r="J251" t="s">
        <v>20</v>
      </c>
      <c r="L251">
        <f t="shared" si="15"/>
        <v>1</v>
      </c>
      <c r="M251">
        <f t="shared" si="16"/>
        <v>0</v>
      </c>
      <c r="N251">
        <f t="shared" si="17"/>
        <v>0</v>
      </c>
      <c r="O251">
        <f t="shared" si="19"/>
        <v>0</v>
      </c>
      <c r="P251">
        <f t="shared" si="18"/>
        <v>1</v>
      </c>
      <c r="Q251">
        <f>COUNTIF('責任職　企業局→市長部局'!A:A,SQLデータ!B251)</f>
        <v>0</v>
      </c>
      <c r="R251">
        <f>COUNTIF('一般職員　企業局→市長部局'!A:F,SQLデータ!B251)</f>
        <v>0</v>
      </c>
    </row>
    <row r="252" spans="1:18" x14ac:dyDescent="0.4">
      <c r="A252" s="1">
        <v>202560003011</v>
      </c>
      <c r="B252" s="1">
        <v>960341</v>
      </c>
      <c r="C252" s="2">
        <v>46107</v>
      </c>
      <c r="D252" t="s">
        <v>18</v>
      </c>
      <c r="E252" t="s">
        <v>11</v>
      </c>
      <c r="G252" t="s">
        <v>37</v>
      </c>
      <c r="H252" t="s">
        <v>35</v>
      </c>
      <c r="K252" t="s">
        <v>20</v>
      </c>
      <c r="L252">
        <f t="shared" si="15"/>
        <v>0</v>
      </c>
      <c r="M252">
        <f t="shared" si="16"/>
        <v>0</v>
      </c>
      <c r="N252">
        <f t="shared" si="17"/>
        <v>1</v>
      </c>
      <c r="O252">
        <f t="shared" si="19"/>
        <v>0</v>
      </c>
      <c r="P252">
        <f t="shared" si="18"/>
        <v>1</v>
      </c>
      <c r="Q252">
        <f>COUNTIF('責任職　企業局→市長部局'!A:A,SQLデータ!B252)</f>
        <v>0</v>
      </c>
      <c r="R252">
        <f>COUNTIF('一般職員　企業局→市長部局'!A:F,SQLデータ!B252)</f>
        <v>0</v>
      </c>
    </row>
    <row r="253" spans="1:18" x14ac:dyDescent="0.4">
      <c r="A253" s="1">
        <v>202560003014</v>
      </c>
      <c r="B253" s="1">
        <v>1161064</v>
      </c>
      <c r="C253" s="2">
        <v>46105</v>
      </c>
      <c r="D253" t="s">
        <v>18</v>
      </c>
      <c r="E253" t="s">
        <v>11</v>
      </c>
      <c r="G253" t="s">
        <v>31</v>
      </c>
      <c r="H253" t="s">
        <v>20</v>
      </c>
      <c r="L253">
        <f t="shared" si="15"/>
        <v>0</v>
      </c>
      <c r="M253">
        <f t="shared" si="16"/>
        <v>0</v>
      </c>
      <c r="N253">
        <f t="shared" si="17"/>
        <v>0</v>
      </c>
      <c r="O253">
        <f t="shared" si="19"/>
        <v>1</v>
      </c>
      <c r="P253">
        <f t="shared" si="18"/>
        <v>1</v>
      </c>
      <c r="Q253">
        <f>COUNTIF('責任職　企業局→市長部局'!A:A,SQLデータ!B253)</f>
        <v>0</v>
      </c>
      <c r="R253">
        <f>COUNTIF('一般職員　企業局→市長部局'!A:F,SQLデータ!B253)</f>
        <v>0</v>
      </c>
    </row>
    <row r="254" spans="1:18" x14ac:dyDescent="0.4">
      <c r="A254" s="1">
        <v>202560003015</v>
      </c>
      <c r="B254" s="1">
        <v>994299</v>
      </c>
      <c r="C254" s="2">
        <v>46105</v>
      </c>
      <c r="D254" t="s">
        <v>18</v>
      </c>
      <c r="E254" t="s">
        <v>11</v>
      </c>
      <c r="G254" t="s">
        <v>31</v>
      </c>
      <c r="H254" t="s">
        <v>20</v>
      </c>
      <c r="L254">
        <f t="shared" si="15"/>
        <v>0</v>
      </c>
      <c r="M254">
        <f t="shared" si="16"/>
        <v>0</v>
      </c>
      <c r="N254">
        <f t="shared" si="17"/>
        <v>0</v>
      </c>
      <c r="O254">
        <f t="shared" si="19"/>
        <v>1</v>
      </c>
      <c r="P254">
        <f t="shared" si="18"/>
        <v>1</v>
      </c>
      <c r="Q254">
        <f>COUNTIF('責任職　企業局→市長部局'!A:A,SQLデータ!B254)</f>
        <v>0</v>
      </c>
      <c r="R254">
        <f>COUNTIF('一般職員　企業局→市長部局'!A:F,SQLデータ!B254)</f>
        <v>0</v>
      </c>
    </row>
    <row r="255" spans="1:18" x14ac:dyDescent="0.4">
      <c r="A255" s="1">
        <v>202560003016</v>
      </c>
      <c r="B255" s="1">
        <v>940064</v>
      </c>
      <c r="C255" s="2">
        <v>46120</v>
      </c>
      <c r="D255" t="s">
        <v>18</v>
      </c>
      <c r="E255" t="s">
        <v>8</v>
      </c>
      <c r="G255" t="s">
        <v>24</v>
      </c>
      <c r="H255" t="s">
        <v>23</v>
      </c>
      <c r="I255" t="s">
        <v>23</v>
      </c>
      <c r="J255" t="s">
        <v>23</v>
      </c>
      <c r="K255" t="s">
        <v>23</v>
      </c>
      <c r="L255">
        <f t="shared" si="15"/>
        <v>1</v>
      </c>
      <c r="M255">
        <f t="shared" si="16"/>
        <v>0</v>
      </c>
      <c r="N255">
        <f t="shared" si="17"/>
        <v>0</v>
      </c>
      <c r="O255">
        <f t="shared" si="19"/>
        <v>0</v>
      </c>
      <c r="P255">
        <f t="shared" si="18"/>
        <v>0</v>
      </c>
      <c r="Q255">
        <f>COUNTIF('責任職　企業局→市長部局'!A:A,SQLデータ!B255)</f>
        <v>0</v>
      </c>
      <c r="R255">
        <f>COUNTIF('一般職員　企業局→市長部局'!A:F,SQLデータ!B255)</f>
        <v>0</v>
      </c>
    </row>
    <row r="256" spans="1:18" x14ac:dyDescent="0.4">
      <c r="A256" s="1">
        <v>202560003018</v>
      </c>
      <c r="B256" s="1">
        <v>1231352</v>
      </c>
      <c r="C256" s="2">
        <v>46105</v>
      </c>
      <c r="D256" t="s">
        <v>18</v>
      </c>
      <c r="E256" t="s">
        <v>10</v>
      </c>
      <c r="G256" t="s">
        <v>31</v>
      </c>
      <c r="H256" t="s">
        <v>20</v>
      </c>
      <c r="L256">
        <f t="shared" si="15"/>
        <v>0</v>
      </c>
      <c r="M256">
        <f t="shared" si="16"/>
        <v>0</v>
      </c>
      <c r="N256">
        <f t="shared" si="17"/>
        <v>0</v>
      </c>
      <c r="O256">
        <f t="shared" si="19"/>
        <v>1</v>
      </c>
      <c r="P256">
        <f t="shared" si="18"/>
        <v>1</v>
      </c>
      <c r="Q256">
        <f>COUNTIF('責任職　企業局→市長部局'!A:A,SQLデータ!B256)</f>
        <v>0</v>
      </c>
      <c r="R256">
        <f>COUNTIF('一般職員　企業局→市長部局'!A:F,SQLデータ!B256)</f>
        <v>0</v>
      </c>
    </row>
    <row r="257" spans="1:18" x14ac:dyDescent="0.4">
      <c r="A257" s="1">
        <v>202560003019</v>
      </c>
      <c r="B257" s="1">
        <v>1182104</v>
      </c>
      <c r="C257" s="2">
        <v>46106</v>
      </c>
      <c r="D257" t="s">
        <v>18</v>
      </c>
      <c r="E257" t="s">
        <v>10</v>
      </c>
      <c r="G257" t="s">
        <v>21</v>
      </c>
      <c r="H257" t="s">
        <v>20</v>
      </c>
      <c r="I257" t="s">
        <v>20</v>
      </c>
      <c r="J257" t="s">
        <v>20</v>
      </c>
      <c r="L257">
        <f t="shared" si="15"/>
        <v>1</v>
      </c>
      <c r="M257">
        <f t="shared" si="16"/>
        <v>0</v>
      </c>
      <c r="N257">
        <f t="shared" si="17"/>
        <v>0</v>
      </c>
      <c r="O257">
        <f t="shared" si="19"/>
        <v>0</v>
      </c>
      <c r="P257">
        <f t="shared" si="18"/>
        <v>1</v>
      </c>
      <c r="Q257">
        <f>COUNTIF('責任職　企業局→市長部局'!A:A,SQLデータ!B257)</f>
        <v>0</v>
      </c>
      <c r="R257">
        <f>COUNTIF('一般職員　企業局→市長部局'!A:F,SQLデータ!B257)</f>
        <v>0</v>
      </c>
    </row>
    <row r="258" spans="1:18" x14ac:dyDescent="0.4">
      <c r="A258" s="1">
        <v>202560003022</v>
      </c>
      <c r="B258" s="1">
        <v>940332</v>
      </c>
      <c r="C258" s="2">
        <v>46128</v>
      </c>
      <c r="D258" t="s">
        <v>18</v>
      </c>
      <c r="E258" t="s">
        <v>8</v>
      </c>
      <c r="G258" t="s">
        <v>24</v>
      </c>
      <c r="H258" t="s">
        <v>23</v>
      </c>
      <c r="I258" t="s">
        <v>23</v>
      </c>
      <c r="J258" t="s">
        <v>23</v>
      </c>
      <c r="K258" t="s">
        <v>23</v>
      </c>
      <c r="L258">
        <f t="shared" ref="L258:L321" si="20">IF(ISBLANK(J258),0,1)</f>
        <v>1</v>
      </c>
      <c r="M258">
        <f t="shared" ref="M258:M321" si="21">IF(AND(L258=0,I258&lt;&gt;""),1,0)</f>
        <v>0</v>
      </c>
      <c r="N258">
        <f t="shared" ref="N258:N321" si="22">IF(AND(L258=0,M258=0,K258&lt;&gt;""),1,0)</f>
        <v>0</v>
      </c>
      <c r="O258">
        <f t="shared" si="19"/>
        <v>0</v>
      </c>
      <c r="P258">
        <f t="shared" ref="P258:P321" si="23">IF(D258&lt;&gt;"扶養","",IF(E258&lt;&gt;"確認待ち",1,IF(OR(AND(G258="本人の結婚",O258=1),AND(H258="減",OR(N258=1,O258=1))),1,0)))</f>
        <v>0</v>
      </c>
      <c r="Q258">
        <f>COUNTIF('責任職　企業局→市長部局'!A:A,SQLデータ!B258)</f>
        <v>0</v>
      </c>
      <c r="R258">
        <f>COUNTIF('一般職員　企業局→市長部局'!A:F,SQLデータ!B258)</f>
        <v>0</v>
      </c>
    </row>
    <row r="259" spans="1:18" x14ac:dyDescent="0.4">
      <c r="A259" s="1">
        <v>202560003025</v>
      </c>
      <c r="B259" s="1">
        <v>960295</v>
      </c>
      <c r="C259" s="2">
        <v>46106</v>
      </c>
      <c r="D259" t="s">
        <v>18</v>
      </c>
      <c r="E259" t="s">
        <v>15</v>
      </c>
      <c r="G259" t="s">
        <v>32</v>
      </c>
      <c r="H259" t="s">
        <v>23</v>
      </c>
      <c r="K259" t="s">
        <v>23</v>
      </c>
      <c r="L259">
        <f t="shared" si="20"/>
        <v>0</v>
      </c>
      <c r="M259">
        <f t="shared" si="21"/>
        <v>0</v>
      </c>
      <c r="N259">
        <f t="shared" si="22"/>
        <v>1</v>
      </c>
      <c r="O259">
        <f t="shared" ref="O259:O322" si="24">IF(COUNTIF(L259:N259,0)=3,1,0)</f>
        <v>0</v>
      </c>
      <c r="P259">
        <f t="shared" si="23"/>
        <v>1</v>
      </c>
      <c r="Q259">
        <f>COUNTIF('責任職　企業局→市長部局'!A:A,SQLデータ!B259)</f>
        <v>0</v>
      </c>
      <c r="R259">
        <f>COUNTIF('一般職員　企業局→市長部局'!A:F,SQLデータ!B259)</f>
        <v>0</v>
      </c>
    </row>
    <row r="260" spans="1:18" x14ac:dyDescent="0.4">
      <c r="A260" s="1">
        <v>202560003037</v>
      </c>
      <c r="B260" s="1">
        <v>930066</v>
      </c>
      <c r="C260" s="2">
        <v>46115</v>
      </c>
      <c r="D260" t="s">
        <v>18</v>
      </c>
      <c r="E260" t="s">
        <v>8</v>
      </c>
      <c r="F260" t="s">
        <v>47</v>
      </c>
      <c r="G260" t="s">
        <v>24</v>
      </c>
      <c r="H260" t="s">
        <v>23</v>
      </c>
      <c r="J260" t="s">
        <v>23</v>
      </c>
      <c r="K260" t="s">
        <v>23</v>
      </c>
      <c r="L260">
        <f t="shared" si="20"/>
        <v>1</v>
      </c>
      <c r="M260">
        <f t="shared" si="21"/>
        <v>0</v>
      </c>
      <c r="N260">
        <f t="shared" si="22"/>
        <v>0</v>
      </c>
      <c r="O260">
        <f t="shared" si="24"/>
        <v>0</v>
      </c>
      <c r="P260">
        <f t="shared" si="23"/>
        <v>0</v>
      </c>
      <c r="Q260">
        <f>COUNTIF('責任職　企業局→市長部局'!A:A,SQLデータ!B260)</f>
        <v>0</v>
      </c>
      <c r="R260">
        <f>COUNTIF('一般職員　企業局→市長部局'!A:F,SQLデータ!B260)</f>
        <v>0</v>
      </c>
    </row>
    <row r="261" spans="1:18" x14ac:dyDescent="0.4">
      <c r="A261" s="1">
        <v>202560003040</v>
      </c>
      <c r="B261" s="1">
        <v>1206045</v>
      </c>
      <c r="C261" s="2">
        <v>46115</v>
      </c>
      <c r="D261" t="s">
        <v>18</v>
      </c>
      <c r="E261" t="s">
        <v>8</v>
      </c>
      <c r="G261" t="s">
        <v>28</v>
      </c>
      <c r="H261" t="s">
        <v>20</v>
      </c>
      <c r="I261" t="s">
        <v>20</v>
      </c>
      <c r="J261" t="s">
        <v>20</v>
      </c>
      <c r="K261" t="s">
        <v>20</v>
      </c>
      <c r="L261">
        <f t="shared" si="20"/>
        <v>1</v>
      </c>
      <c r="M261">
        <f t="shared" si="21"/>
        <v>0</v>
      </c>
      <c r="N261">
        <f t="shared" si="22"/>
        <v>0</v>
      </c>
      <c r="O261">
        <f t="shared" si="24"/>
        <v>0</v>
      </c>
      <c r="P261">
        <f t="shared" si="23"/>
        <v>0</v>
      </c>
      <c r="Q261">
        <f>COUNTIF('責任職　企業局→市長部局'!A:A,SQLデータ!B261)</f>
        <v>0</v>
      </c>
      <c r="R261">
        <f>COUNTIF('一般職員　企業局→市長部局'!A:F,SQLデータ!B261)</f>
        <v>0</v>
      </c>
    </row>
    <row r="262" spans="1:18" x14ac:dyDescent="0.4">
      <c r="A262" s="1">
        <v>202560003044</v>
      </c>
      <c r="B262" s="1">
        <v>1006002</v>
      </c>
      <c r="C262" s="2">
        <v>46108</v>
      </c>
      <c r="D262" t="s">
        <v>18</v>
      </c>
      <c r="E262" t="s">
        <v>8</v>
      </c>
      <c r="F262" t="s">
        <v>47</v>
      </c>
      <c r="G262" t="s">
        <v>24</v>
      </c>
      <c r="H262" t="s">
        <v>23</v>
      </c>
      <c r="I262" t="s">
        <v>23</v>
      </c>
      <c r="J262" t="s">
        <v>23</v>
      </c>
      <c r="K262" t="s">
        <v>23</v>
      </c>
      <c r="L262">
        <f t="shared" si="20"/>
        <v>1</v>
      </c>
      <c r="M262">
        <f t="shared" si="21"/>
        <v>0</v>
      </c>
      <c r="N262">
        <f t="shared" si="22"/>
        <v>0</v>
      </c>
      <c r="O262">
        <f t="shared" si="24"/>
        <v>0</v>
      </c>
      <c r="P262">
        <f t="shared" si="23"/>
        <v>0</v>
      </c>
      <c r="Q262">
        <f>COUNTIF('責任職　企業局→市長部局'!A:A,SQLデータ!B262)</f>
        <v>0</v>
      </c>
      <c r="R262">
        <f>COUNTIF('一般職員　企業局→市長部局'!A:F,SQLデータ!B262)</f>
        <v>0</v>
      </c>
    </row>
    <row r="263" spans="1:18" x14ac:dyDescent="0.4">
      <c r="A263" s="1">
        <v>202560003054</v>
      </c>
      <c r="B263" s="1">
        <v>1066005</v>
      </c>
      <c r="C263" s="2">
        <v>46116</v>
      </c>
      <c r="D263" t="s">
        <v>18</v>
      </c>
      <c r="E263" t="s">
        <v>8</v>
      </c>
      <c r="F263" t="s">
        <v>47</v>
      </c>
      <c r="G263" t="s">
        <v>24</v>
      </c>
      <c r="H263" t="s">
        <v>23</v>
      </c>
      <c r="I263" t="s">
        <v>23</v>
      </c>
      <c r="J263" t="s">
        <v>23</v>
      </c>
      <c r="K263" t="s">
        <v>23</v>
      </c>
      <c r="L263">
        <f t="shared" si="20"/>
        <v>1</v>
      </c>
      <c r="M263">
        <f t="shared" si="21"/>
        <v>0</v>
      </c>
      <c r="N263">
        <f t="shared" si="22"/>
        <v>0</v>
      </c>
      <c r="O263">
        <f t="shared" si="24"/>
        <v>0</v>
      </c>
      <c r="P263">
        <f t="shared" si="23"/>
        <v>0</v>
      </c>
      <c r="Q263">
        <f>COUNTIF('責任職　企業局→市長部局'!A:A,SQLデータ!B263)</f>
        <v>0</v>
      </c>
      <c r="R263">
        <f>COUNTIF('一般職員　企業局→市長部局'!A:F,SQLデータ!B263)</f>
        <v>0</v>
      </c>
    </row>
    <row r="264" spans="1:18" x14ac:dyDescent="0.4">
      <c r="A264" s="1">
        <v>202560003055</v>
      </c>
      <c r="B264" s="1">
        <v>1106018</v>
      </c>
      <c r="C264" s="2">
        <v>46118</v>
      </c>
      <c r="D264" t="s">
        <v>18</v>
      </c>
      <c r="E264" t="s">
        <v>8</v>
      </c>
      <c r="G264" t="s">
        <v>26</v>
      </c>
      <c r="H264" t="s">
        <v>20</v>
      </c>
      <c r="I264" t="s">
        <v>20</v>
      </c>
      <c r="J264" t="s">
        <v>20</v>
      </c>
      <c r="K264" t="s">
        <v>20</v>
      </c>
      <c r="L264">
        <f t="shared" si="20"/>
        <v>1</v>
      </c>
      <c r="M264">
        <f t="shared" si="21"/>
        <v>0</v>
      </c>
      <c r="N264">
        <f t="shared" si="22"/>
        <v>0</v>
      </c>
      <c r="O264">
        <f t="shared" si="24"/>
        <v>0</v>
      </c>
      <c r="P264">
        <f t="shared" si="23"/>
        <v>0</v>
      </c>
      <c r="Q264">
        <f>COUNTIF('責任職　企業局→市長部局'!A:A,SQLデータ!B264)</f>
        <v>0</v>
      </c>
      <c r="R264">
        <f>COUNTIF('一般職員　企業局→市長部局'!A:F,SQLデータ!B264)</f>
        <v>0</v>
      </c>
    </row>
    <row r="265" spans="1:18" x14ac:dyDescent="0.4">
      <c r="A265" s="1">
        <v>202560003057</v>
      </c>
      <c r="B265" s="1">
        <v>1156103</v>
      </c>
      <c r="C265" s="2">
        <v>46109</v>
      </c>
      <c r="D265" t="s">
        <v>18</v>
      </c>
      <c r="E265" t="s">
        <v>10</v>
      </c>
      <c r="G265" t="s">
        <v>21</v>
      </c>
      <c r="H265" t="s">
        <v>20</v>
      </c>
      <c r="I265" t="s">
        <v>20</v>
      </c>
      <c r="J265" t="s">
        <v>20</v>
      </c>
      <c r="L265">
        <f t="shared" si="20"/>
        <v>1</v>
      </c>
      <c r="M265">
        <f t="shared" si="21"/>
        <v>0</v>
      </c>
      <c r="N265">
        <f t="shared" si="22"/>
        <v>0</v>
      </c>
      <c r="O265">
        <f t="shared" si="24"/>
        <v>0</v>
      </c>
      <c r="P265">
        <f t="shared" si="23"/>
        <v>1</v>
      </c>
      <c r="Q265">
        <f>COUNTIF('責任職　企業局→市長部局'!A:A,SQLデータ!B265)</f>
        <v>0</v>
      </c>
      <c r="R265">
        <f>COUNTIF('一般職員　企業局→市長部局'!A:F,SQLデータ!B265)</f>
        <v>0</v>
      </c>
    </row>
    <row r="266" spans="1:18" x14ac:dyDescent="0.4">
      <c r="A266" s="1">
        <v>202560003058</v>
      </c>
      <c r="B266" s="1">
        <v>900531</v>
      </c>
      <c r="C266" s="2">
        <v>46115</v>
      </c>
      <c r="D266" t="s">
        <v>18</v>
      </c>
      <c r="E266" t="s">
        <v>10</v>
      </c>
      <c r="G266" t="s">
        <v>24</v>
      </c>
      <c r="H266" t="s">
        <v>23</v>
      </c>
      <c r="J266" t="s">
        <v>23</v>
      </c>
      <c r="K266" t="s">
        <v>23</v>
      </c>
      <c r="L266">
        <f t="shared" si="20"/>
        <v>1</v>
      </c>
      <c r="M266">
        <f t="shared" si="21"/>
        <v>0</v>
      </c>
      <c r="N266">
        <f t="shared" si="22"/>
        <v>0</v>
      </c>
      <c r="O266">
        <f t="shared" si="24"/>
        <v>0</v>
      </c>
      <c r="P266">
        <f t="shared" si="23"/>
        <v>1</v>
      </c>
      <c r="Q266">
        <f>COUNTIF('責任職　企業局→市長部局'!A:A,SQLデータ!B266)</f>
        <v>0</v>
      </c>
      <c r="R266">
        <f>COUNTIF('一般職員　企業局→市長部局'!A:F,SQLデータ!B266)</f>
        <v>0</v>
      </c>
    </row>
    <row r="267" spans="1:18" x14ac:dyDescent="0.4">
      <c r="A267" s="1">
        <v>202560003060</v>
      </c>
      <c r="B267" s="1">
        <v>1191540</v>
      </c>
      <c r="C267" s="2">
        <v>46111</v>
      </c>
      <c r="D267" t="s">
        <v>18</v>
      </c>
      <c r="E267" t="s">
        <v>10</v>
      </c>
      <c r="G267" t="s">
        <v>22</v>
      </c>
      <c r="H267" t="s">
        <v>23</v>
      </c>
      <c r="I267" t="s">
        <v>23</v>
      </c>
      <c r="J267" t="s">
        <v>23</v>
      </c>
      <c r="K267" t="s">
        <v>23</v>
      </c>
      <c r="L267">
        <f t="shared" si="20"/>
        <v>1</v>
      </c>
      <c r="M267">
        <f t="shared" si="21"/>
        <v>0</v>
      </c>
      <c r="N267">
        <f t="shared" si="22"/>
        <v>0</v>
      </c>
      <c r="O267">
        <f t="shared" si="24"/>
        <v>0</v>
      </c>
      <c r="P267">
        <f t="shared" si="23"/>
        <v>1</v>
      </c>
      <c r="Q267">
        <f>COUNTIF('責任職　企業局→市長部局'!A:A,SQLデータ!B267)</f>
        <v>0</v>
      </c>
      <c r="R267">
        <f>COUNTIF('一般職員　企業局→市長部局'!A:F,SQLデータ!B267)</f>
        <v>0</v>
      </c>
    </row>
    <row r="268" spans="1:18" x14ac:dyDescent="0.4">
      <c r="A268" s="1">
        <v>202560003069</v>
      </c>
      <c r="B268" s="1">
        <v>830498</v>
      </c>
      <c r="C268" s="2">
        <v>46115</v>
      </c>
      <c r="D268" t="s">
        <v>18</v>
      </c>
      <c r="E268" t="s">
        <v>11</v>
      </c>
      <c r="G268" t="s">
        <v>24</v>
      </c>
      <c r="H268" t="s">
        <v>23</v>
      </c>
      <c r="J268" t="s">
        <v>23</v>
      </c>
      <c r="K268" t="s">
        <v>23</v>
      </c>
      <c r="L268">
        <f t="shared" si="20"/>
        <v>1</v>
      </c>
      <c r="M268">
        <f t="shared" si="21"/>
        <v>0</v>
      </c>
      <c r="N268">
        <f t="shared" si="22"/>
        <v>0</v>
      </c>
      <c r="O268">
        <f t="shared" si="24"/>
        <v>0</v>
      </c>
      <c r="P268">
        <f t="shared" si="23"/>
        <v>1</v>
      </c>
      <c r="Q268">
        <f>COUNTIF('責任職　企業局→市長部局'!A:A,SQLデータ!B268)</f>
        <v>0</v>
      </c>
      <c r="R268">
        <f>COUNTIF('一般職員　企業局→市長部局'!A:F,SQLデータ!B268)</f>
        <v>0</v>
      </c>
    </row>
    <row r="269" spans="1:18" x14ac:dyDescent="0.4">
      <c r="A269" s="1">
        <v>202560003070</v>
      </c>
      <c r="B269" s="1">
        <v>1221075</v>
      </c>
      <c r="C269" s="2">
        <v>46111</v>
      </c>
      <c r="D269" t="s">
        <v>18</v>
      </c>
      <c r="E269" t="s">
        <v>11</v>
      </c>
      <c r="G269" t="s">
        <v>31</v>
      </c>
      <c r="H269" t="s">
        <v>20</v>
      </c>
      <c r="L269">
        <f t="shared" si="20"/>
        <v>0</v>
      </c>
      <c r="M269">
        <f t="shared" si="21"/>
        <v>0</v>
      </c>
      <c r="N269">
        <f t="shared" si="22"/>
        <v>0</v>
      </c>
      <c r="O269">
        <f t="shared" si="24"/>
        <v>1</v>
      </c>
      <c r="P269">
        <f t="shared" si="23"/>
        <v>1</v>
      </c>
      <c r="Q269">
        <f>COUNTIF('責任職　企業局→市長部局'!A:A,SQLデータ!B269)</f>
        <v>0</v>
      </c>
      <c r="R269">
        <f>COUNTIF('一般職員　企業局→市長部局'!A:F,SQLデータ!B269)</f>
        <v>0</v>
      </c>
    </row>
    <row r="270" spans="1:18" x14ac:dyDescent="0.4">
      <c r="A270" s="1">
        <v>202560003077</v>
      </c>
      <c r="B270" s="1">
        <v>1184060</v>
      </c>
      <c r="C270" s="2">
        <v>46113</v>
      </c>
      <c r="D270" t="s">
        <v>18</v>
      </c>
      <c r="E270" t="s">
        <v>11</v>
      </c>
      <c r="G270" t="s">
        <v>22</v>
      </c>
      <c r="H270" t="s">
        <v>23</v>
      </c>
      <c r="I270" t="s">
        <v>23</v>
      </c>
      <c r="J270" t="s">
        <v>23</v>
      </c>
      <c r="K270" t="s">
        <v>23</v>
      </c>
      <c r="L270">
        <f t="shared" si="20"/>
        <v>1</v>
      </c>
      <c r="M270">
        <f t="shared" si="21"/>
        <v>0</v>
      </c>
      <c r="N270">
        <f t="shared" si="22"/>
        <v>0</v>
      </c>
      <c r="O270">
        <f t="shared" si="24"/>
        <v>0</v>
      </c>
      <c r="P270">
        <f t="shared" si="23"/>
        <v>1</v>
      </c>
      <c r="Q270">
        <f>COUNTIF('責任職　企業局→市長部局'!A:A,SQLデータ!B270)</f>
        <v>0</v>
      </c>
      <c r="R270">
        <f>COUNTIF('一般職員　企業局→市長部局'!A:F,SQLデータ!B270)</f>
        <v>0</v>
      </c>
    </row>
    <row r="271" spans="1:18" x14ac:dyDescent="0.4">
      <c r="A271" s="1">
        <v>202560003081</v>
      </c>
      <c r="B271" s="1">
        <v>960370</v>
      </c>
      <c r="C271" s="2">
        <v>46118</v>
      </c>
      <c r="D271" t="s">
        <v>18</v>
      </c>
      <c r="E271" t="s">
        <v>11</v>
      </c>
      <c r="G271" t="s">
        <v>24</v>
      </c>
      <c r="H271" t="s">
        <v>23</v>
      </c>
      <c r="I271" t="s">
        <v>23</v>
      </c>
      <c r="J271" t="s">
        <v>23</v>
      </c>
      <c r="K271" t="s">
        <v>23</v>
      </c>
      <c r="L271">
        <f t="shared" si="20"/>
        <v>1</v>
      </c>
      <c r="M271">
        <f t="shared" si="21"/>
        <v>0</v>
      </c>
      <c r="N271">
        <f t="shared" si="22"/>
        <v>0</v>
      </c>
      <c r="O271">
        <f t="shared" si="24"/>
        <v>0</v>
      </c>
      <c r="P271">
        <f t="shared" si="23"/>
        <v>1</v>
      </c>
      <c r="Q271">
        <f>COUNTIF('責任職　企業局→市長部局'!A:A,SQLデータ!B271)</f>
        <v>0</v>
      </c>
      <c r="R271">
        <f>COUNTIF('一般職員　企業局→市長部局'!A:F,SQLデータ!B271)</f>
        <v>0</v>
      </c>
    </row>
    <row r="272" spans="1:18" x14ac:dyDescent="0.4">
      <c r="A272" s="1">
        <v>202560003082</v>
      </c>
      <c r="B272" s="1">
        <v>940392</v>
      </c>
      <c r="C272" s="2">
        <v>46115</v>
      </c>
      <c r="D272" t="s">
        <v>18</v>
      </c>
      <c r="E272" t="s">
        <v>11</v>
      </c>
      <c r="G272" t="s">
        <v>24</v>
      </c>
      <c r="H272" t="s">
        <v>23</v>
      </c>
      <c r="I272" t="s">
        <v>23</v>
      </c>
      <c r="J272" t="s">
        <v>23</v>
      </c>
      <c r="K272" t="s">
        <v>23</v>
      </c>
      <c r="L272">
        <f t="shared" si="20"/>
        <v>1</v>
      </c>
      <c r="M272">
        <f t="shared" si="21"/>
        <v>0</v>
      </c>
      <c r="N272">
        <f t="shared" si="22"/>
        <v>0</v>
      </c>
      <c r="O272">
        <f t="shared" si="24"/>
        <v>0</v>
      </c>
      <c r="P272">
        <f t="shared" si="23"/>
        <v>1</v>
      </c>
      <c r="Q272">
        <f>COUNTIF('責任職　企業局→市長部局'!A:A,SQLデータ!B272)</f>
        <v>0</v>
      </c>
      <c r="R272">
        <f>COUNTIF('一般職員　企業局→市長部局'!A:F,SQLデータ!B272)</f>
        <v>0</v>
      </c>
    </row>
    <row r="273" spans="1:18" x14ac:dyDescent="0.4">
      <c r="A273" s="1">
        <v>202560003083</v>
      </c>
      <c r="B273" s="1">
        <v>1131418</v>
      </c>
      <c r="C273" s="2">
        <v>46121</v>
      </c>
      <c r="D273" t="s">
        <v>18</v>
      </c>
      <c r="E273" t="s">
        <v>8</v>
      </c>
      <c r="G273" t="s">
        <v>26</v>
      </c>
      <c r="H273" t="s">
        <v>20</v>
      </c>
      <c r="I273" t="s">
        <v>20</v>
      </c>
      <c r="J273" t="s">
        <v>20</v>
      </c>
      <c r="K273" t="s">
        <v>20</v>
      </c>
      <c r="L273">
        <f t="shared" si="20"/>
        <v>1</v>
      </c>
      <c r="M273">
        <f t="shared" si="21"/>
        <v>0</v>
      </c>
      <c r="N273">
        <f t="shared" si="22"/>
        <v>0</v>
      </c>
      <c r="O273">
        <f t="shared" si="24"/>
        <v>0</v>
      </c>
      <c r="P273">
        <f t="shared" si="23"/>
        <v>0</v>
      </c>
      <c r="Q273">
        <f>COUNTIF('責任職　企業局→市長部局'!A:A,SQLデータ!B273)</f>
        <v>0</v>
      </c>
      <c r="R273">
        <f>COUNTIF('一般職員　企業局→市長部局'!A:F,SQLデータ!B273)</f>
        <v>0</v>
      </c>
    </row>
    <row r="274" spans="1:18" x14ac:dyDescent="0.4">
      <c r="A274" s="1">
        <v>202560003084</v>
      </c>
      <c r="B274" s="1">
        <v>920249</v>
      </c>
      <c r="C274" s="2">
        <v>46115</v>
      </c>
      <c r="D274" t="s">
        <v>18</v>
      </c>
      <c r="E274" t="s">
        <v>10</v>
      </c>
      <c r="F274" t="s">
        <v>48</v>
      </c>
      <c r="G274" t="s">
        <v>24</v>
      </c>
      <c r="H274" t="s">
        <v>23</v>
      </c>
      <c r="I274" t="s">
        <v>23</v>
      </c>
      <c r="J274" t="s">
        <v>23</v>
      </c>
      <c r="K274" t="s">
        <v>23</v>
      </c>
      <c r="L274">
        <f t="shared" si="20"/>
        <v>1</v>
      </c>
      <c r="M274">
        <f t="shared" si="21"/>
        <v>0</v>
      </c>
      <c r="N274">
        <f t="shared" si="22"/>
        <v>0</v>
      </c>
      <c r="O274">
        <f t="shared" si="24"/>
        <v>0</v>
      </c>
      <c r="P274">
        <f t="shared" si="23"/>
        <v>1</v>
      </c>
      <c r="Q274">
        <f>COUNTIF('責任職　企業局→市長部局'!A:A,SQLデータ!B274)</f>
        <v>0</v>
      </c>
      <c r="R274">
        <f>COUNTIF('一般職員　企業局→市長部局'!A:F,SQLデータ!B274)</f>
        <v>0</v>
      </c>
    </row>
    <row r="275" spans="1:18" x14ac:dyDescent="0.4">
      <c r="A275" s="1">
        <v>202560003086</v>
      </c>
      <c r="B275" s="1">
        <v>1201053</v>
      </c>
      <c r="C275" s="2">
        <v>46112</v>
      </c>
      <c r="D275" t="s">
        <v>18</v>
      </c>
      <c r="E275" t="s">
        <v>11</v>
      </c>
      <c r="G275" t="s">
        <v>31</v>
      </c>
      <c r="H275" t="s">
        <v>20</v>
      </c>
      <c r="L275">
        <f t="shared" si="20"/>
        <v>0</v>
      </c>
      <c r="M275">
        <f t="shared" si="21"/>
        <v>0</v>
      </c>
      <c r="N275">
        <f t="shared" si="22"/>
        <v>0</v>
      </c>
      <c r="O275">
        <f t="shared" si="24"/>
        <v>1</v>
      </c>
      <c r="P275">
        <f t="shared" si="23"/>
        <v>1</v>
      </c>
      <c r="Q275">
        <f>COUNTIF('責任職　企業局→市長部局'!A:A,SQLデータ!B275)</f>
        <v>0</v>
      </c>
      <c r="R275">
        <f>COUNTIF('一般職員　企業局→市長部局'!A:F,SQLデータ!B275)</f>
        <v>0</v>
      </c>
    </row>
    <row r="276" spans="1:18" x14ac:dyDescent="0.4">
      <c r="A276" s="1">
        <v>202560003088</v>
      </c>
      <c r="B276" s="1">
        <v>910713</v>
      </c>
      <c r="C276" s="2">
        <v>46112</v>
      </c>
      <c r="D276" t="s">
        <v>18</v>
      </c>
      <c r="E276" t="s">
        <v>11</v>
      </c>
      <c r="F276" t="s">
        <v>50</v>
      </c>
      <c r="G276" t="s">
        <v>39</v>
      </c>
      <c r="H276" t="s">
        <v>20</v>
      </c>
      <c r="I276" t="s">
        <v>20</v>
      </c>
      <c r="J276" t="s">
        <v>20</v>
      </c>
      <c r="K276" t="s">
        <v>20</v>
      </c>
      <c r="L276">
        <f t="shared" si="20"/>
        <v>1</v>
      </c>
      <c r="M276">
        <f t="shared" si="21"/>
        <v>0</v>
      </c>
      <c r="N276">
        <f t="shared" si="22"/>
        <v>0</v>
      </c>
      <c r="O276">
        <f t="shared" si="24"/>
        <v>0</v>
      </c>
      <c r="P276">
        <f t="shared" si="23"/>
        <v>1</v>
      </c>
      <c r="Q276">
        <f>COUNTIF('責任職　企業局→市長部局'!A:A,SQLデータ!B276)</f>
        <v>0</v>
      </c>
      <c r="R276">
        <f>COUNTIF('一般職員　企業局→市長部局'!A:F,SQLデータ!B276)</f>
        <v>0</v>
      </c>
    </row>
    <row r="277" spans="1:18" x14ac:dyDescent="0.4">
      <c r="A277" s="1">
        <v>202560003089</v>
      </c>
      <c r="B277" s="1">
        <v>1201022</v>
      </c>
      <c r="C277" s="2">
        <v>46115</v>
      </c>
      <c r="D277" t="s">
        <v>18</v>
      </c>
      <c r="E277" t="s">
        <v>11</v>
      </c>
      <c r="F277" t="s">
        <v>48</v>
      </c>
      <c r="G277" t="s">
        <v>19</v>
      </c>
      <c r="H277" t="s">
        <v>20</v>
      </c>
      <c r="J277" t="s">
        <v>20</v>
      </c>
      <c r="K277" t="s">
        <v>20</v>
      </c>
      <c r="L277">
        <f t="shared" si="20"/>
        <v>1</v>
      </c>
      <c r="M277">
        <f t="shared" si="21"/>
        <v>0</v>
      </c>
      <c r="N277">
        <f t="shared" si="22"/>
        <v>0</v>
      </c>
      <c r="O277">
        <f t="shared" si="24"/>
        <v>0</v>
      </c>
      <c r="P277">
        <f t="shared" si="23"/>
        <v>1</v>
      </c>
      <c r="Q277">
        <f>COUNTIF('責任職　企業局→市長部局'!A:A,SQLデータ!B277)</f>
        <v>0</v>
      </c>
      <c r="R277">
        <f>COUNTIF('一般職員　企業局→市長部局'!A:F,SQLデータ!B277)</f>
        <v>0</v>
      </c>
    </row>
    <row r="278" spans="1:18" x14ac:dyDescent="0.4">
      <c r="A278" s="1">
        <v>202560003090</v>
      </c>
      <c r="B278" s="1">
        <v>1181211</v>
      </c>
      <c r="C278" s="2">
        <v>46112</v>
      </c>
      <c r="D278" t="s">
        <v>18</v>
      </c>
      <c r="E278" t="s">
        <v>8</v>
      </c>
      <c r="F278" t="s">
        <v>47</v>
      </c>
      <c r="G278" t="s">
        <v>28</v>
      </c>
      <c r="H278" t="s">
        <v>20</v>
      </c>
      <c r="I278" t="s">
        <v>20</v>
      </c>
      <c r="J278" t="s">
        <v>20</v>
      </c>
      <c r="K278" t="s">
        <v>20</v>
      </c>
      <c r="L278">
        <f t="shared" si="20"/>
        <v>1</v>
      </c>
      <c r="M278">
        <f t="shared" si="21"/>
        <v>0</v>
      </c>
      <c r="N278">
        <f t="shared" si="22"/>
        <v>0</v>
      </c>
      <c r="O278">
        <f t="shared" si="24"/>
        <v>0</v>
      </c>
      <c r="P278">
        <f t="shared" si="23"/>
        <v>0</v>
      </c>
      <c r="Q278">
        <f>COUNTIF('責任職　企業局→市長部局'!A:A,SQLデータ!B278)</f>
        <v>0</v>
      </c>
      <c r="R278">
        <f>COUNTIF('一般職員　企業局→市長部局'!A:F,SQLデータ!B278)</f>
        <v>0</v>
      </c>
    </row>
    <row r="279" spans="1:18" x14ac:dyDescent="0.4">
      <c r="A279" s="1">
        <v>202560003091</v>
      </c>
      <c r="B279" s="1">
        <v>1162079</v>
      </c>
      <c r="C279" s="2">
        <v>46112</v>
      </c>
      <c r="D279" t="s">
        <v>18</v>
      </c>
      <c r="E279" t="s">
        <v>11</v>
      </c>
      <c r="F279" t="s">
        <v>50</v>
      </c>
      <c r="G279" t="s">
        <v>32</v>
      </c>
      <c r="H279" t="s">
        <v>23</v>
      </c>
      <c r="L279">
        <f t="shared" si="20"/>
        <v>0</v>
      </c>
      <c r="M279">
        <f t="shared" si="21"/>
        <v>0</v>
      </c>
      <c r="N279">
        <f t="shared" si="22"/>
        <v>0</v>
      </c>
      <c r="O279">
        <f t="shared" si="24"/>
        <v>1</v>
      </c>
      <c r="P279">
        <f t="shared" si="23"/>
        <v>1</v>
      </c>
      <c r="Q279">
        <f>COUNTIF('責任職　企業局→市長部局'!A:A,SQLデータ!B279)</f>
        <v>0</v>
      </c>
      <c r="R279">
        <f>COUNTIF('一般職員　企業局→市長部局'!A:F,SQLデータ!B279)</f>
        <v>0</v>
      </c>
    </row>
    <row r="280" spans="1:18" x14ac:dyDescent="0.4">
      <c r="A280" s="1">
        <v>202560003092</v>
      </c>
      <c r="B280" s="1">
        <v>1256016</v>
      </c>
      <c r="C280" s="2">
        <v>46112</v>
      </c>
      <c r="D280" t="s">
        <v>18</v>
      </c>
      <c r="E280" t="s">
        <v>15</v>
      </c>
      <c r="G280" t="s">
        <v>31</v>
      </c>
      <c r="H280" t="s">
        <v>20</v>
      </c>
      <c r="L280">
        <f t="shared" si="20"/>
        <v>0</v>
      </c>
      <c r="M280">
        <f t="shared" si="21"/>
        <v>0</v>
      </c>
      <c r="N280">
        <f t="shared" si="22"/>
        <v>0</v>
      </c>
      <c r="O280">
        <f t="shared" si="24"/>
        <v>1</v>
      </c>
      <c r="P280">
        <f t="shared" si="23"/>
        <v>1</v>
      </c>
      <c r="Q280">
        <f>COUNTIF('責任職　企業局→市長部局'!A:A,SQLデータ!B280)</f>
        <v>0</v>
      </c>
      <c r="R280">
        <f>COUNTIF('一般職員　企業局→市長部局'!A:F,SQLデータ!B280)</f>
        <v>0</v>
      </c>
    </row>
    <row r="281" spans="1:18" x14ac:dyDescent="0.4">
      <c r="A281" s="1">
        <v>202610000013</v>
      </c>
      <c r="B281" s="1">
        <v>1246095</v>
      </c>
      <c r="C281" s="2">
        <v>46116</v>
      </c>
      <c r="D281" t="s">
        <v>7</v>
      </c>
      <c r="E281" t="s">
        <v>10</v>
      </c>
      <c r="F281" t="s">
        <v>47</v>
      </c>
      <c r="G281" t="s">
        <v>9</v>
      </c>
      <c r="L281">
        <f t="shared" si="20"/>
        <v>0</v>
      </c>
      <c r="M281">
        <f t="shared" si="21"/>
        <v>0</v>
      </c>
      <c r="N281">
        <f t="shared" si="22"/>
        <v>0</v>
      </c>
      <c r="O281">
        <f t="shared" si="24"/>
        <v>1</v>
      </c>
      <c r="P281" t="str">
        <f t="shared" si="23"/>
        <v/>
      </c>
      <c r="Q281">
        <f>COUNTIF('責任職　企業局→市長部局'!A:A,SQLデータ!B281)</f>
        <v>0</v>
      </c>
      <c r="R281">
        <f>COUNTIF('一般職員　企業局→市長部局'!A:F,SQLデータ!B281)</f>
        <v>0</v>
      </c>
    </row>
    <row r="282" spans="1:18" x14ac:dyDescent="0.4">
      <c r="A282" s="1">
        <v>202610000020</v>
      </c>
      <c r="B282" s="1">
        <v>1181370</v>
      </c>
      <c r="C282" s="2">
        <v>46119</v>
      </c>
      <c r="D282" t="s">
        <v>7</v>
      </c>
      <c r="E282" t="s">
        <v>10</v>
      </c>
      <c r="F282" t="s">
        <v>47</v>
      </c>
      <c r="G282" t="s">
        <v>9</v>
      </c>
      <c r="L282">
        <f t="shared" si="20"/>
        <v>0</v>
      </c>
      <c r="M282">
        <f t="shared" si="21"/>
        <v>0</v>
      </c>
      <c r="N282">
        <f t="shared" si="22"/>
        <v>0</v>
      </c>
      <c r="O282">
        <f t="shared" si="24"/>
        <v>1</v>
      </c>
      <c r="P282" t="str">
        <f t="shared" si="23"/>
        <v/>
      </c>
      <c r="Q282">
        <f>COUNTIF('責任職　企業局→市長部局'!A:A,SQLデータ!B282)</f>
        <v>0</v>
      </c>
      <c r="R282">
        <f>COUNTIF('一般職員　企業局→市長部局'!A:F,SQLデータ!B282)</f>
        <v>0</v>
      </c>
    </row>
    <row r="283" spans="1:18" x14ac:dyDescent="0.4">
      <c r="A283" s="1">
        <v>202610000026</v>
      </c>
      <c r="B283" s="1">
        <v>1122071</v>
      </c>
      <c r="C283" s="2">
        <v>46125</v>
      </c>
      <c r="D283" t="s">
        <v>7</v>
      </c>
      <c r="E283" t="s">
        <v>12</v>
      </c>
      <c r="G283" t="s">
        <v>9</v>
      </c>
      <c r="L283">
        <f t="shared" si="20"/>
        <v>0</v>
      </c>
      <c r="M283">
        <f t="shared" si="21"/>
        <v>0</v>
      </c>
      <c r="N283">
        <f t="shared" si="22"/>
        <v>0</v>
      </c>
      <c r="O283">
        <f t="shared" si="24"/>
        <v>1</v>
      </c>
      <c r="P283" t="str">
        <f t="shared" si="23"/>
        <v/>
      </c>
      <c r="Q283">
        <f>COUNTIF('責任職　企業局→市長部局'!A:A,SQLデータ!B283)</f>
        <v>0</v>
      </c>
      <c r="R283">
        <f>COUNTIF('一般職員　企業局→市長部局'!A:F,SQLデータ!B283)</f>
        <v>0</v>
      </c>
    </row>
    <row r="284" spans="1:18" x14ac:dyDescent="0.4">
      <c r="A284" s="1">
        <v>202610000033</v>
      </c>
      <c r="B284" s="1">
        <v>900435</v>
      </c>
      <c r="C284" s="2">
        <v>46119</v>
      </c>
      <c r="D284" t="s">
        <v>7</v>
      </c>
      <c r="E284" t="s">
        <v>10</v>
      </c>
      <c r="F284" t="s">
        <v>47</v>
      </c>
      <c r="G284" t="s">
        <v>9</v>
      </c>
      <c r="L284">
        <f t="shared" si="20"/>
        <v>0</v>
      </c>
      <c r="M284">
        <f t="shared" si="21"/>
        <v>0</v>
      </c>
      <c r="N284">
        <f t="shared" si="22"/>
        <v>0</v>
      </c>
      <c r="O284">
        <f t="shared" si="24"/>
        <v>1</v>
      </c>
      <c r="P284" t="str">
        <f t="shared" si="23"/>
        <v/>
      </c>
      <c r="Q284">
        <f>COUNTIF('責任職　企業局→市長部局'!A:A,SQLデータ!B284)</f>
        <v>0</v>
      </c>
      <c r="R284">
        <f>COUNTIF('一般職員　企業局→市長部局'!A:F,SQLデータ!B284)</f>
        <v>0</v>
      </c>
    </row>
    <row r="285" spans="1:18" x14ac:dyDescent="0.4">
      <c r="A285" s="1">
        <v>202610000040</v>
      </c>
      <c r="B285" s="1">
        <v>840235</v>
      </c>
      <c r="C285" s="2">
        <v>46120</v>
      </c>
      <c r="D285" t="s">
        <v>7</v>
      </c>
      <c r="E285" t="s">
        <v>10</v>
      </c>
      <c r="G285" t="s">
        <v>9</v>
      </c>
      <c r="L285">
        <f t="shared" si="20"/>
        <v>0</v>
      </c>
      <c r="M285">
        <f t="shared" si="21"/>
        <v>0</v>
      </c>
      <c r="N285">
        <f t="shared" si="22"/>
        <v>0</v>
      </c>
      <c r="O285">
        <f t="shared" si="24"/>
        <v>1</v>
      </c>
      <c r="P285" t="str">
        <f t="shared" si="23"/>
        <v/>
      </c>
      <c r="Q285">
        <f>COUNTIF('責任職　企業局→市長部局'!A:A,SQLデータ!B285)</f>
        <v>0</v>
      </c>
      <c r="R285">
        <f>COUNTIF('一般職員　企業局→市長部局'!A:F,SQLデータ!B285)</f>
        <v>0</v>
      </c>
    </row>
    <row r="286" spans="1:18" x14ac:dyDescent="0.4">
      <c r="A286" s="1">
        <v>202610000047</v>
      </c>
      <c r="B286" s="1">
        <v>1216035</v>
      </c>
      <c r="C286" s="2">
        <v>46122</v>
      </c>
      <c r="D286" t="s">
        <v>7</v>
      </c>
      <c r="E286" t="s">
        <v>10</v>
      </c>
      <c r="F286" t="s">
        <v>47</v>
      </c>
      <c r="G286" t="s">
        <v>9</v>
      </c>
      <c r="L286">
        <f t="shared" si="20"/>
        <v>0</v>
      </c>
      <c r="M286">
        <f t="shared" si="21"/>
        <v>0</v>
      </c>
      <c r="N286">
        <f t="shared" si="22"/>
        <v>0</v>
      </c>
      <c r="O286">
        <f t="shared" si="24"/>
        <v>1</v>
      </c>
      <c r="P286" t="str">
        <f t="shared" si="23"/>
        <v/>
      </c>
      <c r="Q286">
        <f>COUNTIF('責任職　企業局→市長部局'!A:A,SQLデータ!B286)</f>
        <v>0</v>
      </c>
      <c r="R286">
        <f>COUNTIF('一般職員　企業局→市長部局'!A:F,SQLデータ!B286)</f>
        <v>0</v>
      </c>
    </row>
    <row r="287" spans="1:18" x14ac:dyDescent="0.4">
      <c r="A287" s="1">
        <v>202610000052</v>
      </c>
      <c r="B287" s="1">
        <v>1261451</v>
      </c>
      <c r="C287" s="2">
        <v>46121</v>
      </c>
      <c r="D287" t="s">
        <v>7</v>
      </c>
      <c r="E287" t="s">
        <v>10</v>
      </c>
      <c r="F287" t="s">
        <v>47</v>
      </c>
      <c r="G287" t="s">
        <v>9</v>
      </c>
      <c r="L287">
        <f t="shared" si="20"/>
        <v>0</v>
      </c>
      <c r="M287">
        <f t="shared" si="21"/>
        <v>0</v>
      </c>
      <c r="N287">
        <f t="shared" si="22"/>
        <v>0</v>
      </c>
      <c r="O287">
        <f t="shared" si="24"/>
        <v>1</v>
      </c>
      <c r="P287" t="str">
        <f t="shared" si="23"/>
        <v/>
      </c>
      <c r="Q287">
        <f>COUNTIF('責任職　企業局→市長部局'!A:A,SQLデータ!B287)</f>
        <v>0</v>
      </c>
      <c r="R287">
        <f>COUNTIF('一般職員　企業局→市長部局'!A:F,SQLデータ!B287)</f>
        <v>0</v>
      </c>
    </row>
    <row r="288" spans="1:18" x14ac:dyDescent="0.4">
      <c r="A288" s="1">
        <v>202610000055</v>
      </c>
      <c r="B288" s="1">
        <v>1156016</v>
      </c>
      <c r="C288" s="2">
        <v>46122</v>
      </c>
      <c r="D288" t="s">
        <v>7</v>
      </c>
      <c r="E288" t="s">
        <v>10</v>
      </c>
      <c r="F288" t="s">
        <v>47</v>
      </c>
      <c r="G288" t="s">
        <v>9</v>
      </c>
      <c r="L288">
        <f t="shared" si="20"/>
        <v>0</v>
      </c>
      <c r="M288">
        <f t="shared" si="21"/>
        <v>0</v>
      </c>
      <c r="N288">
        <f t="shared" si="22"/>
        <v>0</v>
      </c>
      <c r="O288">
        <f t="shared" si="24"/>
        <v>1</v>
      </c>
      <c r="P288" t="str">
        <f t="shared" si="23"/>
        <v/>
      </c>
      <c r="Q288">
        <f>COUNTIF('責任職　企業局→市長部局'!A:A,SQLデータ!B288)</f>
        <v>0</v>
      </c>
      <c r="R288">
        <f>COUNTIF('一般職員　企業局→市長部局'!A:F,SQLデータ!B288)</f>
        <v>0</v>
      </c>
    </row>
    <row r="289" spans="1:18" x14ac:dyDescent="0.4">
      <c r="A289" s="1">
        <v>202610000058</v>
      </c>
      <c r="B289" s="1">
        <v>910498</v>
      </c>
      <c r="C289" s="2">
        <v>46122</v>
      </c>
      <c r="D289" t="s">
        <v>7</v>
      </c>
      <c r="E289" t="s">
        <v>10</v>
      </c>
      <c r="F289" t="s">
        <v>49</v>
      </c>
      <c r="G289" t="s">
        <v>9</v>
      </c>
      <c r="L289">
        <f t="shared" si="20"/>
        <v>0</v>
      </c>
      <c r="M289">
        <f t="shared" si="21"/>
        <v>0</v>
      </c>
      <c r="N289">
        <f t="shared" si="22"/>
        <v>0</v>
      </c>
      <c r="O289">
        <f t="shared" si="24"/>
        <v>1</v>
      </c>
      <c r="P289" t="str">
        <f t="shared" si="23"/>
        <v/>
      </c>
      <c r="Q289">
        <f>COUNTIF('責任職　企業局→市長部局'!A:A,SQLデータ!B289)</f>
        <v>1</v>
      </c>
      <c r="R289">
        <f>COUNTIF('一般職員　企業局→市長部局'!A:F,SQLデータ!B289)</f>
        <v>0</v>
      </c>
    </row>
    <row r="290" spans="1:18" x14ac:dyDescent="0.4">
      <c r="A290" s="1">
        <v>202610000059</v>
      </c>
      <c r="B290" s="1">
        <v>1024164</v>
      </c>
      <c r="C290" s="2">
        <v>46122</v>
      </c>
      <c r="D290" t="s">
        <v>7</v>
      </c>
      <c r="E290" t="s">
        <v>12</v>
      </c>
      <c r="G290" t="s">
        <v>9</v>
      </c>
      <c r="L290">
        <f t="shared" si="20"/>
        <v>0</v>
      </c>
      <c r="M290">
        <f t="shared" si="21"/>
        <v>0</v>
      </c>
      <c r="N290">
        <f t="shared" si="22"/>
        <v>0</v>
      </c>
      <c r="O290">
        <f t="shared" si="24"/>
        <v>1</v>
      </c>
      <c r="P290" t="str">
        <f t="shared" si="23"/>
        <v/>
      </c>
      <c r="Q290">
        <f>COUNTIF('責任職　企業局→市長部局'!A:A,SQLデータ!B290)</f>
        <v>0</v>
      </c>
      <c r="R290">
        <f>COUNTIF('一般職員　企業局→市長部局'!A:F,SQLデータ!B290)</f>
        <v>0</v>
      </c>
    </row>
    <row r="291" spans="1:18" x14ac:dyDescent="0.4">
      <c r="A291" s="1">
        <v>202610000060</v>
      </c>
      <c r="B291" s="1">
        <v>1221184</v>
      </c>
      <c r="C291" s="2">
        <v>46122</v>
      </c>
      <c r="D291" t="s">
        <v>7</v>
      </c>
      <c r="E291" t="s">
        <v>12</v>
      </c>
      <c r="G291" t="s">
        <v>9</v>
      </c>
      <c r="L291">
        <f t="shared" si="20"/>
        <v>0</v>
      </c>
      <c r="M291">
        <f t="shared" si="21"/>
        <v>0</v>
      </c>
      <c r="N291">
        <f t="shared" si="22"/>
        <v>0</v>
      </c>
      <c r="O291">
        <f t="shared" si="24"/>
        <v>1</v>
      </c>
      <c r="P291" t="str">
        <f t="shared" si="23"/>
        <v/>
      </c>
      <c r="Q291">
        <f>COUNTIF('責任職　企業局→市長部局'!A:A,SQLデータ!B291)</f>
        <v>0</v>
      </c>
      <c r="R291">
        <f>COUNTIF('一般職員　企業局→市長部局'!A:F,SQLデータ!B291)</f>
        <v>0</v>
      </c>
    </row>
    <row r="292" spans="1:18" x14ac:dyDescent="0.4">
      <c r="A292" s="1">
        <v>202610000063</v>
      </c>
      <c r="B292" s="1">
        <v>1206067</v>
      </c>
      <c r="C292" s="2">
        <v>46122</v>
      </c>
      <c r="D292" t="s">
        <v>7</v>
      </c>
      <c r="E292" t="s">
        <v>10</v>
      </c>
      <c r="F292" t="s">
        <v>47</v>
      </c>
      <c r="G292" t="s">
        <v>9</v>
      </c>
      <c r="L292">
        <f t="shared" si="20"/>
        <v>0</v>
      </c>
      <c r="M292">
        <f t="shared" si="21"/>
        <v>0</v>
      </c>
      <c r="N292">
        <f t="shared" si="22"/>
        <v>0</v>
      </c>
      <c r="O292">
        <f t="shared" si="24"/>
        <v>1</v>
      </c>
      <c r="P292" t="str">
        <f t="shared" si="23"/>
        <v/>
      </c>
      <c r="Q292">
        <f>COUNTIF('責任職　企業局→市長部局'!A:A,SQLデータ!B292)</f>
        <v>0</v>
      </c>
      <c r="R292">
        <f>COUNTIF('一般職員　企業局→市長部局'!A:F,SQLデータ!B292)</f>
        <v>0</v>
      </c>
    </row>
    <row r="293" spans="1:18" x14ac:dyDescent="0.4">
      <c r="A293" s="1">
        <v>202610000065</v>
      </c>
      <c r="B293" s="1">
        <v>1234031</v>
      </c>
      <c r="C293" s="2">
        <v>46125</v>
      </c>
      <c r="D293" t="s">
        <v>7</v>
      </c>
      <c r="E293" t="s">
        <v>12</v>
      </c>
      <c r="G293" t="s">
        <v>9</v>
      </c>
      <c r="L293">
        <f t="shared" si="20"/>
        <v>0</v>
      </c>
      <c r="M293">
        <f t="shared" si="21"/>
        <v>0</v>
      </c>
      <c r="N293">
        <f t="shared" si="22"/>
        <v>0</v>
      </c>
      <c r="O293">
        <f t="shared" si="24"/>
        <v>1</v>
      </c>
      <c r="P293" t="str">
        <f t="shared" si="23"/>
        <v/>
      </c>
      <c r="Q293">
        <f>COUNTIF('責任職　企業局→市長部局'!A:A,SQLデータ!B293)</f>
        <v>0</v>
      </c>
      <c r="R293">
        <f>COUNTIF('一般職員　企業局→市長部局'!A:F,SQLデータ!B293)</f>
        <v>0</v>
      </c>
    </row>
    <row r="294" spans="1:18" x14ac:dyDescent="0.4">
      <c r="A294" s="1">
        <v>202610000070</v>
      </c>
      <c r="B294" s="1">
        <v>1236009</v>
      </c>
      <c r="C294" s="2">
        <v>46124</v>
      </c>
      <c r="D294" t="s">
        <v>7</v>
      </c>
      <c r="E294" t="s">
        <v>10</v>
      </c>
      <c r="F294" t="s">
        <v>47</v>
      </c>
      <c r="G294" t="s">
        <v>9</v>
      </c>
      <c r="L294">
        <f t="shared" si="20"/>
        <v>0</v>
      </c>
      <c r="M294">
        <f t="shared" si="21"/>
        <v>0</v>
      </c>
      <c r="N294">
        <f t="shared" si="22"/>
        <v>0</v>
      </c>
      <c r="O294">
        <f t="shared" si="24"/>
        <v>1</v>
      </c>
      <c r="P294" t="str">
        <f t="shared" si="23"/>
        <v/>
      </c>
      <c r="Q294">
        <f>COUNTIF('責任職　企業局→市長部局'!A:A,SQLデータ!B294)</f>
        <v>0</v>
      </c>
      <c r="R294">
        <f>COUNTIF('一般職員　企業局→市長部局'!A:F,SQLデータ!B294)</f>
        <v>0</v>
      </c>
    </row>
    <row r="295" spans="1:18" x14ac:dyDescent="0.4">
      <c r="A295" s="1">
        <v>202610000071</v>
      </c>
      <c r="B295" s="1">
        <v>1061114</v>
      </c>
      <c r="C295" s="2">
        <v>46125</v>
      </c>
      <c r="D295" t="s">
        <v>7</v>
      </c>
      <c r="E295" t="s">
        <v>12</v>
      </c>
      <c r="G295" t="s">
        <v>9</v>
      </c>
      <c r="L295">
        <f t="shared" si="20"/>
        <v>0</v>
      </c>
      <c r="M295">
        <f t="shared" si="21"/>
        <v>0</v>
      </c>
      <c r="N295">
        <f t="shared" si="22"/>
        <v>0</v>
      </c>
      <c r="O295">
        <f t="shared" si="24"/>
        <v>1</v>
      </c>
      <c r="P295" t="str">
        <f t="shared" si="23"/>
        <v/>
      </c>
      <c r="Q295">
        <f>COUNTIF('責任職　企業局→市長部局'!A:A,SQLデータ!B295)</f>
        <v>0</v>
      </c>
      <c r="R295">
        <f>COUNTIF('一般職員　企業局→市長部局'!A:F,SQLデータ!B295)</f>
        <v>0</v>
      </c>
    </row>
    <row r="296" spans="1:18" x14ac:dyDescent="0.4">
      <c r="A296" s="1">
        <v>202610000072</v>
      </c>
      <c r="B296" s="1">
        <v>1264059</v>
      </c>
      <c r="C296" s="2">
        <v>46125</v>
      </c>
      <c r="D296" t="s">
        <v>7</v>
      </c>
      <c r="E296" t="s">
        <v>12</v>
      </c>
      <c r="G296" t="s">
        <v>9</v>
      </c>
      <c r="L296">
        <f t="shared" si="20"/>
        <v>0</v>
      </c>
      <c r="M296">
        <f t="shared" si="21"/>
        <v>0</v>
      </c>
      <c r="N296">
        <f t="shared" si="22"/>
        <v>0</v>
      </c>
      <c r="O296">
        <f t="shared" si="24"/>
        <v>1</v>
      </c>
      <c r="P296" t="str">
        <f t="shared" si="23"/>
        <v/>
      </c>
      <c r="Q296">
        <f>COUNTIF('責任職　企業局→市長部局'!A:A,SQLデータ!B296)</f>
        <v>0</v>
      </c>
      <c r="R296">
        <f>COUNTIF('一般職員　企業局→市長部局'!A:F,SQLデータ!B296)</f>
        <v>0</v>
      </c>
    </row>
    <row r="297" spans="1:18" x14ac:dyDescent="0.4">
      <c r="A297" s="1">
        <v>202610000073</v>
      </c>
      <c r="B297" s="1">
        <v>1181061</v>
      </c>
      <c r="C297" s="2">
        <v>46125</v>
      </c>
      <c r="D297" t="s">
        <v>7</v>
      </c>
      <c r="E297" t="s">
        <v>12</v>
      </c>
      <c r="G297" t="s">
        <v>9</v>
      </c>
      <c r="L297">
        <f t="shared" si="20"/>
        <v>0</v>
      </c>
      <c r="M297">
        <f t="shared" si="21"/>
        <v>0</v>
      </c>
      <c r="N297">
        <f t="shared" si="22"/>
        <v>0</v>
      </c>
      <c r="O297">
        <f t="shared" si="24"/>
        <v>1</v>
      </c>
      <c r="P297" t="str">
        <f t="shared" si="23"/>
        <v/>
      </c>
      <c r="Q297">
        <f>COUNTIF('責任職　企業局→市長部局'!A:A,SQLデータ!B297)</f>
        <v>0</v>
      </c>
      <c r="R297">
        <f>COUNTIF('一般職員　企業局→市長部局'!A:F,SQLデータ!B297)</f>
        <v>0</v>
      </c>
    </row>
    <row r="298" spans="1:18" x14ac:dyDescent="0.4">
      <c r="A298" s="1">
        <v>202610000075</v>
      </c>
      <c r="B298" s="1">
        <v>1136040</v>
      </c>
      <c r="C298" s="2">
        <v>46125</v>
      </c>
      <c r="D298" t="s">
        <v>7</v>
      </c>
      <c r="E298" t="s">
        <v>10</v>
      </c>
      <c r="F298" t="s">
        <v>47</v>
      </c>
      <c r="G298" t="s">
        <v>9</v>
      </c>
      <c r="L298">
        <f t="shared" si="20"/>
        <v>0</v>
      </c>
      <c r="M298">
        <f t="shared" si="21"/>
        <v>0</v>
      </c>
      <c r="N298">
        <f t="shared" si="22"/>
        <v>0</v>
      </c>
      <c r="O298">
        <f t="shared" si="24"/>
        <v>1</v>
      </c>
      <c r="P298" t="str">
        <f t="shared" si="23"/>
        <v/>
      </c>
      <c r="Q298">
        <f>COUNTIF('責任職　企業局→市長部局'!A:A,SQLデータ!B298)</f>
        <v>0</v>
      </c>
      <c r="R298">
        <f>COUNTIF('一般職員　企業局→市長部局'!A:F,SQLデータ!B298)</f>
        <v>0</v>
      </c>
    </row>
    <row r="299" spans="1:18" x14ac:dyDescent="0.4">
      <c r="A299" s="1">
        <v>202610000078</v>
      </c>
      <c r="B299" s="1">
        <v>1051038</v>
      </c>
      <c r="C299" s="2">
        <v>46125</v>
      </c>
      <c r="D299" t="s">
        <v>7</v>
      </c>
      <c r="E299" t="s">
        <v>12</v>
      </c>
      <c r="G299" t="s">
        <v>9</v>
      </c>
      <c r="L299">
        <f t="shared" si="20"/>
        <v>0</v>
      </c>
      <c r="M299">
        <f t="shared" si="21"/>
        <v>0</v>
      </c>
      <c r="N299">
        <f t="shared" si="22"/>
        <v>0</v>
      </c>
      <c r="O299">
        <f t="shared" si="24"/>
        <v>1</v>
      </c>
      <c r="P299" t="str">
        <f t="shared" si="23"/>
        <v/>
      </c>
      <c r="Q299">
        <f>COUNTIF('責任職　企業局→市長部局'!A:A,SQLデータ!B299)</f>
        <v>0</v>
      </c>
      <c r="R299">
        <f>COUNTIF('一般職員　企業局→市長部局'!A:F,SQLデータ!B299)</f>
        <v>0</v>
      </c>
    </row>
    <row r="300" spans="1:18" x14ac:dyDescent="0.4">
      <c r="A300" s="1">
        <v>202610000079</v>
      </c>
      <c r="B300" s="1">
        <v>1122109</v>
      </c>
      <c r="C300" s="2">
        <v>46125</v>
      </c>
      <c r="D300" t="s">
        <v>7</v>
      </c>
      <c r="E300" t="s">
        <v>12</v>
      </c>
      <c r="G300" t="s">
        <v>9</v>
      </c>
      <c r="L300">
        <f t="shared" si="20"/>
        <v>0</v>
      </c>
      <c r="M300">
        <f t="shared" si="21"/>
        <v>0</v>
      </c>
      <c r="N300">
        <f t="shared" si="22"/>
        <v>0</v>
      </c>
      <c r="O300">
        <f t="shared" si="24"/>
        <v>1</v>
      </c>
      <c r="P300" t="str">
        <f t="shared" si="23"/>
        <v/>
      </c>
      <c r="Q300">
        <f>COUNTIF('責任職　企業局→市長部局'!A:A,SQLデータ!B300)</f>
        <v>0</v>
      </c>
      <c r="R300">
        <f>COUNTIF('一般職員　企業局→市長部局'!A:F,SQLデータ!B300)</f>
        <v>0</v>
      </c>
    </row>
    <row r="301" spans="1:18" x14ac:dyDescent="0.4">
      <c r="A301" s="1">
        <v>202610000080</v>
      </c>
      <c r="B301" s="1">
        <v>994331</v>
      </c>
      <c r="C301" s="2">
        <v>46125</v>
      </c>
      <c r="D301" t="s">
        <v>7</v>
      </c>
      <c r="E301" t="s">
        <v>12</v>
      </c>
      <c r="G301" t="s">
        <v>9</v>
      </c>
      <c r="L301">
        <f t="shared" si="20"/>
        <v>0</v>
      </c>
      <c r="M301">
        <f t="shared" si="21"/>
        <v>0</v>
      </c>
      <c r="N301">
        <f t="shared" si="22"/>
        <v>0</v>
      </c>
      <c r="O301">
        <f t="shared" si="24"/>
        <v>1</v>
      </c>
      <c r="P301" t="str">
        <f t="shared" si="23"/>
        <v/>
      </c>
      <c r="Q301">
        <f>COUNTIF('責任職　企業局→市長部局'!A:A,SQLデータ!B301)</f>
        <v>0</v>
      </c>
      <c r="R301">
        <f>COUNTIF('一般職員　企業局→市長部局'!A:F,SQLデータ!B301)</f>
        <v>0</v>
      </c>
    </row>
    <row r="302" spans="1:18" x14ac:dyDescent="0.4">
      <c r="A302" s="1">
        <v>202610000082</v>
      </c>
      <c r="B302" s="1">
        <v>1202048</v>
      </c>
      <c r="C302" s="2">
        <v>46125</v>
      </c>
      <c r="D302" t="s">
        <v>7</v>
      </c>
      <c r="E302" t="s">
        <v>12</v>
      </c>
      <c r="G302" t="s">
        <v>9</v>
      </c>
      <c r="L302">
        <f t="shared" si="20"/>
        <v>0</v>
      </c>
      <c r="M302">
        <f t="shared" si="21"/>
        <v>0</v>
      </c>
      <c r="N302">
        <f t="shared" si="22"/>
        <v>0</v>
      </c>
      <c r="O302">
        <f t="shared" si="24"/>
        <v>1</v>
      </c>
      <c r="P302" t="str">
        <f t="shared" si="23"/>
        <v/>
      </c>
      <c r="Q302">
        <f>COUNTIF('責任職　企業局→市長部局'!A:A,SQLデータ!B302)</f>
        <v>0</v>
      </c>
      <c r="R302">
        <f>COUNTIF('一般職員　企業局→市長部局'!A:F,SQLデータ!B302)</f>
        <v>0</v>
      </c>
    </row>
    <row r="303" spans="1:18" x14ac:dyDescent="0.4">
      <c r="A303" s="1">
        <v>202610000083</v>
      </c>
      <c r="B303" s="1">
        <v>910901</v>
      </c>
      <c r="C303" s="2">
        <v>46127</v>
      </c>
      <c r="D303" t="s">
        <v>7</v>
      </c>
      <c r="E303" t="s">
        <v>12</v>
      </c>
      <c r="G303" t="s">
        <v>9</v>
      </c>
      <c r="L303">
        <f t="shared" si="20"/>
        <v>0</v>
      </c>
      <c r="M303">
        <f t="shared" si="21"/>
        <v>0</v>
      </c>
      <c r="N303">
        <f t="shared" si="22"/>
        <v>0</v>
      </c>
      <c r="O303">
        <f t="shared" si="24"/>
        <v>1</v>
      </c>
      <c r="P303" t="str">
        <f t="shared" si="23"/>
        <v/>
      </c>
      <c r="Q303">
        <f>COUNTIF('責任職　企業局→市長部局'!A:A,SQLデータ!B303)</f>
        <v>0</v>
      </c>
      <c r="R303">
        <f>COUNTIF('一般職員　企業局→市長部局'!A:F,SQLデータ!B303)</f>
        <v>0</v>
      </c>
    </row>
    <row r="304" spans="1:18" x14ac:dyDescent="0.4">
      <c r="A304" s="1">
        <v>202610000084</v>
      </c>
      <c r="B304" s="1">
        <v>991130</v>
      </c>
      <c r="C304" s="2">
        <v>46127</v>
      </c>
      <c r="D304" t="s">
        <v>7</v>
      </c>
      <c r="E304" t="s">
        <v>12</v>
      </c>
      <c r="G304" t="s">
        <v>9</v>
      </c>
      <c r="L304">
        <f t="shared" si="20"/>
        <v>0</v>
      </c>
      <c r="M304">
        <f t="shared" si="21"/>
        <v>0</v>
      </c>
      <c r="N304">
        <f t="shared" si="22"/>
        <v>0</v>
      </c>
      <c r="O304">
        <f t="shared" si="24"/>
        <v>1</v>
      </c>
      <c r="P304" t="str">
        <f t="shared" si="23"/>
        <v/>
      </c>
      <c r="Q304">
        <f>COUNTIF('責任職　企業局→市長部局'!A:A,SQLデータ!B304)</f>
        <v>0</v>
      </c>
      <c r="R304">
        <f>COUNTIF('一般職員　企業局→市長部局'!A:F,SQLデータ!B304)</f>
        <v>0</v>
      </c>
    </row>
    <row r="305" spans="1:18" x14ac:dyDescent="0.4">
      <c r="A305" s="1">
        <v>202610000086</v>
      </c>
      <c r="B305" s="1">
        <v>1202314</v>
      </c>
      <c r="C305" s="2">
        <v>46127</v>
      </c>
      <c r="D305" t="s">
        <v>7</v>
      </c>
      <c r="E305" t="s">
        <v>10</v>
      </c>
      <c r="F305" t="s">
        <v>47</v>
      </c>
      <c r="G305" t="s">
        <v>9</v>
      </c>
      <c r="L305">
        <f t="shared" si="20"/>
        <v>0</v>
      </c>
      <c r="M305">
        <f t="shared" si="21"/>
        <v>0</v>
      </c>
      <c r="N305">
        <f t="shared" si="22"/>
        <v>0</v>
      </c>
      <c r="O305">
        <f t="shared" si="24"/>
        <v>1</v>
      </c>
      <c r="P305" t="str">
        <f t="shared" si="23"/>
        <v/>
      </c>
      <c r="Q305">
        <f>COUNTIF('責任職　企業局→市長部局'!A:A,SQLデータ!B305)</f>
        <v>0</v>
      </c>
      <c r="R305">
        <f>COUNTIF('一般職員　企業局→市長部局'!A:F,SQLデータ!B305)</f>
        <v>0</v>
      </c>
    </row>
    <row r="306" spans="1:18" x14ac:dyDescent="0.4">
      <c r="A306" s="1">
        <v>202610000087</v>
      </c>
      <c r="B306" s="1">
        <v>1211168</v>
      </c>
      <c r="C306" s="2">
        <v>46127</v>
      </c>
      <c r="D306" t="s">
        <v>7</v>
      </c>
      <c r="E306" t="s">
        <v>11</v>
      </c>
      <c r="G306" t="s">
        <v>9</v>
      </c>
      <c r="L306">
        <f t="shared" si="20"/>
        <v>0</v>
      </c>
      <c r="M306">
        <f t="shared" si="21"/>
        <v>0</v>
      </c>
      <c r="N306">
        <f t="shared" si="22"/>
        <v>0</v>
      </c>
      <c r="O306">
        <f t="shared" si="24"/>
        <v>1</v>
      </c>
      <c r="P306" t="str">
        <f t="shared" si="23"/>
        <v/>
      </c>
      <c r="Q306">
        <f>COUNTIF('責任職　企業局→市長部局'!A:A,SQLデータ!B306)</f>
        <v>0</v>
      </c>
      <c r="R306">
        <f>COUNTIF('一般職員　企業局→市長部局'!A:F,SQLデータ!B306)</f>
        <v>0</v>
      </c>
    </row>
    <row r="307" spans="1:18" x14ac:dyDescent="0.4">
      <c r="A307" s="1">
        <v>202610000088</v>
      </c>
      <c r="B307" s="1">
        <v>1212501</v>
      </c>
      <c r="C307" s="2">
        <v>46127</v>
      </c>
      <c r="D307" t="s">
        <v>7</v>
      </c>
      <c r="E307" t="s">
        <v>10</v>
      </c>
      <c r="G307" t="s">
        <v>9</v>
      </c>
      <c r="L307">
        <f t="shared" si="20"/>
        <v>0</v>
      </c>
      <c r="M307">
        <f t="shared" si="21"/>
        <v>0</v>
      </c>
      <c r="N307">
        <f t="shared" si="22"/>
        <v>0</v>
      </c>
      <c r="O307">
        <f t="shared" si="24"/>
        <v>1</v>
      </c>
      <c r="P307" t="str">
        <f t="shared" si="23"/>
        <v/>
      </c>
      <c r="Q307">
        <f>COUNTIF('責任職　企業局→市長部局'!A:A,SQLデータ!B307)</f>
        <v>0</v>
      </c>
      <c r="R307">
        <f>COUNTIF('一般職員　企業局→市長部局'!A:F,SQLデータ!B307)</f>
        <v>0</v>
      </c>
    </row>
    <row r="308" spans="1:18" x14ac:dyDescent="0.4">
      <c r="A308" s="1">
        <v>202610000090</v>
      </c>
      <c r="B308" s="1">
        <v>900049</v>
      </c>
      <c r="C308" s="2">
        <v>46127</v>
      </c>
      <c r="D308" t="s">
        <v>7</v>
      </c>
      <c r="E308" t="s">
        <v>10</v>
      </c>
      <c r="F308" t="s">
        <v>47</v>
      </c>
      <c r="G308" t="s">
        <v>9</v>
      </c>
      <c r="L308">
        <f t="shared" si="20"/>
        <v>0</v>
      </c>
      <c r="M308">
        <f t="shared" si="21"/>
        <v>0</v>
      </c>
      <c r="N308">
        <f t="shared" si="22"/>
        <v>0</v>
      </c>
      <c r="O308">
        <f t="shared" si="24"/>
        <v>1</v>
      </c>
      <c r="P308" t="str">
        <f t="shared" si="23"/>
        <v/>
      </c>
      <c r="Q308">
        <f>COUNTIF('責任職　企業局→市長部局'!A:A,SQLデータ!B308)</f>
        <v>0</v>
      </c>
      <c r="R308">
        <f>COUNTIF('一般職員　企業局→市長部局'!A:F,SQLデータ!B308)</f>
        <v>0</v>
      </c>
    </row>
    <row r="309" spans="1:18" x14ac:dyDescent="0.4">
      <c r="A309" s="1">
        <v>202610000091</v>
      </c>
      <c r="B309" s="1">
        <v>1061068</v>
      </c>
      <c r="C309" s="2">
        <v>46127</v>
      </c>
      <c r="D309" t="s">
        <v>7</v>
      </c>
      <c r="E309" t="s">
        <v>12</v>
      </c>
      <c r="G309" t="s">
        <v>9</v>
      </c>
      <c r="L309">
        <f t="shared" si="20"/>
        <v>0</v>
      </c>
      <c r="M309">
        <f t="shared" si="21"/>
        <v>0</v>
      </c>
      <c r="N309">
        <f t="shared" si="22"/>
        <v>0</v>
      </c>
      <c r="O309">
        <f t="shared" si="24"/>
        <v>1</v>
      </c>
      <c r="P309" t="str">
        <f t="shared" si="23"/>
        <v/>
      </c>
      <c r="Q309">
        <f>COUNTIF('責任職　企業局→市長部局'!A:A,SQLデータ!B309)</f>
        <v>0</v>
      </c>
      <c r="R309">
        <f>COUNTIF('一般職員　企業局→市長部局'!A:F,SQLデータ!B309)</f>
        <v>0</v>
      </c>
    </row>
    <row r="310" spans="1:18" x14ac:dyDescent="0.4">
      <c r="A310" s="1">
        <v>202610000092</v>
      </c>
      <c r="B310" s="1">
        <v>1236081</v>
      </c>
      <c r="C310" s="2">
        <v>46127</v>
      </c>
      <c r="D310" t="s">
        <v>7</v>
      </c>
      <c r="E310" t="s">
        <v>10</v>
      </c>
      <c r="F310" t="s">
        <v>47</v>
      </c>
      <c r="G310" t="s">
        <v>9</v>
      </c>
      <c r="L310">
        <f t="shared" si="20"/>
        <v>0</v>
      </c>
      <c r="M310">
        <f t="shared" si="21"/>
        <v>0</v>
      </c>
      <c r="N310">
        <f t="shared" si="22"/>
        <v>0</v>
      </c>
      <c r="O310">
        <f t="shared" si="24"/>
        <v>1</v>
      </c>
      <c r="P310" t="str">
        <f t="shared" si="23"/>
        <v/>
      </c>
      <c r="Q310">
        <f>COUNTIF('責任職　企業局→市長部局'!A:A,SQLデータ!B310)</f>
        <v>0</v>
      </c>
      <c r="R310">
        <f>COUNTIF('一般職員　企業局→市長部局'!A:F,SQLデータ!B310)</f>
        <v>0</v>
      </c>
    </row>
    <row r="311" spans="1:18" x14ac:dyDescent="0.4">
      <c r="A311" s="1">
        <v>202610000093</v>
      </c>
      <c r="B311" s="1">
        <v>1171163</v>
      </c>
      <c r="C311" s="2">
        <v>46127</v>
      </c>
      <c r="D311" t="s">
        <v>7</v>
      </c>
      <c r="E311" t="s">
        <v>12</v>
      </c>
      <c r="G311" t="s">
        <v>9</v>
      </c>
      <c r="L311">
        <f t="shared" si="20"/>
        <v>0</v>
      </c>
      <c r="M311">
        <f t="shared" si="21"/>
        <v>0</v>
      </c>
      <c r="N311">
        <f t="shared" si="22"/>
        <v>0</v>
      </c>
      <c r="O311">
        <f t="shared" si="24"/>
        <v>1</v>
      </c>
      <c r="P311" t="str">
        <f t="shared" si="23"/>
        <v/>
      </c>
      <c r="Q311">
        <f>COUNTIF('責任職　企業局→市長部局'!A:A,SQLデータ!B311)</f>
        <v>0</v>
      </c>
      <c r="R311">
        <f>COUNTIF('一般職員　企業局→市長部局'!A:F,SQLデータ!B311)</f>
        <v>0</v>
      </c>
    </row>
    <row r="312" spans="1:18" x14ac:dyDescent="0.4">
      <c r="A312" s="1">
        <v>202610000094</v>
      </c>
      <c r="B312" s="1">
        <v>1144050</v>
      </c>
      <c r="C312" s="2">
        <v>46127</v>
      </c>
      <c r="D312" t="s">
        <v>7</v>
      </c>
      <c r="E312" t="s">
        <v>10</v>
      </c>
      <c r="F312" t="s">
        <v>47</v>
      </c>
      <c r="G312" t="s">
        <v>9</v>
      </c>
      <c r="L312">
        <f t="shared" si="20"/>
        <v>0</v>
      </c>
      <c r="M312">
        <f t="shared" si="21"/>
        <v>0</v>
      </c>
      <c r="N312">
        <f t="shared" si="22"/>
        <v>0</v>
      </c>
      <c r="O312">
        <f t="shared" si="24"/>
        <v>1</v>
      </c>
      <c r="P312" t="str">
        <f t="shared" si="23"/>
        <v/>
      </c>
      <c r="Q312">
        <f>COUNTIF('責任職　企業局→市長部局'!A:A,SQLデータ!B312)</f>
        <v>0</v>
      </c>
      <c r="R312">
        <f>COUNTIF('一般職員　企業局→市長部局'!A:F,SQLデータ!B312)</f>
        <v>0</v>
      </c>
    </row>
    <row r="313" spans="1:18" x14ac:dyDescent="0.4">
      <c r="A313" s="1">
        <v>202610000095</v>
      </c>
      <c r="B313" s="1">
        <v>1131129</v>
      </c>
      <c r="C313" s="2">
        <v>46128</v>
      </c>
      <c r="D313" t="s">
        <v>7</v>
      </c>
      <c r="E313" t="s">
        <v>10</v>
      </c>
      <c r="G313" t="s">
        <v>9</v>
      </c>
      <c r="L313">
        <f t="shared" si="20"/>
        <v>0</v>
      </c>
      <c r="M313">
        <f t="shared" si="21"/>
        <v>0</v>
      </c>
      <c r="N313">
        <f t="shared" si="22"/>
        <v>0</v>
      </c>
      <c r="O313">
        <f t="shared" si="24"/>
        <v>1</v>
      </c>
      <c r="P313" t="str">
        <f t="shared" si="23"/>
        <v/>
      </c>
      <c r="Q313">
        <f>COUNTIF('責任職　企業局→市長部局'!A:A,SQLデータ!B313)</f>
        <v>0</v>
      </c>
      <c r="R313">
        <f>COUNTIF('一般職員　企業局→市長部局'!A:F,SQLデータ!B313)</f>
        <v>0</v>
      </c>
    </row>
    <row r="314" spans="1:18" x14ac:dyDescent="0.4">
      <c r="A314" s="1">
        <v>202610000096</v>
      </c>
      <c r="B314" s="1">
        <v>1111153</v>
      </c>
      <c r="C314" s="2">
        <v>46128</v>
      </c>
      <c r="D314" t="s">
        <v>7</v>
      </c>
      <c r="E314" t="s">
        <v>12</v>
      </c>
      <c r="G314" t="s">
        <v>9</v>
      </c>
      <c r="L314">
        <f t="shared" si="20"/>
        <v>0</v>
      </c>
      <c r="M314">
        <f t="shared" si="21"/>
        <v>0</v>
      </c>
      <c r="N314">
        <f t="shared" si="22"/>
        <v>0</v>
      </c>
      <c r="O314">
        <f t="shared" si="24"/>
        <v>1</v>
      </c>
      <c r="P314" t="str">
        <f t="shared" si="23"/>
        <v/>
      </c>
      <c r="Q314">
        <f>COUNTIF('責任職　企業局→市長部局'!A:A,SQLデータ!B314)</f>
        <v>0</v>
      </c>
      <c r="R314">
        <f>COUNTIF('一般職員　企業局→市長部局'!A:F,SQLデータ!B314)</f>
        <v>0</v>
      </c>
    </row>
    <row r="315" spans="1:18" x14ac:dyDescent="0.4">
      <c r="A315" s="1">
        <v>202610000097</v>
      </c>
      <c r="B315" s="1">
        <v>1154094</v>
      </c>
      <c r="C315" s="2">
        <v>46129</v>
      </c>
      <c r="D315" t="s">
        <v>7</v>
      </c>
      <c r="E315" t="s">
        <v>8</v>
      </c>
      <c r="G315" t="s">
        <v>9</v>
      </c>
      <c r="L315">
        <f t="shared" si="20"/>
        <v>0</v>
      </c>
      <c r="M315">
        <f t="shared" si="21"/>
        <v>0</v>
      </c>
      <c r="N315">
        <f t="shared" si="22"/>
        <v>0</v>
      </c>
      <c r="O315">
        <f t="shared" si="24"/>
        <v>1</v>
      </c>
      <c r="P315" t="str">
        <f t="shared" si="23"/>
        <v/>
      </c>
      <c r="Q315">
        <f>COUNTIF('責任職　企業局→市長部局'!A:A,SQLデータ!B315)</f>
        <v>0</v>
      </c>
      <c r="R315">
        <f>COUNTIF('一般職員　企業局→市長部局'!A:F,SQLデータ!B315)</f>
        <v>0</v>
      </c>
    </row>
    <row r="316" spans="1:18" x14ac:dyDescent="0.4">
      <c r="A316" s="1">
        <v>202610000098</v>
      </c>
      <c r="B316" s="1">
        <v>1121160</v>
      </c>
      <c r="C316" s="2">
        <v>46128</v>
      </c>
      <c r="D316" t="s">
        <v>7</v>
      </c>
      <c r="E316" t="s">
        <v>10</v>
      </c>
      <c r="G316" t="s">
        <v>9</v>
      </c>
      <c r="L316">
        <f t="shared" si="20"/>
        <v>0</v>
      </c>
      <c r="M316">
        <f t="shared" si="21"/>
        <v>0</v>
      </c>
      <c r="N316">
        <f t="shared" si="22"/>
        <v>0</v>
      </c>
      <c r="O316">
        <f t="shared" si="24"/>
        <v>1</v>
      </c>
      <c r="P316" t="str">
        <f t="shared" si="23"/>
        <v/>
      </c>
      <c r="Q316">
        <f>COUNTIF('責任職　企業局→市長部局'!A:A,SQLデータ!B316)</f>
        <v>0</v>
      </c>
      <c r="R316">
        <f>COUNTIF('一般職員　企業局→市長部局'!A:F,SQLデータ!B316)</f>
        <v>0</v>
      </c>
    </row>
    <row r="317" spans="1:18" x14ac:dyDescent="0.4">
      <c r="A317" s="1">
        <v>202610000099</v>
      </c>
      <c r="B317" s="1">
        <v>1121007</v>
      </c>
      <c r="C317" s="2">
        <v>46128</v>
      </c>
      <c r="D317" t="s">
        <v>7</v>
      </c>
      <c r="E317" t="s">
        <v>8</v>
      </c>
      <c r="G317" t="s">
        <v>9</v>
      </c>
      <c r="L317">
        <f t="shared" si="20"/>
        <v>0</v>
      </c>
      <c r="M317">
        <f t="shared" si="21"/>
        <v>0</v>
      </c>
      <c r="N317">
        <f t="shared" si="22"/>
        <v>0</v>
      </c>
      <c r="O317">
        <f t="shared" si="24"/>
        <v>1</v>
      </c>
      <c r="P317" t="str">
        <f t="shared" si="23"/>
        <v/>
      </c>
      <c r="Q317">
        <f>COUNTIF('責任職　企業局→市長部局'!A:A,SQLデータ!B317)</f>
        <v>0</v>
      </c>
      <c r="R317">
        <f>COUNTIF('一般職員　企業局→市長部局'!A:F,SQLデータ!B317)</f>
        <v>0</v>
      </c>
    </row>
    <row r="318" spans="1:18" x14ac:dyDescent="0.4">
      <c r="A318" s="1">
        <v>202610000101</v>
      </c>
      <c r="B318" s="1">
        <v>1191006</v>
      </c>
      <c r="C318" s="2">
        <v>46128</v>
      </c>
      <c r="D318" t="s">
        <v>7</v>
      </c>
      <c r="E318" t="s">
        <v>8</v>
      </c>
      <c r="G318" t="s">
        <v>9</v>
      </c>
      <c r="L318">
        <f t="shared" si="20"/>
        <v>0</v>
      </c>
      <c r="M318">
        <f t="shared" si="21"/>
        <v>0</v>
      </c>
      <c r="N318">
        <f t="shared" si="22"/>
        <v>0</v>
      </c>
      <c r="O318">
        <f t="shared" si="24"/>
        <v>1</v>
      </c>
      <c r="P318" t="str">
        <f t="shared" si="23"/>
        <v/>
      </c>
      <c r="Q318">
        <f>COUNTIF('責任職　企業局→市長部局'!A:A,SQLデータ!B318)</f>
        <v>0</v>
      </c>
      <c r="R318">
        <f>COUNTIF('一般職員　企業局→市長部局'!A:F,SQLデータ!B318)</f>
        <v>0</v>
      </c>
    </row>
    <row r="319" spans="1:18" x14ac:dyDescent="0.4">
      <c r="A319" s="1">
        <v>202610000102</v>
      </c>
      <c r="B319" s="1">
        <v>1031018</v>
      </c>
      <c r="C319" s="2">
        <v>46128</v>
      </c>
      <c r="D319" t="s">
        <v>7</v>
      </c>
      <c r="E319" t="s">
        <v>8</v>
      </c>
      <c r="G319" t="s">
        <v>9</v>
      </c>
      <c r="L319">
        <f t="shared" si="20"/>
        <v>0</v>
      </c>
      <c r="M319">
        <f t="shared" si="21"/>
        <v>0</v>
      </c>
      <c r="N319">
        <f t="shared" si="22"/>
        <v>0</v>
      </c>
      <c r="O319">
        <f t="shared" si="24"/>
        <v>1</v>
      </c>
      <c r="P319" t="str">
        <f t="shared" si="23"/>
        <v/>
      </c>
      <c r="Q319">
        <f>COUNTIF('責任職　企業局→市長部局'!A:A,SQLデータ!B319)</f>
        <v>0</v>
      </c>
      <c r="R319">
        <f>COUNTIF('一般職員　企業局→市長部局'!A:F,SQLデータ!B319)</f>
        <v>0</v>
      </c>
    </row>
    <row r="320" spans="1:18" x14ac:dyDescent="0.4">
      <c r="A320" s="1">
        <v>202610000103</v>
      </c>
      <c r="B320" s="1">
        <v>930428</v>
      </c>
      <c r="C320" s="2">
        <v>46129</v>
      </c>
      <c r="D320" t="s">
        <v>7</v>
      </c>
      <c r="E320" t="s">
        <v>8</v>
      </c>
      <c r="G320" t="s">
        <v>9</v>
      </c>
      <c r="L320">
        <f t="shared" si="20"/>
        <v>0</v>
      </c>
      <c r="M320">
        <f t="shared" si="21"/>
        <v>0</v>
      </c>
      <c r="N320">
        <f t="shared" si="22"/>
        <v>0</v>
      </c>
      <c r="O320">
        <f t="shared" si="24"/>
        <v>1</v>
      </c>
      <c r="P320" t="str">
        <f t="shared" si="23"/>
        <v/>
      </c>
      <c r="Q320">
        <f>COUNTIF('責任職　企業局→市長部局'!A:A,SQLデータ!B320)</f>
        <v>0</v>
      </c>
      <c r="R320">
        <f>COUNTIF('一般職員　企業局→市長部局'!A:F,SQLデータ!B320)</f>
        <v>0</v>
      </c>
    </row>
    <row r="321" spans="1:18" x14ac:dyDescent="0.4">
      <c r="A321" s="1">
        <v>202610000104</v>
      </c>
      <c r="B321" s="1">
        <v>1031117</v>
      </c>
      <c r="C321" s="2">
        <v>46129</v>
      </c>
      <c r="D321" t="s">
        <v>7</v>
      </c>
      <c r="E321" t="s">
        <v>8</v>
      </c>
      <c r="G321" t="s">
        <v>9</v>
      </c>
      <c r="L321">
        <f t="shared" si="20"/>
        <v>0</v>
      </c>
      <c r="M321">
        <f t="shared" si="21"/>
        <v>0</v>
      </c>
      <c r="N321">
        <f t="shared" si="22"/>
        <v>0</v>
      </c>
      <c r="O321">
        <f t="shared" si="24"/>
        <v>1</v>
      </c>
      <c r="P321" t="str">
        <f t="shared" si="23"/>
        <v/>
      </c>
      <c r="Q321">
        <f>COUNTIF('責任職　企業局→市長部局'!A:A,SQLデータ!B321)</f>
        <v>0</v>
      </c>
      <c r="R321">
        <f>COUNTIF('一般職員　企業局→市長部局'!A:F,SQLデータ!B321)</f>
        <v>0</v>
      </c>
    </row>
    <row r="322" spans="1:18" x14ac:dyDescent="0.4">
      <c r="A322" s="1">
        <v>202610000106</v>
      </c>
      <c r="B322" s="1">
        <v>994290</v>
      </c>
      <c r="C322" s="2">
        <v>46129</v>
      </c>
      <c r="D322" t="s">
        <v>7</v>
      </c>
      <c r="E322" t="s">
        <v>8</v>
      </c>
      <c r="G322" t="s">
        <v>9</v>
      </c>
      <c r="L322">
        <f t="shared" ref="L322:L385" si="25">IF(ISBLANK(J322),0,1)</f>
        <v>0</v>
      </c>
      <c r="M322">
        <f t="shared" ref="M322:M385" si="26">IF(AND(L322=0,I322&lt;&gt;""),1,0)</f>
        <v>0</v>
      </c>
      <c r="N322">
        <f t="shared" ref="N322:N385" si="27">IF(AND(L322=0,M322=0,K322&lt;&gt;""),1,0)</f>
        <v>0</v>
      </c>
      <c r="O322">
        <f t="shared" si="24"/>
        <v>1</v>
      </c>
      <c r="P322" t="str">
        <f t="shared" ref="P322:P385" si="28">IF(D322&lt;&gt;"扶養","",IF(E322&lt;&gt;"確認待ち",1,IF(OR(AND(G322="本人の結婚",O322=1),AND(H322="減",OR(N322=1,O322=1))),1,0)))</f>
        <v/>
      </c>
      <c r="Q322">
        <f>COUNTIF('責任職　企業局→市長部局'!A:A,SQLデータ!B322)</f>
        <v>0</v>
      </c>
      <c r="R322">
        <f>COUNTIF('一般職員　企業局→市長部局'!A:F,SQLデータ!B322)</f>
        <v>0</v>
      </c>
    </row>
    <row r="323" spans="1:18" x14ac:dyDescent="0.4">
      <c r="A323" s="1">
        <v>202610000107</v>
      </c>
      <c r="B323" s="1">
        <v>1211072</v>
      </c>
      <c r="C323" s="2">
        <v>46129</v>
      </c>
      <c r="D323" t="s">
        <v>7</v>
      </c>
      <c r="E323" t="s">
        <v>8</v>
      </c>
      <c r="G323" t="s">
        <v>9</v>
      </c>
      <c r="L323">
        <f t="shared" si="25"/>
        <v>0</v>
      </c>
      <c r="M323">
        <f t="shared" si="26"/>
        <v>0</v>
      </c>
      <c r="N323">
        <f t="shared" si="27"/>
        <v>0</v>
      </c>
      <c r="O323">
        <f t="shared" ref="O323:O328" si="29">IF(COUNTIF(L323:N323,0)=3,1,0)</f>
        <v>1</v>
      </c>
      <c r="P323" t="str">
        <f t="shared" si="28"/>
        <v/>
      </c>
      <c r="Q323">
        <f>COUNTIF('責任職　企業局→市長部局'!A:A,SQLデータ!B323)</f>
        <v>0</v>
      </c>
      <c r="R323">
        <f>COUNTIF('一般職員　企業局→市長部局'!A:F,SQLデータ!B323)</f>
        <v>0</v>
      </c>
    </row>
    <row r="324" spans="1:18" x14ac:dyDescent="0.4">
      <c r="A324" s="1">
        <v>202610000108</v>
      </c>
      <c r="B324" s="1">
        <v>1214005</v>
      </c>
      <c r="C324" s="2">
        <v>46129</v>
      </c>
      <c r="D324" t="s">
        <v>7</v>
      </c>
      <c r="E324" t="s">
        <v>8</v>
      </c>
      <c r="G324" t="s">
        <v>9</v>
      </c>
      <c r="L324">
        <f t="shared" si="25"/>
        <v>0</v>
      </c>
      <c r="M324">
        <f t="shared" si="26"/>
        <v>0</v>
      </c>
      <c r="N324">
        <f t="shared" si="27"/>
        <v>0</v>
      </c>
      <c r="O324">
        <f t="shared" si="29"/>
        <v>1</v>
      </c>
      <c r="P324" t="str">
        <f t="shared" si="28"/>
        <v/>
      </c>
      <c r="Q324">
        <f>COUNTIF('責任職　企業局→市長部局'!A:A,SQLデータ!B324)</f>
        <v>0</v>
      </c>
      <c r="R324">
        <f>COUNTIF('一般職員　企業局→市長部局'!A:F,SQLデータ!B324)</f>
        <v>0</v>
      </c>
    </row>
    <row r="325" spans="1:18" x14ac:dyDescent="0.4">
      <c r="A325" s="1">
        <v>202610000109</v>
      </c>
      <c r="B325" s="1">
        <v>1234009</v>
      </c>
      <c r="C325" s="2">
        <v>46132</v>
      </c>
      <c r="D325" t="s">
        <v>7</v>
      </c>
      <c r="E325" t="s">
        <v>8</v>
      </c>
      <c r="G325" t="s">
        <v>9</v>
      </c>
      <c r="L325">
        <f t="shared" si="25"/>
        <v>0</v>
      </c>
      <c r="M325">
        <f t="shared" si="26"/>
        <v>0</v>
      </c>
      <c r="N325">
        <f t="shared" si="27"/>
        <v>0</v>
      </c>
      <c r="O325">
        <f t="shared" si="29"/>
        <v>1</v>
      </c>
      <c r="P325" t="str">
        <f t="shared" si="28"/>
        <v/>
      </c>
      <c r="Q325">
        <f>COUNTIF('責任職　企業局→市長部局'!A:A,SQLデータ!B325)</f>
        <v>0</v>
      </c>
      <c r="R325">
        <f>COUNTIF('一般職員　企業局→市長部局'!A:F,SQLデータ!B325)</f>
        <v>0</v>
      </c>
    </row>
    <row r="326" spans="1:18" x14ac:dyDescent="0.4">
      <c r="A326" s="1">
        <v>202620000001</v>
      </c>
      <c r="B326" s="1">
        <v>1151278</v>
      </c>
      <c r="C326" s="2">
        <v>46115</v>
      </c>
      <c r="D326" t="s">
        <v>13</v>
      </c>
      <c r="E326" t="s">
        <v>12</v>
      </c>
      <c r="F326" t="s">
        <v>48</v>
      </c>
      <c r="G326" t="s">
        <v>9</v>
      </c>
      <c r="L326">
        <f t="shared" si="25"/>
        <v>0</v>
      </c>
      <c r="M326">
        <f t="shared" si="26"/>
        <v>0</v>
      </c>
      <c r="N326">
        <f t="shared" si="27"/>
        <v>0</v>
      </c>
      <c r="O326">
        <f t="shared" si="29"/>
        <v>1</v>
      </c>
      <c r="P326" t="str">
        <f t="shared" si="28"/>
        <v/>
      </c>
      <c r="Q326">
        <f>COUNTIF('責任職　企業局→市長部局'!A:A,SQLデータ!B326)</f>
        <v>0</v>
      </c>
      <c r="R326">
        <f>COUNTIF('一般職員　企業局→市長部局'!A:F,SQLデータ!B326)</f>
        <v>0</v>
      </c>
    </row>
    <row r="327" spans="1:18" x14ac:dyDescent="0.4">
      <c r="A327" s="1">
        <v>202620000002</v>
      </c>
      <c r="B327" s="1">
        <v>1260011</v>
      </c>
      <c r="C327" s="2">
        <v>46115</v>
      </c>
      <c r="D327" t="s">
        <v>13</v>
      </c>
      <c r="E327" t="s">
        <v>8</v>
      </c>
      <c r="G327" t="s">
        <v>9</v>
      </c>
      <c r="L327">
        <f t="shared" si="25"/>
        <v>0</v>
      </c>
      <c r="M327">
        <f t="shared" si="26"/>
        <v>0</v>
      </c>
      <c r="N327">
        <f t="shared" si="27"/>
        <v>0</v>
      </c>
      <c r="O327">
        <f t="shared" si="29"/>
        <v>1</v>
      </c>
      <c r="P327" t="str">
        <f t="shared" si="28"/>
        <v/>
      </c>
      <c r="Q327">
        <f>COUNTIF('責任職　企業局→市長部局'!A:A,SQLデータ!B327)</f>
        <v>0</v>
      </c>
      <c r="R327">
        <f>COUNTIF('一般職員　企業局→市長部局'!A:F,SQLデータ!B327)</f>
        <v>0</v>
      </c>
    </row>
    <row r="328" spans="1:18" x14ac:dyDescent="0.4">
      <c r="A328" s="1">
        <v>202620000003</v>
      </c>
      <c r="B328" s="1">
        <v>1031112</v>
      </c>
      <c r="C328" s="2">
        <v>46115</v>
      </c>
      <c r="D328" t="s">
        <v>13</v>
      </c>
      <c r="E328" t="s">
        <v>8</v>
      </c>
      <c r="G328" t="s">
        <v>9</v>
      </c>
      <c r="L328">
        <f t="shared" si="25"/>
        <v>0</v>
      </c>
      <c r="M328">
        <f t="shared" si="26"/>
        <v>0</v>
      </c>
      <c r="N328">
        <f t="shared" si="27"/>
        <v>0</v>
      </c>
      <c r="O328">
        <f t="shared" si="29"/>
        <v>1</v>
      </c>
      <c r="P328" t="str">
        <f t="shared" si="28"/>
        <v/>
      </c>
      <c r="Q328">
        <f>COUNTIF('責任職　企業局→市長部局'!A:A,SQLデータ!B328)</f>
        <v>1</v>
      </c>
      <c r="R328">
        <f>COUNTIF('一般職員　企業局→市長部局'!A:F,SQLデータ!B328)</f>
        <v>0</v>
      </c>
    </row>
    <row r="329" spans="1:18" x14ac:dyDescent="0.4">
      <c r="A329" s="1">
        <v>202620000004</v>
      </c>
      <c r="B329" s="1">
        <v>991046</v>
      </c>
      <c r="C329" s="2">
        <v>46115</v>
      </c>
      <c r="D329" t="s">
        <v>13</v>
      </c>
      <c r="E329" t="s">
        <v>11</v>
      </c>
      <c r="G329" t="s">
        <v>9</v>
      </c>
      <c r="L329">
        <f t="shared" si="25"/>
        <v>0</v>
      </c>
      <c r="M329">
        <f t="shared" si="26"/>
        <v>0</v>
      </c>
      <c r="N329">
        <f t="shared" si="27"/>
        <v>0</v>
      </c>
      <c r="O329">
        <f t="shared" ref="O329:O392" si="30">IF(COUNTIF(L329:N329,0)=3,1,0)</f>
        <v>1</v>
      </c>
      <c r="P329" t="str">
        <f t="shared" si="28"/>
        <v/>
      </c>
      <c r="Q329">
        <f>COUNTIF('責任職　企業局→市長部局'!A:A,SQLデータ!B329)</f>
        <v>1</v>
      </c>
      <c r="R329">
        <f>COUNTIF('一般職員　企業局→市長部局'!A:F,SQLデータ!B329)</f>
        <v>0</v>
      </c>
    </row>
    <row r="330" spans="1:18" x14ac:dyDescent="0.4">
      <c r="A330" s="1">
        <v>202620000005</v>
      </c>
      <c r="B330" s="1">
        <v>1111197</v>
      </c>
      <c r="C330" s="2">
        <v>46115</v>
      </c>
      <c r="D330" t="s">
        <v>13</v>
      </c>
      <c r="E330" t="s">
        <v>8</v>
      </c>
      <c r="G330" t="s">
        <v>9</v>
      </c>
      <c r="L330">
        <f t="shared" si="25"/>
        <v>0</v>
      </c>
      <c r="M330">
        <f t="shared" si="26"/>
        <v>0</v>
      </c>
      <c r="N330">
        <f t="shared" si="27"/>
        <v>0</v>
      </c>
      <c r="O330">
        <f t="shared" si="30"/>
        <v>1</v>
      </c>
      <c r="P330" t="str">
        <f t="shared" si="28"/>
        <v/>
      </c>
      <c r="Q330">
        <f>COUNTIF('責任職　企業局→市長部局'!A:A,SQLデータ!B330)</f>
        <v>0</v>
      </c>
      <c r="R330">
        <f>COUNTIF('一般職員　企業局→市長部局'!A:F,SQLデータ!B330)</f>
        <v>0</v>
      </c>
    </row>
    <row r="331" spans="1:18" x14ac:dyDescent="0.4">
      <c r="A331" s="1">
        <v>202620000006</v>
      </c>
      <c r="B331" s="1">
        <v>930339</v>
      </c>
      <c r="C331" s="2">
        <v>46115</v>
      </c>
      <c r="D331" t="s">
        <v>13</v>
      </c>
      <c r="E331" t="s">
        <v>8</v>
      </c>
      <c r="F331" t="s">
        <v>47</v>
      </c>
      <c r="G331" t="s">
        <v>9</v>
      </c>
      <c r="L331">
        <f t="shared" si="25"/>
        <v>0</v>
      </c>
      <c r="M331">
        <f t="shared" si="26"/>
        <v>0</v>
      </c>
      <c r="N331">
        <f t="shared" si="27"/>
        <v>0</v>
      </c>
      <c r="O331">
        <f t="shared" si="30"/>
        <v>1</v>
      </c>
      <c r="P331" t="str">
        <f t="shared" si="28"/>
        <v/>
      </c>
      <c r="Q331">
        <f>COUNTIF('責任職　企業局→市長部局'!A:A,SQLデータ!B331)</f>
        <v>1</v>
      </c>
      <c r="R331">
        <f>COUNTIF('一般職員　企業局→市長部局'!A:F,SQLデータ!B331)</f>
        <v>0</v>
      </c>
    </row>
    <row r="332" spans="1:18" x14ac:dyDescent="0.4">
      <c r="A332" s="1">
        <v>202620000007</v>
      </c>
      <c r="B332" s="1">
        <v>1082026</v>
      </c>
      <c r="C332" s="2">
        <v>46115</v>
      </c>
      <c r="D332" t="s">
        <v>13</v>
      </c>
      <c r="E332" t="s">
        <v>11</v>
      </c>
      <c r="G332" t="s">
        <v>9</v>
      </c>
      <c r="L332">
        <f t="shared" si="25"/>
        <v>0</v>
      </c>
      <c r="M332">
        <f t="shared" si="26"/>
        <v>0</v>
      </c>
      <c r="N332">
        <f t="shared" si="27"/>
        <v>0</v>
      </c>
      <c r="O332">
        <f t="shared" si="30"/>
        <v>1</v>
      </c>
      <c r="P332" t="str">
        <f t="shared" si="28"/>
        <v/>
      </c>
      <c r="Q332">
        <f>COUNTIF('責任職　企業局→市長部局'!A:A,SQLデータ!B332)</f>
        <v>1</v>
      </c>
      <c r="R332">
        <f>COUNTIF('一般職員　企業局→市長部局'!A:F,SQLデータ!B332)</f>
        <v>0</v>
      </c>
    </row>
    <row r="333" spans="1:18" x14ac:dyDescent="0.4">
      <c r="A333" s="1">
        <v>202620000008</v>
      </c>
      <c r="B333" s="1">
        <v>1103008</v>
      </c>
      <c r="C333" s="2">
        <v>46115</v>
      </c>
      <c r="D333" t="s">
        <v>13</v>
      </c>
      <c r="E333" t="s">
        <v>10</v>
      </c>
      <c r="F333" t="s">
        <v>47</v>
      </c>
      <c r="G333" t="s">
        <v>9</v>
      </c>
      <c r="L333">
        <f t="shared" si="25"/>
        <v>0</v>
      </c>
      <c r="M333">
        <f t="shared" si="26"/>
        <v>0</v>
      </c>
      <c r="N333">
        <f t="shared" si="27"/>
        <v>0</v>
      </c>
      <c r="O333">
        <f t="shared" si="30"/>
        <v>1</v>
      </c>
      <c r="P333" t="str">
        <f t="shared" si="28"/>
        <v/>
      </c>
      <c r="Q333">
        <f>COUNTIF('責任職　企業局→市長部局'!A:A,SQLデータ!B333)</f>
        <v>0</v>
      </c>
      <c r="R333">
        <f>COUNTIF('一般職員　企業局→市長部局'!A:F,SQLデータ!B333)</f>
        <v>0</v>
      </c>
    </row>
    <row r="334" spans="1:18" x14ac:dyDescent="0.4">
      <c r="A334" s="1">
        <v>202620000011</v>
      </c>
      <c r="B334" s="1">
        <v>1102074</v>
      </c>
      <c r="C334" s="2">
        <v>46115</v>
      </c>
      <c r="D334" t="s">
        <v>13</v>
      </c>
      <c r="E334" t="s">
        <v>12</v>
      </c>
      <c r="G334" t="s">
        <v>9</v>
      </c>
      <c r="L334">
        <f t="shared" si="25"/>
        <v>0</v>
      </c>
      <c r="M334">
        <f t="shared" si="26"/>
        <v>0</v>
      </c>
      <c r="N334">
        <f t="shared" si="27"/>
        <v>0</v>
      </c>
      <c r="O334">
        <f t="shared" si="30"/>
        <v>1</v>
      </c>
      <c r="P334" t="str">
        <f t="shared" si="28"/>
        <v/>
      </c>
      <c r="Q334">
        <f>COUNTIF('責任職　企業局→市長部局'!A:A,SQLデータ!B334)</f>
        <v>1</v>
      </c>
      <c r="R334">
        <f>COUNTIF('一般職員　企業局→市長部局'!A:F,SQLデータ!B334)</f>
        <v>0</v>
      </c>
    </row>
    <row r="335" spans="1:18" x14ac:dyDescent="0.4">
      <c r="A335" s="1">
        <v>202620000012</v>
      </c>
      <c r="B335" s="1">
        <v>1193007</v>
      </c>
      <c r="C335" s="2">
        <v>46115</v>
      </c>
      <c r="D335" t="s">
        <v>13</v>
      </c>
      <c r="E335" t="s">
        <v>12</v>
      </c>
      <c r="G335" t="s">
        <v>9</v>
      </c>
      <c r="L335">
        <f t="shared" si="25"/>
        <v>0</v>
      </c>
      <c r="M335">
        <f t="shared" si="26"/>
        <v>0</v>
      </c>
      <c r="N335">
        <f t="shared" si="27"/>
        <v>0</v>
      </c>
      <c r="O335">
        <f t="shared" si="30"/>
        <v>1</v>
      </c>
      <c r="P335" t="str">
        <f t="shared" si="28"/>
        <v/>
      </c>
      <c r="Q335">
        <f>COUNTIF('責任職　企業局→市長部局'!A:A,SQLデータ!B335)</f>
        <v>0</v>
      </c>
      <c r="R335">
        <f>COUNTIF('一般職員　企業局→市長部局'!A:F,SQLデータ!B335)</f>
        <v>0</v>
      </c>
    </row>
    <row r="336" spans="1:18" x14ac:dyDescent="0.4">
      <c r="A336" s="1">
        <v>202620000013</v>
      </c>
      <c r="B336" s="1">
        <v>1196078</v>
      </c>
      <c r="C336" s="2">
        <v>46116</v>
      </c>
      <c r="D336" t="s">
        <v>13</v>
      </c>
      <c r="E336" t="s">
        <v>10</v>
      </c>
      <c r="G336" t="s">
        <v>9</v>
      </c>
      <c r="L336">
        <f t="shared" si="25"/>
        <v>0</v>
      </c>
      <c r="M336">
        <f t="shared" si="26"/>
        <v>0</v>
      </c>
      <c r="N336">
        <f t="shared" si="27"/>
        <v>0</v>
      </c>
      <c r="O336">
        <f t="shared" si="30"/>
        <v>1</v>
      </c>
      <c r="P336" t="str">
        <f t="shared" si="28"/>
        <v/>
      </c>
      <c r="Q336">
        <f>COUNTIF('責任職　企業局→市長部局'!A:A,SQLデータ!B336)</f>
        <v>0</v>
      </c>
      <c r="R336">
        <f>COUNTIF('一般職員　企業局→市長部局'!A:F,SQLデータ!B336)</f>
        <v>0</v>
      </c>
    </row>
    <row r="337" spans="1:18" x14ac:dyDescent="0.4">
      <c r="A337" s="1">
        <v>202620000014</v>
      </c>
      <c r="B337" s="1">
        <v>950496</v>
      </c>
      <c r="C337" s="2">
        <v>46117</v>
      </c>
      <c r="D337" t="s">
        <v>13</v>
      </c>
      <c r="E337" t="s">
        <v>8</v>
      </c>
      <c r="G337" t="s">
        <v>9</v>
      </c>
      <c r="L337">
        <f t="shared" si="25"/>
        <v>0</v>
      </c>
      <c r="M337">
        <f t="shared" si="26"/>
        <v>0</v>
      </c>
      <c r="N337">
        <f t="shared" si="27"/>
        <v>0</v>
      </c>
      <c r="O337">
        <f t="shared" si="30"/>
        <v>1</v>
      </c>
      <c r="P337" t="str">
        <f t="shared" si="28"/>
        <v/>
      </c>
      <c r="Q337">
        <f>COUNTIF('責任職　企業局→市長部局'!A:A,SQLデータ!B337)</f>
        <v>0</v>
      </c>
      <c r="R337">
        <f>COUNTIF('一般職員　企業局→市長部局'!A:F,SQLデータ!B337)</f>
        <v>0</v>
      </c>
    </row>
    <row r="338" spans="1:18" x14ac:dyDescent="0.4">
      <c r="A338" s="1">
        <v>202620000015</v>
      </c>
      <c r="B338" s="1">
        <v>1031112</v>
      </c>
      <c r="C338" s="2">
        <v>46118</v>
      </c>
      <c r="D338" t="s">
        <v>13</v>
      </c>
      <c r="E338" t="s">
        <v>8</v>
      </c>
      <c r="G338" t="s">
        <v>9</v>
      </c>
      <c r="L338">
        <f t="shared" si="25"/>
        <v>0</v>
      </c>
      <c r="M338">
        <f t="shared" si="26"/>
        <v>0</v>
      </c>
      <c r="N338">
        <f t="shared" si="27"/>
        <v>0</v>
      </c>
      <c r="O338">
        <f t="shared" si="30"/>
        <v>1</v>
      </c>
      <c r="P338" t="str">
        <f t="shared" si="28"/>
        <v/>
      </c>
      <c r="Q338">
        <f>COUNTIF('責任職　企業局→市長部局'!A:A,SQLデータ!B338)</f>
        <v>1</v>
      </c>
      <c r="R338">
        <f>COUNTIF('一般職員　企業局→市長部局'!A:F,SQLデータ!B338)</f>
        <v>0</v>
      </c>
    </row>
    <row r="339" spans="1:18" x14ac:dyDescent="0.4">
      <c r="A339" s="1">
        <v>202620000016</v>
      </c>
      <c r="B339" s="1">
        <v>1132048</v>
      </c>
      <c r="C339" s="2">
        <v>46118</v>
      </c>
      <c r="D339" t="s">
        <v>13</v>
      </c>
      <c r="E339" t="s">
        <v>10</v>
      </c>
      <c r="G339" t="s">
        <v>9</v>
      </c>
      <c r="L339">
        <f t="shared" si="25"/>
        <v>0</v>
      </c>
      <c r="M339">
        <f t="shared" si="26"/>
        <v>0</v>
      </c>
      <c r="N339">
        <f t="shared" si="27"/>
        <v>0</v>
      </c>
      <c r="O339">
        <f t="shared" si="30"/>
        <v>1</v>
      </c>
      <c r="P339" t="str">
        <f t="shared" si="28"/>
        <v/>
      </c>
      <c r="Q339">
        <f>COUNTIF('責任職　企業局→市長部局'!A:A,SQLデータ!B339)</f>
        <v>1</v>
      </c>
      <c r="R339">
        <f>COUNTIF('一般職員　企業局→市長部局'!A:F,SQLデータ!B339)</f>
        <v>0</v>
      </c>
    </row>
    <row r="340" spans="1:18" x14ac:dyDescent="0.4">
      <c r="A340" s="1">
        <v>202620000019</v>
      </c>
      <c r="B340" s="1">
        <v>1011109</v>
      </c>
      <c r="C340" s="2">
        <v>46118</v>
      </c>
      <c r="D340" t="s">
        <v>13</v>
      </c>
      <c r="E340" t="s">
        <v>10</v>
      </c>
      <c r="G340" t="s">
        <v>9</v>
      </c>
      <c r="L340">
        <f t="shared" si="25"/>
        <v>0</v>
      </c>
      <c r="M340">
        <f t="shared" si="26"/>
        <v>0</v>
      </c>
      <c r="N340">
        <f t="shared" si="27"/>
        <v>0</v>
      </c>
      <c r="O340">
        <f t="shared" si="30"/>
        <v>1</v>
      </c>
      <c r="P340" t="str">
        <f t="shared" si="28"/>
        <v/>
      </c>
      <c r="Q340">
        <f>COUNTIF('責任職　企業局→市長部局'!A:A,SQLデータ!B340)</f>
        <v>1</v>
      </c>
      <c r="R340">
        <f>COUNTIF('一般職員　企業局→市長部局'!A:F,SQLデータ!B340)</f>
        <v>0</v>
      </c>
    </row>
    <row r="341" spans="1:18" x14ac:dyDescent="0.4">
      <c r="A341" s="1">
        <v>202620000020</v>
      </c>
      <c r="B341" s="1">
        <v>1092096</v>
      </c>
      <c r="C341" s="2">
        <v>46118</v>
      </c>
      <c r="D341" t="s">
        <v>13</v>
      </c>
      <c r="E341" t="s">
        <v>8</v>
      </c>
      <c r="G341" t="s">
        <v>9</v>
      </c>
      <c r="L341">
        <f t="shared" si="25"/>
        <v>0</v>
      </c>
      <c r="M341">
        <f t="shared" si="26"/>
        <v>0</v>
      </c>
      <c r="N341">
        <f t="shared" si="27"/>
        <v>0</v>
      </c>
      <c r="O341">
        <f t="shared" si="30"/>
        <v>1</v>
      </c>
      <c r="P341" t="str">
        <f t="shared" si="28"/>
        <v/>
      </c>
      <c r="Q341">
        <f>COUNTIF('責任職　企業局→市長部局'!A:A,SQLデータ!B341)</f>
        <v>0</v>
      </c>
      <c r="R341">
        <f>COUNTIF('一般職員　企業局→市長部局'!A:F,SQLデータ!B341)</f>
        <v>0</v>
      </c>
    </row>
    <row r="342" spans="1:18" x14ac:dyDescent="0.4">
      <c r="A342" s="1">
        <v>202620000022</v>
      </c>
      <c r="B342" s="1">
        <v>971077</v>
      </c>
      <c r="C342" s="2">
        <v>46118</v>
      </c>
      <c r="D342" t="s">
        <v>13</v>
      </c>
      <c r="E342" t="s">
        <v>12</v>
      </c>
      <c r="G342" t="s">
        <v>9</v>
      </c>
      <c r="L342">
        <f t="shared" si="25"/>
        <v>0</v>
      </c>
      <c r="M342">
        <f t="shared" si="26"/>
        <v>0</v>
      </c>
      <c r="N342">
        <f t="shared" si="27"/>
        <v>0</v>
      </c>
      <c r="O342">
        <f t="shared" si="30"/>
        <v>1</v>
      </c>
      <c r="P342" t="str">
        <f t="shared" si="28"/>
        <v/>
      </c>
      <c r="Q342">
        <f>COUNTIF('責任職　企業局→市長部局'!A:A,SQLデータ!B342)</f>
        <v>1</v>
      </c>
      <c r="R342">
        <f>COUNTIF('一般職員　企業局→市長部局'!A:F,SQLデータ!B342)</f>
        <v>0</v>
      </c>
    </row>
    <row r="343" spans="1:18" x14ac:dyDescent="0.4">
      <c r="A343" s="1">
        <v>202620000023</v>
      </c>
      <c r="B343" s="1">
        <v>1111165</v>
      </c>
      <c r="C343" s="2">
        <v>46119</v>
      </c>
      <c r="D343" t="s">
        <v>13</v>
      </c>
      <c r="E343" t="s">
        <v>12</v>
      </c>
      <c r="G343" t="s">
        <v>9</v>
      </c>
      <c r="L343">
        <f t="shared" si="25"/>
        <v>0</v>
      </c>
      <c r="M343">
        <f t="shared" si="26"/>
        <v>0</v>
      </c>
      <c r="N343">
        <f t="shared" si="27"/>
        <v>0</v>
      </c>
      <c r="O343">
        <f t="shared" si="30"/>
        <v>1</v>
      </c>
      <c r="P343" t="str">
        <f t="shared" si="28"/>
        <v/>
      </c>
      <c r="Q343">
        <f>COUNTIF('責任職　企業局→市長部局'!A:A,SQLデータ!B343)</f>
        <v>1</v>
      </c>
      <c r="R343">
        <f>COUNTIF('一般職員　企業局→市長部局'!A:F,SQLデータ!B343)</f>
        <v>0</v>
      </c>
    </row>
    <row r="344" spans="1:18" x14ac:dyDescent="0.4">
      <c r="A344" s="1">
        <v>202620000024</v>
      </c>
      <c r="B344" s="1">
        <v>5098366</v>
      </c>
      <c r="C344" s="2">
        <v>46119</v>
      </c>
      <c r="D344" t="s">
        <v>13</v>
      </c>
      <c r="E344" t="s">
        <v>12</v>
      </c>
      <c r="G344" t="s">
        <v>9</v>
      </c>
      <c r="L344">
        <f t="shared" si="25"/>
        <v>0</v>
      </c>
      <c r="M344">
        <f t="shared" si="26"/>
        <v>0</v>
      </c>
      <c r="N344">
        <f t="shared" si="27"/>
        <v>0</v>
      </c>
      <c r="O344">
        <f t="shared" si="30"/>
        <v>1</v>
      </c>
      <c r="P344" t="str">
        <f t="shared" si="28"/>
        <v/>
      </c>
      <c r="Q344">
        <f>COUNTIF('責任職　企業局→市長部局'!A:A,SQLデータ!B344)</f>
        <v>0</v>
      </c>
      <c r="R344">
        <f>COUNTIF('一般職員　企業局→市長部局'!A:F,SQLデータ!B344)</f>
        <v>0</v>
      </c>
    </row>
    <row r="345" spans="1:18" x14ac:dyDescent="0.4">
      <c r="A345" s="1">
        <v>202620000025</v>
      </c>
      <c r="B345" s="1">
        <v>5078441</v>
      </c>
      <c r="C345" s="2">
        <v>46119</v>
      </c>
      <c r="D345" t="s">
        <v>13</v>
      </c>
      <c r="E345" t="s">
        <v>11</v>
      </c>
      <c r="G345" t="s">
        <v>9</v>
      </c>
      <c r="L345">
        <f t="shared" si="25"/>
        <v>0</v>
      </c>
      <c r="M345">
        <f t="shared" si="26"/>
        <v>0</v>
      </c>
      <c r="N345">
        <f t="shared" si="27"/>
        <v>0</v>
      </c>
      <c r="O345">
        <f t="shared" si="30"/>
        <v>1</v>
      </c>
      <c r="P345" t="str">
        <f t="shared" si="28"/>
        <v/>
      </c>
      <c r="Q345">
        <f>COUNTIF('責任職　企業局→市長部局'!A:A,SQLデータ!B345)</f>
        <v>0</v>
      </c>
      <c r="R345">
        <f>COUNTIF('一般職員　企業局→市長部局'!A:F,SQLデータ!B345)</f>
        <v>0</v>
      </c>
    </row>
    <row r="346" spans="1:18" x14ac:dyDescent="0.4">
      <c r="A346" s="1">
        <v>202620000026</v>
      </c>
      <c r="B346" s="1">
        <v>1224092</v>
      </c>
      <c r="C346" s="2">
        <v>46113</v>
      </c>
      <c r="D346" t="s">
        <v>13</v>
      </c>
      <c r="E346" t="s">
        <v>8</v>
      </c>
      <c r="G346" t="s">
        <v>9</v>
      </c>
      <c r="L346">
        <f t="shared" si="25"/>
        <v>0</v>
      </c>
      <c r="M346">
        <f t="shared" si="26"/>
        <v>0</v>
      </c>
      <c r="N346">
        <f t="shared" si="27"/>
        <v>0</v>
      </c>
      <c r="O346">
        <f t="shared" si="30"/>
        <v>1</v>
      </c>
      <c r="P346" t="str">
        <f t="shared" si="28"/>
        <v/>
      </c>
      <c r="Q346">
        <f>COUNTIF('責任職　企業局→市長部局'!A:A,SQLデータ!B346)</f>
        <v>0</v>
      </c>
      <c r="R346">
        <f>COUNTIF('一般職員　企業局→市長部局'!A:F,SQLデータ!B346)</f>
        <v>0</v>
      </c>
    </row>
    <row r="347" spans="1:18" x14ac:dyDescent="0.4">
      <c r="A347" s="1">
        <v>202620000027</v>
      </c>
      <c r="B347" s="1">
        <v>1260037</v>
      </c>
      <c r="C347" s="2">
        <v>46119</v>
      </c>
      <c r="D347" t="s">
        <v>13</v>
      </c>
      <c r="E347" t="s">
        <v>11</v>
      </c>
      <c r="F347" t="s">
        <v>892</v>
      </c>
      <c r="G347" t="s">
        <v>9</v>
      </c>
      <c r="L347">
        <f t="shared" si="25"/>
        <v>0</v>
      </c>
      <c r="M347">
        <f t="shared" si="26"/>
        <v>0</v>
      </c>
      <c r="N347">
        <f t="shared" si="27"/>
        <v>0</v>
      </c>
      <c r="O347">
        <f t="shared" si="30"/>
        <v>1</v>
      </c>
      <c r="P347" t="str">
        <f t="shared" si="28"/>
        <v/>
      </c>
      <c r="Q347">
        <f>COUNTIF('責任職　企業局→市長部局'!A:A,SQLデータ!B347)</f>
        <v>0</v>
      </c>
      <c r="R347">
        <f>COUNTIF('一般職員　企業局→市長部局'!A:F,SQLデータ!B347)</f>
        <v>0</v>
      </c>
    </row>
    <row r="348" spans="1:18" x14ac:dyDescent="0.4">
      <c r="A348" s="1">
        <v>202620000028</v>
      </c>
      <c r="B348" s="1">
        <v>1021086</v>
      </c>
      <c r="C348" s="2">
        <v>46119</v>
      </c>
      <c r="D348" t="s">
        <v>13</v>
      </c>
      <c r="E348" t="s">
        <v>8</v>
      </c>
      <c r="G348" t="s">
        <v>9</v>
      </c>
      <c r="L348">
        <f t="shared" si="25"/>
        <v>0</v>
      </c>
      <c r="M348">
        <f t="shared" si="26"/>
        <v>0</v>
      </c>
      <c r="N348">
        <f t="shared" si="27"/>
        <v>0</v>
      </c>
      <c r="O348">
        <f t="shared" si="30"/>
        <v>1</v>
      </c>
      <c r="P348" t="str">
        <f t="shared" si="28"/>
        <v/>
      </c>
      <c r="Q348">
        <f>COUNTIF('責任職　企業局→市長部局'!A:A,SQLデータ!B348)</f>
        <v>1</v>
      </c>
      <c r="R348">
        <f>COUNTIF('一般職員　企業局→市長部局'!A:F,SQLデータ!B348)</f>
        <v>0</v>
      </c>
    </row>
    <row r="349" spans="1:18" x14ac:dyDescent="0.4">
      <c r="A349" s="1">
        <v>202620000031</v>
      </c>
      <c r="B349" s="1">
        <v>1161458</v>
      </c>
      <c r="C349" s="2">
        <v>46120</v>
      </c>
      <c r="D349" t="s">
        <v>13</v>
      </c>
      <c r="E349" t="s">
        <v>8</v>
      </c>
      <c r="G349" t="s">
        <v>9</v>
      </c>
      <c r="L349">
        <f t="shared" si="25"/>
        <v>0</v>
      </c>
      <c r="M349">
        <f t="shared" si="26"/>
        <v>0</v>
      </c>
      <c r="N349">
        <f t="shared" si="27"/>
        <v>0</v>
      </c>
      <c r="O349">
        <f t="shared" si="30"/>
        <v>1</v>
      </c>
      <c r="P349" t="str">
        <f t="shared" si="28"/>
        <v/>
      </c>
      <c r="Q349">
        <f>COUNTIF('責任職　企業局→市長部局'!A:A,SQLデータ!B349)</f>
        <v>1</v>
      </c>
      <c r="R349">
        <f>COUNTIF('一般職員　企業局→市長部局'!A:F,SQLデータ!B349)</f>
        <v>0</v>
      </c>
    </row>
    <row r="350" spans="1:18" x14ac:dyDescent="0.4">
      <c r="A350" s="1">
        <v>202620000032</v>
      </c>
      <c r="B350" s="1">
        <v>1122175</v>
      </c>
      <c r="C350" s="2">
        <v>46120</v>
      </c>
      <c r="D350" t="s">
        <v>13</v>
      </c>
      <c r="E350" t="s">
        <v>10</v>
      </c>
      <c r="F350" t="s">
        <v>48</v>
      </c>
      <c r="G350" t="s">
        <v>9</v>
      </c>
      <c r="L350">
        <f t="shared" si="25"/>
        <v>0</v>
      </c>
      <c r="M350">
        <f t="shared" si="26"/>
        <v>0</v>
      </c>
      <c r="N350">
        <f t="shared" si="27"/>
        <v>0</v>
      </c>
      <c r="O350">
        <f t="shared" si="30"/>
        <v>1</v>
      </c>
      <c r="P350" t="str">
        <f t="shared" si="28"/>
        <v/>
      </c>
      <c r="Q350">
        <f>COUNTIF('責任職　企業局→市長部局'!A:A,SQLデータ!B350)</f>
        <v>1</v>
      </c>
      <c r="R350">
        <f>COUNTIF('一般職員　企業局→市長部局'!A:F,SQLデータ!B350)</f>
        <v>0</v>
      </c>
    </row>
    <row r="351" spans="1:18" x14ac:dyDescent="0.4">
      <c r="A351" s="1">
        <v>202620000033</v>
      </c>
      <c r="B351" s="1">
        <v>1091223</v>
      </c>
      <c r="C351" s="2">
        <v>46121</v>
      </c>
      <c r="D351" t="s">
        <v>13</v>
      </c>
      <c r="E351" t="s">
        <v>8</v>
      </c>
      <c r="G351" t="s">
        <v>9</v>
      </c>
      <c r="L351">
        <f t="shared" si="25"/>
        <v>0</v>
      </c>
      <c r="M351">
        <f t="shared" si="26"/>
        <v>0</v>
      </c>
      <c r="N351">
        <f t="shared" si="27"/>
        <v>0</v>
      </c>
      <c r="O351">
        <f t="shared" si="30"/>
        <v>1</v>
      </c>
      <c r="P351" t="str">
        <f t="shared" si="28"/>
        <v/>
      </c>
      <c r="Q351">
        <f>COUNTIF('責任職　企業局→市長部局'!A:A,SQLデータ!B351)</f>
        <v>1</v>
      </c>
      <c r="R351">
        <f>COUNTIF('一般職員　企業局→市長部局'!A:F,SQLデータ!B351)</f>
        <v>0</v>
      </c>
    </row>
    <row r="352" spans="1:18" x14ac:dyDescent="0.4">
      <c r="A352" s="1">
        <v>202620000034</v>
      </c>
      <c r="B352" s="1">
        <v>1261451</v>
      </c>
      <c r="C352" s="2">
        <v>46121</v>
      </c>
      <c r="D352" t="s">
        <v>13</v>
      </c>
      <c r="E352" t="s">
        <v>8</v>
      </c>
      <c r="G352" t="s">
        <v>9</v>
      </c>
      <c r="L352">
        <f t="shared" si="25"/>
        <v>0</v>
      </c>
      <c r="M352">
        <f t="shared" si="26"/>
        <v>0</v>
      </c>
      <c r="N352">
        <f t="shared" si="27"/>
        <v>0</v>
      </c>
      <c r="O352">
        <f t="shared" si="30"/>
        <v>1</v>
      </c>
      <c r="P352" t="str">
        <f t="shared" si="28"/>
        <v/>
      </c>
      <c r="Q352">
        <f>COUNTIF('責任職　企業局→市長部局'!A:A,SQLデータ!B352)</f>
        <v>0</v>
      </c>
      <c r="R352">
        <f>COUNTIF('一般職員　企業局→市長部局'!A:F,SQLデータ!B352)</f>
        <v>0</v>
      </c>
    </row>
    <row r="353" spans="1:18" x14ac:dyDescent="0.4">
      <c r="A353" s="1">
        <v>202620000035</v>
      </c>
      <c r="B353" s="1">
        <v>1262038</v>
      </c>
      <c r="C353" s="2">
        <v>46121</v>
      </c>
      <c r="D353" t="s">
        <v>13</v>
      </c>
      <c r="E353" t="s">
        <v>8</v>
      </c>
      <c r="G353" t="s">
        <v>9</v>
      </c>
      <c r="L353">
        <f t="shared" si="25"/>
        <v>0</v>
      </c>
      <c r="M353">
        <f t="shared" si="26"/>
        <v>0</v>
      </c>
      <c r="N353">
        <f t="shared" si="27"/>
        <v>0</v>
      </c>
      <c r="O353">
        <f t="shared" si="30"/>
        <v>1</v>
      </c>
      <c r="P353" t="str">
        <f t="shared" si="28"/>
        <v/>
      </c>
      <c r="Q353">
        <f>COUNTIF('責任職　企業局→市長部局'!A:A,SQLデータ!B353)</f>
        <v>0</v>
      </c>
      <c r="R353">
        <f>COUNTIF('一般職員　企業局→市長部局'!A:F,SQLデータ!B353)</f>
        <v>0</v>
      </c>
    </row>
    <row r="354" spans="1:18" x14ac:dyDescent="0.4">
      <c r="A354" s="1">
        <v>202620000036</v>
      </c>
      <c r="B354" s="1">
        <v>1261274</v>
      </c>
      <c r="C354" s="2">
        <v>46121</v>
      </c>
      <c r="D354" t="s">
        <v>13</v>
      </c>
      <c r="E354" t="s">
        <v>8</v>
      </c>
      <c r="G354" t="s">
        <v>9</v>
      </c>
      <c r="L354">
        <f t="shared" si="25"/>
        <v>0</v>
      </c>
      <c r="M354">
        <f t="shared" si="26"/>
        <v>0</v>
      </c>
      <c r="N354">
        <f t="shared" si="27"/>
        <v>0</v>
      </c>
      <c r="O354">
        <f t="shared" si="30"/>
        <v>1</v>
      </c>
      <c r="P354" t="str">
        <f t="shared" si="28"/>
        <v/>
      </c>
      <c r="Q354">
        <f>COUNTIF('責任職　企業局→市長部局'!A:A,SQLデータ!B354)</f>
        <v>0</v>
      </c>
      <c r="R354">
        <f>COUNTIF('一般職員　企業局→市長部局'!A:F,SQLデータ!B354)</f>
        <v>0</v>
      </c>
    </row>
    <row r="355" spans="1:18" x14ac:dyDescent="0.4">
      <c r="A355" s="1">
        <v>202620000037</v>
      </c>
      <c r="B355" s="1">
        <v>1261295</v>
      </c>
      <c r="C355" s="2">
        <v>46121</v>
      </c>
      <c r="D355" t="s">
        <v>13</v>
      </c>
      <c r="E355" t="s">
        <v>8</v>
      </c>
      <c r="G355" t="s">
        <v>9</v>
      </c>
      <c r="L355">
        <f t="shared" si="25"/>
        <v>0</v>
      </c>
      <c r="M355">
        <f t="shared" si="26"/>
        <v>0</v>
      </c>
      <c r="N355">
        <f t="shared" si="27"/>
        <v>0</v>
      </c>
      <c r="O355">
        <f t="shared" si="30"/>
        <v>1</v>
      </c>
      <c r="P355" t="str">
        <f t="shared" si="28"/>
        <v/>
      </c>
      <c r="Q355">
        <f>COUNTIF('責任職　企業局→市長部局'!A:A,SQLデータ!B355)</f>
        <v>0</v>
      </c>
      <c r="R355">
        <f>COUNTIF('一般職員　企業局→市長部局'!A:F,SQLデータ!B355)</f>
        <v>0</v>
      </c>
    </row>
    <row r="356" spans="1:18" x14ac:dyDescent="0.4">
      <c r="A356" s="1">
        <v>202620000039</v>
      </c>
      <c r="B356" s="1">
        <v>1261253</v>
      </c>
      <c r="C356" s="2">
        <v>46121</v>
      </c>
      <c r="D356" t="s">
        <v>13</v>
      </c>
      <c r="E356" t="s">
        <v>11</v>
      </c>
      <c r="G356" t="s">
        <v>9</v>
      </c>
      <c r="L356">
        <f t="shared" si="25"/>
        <v>0</v>
      </c>
      <c r="M356">
        <f t="shared" si="26"/>
        <v>0</v>
      </c>
      <c r="N356">
        <f t="shared" si="27"/>
        <v>0</v>
      </c>
      <c r="O356">
        <f t="shared" si="30"/>
        <v>1</v>
      </c>
      <c r="P356" t="str">
        <f t="shared" si="28"/>
        <v/>
      </c>
      <c r="Q356">
        <f>COUNTIF('責任職　企業局→市長部局'!A:A,SQLデータ!B356)</f>
        <v>0</v>
      </c>
      <c r="R356">
        <f>COUNTIF('一般職員　企業局→市長部局'!A:F,SQLデータ!B356)</f>
        <v>0</v>
      </c>
    </row>
    <row r="357" spans="1:18" x14ac:dyDescent="0.4">
      <c r="A357" s="1">
        <v>202620000040</v>
      </c>
      <c r="B357" s="1">
        <v>1261294</v>
      </c>
      <c r="C357" s="2">
        <v>46121</v>
      </c>
      <c r="D357" t="s">
        <v>13</v>
      </c>
      <c r="E357" t="s">
        <v>8</v>
      </c>
      <c r="G357" t="s">
        <v>9</v>
      </c>
      <c r="L357">
        <f t="shared" si="25"/>
        <v>0</v>
      </c>
      <c r="M357">
        <f t="shared" si="26"/>
        <v>0</v>
      </c>
      <c r="N357">
        <f t="shared" si="27"/>
        <v>0</v>
      </c>
      <c r="O357">
        <f t="shared" si="30"/>
        <v>1</v>
      </c>
      <c r="P357" t="str">
        <f t="shared" si="28"/>
        <v/>
      </c>
      <c r="Q357">
        <f>COUNTIF('責任職　企業局→市長部局'!A:A,SQLデータ!B357)</f>
        <v>0</v>
      </c>
      <c r="R357">
        <f>COUNTIF('一般職員　企業局→市長部局'!A:F,SQLデータ!B357)</f>
        <v>0</v>
      </c>
    </row>
    <row r="358" spans="1:18" x14ac:dyDescent="0.4">
      <c r="A358" s="1">
        <v>202620000041</v>
      </c>
      <c r="B358" s="1">
        <v>1261423</v>
      </c>
      <c r="C358" s="2">
        <v>46121</v>
      </c>
      <c r="D358" t="s">
        <v>13</v>
      </c>
      <c r="E358" t="s">
        <v>8</v>
      </c>
      <c r="G358" t="s">
        <v>9</v>
      </c>
      <c r="L358">
        <f t="shared" si="25"/>
        <v>0</v>
      </c>
      <c r="M358">
        <f t="shared" si="26"/>
        <v>0</v>
      </c>
      <c r="N358">
        <f t="shared" si="27"/>
        <v>0</v>
      </c>
      <c r="O358">
        <f t="shared" si="30"/>
        <v>1</v>
      </c>
      <c r="P358" t="str">
        <f t="shared" si="28"/>
        <v/>
      </c>
      <c r="Q358">
        <f>COUNTIF('責任職　企業局→市長部局'!A:A,SQLデータ!B358)</f>
        <v>0</v>
      </c>
      <c r="R358">
        <f>COUNTIF('一般職員　企業局→市長部局'!A:F,SQLデータ!B358)</f>
        <v>0</v>
      </c>
    </row>
    <row r="359" spans="1:18" x14ac:dyDescent="0.4">
      <c r="A359" s="1">
        <v>202620000042</v>
      </c>
      <c r="B359" s="1">
        <v>1261278</v>
      </c>
      <c r="C359" s="2">
        <v>46121</v>
      </c>
      <c r="D359" t="s">
        <v>13</v>
      </c>
      <c r="E359" t="s">
        <v>8</v>
      </c>
      <c r="G359" t="s">
        <v>9</v>
      </c>
      <c r="L359">
        <f t="shared" si="25"/>
        <v>0</v>
      </c>
      <c r="M359">
        <f t="shared" si="26"/>
        <v>0</v>
      </c>
      <c r="N359">
        <f t="shared" si="27"/>
        <v>0</v>
      </c>
      <c r="O359">
        <f t="shared" si="30"/>
        <v>1</v>
      </c>
      <c r="P359" t="str">
        <f t="shared" si="28"/>
        <v/>
      </c>
      <c r="Q359">
        <f>COUNTIF('責任職　企業局→市長部局'!A:A,SQLデータ!B359)</f>
        <v>0</v>
      </c>
      <c r="R359">
        <f>COUNTIF('一般職員　企業局→市長部局'!A:F,SQLデータ!B359)</f>
        <v>0</v>
      </c>
    </row>
    <row r="360" spans="1:18" x14ac:dyDescent="0.4">
      <c r="A360" s="1">
        <v>202620000044</v>
      </c>
      <c r="B360" s="1">
        <v>1012004</v>
      </c>
      <c r="C360" s="2">
        <v>46121</v>
      </c>
      <c r="D360" t="s">
        <v>13</v>
      </c>
      <c r="E360" t="s">
        <v>8</v>
      </c>
      <c r="G360" t="s">
        <v>9</v>
      </c>
      <c r="L360">
        <f t="shared" si="25"/>
        <v>0</v>
      </c>
      <c r="M360">
        <f t="shared" si="26"/>
        <v>0</v>
      </c>
      <c r="N360">
        <f t="shared" si="27"/>
        <v>0</v>
      </c>
      <c r="O360">
        <f t="shared" si="30"/>
        <v>1</v>
      </c>
      <c r="P360" t="str">
        <f t="shared" si="28"/>
        <v/>
      </c>
      <c r="Q360">
        <f>COUNTIF('責任職　企業局→市長部局'!A:A,SQLデータ!B360)</f>
        <v>0</v>
      </c>
      <c r="R360">
        <f>COUNTIF('一般職員　企業局→市長部局'!A:F,SQLデータ!B360)</f>
        <v>0</v>
      </c>
    </row>
    <row r="361" spans="1:18" x14ac:dyDescent="0.4">
      <c r="A361" s="1">
        <v>202620000045</v>
      </c>
      <c r="B361" s="1">
        <v>1210093</v>
      </c>
      <c r="C361" s="2">
        <v>46121</v>
      </c>
      <c r="D361" t="s">
        <v>13</v>
      </c>
      <c r="E361" t="s">
        <v>8</v>
      </c>
      <c r="G361" t="s">
        <v>9</v>
      </c>
      <c r="L361">
        <f t="shared" si="25"/>
        <v>0</v>
      </c>
      <c r="M361">
        <f t="shared" si="26"/>
        <v>0</v>
      </c>
      <c r="N361">
        <f t="shared" si="27"/>
        <v>0</v>
      </c>
      <c r="O361">
        <f t="shared" si="30"/>
        <v>1</v>
      </c>
      <c r="P361" t="str">
        <f t="shared" si="28"/>
        <v/>
      </c>
      <c r="Q361">
        <f>COUNTIF('責任職　企業局→市長部局'!A:A,SQLデータ!B361)</f>
        <v>0</v>
      </c>
      <c r="R361">
        <f>COUNTIF('一般職員　企業局→市長部局'!A:F,SQLデータ!B361)</f>
        <v>0</v>
      </c>
    </row>
    <row r="362" spans="1:18" x14ac:dyDescent="0.4">
      <c r="A362" s="1">
        <v>202620000047</v>
      </c>
      <c r="B362" s="1">
        <v>1026060</v>
      </c>
      <c r="C362" s="2">
        <v>46122</v>
      </c>
      <c r="D362" t="s">
        <v>13</v>
      </c>
      <c r="E362" t="s">
        <v>10</v>
      </c>
      <c r="G362" t="s">
        <v>9</v>
      </c>
      <c r="L362">
        <f t="shared" si="25"/>
        <v>0</v>
      </c>
      <c r="M362">
        <f t="shared" si="26"/>
        <v>0</v>
      </c>
      <c r="N362">
        <f t="shared" si="27"/>
        <v>0</v>
      </c>
      <c r="O362">
        <f t="shared" si="30"/>
        <v>1</v>
      </c>
      <c r="P362" t="str">
        <f t="shared" si="28"/>
        <v/>
      </c>
      <c r="Q362">
        <f>COUNTIF('責任職　企業局→市長部局'!A:A,SQLデータ!B362)</f>
        <v>0</v>
      </c>
      <c r="R362">
        <f>COUNTIF('一般職員　企業局→市長部局'!A:F,SQLデータ!B362)</f>
        <v>1</v>
      </c>
    </row>
    <row r="363" spans="1:18" x14ac:dyDescent="0.4">
      <c r="A363" s="1">
        <v>202620000048</v>
      </c>
      <c r="B363" s="1">
        <v>1262080</v>
      </c>
      <c r="C363" s="2">
        <v>46122</v>
      </c>
      <c r="D363" t="s">
        <v>13</v>
      </c>
      <c r="E363" t="s">
        <v>8</v>
      </c>
      <c r="G363" t="s">
        <v>9</v>
      </c>
      <c r="L363">
        <f t="shared" si="25"/>
        <v>0</v>
      </c>
      <c r="M363">
        <f t="shared" si="26"/>
        <v>0</v>
      </c>
      <c r="N363">
        <f t="shared" si="27"/>
        <v>0</v>
      </c>
      <c r="O363">
        <f t="shared" si="30"/>
        <v>1</v>
      </c>
      <c r="P363" t="str">
        <f t="shared" si="28"/>
        <v/>
      </c>
      <c r="Q363">
        <f>COUNTIF('責任職　企業局→市長部局'!A:A,SQLデータ!B363)</f>
        <v>0</v>
      </c>
      <c r="R363">
        <f>COUNTIF('一般職員　企業局→市長部局'!A:F,SQLデータ!B363)</f>
        <v>0</v>
      </c>
    </row>
    <row r="364" spans="1:18" x14ac:dyDescent="0.4">
      <c r="A364" s="1">
        <v>202620000049</v>
      </c>
      <c r="B364" s="1">
        <v>1262082</v>
      </c>
      <c r="C364" s="2">
        <v>46122</v>
      </c>
      <c r="D364" t="s">
        <v>13</v>
      </c>
      <c r="E364" t="s">
        <v>11</v>
      </c>
      <c r="G364" t="s">
        <v>9</v>
      </c>
      <c r="L364">
        <f t="shared" si="25"/>
        <v>0</v>
      </c>
      <c r="M364">
        <f t="shared" si="26"/>
        <v>0</v>
      </c>
      <c r="N364">
        <f t="shared" si="27"/>
        <v>0</v>
      </c>
      <c r="O364">
        <f t="shared" si="30"/>
        <v>1</v>
      </c>
      <c r="P364" t="str">
        <f t="shared" si="28"/>
        <v/>
      </c>
      <c r="Q364">
        <f>COUNTIF('責任職　企業局→市長部局'!A:A,SQLデータ!B364)</f>
        <v>0</v>
      </c>
      <c r="R364">
        <f>COUNTIF('一般職員　企業局→市長部局'!A:F,SQLデータ!B364)</f>
        <v>0</v>
      </c>
    </row>
    <row r="365" spans="1:18" x14ac:dyDescent="0.4">
      <c r="A365" s="1">
        <v>202620000050</v>
      </c>
      <c r="B365" s="1">
        <v>1264081</v>
      </c>
      <c r="C365" s="2">
        <v>46122</v>
      </c>
      <c r="D365" t="s">
        <v>13</v>
      </c>
      <c r="E365" t="s">
        <v>10</v>
      </c>
      <c r="G365" t="s">
        <v>9</v>
      </c>
      <c r="L365">
        <f t="shared" si="25"/>
        <v>0</v>
      </c>
      <c r="M365">
        <f t="shared" si="26"/>
        <v>0</v>
      </c>
      <c r="N365">
        <f t="shared" si="27"/>
        <v>0</v>
      </c>
      <c r="O365">
        <f t="shared" si="30"/>
        <v>1</v>
      </c>
      <c r="P365" t="str">
        <f t="shared" si="28"/>
        <v/>
      </c>
      <c r="Q365">
        <f>COUNTIF('責任職　企業局→市長部局'!A:A,SQLデータ!B365)</f>
        <v>0</v>
      </c>
      <c r="R365">
        <f>COUNTIF('一般職員　企業局→市長部局'!A:F,SQLデータ!B365)</f>
        <v>0</v>
      </c>
    </row>
    <row r="366" spans="1:18" x14ac:dyDescent="0.4">
      <c r="A366" s="1">
        <v>202620000052</v>
      </c>
      <c r="B366" s="1">
        <v>1071340</v>
      </c>
      <c r="C366" s="2">
        <v>46122</v>
      </c>
      <c r="D366" t="s">
        <v>13</v>
      </c>
      <c r="E366" t="s">
        <v>11</v>
      </c>
      <c r="G366" t="s">
        <v>9</v>
      </c>
      <c r="L366">
        <f t="shared" si="25"/>
        <v>0</v>
      </c>
      <c r="M366">
        <f t="shared" si="26"/>
        <v>0</v>
      </c>
      <c r="N366">
        <f t="shared" si="27"/>
        <v>0</v>
      </c>
      <c r="O366">
        <f t="shared" si="30"/>
        <v>1</v>
      </c>
      <c r="P366" t="str">
        <f t="shared" si="28"/>
        <v/>
      </c>
      <c r="Q366">
        <f>COUNTIF('責任職　企業局→市長部局'!A:A,SQLデータ!B366)</f>
        <v>1</v>
      </c>
      <c r="R366">
        <f>COUNTIF('一般職員　企業局→市長部局'!A:F,SQLデータ!B366)</f>
        <v>0</v>
      </c>
    </row>
    <row r="367" spans="1:18" x14ac:dyDescent="0.4">
      <c r="A367" s="1">
        <v>202620000053</v>
      </c>
      <c r="B367" s="1">
        <v>1181330</v>
      </c>
      <c r="C367" s="2">
        <v>46122</v>
      </c>
      <c r="D367" t="s">
        <v>13</v>
      </c>
      <c r="E367" t="s">
        <v>8</v>
      </c>
      <c r="G367" t="s">
        <v>9</v>
      </c>
      <c r="L367">
        <f t="shared" si="25"/>
        <v>0</v>
      </c>
      <c r="M367">
        <f t="shared" si="26"/>
        <v>0</v>
      </c>
      <c r="N367">
        <f t="shared" si="27"/>
        <v>0</v>
      </c>
      <c r="O367">
        <f t="shared" si="30"/>
        <v>1</v>
      </c>
      <c r="P367" t="str">
        <f t="shared" si="28"/>
        <v/>
      </c>
      <c r="Q367">
        <f>COUNTIF('責任職　企業局→市長部局'!A:A,SQLデータ!B367)</f>
        <v>1</v>
      </c>
      <c r="R367">
        <f>COUNTIF('一般職員　企業局→市長部局'!A:F,SQLデータ!B367)</f>
        <v>0</v>
      </c>
    </row>
    <row r="368" spans="1:18" x14ac:dyDescent="0.4">
      <c r="A368" s="1">
        <v>202620000054</v>
      </c>
      <c r="B368" s="1">
        <v>1261254</v>
      </c>
      <c r="C368" s="2">
        <v>46122</v>
      </c>
      <c r="D368" t="s">
        <v>13</v>
      </c>
      <c r="E368" t="s">
        <v>8</v>
      </c>
      <c r="G368" t="s">
        <v>9</v>
      </c>
      <c r="L368">
        <f t="shared" si="25"/>
        <v>0</v>
      </c>
      <c r="M368">
        <f t="shared" si="26"/>
        <v>0</v>
      </c>
      <c r="N368">
        <f t="shared" si="27"/>
        <v>0</v>
      </c>
      <c r="O368">
        <f t="shared" si="30"/>
        <v>1</v>
      </c>
      <c r="P368" t="str">
        <f t="shared" si="28"/>
        <v/>
      </c>
      <c r="Q368">
        <f>COUNTIF('責任職　企業局→市長部局'!A:A,SQLデータ!B368)</f>
        <v>0</v>
      </c>
      <c r="R368">
        <f>COUNTIF('一般職員　企業局→市長部局'!A:F,SQLデータ!B368)</f>
        <v>0</v>
      </c>
    </row>
    <row r="369" spans="1:18" x14ac:dyDescent="0.4">
      <c r="A369" s="1">
        <v>202620000056</v>
      </c>
      <c r="B369" s="1">
        <v>986007</v>
      </c>
      <c r="C369" s="2">
        <v>46122</v>
      </c>
      <c r="D369" t="s">
        <v>13</v>
      </c>
      <c r="E369" t="s">
        <v>8</v>
      </c>
      <c r="G369" t="s">
        <v>9</v>
      </c>
      <c r="L369">
        <f t="shared" si="25"/>
        <v>0</v>
      </c>
      <c r="M369">
        <f t="shared" si="26"/>
        <v>0</v>
      </c>
      <c r="N369">
        <f t="shared" si="27"/>
        <v>0</v>
      </c>
      <c r="O369">
        <f t="shared" si="30"/>
        <v>1</v>
      </c>
      <c r="P369" t="str">
        <f t="shared" si="28"/>
        <v/>
      </c>
      <c r="Q369">
        <f>COUNTIF('責任職　企業局→市長部局'!A:A,SQLデータ!B369)</f>
        <v>0</v>
      </c>
      <c r="R369">
        <f>COUNTIF('一般職員　企業局→市長部局'!A:F,SQLデータ!B369)</f>
        <v>0</v>
      </c>
    </row>
    <row r="370" spans="1:18" x14ac:dyDescent="0.4">
      <c r="A370" s="1">
        <v>202620000057</v>
      </c>
      <c r="B370" s="1">
        <v>1261263</v>
      </c>
      <c r="C370" s="2">
        <v>46122</v>
      </c>
      <c r="D370" t="s">
        <v>13</v>
      </c>
      <c r="E370" t="s">
        <v>8</v>
      </c>
      <c r="G370" t="s">
        <v>9</v>
      </c>
      <c r="L370">
        <f t="shared" si="25"/>
        <v>0</v>
      </c>
      <c r="M370">
        <f t="shared" si="26"/>
        <v>0</v>
      </c>
      <c r="N370">
        <f t="shared" si="27"/>
        <v>0</v>
      </c>
      <c r="O370">
        <f t="shared" si="30"/>
        <v>1</v>
      </c>
      <c r="P370" t="str">
        <f t="shared" si="28"/>
        <v/>
      </c>
      <c r="Q370">
        <f>COUNTIF('責任職　企業局→市長部局'!A:A,SQLデータ!B370)</f>
        <v>0</v>
      </c>
      <c r="R370">
        <f>COUNTIF('一般職員　企業局→市長部局'!A:F,SQLデータ!B370)</f>
        <v>0</v>
      </c>
    </row>
    <row r="371" spans="1:18" x14ac:dyDescent="0.4">
      <c r="A371" s="1">
        <v>202620000058</v>
      </c>
      <c r="B371" s="1">
        <v>1261280</v>
      </c>
      <c r="C371" s="2">
        <v>46122</v>
      </c>
      <c r="D371" t="s">
        <v>13</v>
      </c>
      <c r="E371" t="s">
        <v>10</v>
      </c>
      <c r="G371" t="s">
        <v>9</v>
      </c>
      <c r="L371">
        <f t="shared" si="25"/>
        <v>0</v>
      </c>
      <c r="M371">
        <f t="shared" si="26"/>
        <v>0</v>
      </c>
      <c r="N371">
        <f t="shared" si="27"/>
        <v>0</v>
      </c>
      <c r="O371">
        <f t="shared" si="30"/>
        <v>1</v>
      </c>
      <c r="P371" t="str">
        <f t="shared" si="28"/>
        <v/>
      </c>
      <c r="Q371">
        <f>COUNTIF('責任職　企業局→市長部局'!A:A,SQLデータ!B371)</f>
        <v>0</v>
      </c>
      <c r="R371">
        <f>COUNTIF('一般職員　企業局→市長部局'!A:F,SQLデータ!B371)</f>
        <v>0</v>
      </c>
    </row>
    <row r="372" spans="1:18" x14ac:dyDescent="0.4">
      <c r="A372" s="1">
        <v>202620000059</v>
      </c>
      <c r="B372" s="1">
        <v>1261288</v>
      </c>
      <c r="C372" s="2">
        <v>46122</v>
      </c>
      <c r="D372" t="s">
        <v>13</v>
      </c>
      <c r="E372" t="s">
        <v>8</v>
      </c>
      <c r="G372" t="s">
        <v>9</v>
      </c>
      <c r="L372">
        <f t="shared" si="25"/>
        <v>0</v>
      </c>
      <c r="M372">
        <f t="shared" si="26"/>
        <v>0</v>
      </c>
      <c r="N372">
        <f t="shared" si="27"/>
        <v>0</v>
      </c>
      <c r="O372">
        <f t="shared" si="30"/>
        <v>1</v>
      </c>
      <c r="P372" t="str">
        <f t="shared" si="28"/>
        <v/>
      </c>
      <c r="Q372">
        <f>COUNTIF('責任職　企業局→市長部局'!A:A,SQLデータ!B372)</f>
        <v>0</v>
      </c>
      <c r="R372">
        <f>COUNTIF('一般職員　企業局→市長部局'!A:F,SQLデータ!B372)</f>
        <v>0</v>
      </c>
    </row>
    <row r="373" spans="1:18" x14ac:dyDescent="0.4">
      <c r="A373" s="1">
        <v>202620000060</v>
      </c>
      <c r="B373" s="1">
        <v>1264058</v>
      </c>
      <c r="C373" s="2">
        <v>46122</v>
      </c>
      <c r="D373" t="s">
        <v>13</v>
      </c>
      <c r="E373" t="s">
        <v>8</v>
      </c>
      <c r="G373" t="s">
        <v>9</v>
      </c>
      <c r="L373">
        <f t="shared" si="25"/>
        <v>0</v>
      </c>
      <c r="M373">
        <f t="shared" si="26"/>
        <v>0</v>
      </c>
      <c r="N373">
        <f t="shared" si="27"/>
        <v>0</v>
      </c>
      <c r="O373">
        <f t="shared" si="30"/>
        <v>1</v>
      </c>
      <c r="P373" t="str">
        <f t="shared" si="28"/>
        <v/>
      </c>
      <c r="Q373">
        <f>COUNTIF('責任職　企業局→市長部局'!A:A,SQLデータ!B373)</f>
        <v>0</v>
      </c>
      <c r="R373">
        <f>COUNTIF('一般職員　企業局→市長部局'!A:F,SQLデータ!B373)</f>
        <v>0</v>
      </c>
    </row>
    <row r="374" spans="1:18" x14ac:dyDescent="0.4">
      <c r="A374" s="1">
        <v>202620000061</v>
      </c>
      <c r="B374" s="1">
        <v>1262094</v>
      </c>
      <c r="C374" s="2">
        <v>46122</v>
      </c>
      <c r="D374" t="s">
        <v>13</v>
      </c>
      <c r="E374" t="s">
        <v>8</v>
      </c>
      <c r="G374" t="s">
        <v>9</v>
      </c>
      <c r="L374">
        <f t="shared" si="25"/>
        <v>0</v>
      </c>
      <c r="M374">
        <f t="shared" si="26"/>
        <v>0</v>
      </c>
      <c r="N374">
        <f t="shared" si="27"/>
        <v>0</v>
      </c>
      <c r="O374">
        <f t="shared" si="30"/>
        <v>1</v>
      </c>
      <c r="P374" t="str">
        <f t="shared" si="28"/>
        <v/>
      </c>
      <c r="Q374">
        <f>COUNTIF('責任職　企業局→市長部局'!A:A,SQLデータ!B374)</f>
        <v>0</v>
      </c>
      <c r="R374">
        <f>COUNTIF('一般職員　企業局→市長部局'!A:F,SQLデータ!B374)</f>
        <v>0</v>
      </c>
    </row>
    <row r="375" spans="1:18" x14ac:dyDescent="0.4">
      <c r="A375" s="1">
        <v>202620000062</v>
      </c>
      <c r="B375" s="1">
        <v>1261297</v>
      </c>
      <c r="C375" s="2">
        <v>46128</v>
      </c>
      <c r="D375" t="s">
        <v>13</v>
      </c>
      <c r="E375" t="s">
        <v>8</v>
      </c>
      <c r="F375" t="s">
        <v>48</v>
      </c>
      <c r="G375" t="s">
        <v>9</v>
      </c>
      <c r="L375">
        <f t="shared" si="25"/>
        <v>0</v>
      </c>
      <c r="M375">
        <f t="shared" si="26"/>
        <v>0</v>
      </c>
      <c r="N375">
        <f t="shared" si="27"/>
        <v>0</v>
      </c>
      <c r="O375">
        <f t="shared" si="30"/>
        <v>1</v>
      </c>
      <c r="P375" t="str">
        <f t="shared" si="28"/>
        <v/>
      </c>
      <c r="Q375">
        <f>COUNTIF('責任職　企業局→市長部局'!A:A,SQLデータ!B375)</f>
        <v>0</v>
      </c>
      <c r="R375">
        <f>COUNTIF('一般職員　企業局→市長部局'!A:F,SQLデータ!B375)</f>
        <v>0</v>
      </c>
    </row>
    <row r="376" spans="1:18" x14ac:dyDescent="0.4">
      <c r="A376" s="1">
        <v>202620000063</v>
      </c>
      <c r="B376" s="1">
        <v>1061026</v>
      </c>
      <c r="C376" s="2">
        <v>46122</v>
      </c>
      <c r="D376" t="s">
        <v>13</v>
      </c>
      <c r="E376" t="s">
        <v>8</v>
      </c>
      <c r="G376" t="s">
        <v>9</v>
      </c>
      <c r="L376">
        <f t="shared" si="25"/>
        <v>0</v>
      </c>
      <c r="M376">
        <f t="shared" si="26"/>
        <v>0</v>
      </c>
      <c r="N376">
        <f t="shared" si="27"/>
        <v>0</v>
      </c>
      <c r="O376">
        <f t="shared" si="30"/>
        <v>1</v>
      </c>
      <c r="P376" t="str">
        <f t="shared" si="28"/>
        <v/>
      </c>
      <c r="Q376">
        <f>COUNTIF('責任職　企業局→市長部局'!A:A,SQLデータ!B376)</f>
        <v>0</v>
      </c>
      <c r="R376">
        <f>COUNTIF('一般職員　企業局→市長部局'!A:F,SQLデータ!B376)</f>
        <v>0</v>
      </c>
    </row>
    <row r="377" spans="1:18" x14ac:dyDescent="0.4">
      <c r="A377" s="1">
        <v>202620000065</v>
      </c>
      <c r="B377" s="1">
        <v>1261250</v>
      </c>
      <c r="C377" s="2">
        <v>46125</v>
      </c>
      <c r="D377" t="s">
        <v>13</v>
      </c>
      <c r="E377" t="s">
        <v>8</v>
      </c>
      <c r="G377" t="s">
        <v>9</v>
      </c>
      <c r="L377">
        <f t="shared" si="25"/>
        <v>0</v>
      </c>
      <c r="M377">
        <f t="shared" si="26"/>
        <v>0</v>
      </c>
      <c r="N377">
        <f t="shared" si="27"/>
        <v>0</v>
      </c>
      <c r="O377">
        <f t="shared" si="30"/>
        <v>1</v>
      </c>
      <c r="P377" t="str">
        <f t="shared" si="28"/>
        <v/>
      </c>
      <c r="Q377">
        <f>COUNTIF('責任職　企業局→市長部局'!A:A,SQLデータ!B377)</f>
        <v>0</v>
      </c>
      <c r="R377">
        <f>COUNTIF('一般職員　企業局→市長部局'!A:F,SQLデータ!B377)</f>
        <v>0</v>
      </c>
    </row>
    <row r="378" spans="1:18" x14ac:dyDescent="0.4">
      <c r="A378" s="1">
        <v>202620000066</v>
      </c>
      <c r="B378" s="1">
        <v>1261261</v>
      </c>
      <c r="C378" s="2">
        <v>46125</v>
      </c>
      <c r="D378" t="s">
        <v>13</v>
      </c>
      <c r="E378" t="s">
        <v>8</v>
      </c>
      <c r="G378" t="s">
        <v>9</v>
      </c>
      <c r="L378">
        <f t="shared" si="25"/>
        <v>0</v>
      </c>
      <c r="M378">
        <f t="shared" si="26"/>
        <v>0</v>
      </c>
      <c r="N378">
        <f t="shared" si="27"/>
        <v>0</v>
      </c>
      <c r="O378">
        <f t="shared" si="30"/>
        <v>1</v>
      </c>
      <c r="P378" t="str">
        <f t="shared" si="28"/>
        <v/>
      </c>
      <c r="Q378">
        <f>COUNTIF('責任職　企業局→市長部局'!A:A,SQLデータ!B378)</f>
        <v>0</v>
      </c>
      <c r="R378">
        <f>COUNTIF('一般職員　企業局→市長部局'!A:F,SQLデータ!B378)</f>
        <v>0</v>
      </c>
    </row>
    <row r="379" spans="1:18" x14ac:dyDescent="0.4">
      <c r="A379" s="1">
        <v>202620000067</v>
      </c>
      <c r="B379" s="1">
        <v>1264054</v>
      </c>
      <c r="C379" s="2">
        <v>46125</v>
      </c>
      <c r="D379" t="s">
        <v>13</v>
      </c>
      <c r="E379" t="s">
        <v>8</v>
      </c>
      <c r="G379" t="s">
        <v>9</v>
      </c>
      <c r="L379">
        <f t="shared" si="25"/>
        <v>0</v>
      </c>
      <c r="M379">
        <f t="shared" si="26"/>
        <v>0</v>
      </c>
      <c r="N379">
        <f t="shared" si="27"/>
        <v>0</v>
      </c>
      <c r="O379">
        <f t="shared" si="30"/>
        <v>1</v>
      </c>
      <c r="P379" t="str">
        <f t="shared" si="28"/>
        <v/>
      </c>
      <c r="Q379">
        <f>COUNTIF('責任職　企業局→市長部局'!A:A,SQLデータ!B379)</f>
        <v>0</v>
      </c>
      <c r="R379">
        <f>COUNTIF('一般職員　企業局→市長部局'!A:F,SQLデータ!B379)</f>
        <v>0</v>
      </c>
    </row>
    <row r="380" spans="1:18" x14ac:dyDescent="0.4">
      <c r="A380" s="1">
        <v>202620000068</v>
      </c>
      <c r="B380" s="1">
        <v>1264029</v>
      </c>
      <c r="C380" s="2">
        <v>46125</v>
      </c>
      <c r="D380" t="s">
        <v>13</v>
      </c>
      <c r="E380" t="s">
        <v>8</v>
      </c>
      <c r="G380" t="s">
        <v>9</v>
      </c>
      <c r="L380">
        <f t="shared" si="25"/>
        <v>0</v>
      </c>
      <c r="M380">
        <f t="shared" si="26"/>
        <v>0</v>
      </c>
      <c r="N380">
        <f t="shared" si="27"/>
        <v>0</v>
      </c>
      <c r="O380">
        <f t="shared" si="30"/>
        <v>1</v>
      </c>
      <c r="P380" t="str">
        <f t="shared" si="28"/>
        <v/>
      </c>
      <c r="Q380">
        <f>COUNTIF('責任職　企業局→市長部局'!A:A,SQLデータ!B380)</f>
        <v>0</v>
      </c>
      <c r="R380">
        <f>COUNTIF('一般職員　企業局→市長部局'!A:F,SQLデータ!B380)</f>
        <v>0</v>
      </c>
    </row>
    <row r="381" spans="1:18" x14ac:dyDescent="0.4">
      <c r="A381" s="1">
        <v>202620000069</v>
      </c>
      <c r="B381" s="1">
        <v>1264080</v>
      </c>
      <c r="C381" s="2">
        <v>46125</v>
      </c>
      <c r="D381" t="s">
        <v>13</v>
      </c>
      <c r="E381" t="s">
        <v>8</v>
      </c>
      <c r="G381" t="s">
        <v>9</v>
      </c>
      <c r="L381">
        <f t="shared" si="25"/>
        <v>0</v>
      </c>
      <c r="M381">
        <f t="shared" si="26"/>
        <v>0</v>
      </c>
      <c r="N381">
        <f t="shared" si="27"/>
        <v>0</v>
      </c>
      <c r="O381">
        <f t="shared" si="30"/>
        <v>1</v>
      </c>
      <c r="P381" t="str">
        <f t="shared" si="28"/>
        <v/>
      </c>
      <c r="Q381">
        <f>COUNTIF('責任職　企業局→市長部局'!A:A,SQLデータ!B381)</f>
        <v>0</v>
      </c>
      <c r="R381">
        <f>COUNTIF('一般職員　企業局→市長部局'!A:F,SQLデータ!B381)</f>
        <v>0</v>
      </c>
    </row>
    <row r="382" spans="1:18" x14ac:dyDescent="0.4">
      <c r="A382" s="1">
        <v>202620000070</v>
      </c>
      <c r="B382" s="1">
        <v>1111080</v>
      </c>
      <c r="C382" s="2">
        <v>46125</v>
      </c>
      <c r="D382" t="s">
        <v>13</v>
      </c>
      <c r="E382" t="s">
        <v>10</v>
      </c>
      <c r="G382" t="s">
        <v>9</v>
      </c>
      <c r="L382">
        <f t="shared" si="25"/>
        <v>0</v>
      </c>
      <c r="M382">
        <f t="shared" si="26"/>
        <v>0</v>
      </c>
      <c r="N382">
        <f t="shared" si="27"/>
        <v>0</v>
      </c>
      <c r="O382">
        <f t="shared" si="30"/>
        <v>1</v>
      </c>
      <c r="P382" t="str">
        <f t="shared" si="28"/>
        <v/>
      </c>
      <c r="Q382">
        <f>COUNTIF('責任職　企業局→市長部局'!A:A,SQLデータ!B382)</f>
        <v>0</v>
      </c>
      <c r="R382">
        <f>COUNTIF('一般職員　企業局→市長部局'!A:F,SQLデータ!B382)</f>
        <v>0</v>
      </c>
    </row>
    <row r="383" spans="1:18" x14ac:dyDescent="0.4">
      <c r="A383" s="1">
        <v>202620000071</v>
      </c>
      <c r="B383" s="1">
        <v>1161335</v>
      </c>
      <c r="C383" s="2">
        <v>46092</v>
      </c>
      <c r="D383" t="s">
        <v>13</v>
      </c>
      <c r="E383" t="s">
        <v>10</v>
      </c>
      <c r="G383" t="s">
        <v>9</v>
      </c>
      <c r="L383">
        <f t="shared" si="25"/>
        <v>0</v>
      </c>
      <c r="M383">
        <f t="shared" si="26"/>
        <v>0</v>
      </c>
      <c r="N383">
        <f t="shared" si="27"/>
        <v>0</v>
      </c>
      <c r="O383">
        <f t="shared" si="30"/>
        <v>1</v>
      </c>
      <c r="P383" t="str">
        <f t="shared" si="28"/>
        <v/>
      </c>
      <c r="Q383">
        <f>COUNTIF('責任職　企業局→市長部局'!A:A,SQLデータ!B383)</f>
        <v>0</v>
      </c>
      <c r="R383">
        <f>COUNTIF('一般職員　企業局→市長部局'!A:F,SQLデータ!B383)</f>
        <v>0</v>
      </c>
    </row>
    <row r="384" spans="1:18" x14ac:dyDescent="0.4">
      <c r="A384" s="1">
        <v>202620000072</v>
      </c>
      <c r="B384" s="1">
        <v>1261258</v>
      </c>
      <c r="C384" s="2">
        <v>46125</v>
      </c>
      <c r="D384" t="s">
        <v>13</v>
      </c>
      <c r="E384" t="s">
        <v>10</v>
      </c>
      <c r="G384" t="s">
        <v>9</v>
      </c>
      <c r="L384">
        <f t="shared" si="25"/>
        <v>0</v>
      </c>
      <c r="M384">
        <f t="shared" si="26"/>
        <v>0</v>
      </c>
      <c r="N384">
        <f t="shared" si="27"/>
        <v>0</v>
      </c>
      <c r="O384">
        <f t="shared" si="30"/>
        <v>1</v>
      </c>
      <c r="P384" t="str">
        <f t="shared" si="28"/>
        <v/>
      </c>
      <c r="Q384">
        <f>COUNTIF('責任職　企業局→市長部局'!A:A,SQLデータ!B384)</f>
        <v>0</v>
      </c>
      <c r="R384">
        <f>COUNTIF('一般職員　企業局→市長部局'!A:F,SQLデータ!B384)</f>
        <v>0</v>
      </c>
    </row>
    <row r="385" spans="1:18" x14ac:dyDescent="0.4">
      <c r="A385" s="1">
        <v>202620000073</v>
      </c>
      <c r="B385" s="1">
        <v>1212318</v>
      </c>
      <c r="C385" s="2">
        <v>46127</v>
      </c>
      <c r="D385" t="s">
        <v>13</v>
      </c>
      <c r="E385" t="s">
        <v>8</v>
      </c>
      <c r="G385" t="s">
        <v>9</v>
      </c>
      <c r="L385">
        <f t="shared" si="25"/>
        <v>0</v>
      </c>
      <c r="M385">
        <f t="shared" si="26"/>
        <v>0</v>
      </c>
      <c r="N385">
        <f t="shared" si="27"/>
        <v>0</v>
      </c>
      <c r="O385">
        <f t="shared" si="30"/>
        <v>1</v>
      </c>
      <c r="P385" t="str">
        <f t="shared" si="28"/>
        <v/>
      </c>
      <c r="Q385">
        <f>COUNTIF('責任職　企業局→市長部局'!A:A,SQLデータ!B385)</f>
        <v>0</v>
      </c>
      <c r="R385">
        <f>COUNTIF('一般職員　企業局→市長部局'!A:F,SQLデータ!B385)</f>
        <v>0</v>
      </c>
    </row>
    <row r="386" spans="1:18" x14ac:dyDescent="0.4">
      <c r="A386" s="1">
        <v>202620000074</v>
      </c>
      <c r="B386" s="1">
        <v>1261305</v>
      </c>
      <c r="C386" s="2">
        <v>46127</v>
      </c>
      <c r="D386" t="s">
        <v>13</v>
      </c>
      <c r="E386" t="s">
        <v>8</v>
      </c>
      <c r="G386" t="s">
        <v>9</v>
      </c>
      <c r="L386">
        <f t="shared" ref="L386:L449" si="31">IF(ISBLANK(J386),0,1)</f>
        <v>0</v>
      </c>
      <c r="M386">
        <f t="shared" ref="M386:M449" si="32">IF(AND(L386=0,I386&lt;&gt;""),1,0)</f>
        <v>0</v>
      </c>
      <c r="N386">
        <f t="shared" ref="N386:N449" si="33">IF(AND(L386=0,M386=0,K386&lt;&gt;""),1,0)</f>
        <v>0</v>
      </c>
      <c r="O386">
        <f t="shared" si="30"/>
        <v>1</v>
      </c>
      <c r="P386" t="str">
        <f t="shared" ref="P386:P449" si="34">IF(D386&lt;&gt;"扶養","",IF(E386&lt;&gt;"確認待ち",1,IF(OR(AND(G386="本人の結婚",O386=1),AND(H386="減",OR(N386=1,O386=1))),1,0)))</f>
        <v/>
      </c>
      <c r="Q386">
        <f>COUNTIF('責任職　企業局→市長部局'!A:A,SQLデータ!B386)</f>
        <v>0</v>
      </c>
      <c r="R386">
        <f>COUNTIF('一般職員　企業局→市長部局'!A:F,SQLデータ!B386)</f>
        <v>0</v>
      </c>
    </row>
    <row r="387" spans="1:18" x14ac:dyDescent="0.4">
      <c r="A387" s="1">
        <v>202620000075</v>
      </c>
      <c r="B387" s="1">
        <v>1176114</v>
      </c>
      <c r="C387" s="2">
        <v>46127</v>
      </c>
      <c r="D387" t="s">
        <v>13</v>
      </c>
      <c r="E387" t="s">
        <v>8</v>
      </c>
      <c r="G387" t="s">
        <v>9</v>
      </c>
      <c r="L387">
        <f t="shared" si="31"/>
        <v>0</v>
      </c>
      <c r="M387">
        <f t="shared" si="32"/>
        <v>0</v>
      </c>
      <c r="N387">
        <f t="shared" si="33"/>
        <v>0</v>
      </c>
      <c r="O387">
        <f t="shared" si="30"/>
        <v>1</v>
      </c>
      <c r="P387" t="str">
        <f t="shared" si="34"/>
        <v/>
      </c>
      <c r="Q387">
        <f>COUNTIF('責任職　企業局→市長部局'!A:A,SQLデータ!B387)</f>
        <v>0</v>
      </c>
      <c r="R387">
        <f>COUNTIF('一般職員　企業局→市長部局'!A:F,SQLデータ!B387)</f>
        <v>0</v>
      </c>
    </row>
    <row r="388" spans="1:18" x14ac:dyDescent="0.4">
      <c r="A388" s="1">
        <v>202620000076</v>
      </c>
      <c r="B388" s="1">
        <v>1191267</v>
      </c>
      <c r="C388" s="2">
        <v>46127</v>
      </c>
      <c r="D388" t="s">
        <v>13</v>
      </c>
      <c r="E388" t="s">
        <v>8</v>
      </c>
      <c r="G388" t="s">
        <v>9</v>
      </c>
      <c r="L388">
        <f t="shared" si="31"/>
        <v>0</v>
      </c>
      <c r="M388">
        <f t="shared" si="32"/>
        <v>0</v>
      </c>
      <c r="N388">
        <f t="shared" si="33"/>
        <v>0</v>
      </c>
      <c r="O388">
        <f t="shared" si="30"/>
        <v>1</v>
      </c>
      <c r="P388" t="str">
        <f t="shared" si="34"/>
        <v/>
      </c>
      <c r="Q388">
        <f>COUNTIF('責任職　企業局→市長部局'!A:A,SQLデータ!B388)</f>
        <v>0</v>
      </c>
      <c r="R388">
        <f>COUNTIF('一般職員　企業局→市長部局'!A:F,SQLデータ!B388)</f>
        <v>0</v>
      </c>
    </row>
    <row r="389" spans="1:18" x14ac:dyDescent="0.4">
      <c r="A389" s="1">
        <v>202620000077</v>
      </c>
      <c r="B389" s="1">
        <v>1261101</v>
      </c>
      <c r="C389" s="2">
        <v>46127</v>
      </c>
      <c r="D389" t="s">
        <v>13</v>
      </c>
      <c r="E389" t="s">
        <v>8</v>
      </c>
      <c r="G389" t="s">
        <v>9</v>
      </c>
      <c r="L389">
        <f t="shared" si="31"/>
        <v>0</v>
      </c>
      <c r="M389">
        <f t="shared" si="32"/>
        <v>0</v>
      </c>
      <c r="N389">
        <f t="shared" si="33"/>
        <v>0</v>
      </c>
      <c r="O389">
        <f t="shared" si="30"/>
        <v>1</v>
      </c>
      <c r="P389" t="str">
        <f t="shared" si="34"/>
        <v/>
      </c>
      <c r="Q389">
        <f>COUNTIF('責任職　企業局→市長部局'!A:A,SQLデータ!B389)</f>
        <v>0</v>
      </c>
      <c r="R389">
        <f>COUNTIF('一般職員　企業局→市長部局'!A:F,SQLデータ!B389)</f>
        <v>0</v>
      </c>
    </row>
    <row r="390" spans="1:18" x14ac:dyDescent="0.4">
      <c r="A390" s="1">
        <v>202620000078</v>
      </c>
      <c r="B390" s="1">
        <v>1261181</v>
      </c>
      <c r="C390" s="2">
        <v>46127</v>
      </c>
      <c r="D390" t="s">
        <v>13</v>
      </c>
      <c r="E390" t="s">
        <v>10</v>
      </c>
      <c r="G390" t="s">
        <v>9</v>
      </c>
      <c r="L390">
        <f t="shared" si="31"/>
        <v>0</v>
      </c>
      <c r="M390">
        <f t="shared" si="32"/>
        <v>0</v>
      </c>
      <c r="N390">
        <f t="shared" si="33"/>
        <v>0</v>
      </c>
      <c r="O390">
        <f t="shared" si="30"/>
        <v>1</v>
      </c>
      <c r="P390" t="str">
        <f t="shared" si="34"/>
        <v/>
      </c>
      <c r="Q390">
        <f>COUNTIF('責任職　企業局→市長部局'!A:A,SQLデータ!B390)</f>
        <v>0</v>
      </c>
      <c r="R390">
        <f>COUNTIF('一般職員　企業局→市長部局'!A:F,SQLデータ!B390)</f>
        <v>0</v>
      </c>
    </row>
    <row r="391" spans="1:18" x14ac:dyDescent="0.4">
      <c r="A391" s="1">
        <v>202620000079</v>
      </c>
      <c r="B391" s="1">
        <v>1264059</v>
      </c>
      <c r="C391" s="2">
        <v>46127</v>
      </c>
      <c r="D391" t="s">
        <v>13</v>
      </c>
      <c r="E391" t="s">
        <v>10</v>
      </c>
      <c r="G391" t="s">
        <v>9</v>
      </c>
      <c r="L391">
        <f t="shared" si="31"/>
        <v>0</v>
      </c>
      <c r="M391">
        <f t="shared" si="32"/>
        <v>0</v>
      </c>
      <c r="N391">
        <f t="shared" si="33"/>
        <v>0</v>
      </c>
      <c r="O391">
        <f t="shared" si="30"/>
        <v>1</v>
      </c>
      <c r="P391" t="str">
        <f t="shared" si="34"/>
        <v/>
      </c>
      <c r="Q391">
        <f>COUNTIF('責任職　企業局→市長部局'!A:A,SQLデータ!B391)</f>
        <v>0</v>
      </c>
      <c r="R391">
        <f>COUNTIF('一般職員　企業局→市長部局'!A:F,SQLデータ!B391)</f>
        <v>0</v>
      </c>
    </row>
    <row r="392" spans="1:18" x14ac:dyDescent="0.4">
      <c r="A392" s="1">
        <v>202620000080</v>
      </c>
      <c r="B392" s="1">
        <v>1234106</v>
      </c>
      <c r="C392" s="2">
        <v>46127</v>
      </c>
      <c r="D392" t="s">
        <v>13</v>
      </c>
      <c r="E392" t="s">
        <v>8</v>
      </c>
      <c r="G392" t="s">
        <v>9</v>
      </c>
      <c r="L392">
        <f t="shared" si="31"/>
        <v>0</v>
      </c>
      <c r="M392">
        <f t="shared" si="32"/>
        <v>0</v>
      </c>
      <c r="N392">
        <f t="shared" si="33"/>
        <v>0</v>
      </c>
      <c r="O392">
        <f t="shared" si="30"/>
        <v>1</v>
      </c>
      <c r="P392" t="str">
        <f t="shared" si="34"/>
        <v/>
      </c>
      <c r="Q392">
        <f>COUNTIF('責任職　企業局→市長部局'!A:A,SQLデータ!B392)</f>
        <v>0</v>
      </c>
      <c r="R392">
        <f>COUNTIF('一般職員　企業局→市長部局'!A:F,SQLデータ!B392)</f>
        <v>0</v>
      </c>
    </row>
    <row r="393" spans="1:18" x14ac:dyDescent="0.4">
      <c r="A393" s="1">
        <v>202620000081</v>
      </c>
      <c r="B393" s="1">
        <v>1266054</v>
      </c>
      <c r="C393" s="2">
        <v>46127</v>
      </c>
      <c r="D393" t="s">
        <v>13</v>
      </c>
      <c r="E393" t="s">
        <v>8</v>
      </c>
      <c r="G393" t="s">
        <v>9</v>
      </c>
      <c r="L393">
        <f t="shared" si="31"/>
        <v>0</v>
      </c>
      <c r="M393">
        <f t="shared" si="32"/>
        <v>0</v>
      </c>
      <c r="N393">
        <f t="shared" si="33"/>
        <v>0</v>
      </c>
      <c r="O393">
        <f t="shared" ref="O393:O456" si="35">IF(COUNTIF(L393:N393,0)=3,1,0)</f>
        <v>1</v>
      </c>
      <c r="P393" t="str">
        <f t="shared" si="34"/>
        <v/>
      </c>
      <c r="Q393">
        <f>COUNTIF('責任職　企業局→市長部局'!A:A,SQLデータ!B393)</f>
        <v>0</v>
      </c>
      <c r="R393">
        <f>COUNTIF('一般職員　企業局→市長部局'!A:F,SQLデータ!B393)</f>
        <v>0</v>
      </c>
    </row>
    <row r="394" spans="1:18" x14ac:dyDescent="0.4">
      <c r="A394" s="1">
        <v>202620000082</v>
      </c>
      <c r="B394" s="1">
        <v>1266071</v>
      </c>
      <c r="C394" s="2">
        <v>46127</v>
      </c>
      <c r="D394" t="s">
        <v>13</v>
      </c>
      <c r="E394" t="s">
        <v>8</v>
      </c>
      <c r="G394" t="s">
        <v>9</v>
      </c>
      <c r="L394">
        <f t="shared" si="31"/>
        <v>0</v>
      </c>
      <c r="M394">
        <f t="shared" si="32"/>
        <v>0</v>
      </c>
      <c r="N394">
        <f t="shared" si="33"/>
        <v>0</v>
      </c>
      <c r="O394">
        <f t="shared" si="35"/>
        <v>1</v>
      </c>
      <c r="P394" t="str">
        <f t="shared" si="34"/>
        <v/>
      </c>
      <c r="Q394">
        <f>COUNTIF('責任職　企業局→市長部局'!A:A,SQLデータ!B394)</f>
        <v>0</v>
      </c>
      <c r="R394">
        <f>COUNTIF('一般職員　企業局→市長部局'!A:F,SQLデータ!B394)</f>
        <v>0</v>
      </c>
    </row>
    <row r="395" spans="1:18" x14ac:dyDescent="0.4">
      <c r="A395" s="1">
        <v>202620000083</v>
      </c>
      <c r="B395" s="1">
        <v>1182123</v>
      </c>
      <c r="C395" s="2">
        <v>46127</v>
      </c>
      <c r="D395" t="s">
        <v>13</v>
      </c>
      <c r="E395" t="s">
        <v>8</v>
      </c>
      <c r="G395" t="s">
        <v>9</v>
      </c>
      <c r="L395">
        <f t="shared" si="31"/>
        <v>0</v>
      </c>
      <c r="M395">
        <f t="shared" si="32"/>
        <v>0</v>
      </c>
      <c r="N395">
        <f t="shared" si="33"/>
        <v>0</v>
      </c>
      <c r="O395">
        <f t="shared" si="35"/>
        <v>1</v>
      </c>
      <c r="P395" t="str">
        <f t="shared" si="34"/>
        <v/>
      </c>
      <c r="Q395">
        <f>COUNTIF('責任職　企業局→市長部局'!A:A,SQLデータ!B395)</f>
        <v>0</v>
      </c>
      <c r="R395">
        <f>COUNTIF('一般職員　企業局→市長部局'!A:F,SQLデータ!B395)</f>
        <v>0</v>
      </c>
    </row>
    <row r="396" spans="1:18" x14ac:dyDescent="0.4">
      <c r="A396" s="1">
        <v>202620000084</v>
      </c>
      <c r="B396" s="1">
        <v>1266056</v>
      </c>
      <c r="C396" s="2">
        <v>46127</v>
      </c>
      <c r="D396" t="s">
        <v>13</v>
      </c>
      <c r="E396" t="s">
        <v>8</v>
      </c>
      <c r="G396" t="s">
        <v>9</v>
      </c>
      <c r="L396">
        <f t="shared" si="31"/>
        <v>0</v>
      </c>
      <c r="M396">
        <f t="shared" si="32"/>
        <v>0</v>
      </c>
      <c r="N396">
        <f t="shared" si="33"/>
        <v>0</v>
      </c>
      <c r="O396">
        <f t="shared" si="35"/>
        <v>1</v>
      </c>
      <c r="P396" t="str">
        <f t="shared" si="34"/>
        <v/>
      </c>
      <c r="Q396">
        <f>COUNTIF('責任職　企業局→市長部局'!A:A,SQLデータ!B396)</f>
        <v>0</v>
      </c>
      <c r="R396">
        <f>COUNTIF('一般職員　企業局→市長部局'!A:F,SQLデータ!B396)</f>
        <v>0</v>
      </c>
    </row>
    <row r="397" spans="1:18" x14ac:dyDescent="0.4">
      <c r="A397" s="1">
        <v>202620000085</v>
      </c>
      <c r="B397" s="1">
        <v>1136066</v>
      </c>
      <c r="C397" s="2">
        <v>46127</v>
      </c>
      <c r="D397" t="s">
        <v>13</v>
      </c>
      <c r="E397" t="s">
        <v>8</v>
      </c>
      <c r="G397" t="s">
        <v>9</v>
      </c>
      <c r="L397">
        <f t="shared" si="31"/>
        <v>0</v>
      </c>
      <c r="M397">
        <f t="shared" si="32"/>
        <v>0</v>
      </c>
      <c r="N397">
        <f t="shared" si="33"/>
        <v>0</v>
      </c>
      <c r="O397">
        <f t="shared" si="35"/>
        <v>1</v>
      </c>
      <c r="P397" t="str">
        <f t="shared" si="34"/>
        <v/>
      </c>
      <c r="Q397">
        <f>COUNTIF('責任職　企業局→市長部局'!A:A,SQLデータ!B397)</f>
        <v>0</v>
      </c>
      <c r="R397">
        <f>COUNTIF('一般職員　企業局→市長部局'!A:F,SQLデータ!B397)</f>
        <v>0</v>
      </c>
    </row>
    <row r="398" spans="1:18" x14ac:dyDescent="0.4">
      <c r="A398" s="1">
        <v>202620000086</v>
      </c>
      <c r="B398" s="1">
        <v>1261276</v>
      </c>
      <c r="C398" s="2">
        <v>46127</v>
      </c>
      <c r="D398" t="s">
        <v>13</v>
      </c>
      <c r="E398" t="s">
        <v>8</v>
      </c>
      <c r="G398" t="s">
        <v>9</v>
      </c>
      <c r="L398">
        <f t="shared" si="31"/>
        <v>0</v>
      </c>
      <c r="M398">
        <f t="shared" si="32"/>
        <v>0</v>
      </c>
      <c r="N398">
        <f t="shared" si="33"/>
        <v>0</v>
      </c>
      <c r="O398">
        <f t="shared" si="35"/>
        <v>1</v>
      </c>
      <c r="P398" t="str">
        <f t="shared" si="34"/>
        <v/>
      </c>
      <c r="Q398">
        <f>COUNTIF('責任職　企業局→市長部局'!A:A,SQLデータ!B398)</f>
        <v>0</v>
      </c>
      <c r="R398">
        <f>COUNTIF('一般職員　企業局→市長部局'!A:F,SQLデータ!B398)</f>
        <v>0</v>
      </c>
    </row>
    <row r="399" spans="1:18" x14ac:dyDescent="0.4">
      <c r="A399" s="1">
        <v>202620000088</v>
      </c>
      <c r="B399" s="1">
        <v>1264077</v>
      </c>
      <c r="C399" s="2">
        <v>46113</v>
      </c>
      <c r="D399" t="s">
        <v>13</v>
      </c>
      <c r="E399" t="s">
        <v>8</v>
      </c>
      <c r="G399" t="s">
        <v>9</v>
      </c>
      <c r="L399">
        <f t="shared" si="31"/>
        <v>0</v>
      </c>
      <c r="M399">
        <f t="shared" si="32"/>
        <v>0</v>
      </c>
      <c r="N399">
        <f t="shared" si="33"/>
        <v>0</v>
      </c>
      <c r="O399">
        <f t="shared" si="35"/>
        <v>1</v>
      </c>
      <c r="P399" t="str">
        <f t="shared" si="34"/>
        <v/>
      </c>
      <c r="Q399">
        <f>COUNTIF('責任職　企業局→市長部局'!A:A,SQLデータ!B399)</f>
        <v>0</v>
      </c>
      <c r="R399">
        <f>COUNTIF('一般職員　企業局→市長部局'!A:F,SQLデータ!B399)</f>
        <v>0</v>
      </c>
    </row>
    <row r="400" spans="1:18" x14ac:dyDescent="0.4">
      <c r="A400" s="1">
        <v>202620000089</v>
      </c>
      <c r="B400" s="1">
        <v>1172143</v>
      </c>
      <c r="C400" s="2">
        <v>46127</v>
      </c>
      <c r="D400" t="s">
        <v>13</v>
      </c>
      <c r="E400" t="s">
        <v>10</v>
      </c>
      <c r="G400" t="s">
        <v>9</v>
      </c>
      <c r="L400">
        <f t="shared" si="31"/>
        <v>0</v>
      </c>
      <c r="M400">
        <f t="shared" si="32"/>
        <v>0</v>
      </c>
      <c r="N400">
        <f t="shared" si="33"/>
        <v>0</v>
      </c>
      <c r="O400">
        <f t="shared" si="35"/>
        <v>1</v>
      </c>
      <c r="P400" t="str">
        <f t="shared" si="34"/>
        <v/>
      </c>
      <c r="Q400">
        <f>COUNTIF('責任職　企業局→市長部局'!A:A,SQLデータ!B400)</f>
        <v>0</v>
      </c>
      <c r="R400">
        <f>COUNTIF('一般職員　企業局→市長部局'!A:F,SQLデータ!B400)</f>
        <v>0</v>
      </c>
    </row>
    <row r="401" spans="1:18" x14ac:dyDescent="0.4">
      <c r="A401" s="1">
        <v>202620000090</v>
      </c>
      <c r="B401" s="1">
        <v>910441</v>
      </c>
      <c r="C401" s="2">
        <v>46128</v>
      </c>
      <c r="D401" t="s">
        <v>13</v>
      </c>
      <c r="E401" t="s">
        <v>8</v>
      </c>
      <c r="G401" t="s">
        <v>9</v>
      </c>
      <c r="L401">
        <f t="shared" si="31"/>
        <v>0</v>
      </c>
      <c r="M401">
        <f t="shared" si="32"/>
        <v>0</v>
      </c>
      <c r="N401">
        <f t="shared" si="33"/>
        <v>0</v>
      </c>
      <c r="O401">
        <f t="shared" si="35"/>
        <v>1</v>
      </c>
      <c r="P401" t="str">
        <f t="shared" si="34"/>
        <v/>
      </c>
      <c r="Q401">
        <f>COUNTIF('責任職　企業局→市長部局'!A:A,SQLデータ!B401)</f>
        <v>0</v>
      </c>
      <c r="R401">
        <f>COUNTIF('一般職員　企業局→市長部局'!A:F,SQLデータ!B401)</f>
        <v>1</v>
      </c>
    </row>
    <row r="402" spans="1:18" x14ac:dyDescent="0.4">
      <c r="A402" s="1">
        <v>202620000092</v>
      </c>
      <c r="B402" s="1">
        <v>1152037</v>
      </c>
      <c r="C402" s="2">
        <v>46128</v>
      </c>
      <c r="D402" t="s">
        <v>13</v>
      </c>
      <c r="E402" t="s">
        <v>8</v>
      </c>
      <c r="G402" t="s">
        <v>9</v>
      </c>
      <c r="L402">
        <f t="shared" si="31"/>
        <v>0</v>
      </c>
      <c r="M402">
        <f t="shared" si="32"/>
        <v>0</v>
      </c>
      <c r="N402">
        <f t="shared" si="33"/>
        <v>0</v>
      </c>
      <c r="O402">
        <f t="shared" si="35"/>
        <v>1</v>
      </c>
      <c r="P402" t="str">
        <f t="shared" si="34"/>
        <v/>
      </c>
      <c r="Q402">
        <f>COUNTIF('責任職　企業局→市長部局'!A:A,SQLデータ!B402)</f>
        <v>0</v>
      </c>
      <c r="R402">
        <f>COUNTIF('一般職員　企業局→市長部局'!A:F,SQLデータ!B402)</f>
        <v>1</v>
      </c>
    </row>
    <row r="403" spans="1:18" x14ac:dyDescent="0.4">
      <c r="A403" s="1">
        <v>202620000093</v>
      </c>
      <c r="B403" s="1">
        <v>1124041</v>
      </c>
      <c r="C403" s="2">
        <v>46128</v>
      </c>
      <c r="D403" t="s">
        <v>13</v>
      </c>
      <c r="E403" t="s">
        <v>8</v>
      </c>
      <c r="G403" t="s">
        <v>9</v>
      </c>
      <c r="L403">
        <f t="shared" si="31"/>
        <v>0</v>
      </c>
      <c r="M403">
        <f t="shared" si="32"/>
        <v>0</v>
      </c>
      <c r="N403">
        <f t="shared" si="33"/>
        <v>0</v>
      </c>
      <c r="O403">
        <f t="shared" si="35"/>
        <v>1</v>
      </c>
      <c r="P403" t="str">
        <f t="shared" si="34"/>
        <v/>
      </c>
      <c r="Q403">
        <f>COUNTIF('責任職　企業局→市長部局'!A:A,SQLデータ!B403)</f>
        <v>0</v>
      </c>
      <c r="R403">
        <f>COUNTIF('一般職員　企業局→市長部局'!A:F,SQLデータ!B403)</f>
        <v>0</v>
      </c>
    </row>
    <row r="404" spans="1:18" x14ac:dyDescent="0.4">
      <c r="A404" s="1">
        <v>202620000094</v>
      </c>
      <c r="B404" s="1">
        <v>1191188</v>
      </c>
      <c r="C404" s="2">
        <v>46128</v>
      </c>
      <c r="D404" t="s">
        <v>13</v>
      </c>
      <c r="E404" t="s">
        <v>8</v>
      </c>
      <c r="G404" t="s">
        <v>9</v>
      </c>
      <c r="L404">
        <f t="shared" si="31"/>
        <v>0</v>
      </c>
      <c r="M404">
        <f t="shared" si="32"/>
        <v>0</v>
      </c>
      <c r="N404">
        <f t="shared" si="33"/>
        <v>0</v>
      </c>
      <c r="O404">
        <f t="shared" si="35"/>
        <v>1</v>
      </c>
      <c r="P404" t="str">
        <f t="shared" si="34"/>
        <v/>
      </c>
      <c r="Q404">
        <f>COUNTIF('責任職　企業局→市長部局'!A:A,SQLデータ!B404)</f>
        <v>0</v>
      </c>
      <c r="R404">
        <f>COUNTIF('一般職員　企業局→市長部局'!A:F,SQLデータ!B404)</f>
        <v>1</v>
      </c>
    </row>
    <row r="405" spans="1:18" x14ac:dyDescent="0.4">
      <c r="A405" s="1">
        <v>202620000095</v>
      </c>
      <c r="B405" s="1">
        <v>1023028</v>
      </c>
      <c r="C405" s="2">
        <v>46128</v>
      </c>
      <c r="D405" t="s">
        <v>13</v>
      </c>
      <c r="E405" t="s">
        <v>8</v>
      </c>
      <c r="G405" t="s">
        <v>9</v>
      </c>
      <c r="L405">
        <f t="shared" si="31"/>
        <v>0</v>
      </c>
      <c r="M405">
        <f t="shared" si="32"/>
        <v>0</v>
      </c>
      <c r="N405">
        <f t="shared" si="33"/>
        <v>0</v>
      </c>
      <c r="O405">
        <f t="shared" si="35"/>
        <v>1</v>
      </c>
      <c r="P405" t="str">
        <f t="shared" si="34"/>
        <v/>
      </c>
      <c r="Q405">
        <f>COUNTIF('責任職　企業局→市長部局'!A:A,SQLデータ!B405)</f>
        <v>0</v>
      </c>
      <c r="R405">
        <f>COUNTIF('一般職員　企業局→市長部局'!A:F,SQLデータ!B405)</f>
        <v>1</v>
      </c>
    </row>
    <row r="406" spans="1:18" x14ac:dyDescent="0.4">
      <c r="A406" s="1">
        <v>202620000097</v>
      </c>
      <c r="B406" s="1">
        <v>1072006</v>
      </c>
      <c r="C406" s="2">
        <v>46131</v>
      </c>
      <c r="D406" t="s">
        <v>13</v>
      </c>
      <c r="E406" t="s">
        <v>8</v>
      </c>
      <c r="G406" t="s">
        <v>9</v>
      </c>
      <c r="L406">
        <f t="shared" si="31"/>
        <v>0</v>
      </c>
      <c r="M406">
        <f t="shared" si="32"/>
        <v>0</v>
      </c>
      <c r="N406">
        <f t="shared" si="33"/>
        <v>0</v>
      </c>
      <c r="O406">
        <f t="shared" si="35"/>
        <v>1</v>
      </c>
      <c r="P406" t="str">
        <f t="shared" si="34"/>
        <v/>
      </c>
      <c r="Q406">
        <f>COUNTIF('責任職　企業局→市長部局'!A:A,SQLデータ!B406)</f>
        <v>0</v>
      </c>
      <c r="R406">
        <f>COUNTIF('一般職員　企業局→市長部局'!A:F,SQLデータ!B406)</f>
        <v>1</v>
      </c>
    </row>
    <row r="407" spans="1:18" x14ac:dyDescent="0.4">
      <c r="A407" s="1">
        <v>202620000098</v>
      </c>
      <c r="B407" s="1">
        <v>1264050</v>
      </c>
      <c r="C407" s="2">
        <v>46129</v>
      </c>
      <c r="D407" t="s">
        <v>13</v>
      </c>
      <c r="E407" t="s">
        <v>8</v>
      </c>
      <c r="G407" t="s">
        <v>9</v>
      </c>
      <c r="L407">
        <f t="shared" si="31"/>
        <v>0</v>
      </c>
      <c r="M407">
        <f t="shared" si="32"/>
        <v>0</v>
      </c>
      <c r="N407">
        <f t="shared" si="33"/>
        <v>0</v>
      </c>
      <c r="O407">
        <f t="shared" si="35"/>
        <v>1</v>
      </c>
      <c r="P407" t="str">
        <f t="shared" si="34"/>
        <v/>
      </c>
      <c r="Q407">
        <f>COUNTIF('責任職　企業局→市長部局'!A:A,SQLデータ!B407)</f>
        <v>0</v>
      </c>
      <c r="R407">
        <f>COUNTIF('一般職員　企業局→市長部局'!A:F,SQLデータ!B407)</f>
        <v>0</v>
      </c>
    </row>
    <row r="408" spans="1:18" x14ac:dyDescent="0.4">
      <c r="A408" s="1">
        <v>202620000099</v>
      </c>
      <c r="B408" s="1">
        <v>1172057</v>
      </c>
      <c r="C408" s="2">
        <v>46129</v>
      </c>
      <c r="D408" t="s">
        <v>13</v>
      </c>
      <c r="E408" t="s">
        <v>8</v>
      </c>
      <c r="G408" t="s">
        <v>9</v>
      </c>
      <c r="L408">
        <f t="shared" si="31"/>
        <v>0</v>
      </c>
      <c r="M408">
        <f t="shared" si="32"/>
        <v>0</v>
      </c>
      <c r="N408">
        <f t="shared" si="33"/>
        <v>0</v>
      </c>
      <c r="O408">
        <f t="shared" si="35"/>
        <v>1</v>
      </c>
      <c r="P408" t="str">
        <f t="shared" si="34"/>
        <v/>
      </c>
      <c r="Q408">
        <f>COUNTIF('責任職　企業局→市長部局'!A:A,SQLデータ!B408)</f>
        <v>1</v>
      </c>
      <c r="R408">
        <f>COUNTIF('一般職員　企業局→市長部局'!A:F,SQLデータ!B408)</f>
        <v>0</v>
      </c>
    </row>
    <row r="409" spans="1:18" x14ac:dyDescent="0.4">
      <c r="A409" s="1">
        <v>202620000100</v>
      </c>
      <c r="B409" s="1">
        <v>1211378</v>
      </c>
      <c r="C409" s="2">
        <v>46129</v>
      </c>
      <c r="D409" t="s">
        <v>13</v>
      </c>
      <c r="E409" t="s">
        <v>8</v>
      </c>
      <c r="G409" t="s">
        <v>9</v>
      </c>
      <c r="L409">
        <f t="shared" si="31"/>
        <v>0</v>
      </c>
      <c r="M409">
        <f t="shared" si="32"/>
        <v>0</v>
      </c>
      <c r="N409">
        <f t="shared" si="33"/>
        <v>0</v>
      </c>
      <c r="O409">
        <f t="shared" si="35"/>
        <v>1</v>
      </c>
      <c r="P409" t="str">
        <f t="shared" si="34"/>
        <v/>
      </c>
      <c r="Q409">
        <f>COUNTIF('責任職　企業局→市長部局'!A:A,SQLデータ!B409)</f>
        <v>0</v>
      </c>
      <c r="R409">
        <f>COUNTIF('一般職員　企業局→市長部局'!A:F,SQLデータ!B409)</f>
        <v>0</v>
      </c>
    </row>
    <row r="410" spans="1:18" x14ac:dyDescent="0.4">
      <c r="A410" s="1">
        <v>202620000101</v>
      </c>
      <c r="B410" s="1">
        <v>1261296</v>
      </c>
      <c r="C410" s="2">
        <v>46129</v>
      </c>
      <c r="D410" t="s">
        <v>13</v>
      </c>
      <c r="E410" t="s">
        <v>8</v>
      </c>
      <c r="G410" t="s">
        <v>9</v>
      </c>
      <c r="L410">
        <f t="shared" si="31"/>
        <v>0</v>
      </c>
      <c r="M410">
        <f t="shared" si="32"/>
        <v>0</v>
      </c>
      <c r="N410">
        <f t="shared" si="33"/>
        <v>0</v>
      </c>
      <c r="O410">
        <f t="shared" si="35"/>
        <v>1</v>
      </c>
      <c r="P410" t="str">
        <f t="shared" si="34"/>
        <v/>
      </c>
      <c r="Q410">
        <f>COUNTIF('責任職　企業局→市長部局'!A:A,SQLデータ!B410)</f>
        <v>0</v>
      </c>
      <c r="R410">
        <f>COUNTIF('一般職員　企業局→市長部局'!A:F,SQLデータ!B410)</f>
        <v>0</v>
      </c>
    </row>
    <row r="411" spans="1:18" x14ac:dyDescent="0.4">
      <c r="A411" s="1">
        <v>202620000102</v>
      </c>
      <c r="B411" s="1">
        <v>1161480</v>
      </c>
      <c r="C411" s="2">
        <v>46129</v>
      </c>
      <c r="D411" t="s">
        <v>13</v>
      </c>
      <c r="E411" t="s">
        <v>8</v>
      </c>
      <c r="G411" t="s">
        <v>9</v>
      </c>
      <c r="L411">
        <f t="shared" si="31"/>
        <v>0</v>
      </c>
      <c r="M411">
        <f t="shared" si="32"/>
        <v>0</v>
      </c>
      <c r="N411">
        <f t="shared" si="33"/>
        <v>0</v>
      </c>
      <c r="O411">
        <f t="shared" si="35"/>
        <v>1</v>
      </c>
      <c r="P411" t="str">
        <f t="shared" si="34"/>
        <v/>
      </c>
      <c r="Q411">
        <f>COUNTIF('責任職　企業局→市長部局'!A:A,SQLデータ!B411)</f>
        <v>0</v>
      </c>
      <c r="R411">
        <f>COUNTIF('一般職員　企業局→市長部局'!A:F,SQLデータ!B411)</f>
        <v>1</v>
      </c>
    </row>
    <row r="412" spans="1:18" x14ac:dyDescent="0.4">
      <c r="A412" s="1">
        <v>202620000103</v>
      </c>
      <c r="B412" s="1">
        <v>1264095</v>
      </c>
      <c r="C412" s="2">
        <v>46129</v>
      </c>
      <c r="D412" t="s">
        <v>13</v>
      </c>
      <c r="E412" t="s">
        <v>8</v>
      </c>
      <c r="G412" t="s">
        <v>9</v>
      </c>
      <c r="L412">
        <f t="shared" si="31"/>
        <v>0</v>
      </c>
      <c r="M412">
        <f t="shared" si="32"/>
        <v>0</v>
      </c>
      <c r="N412">
        <f t="shared" si="33"/>
        <v>0</v>
      </c>
      <c r="O412">
        <f t="shared" si="35"/>
        <v>1</v>
      </c>
      <c r="P412" t="str">
        <f t="shared" si="34"/>
        <v/>
      </c>
      <c r="Q412">
        <f>COUNTIF('責任職　企業局→市長部局'!A:A,SQLデータ!B412)</f>
        <v>0</v>
      </c>
      <c r="R412">
        <f>COUNTIF('一般職員　企業局→市長部局'!A:F,SQLデータ!B412)</f>
        <v>0</v>
      </c>
    </row>
    <row r="413" spans="1:18" x14ac:dyDescent="0.4">
      <c r="A413" s="1">
        <v>202620000104</v>
      </c>
      <c r="B413" s="1">
        <v>982009</v>
      </c>
      <c r="C413" s="2">
        <v>46129</v>
      </c>
      <c r="D413" t="s">
        <v>13</v>
      </c>
      <c r="E413" t="s">
        <v>8</v>
      </c>
      <c r="G413" t="s">
        <v>9</v>
      </c>
      <c r="L413">
        <f t="shared" si="31"/>
        <v>0</v>
      </c>
      <c r="M413">
        <f t="shared" si="32"/>
        <v>0</v>
      </c>
      <c r="N413">
        <f t="shared" si="33"/>
        <v>0</v>
      </c>
      <c r="O413">
        <f t="shared" si="35"/>
        <v>1</v>
      </c>
      <c r="P413" t="str">
        <f t="shared" si="34"/>
        <v/>
      </c>
      <c r="Q413">
        <f>COUNTIF('責任職　企業局→市長部局'!A:A,SQLデータ!B413)</f>
        <v>1</v>
      </c>
      <c r="R413">
        <f>COUNTIF('一般職員　企業局→市長部局'!A:F,SQLデータ!B413)</f>
        <v>0</v>
      </c>
    </row>
    <row r="414" spans="1:18" x14ac:dyDescent="0.4">
      <c r="A414" s="1">
        <v>202620000105</v>
      </c>
      <c r="B414" s="1">
        <v>1082059</v>
      </c>
      <c r="C414" s="2">
        <v>46129</v>
      </c>
      <c r="D414" t="s">
        <v>13</v>
      </c>
      <c r="E414" t="s">
        <v>8</v>
      </c>
      <c r="G414" t="s">
        <v>9</v>
      </c>
      <c r="L414">
        <f t="shared" si="31"/>
        <v>0</v>
      </c>
      <c r="M414">
        <f t="shared" si="32"/>
        <v>0</v>
      </c>
      <c r="N414">
        <f t="shared" si="33"/>
        <v>0</v>
      </c>
      <c r="O414">
        <f t="shared" si="35"/>
        <v>1</v>
      </c>
      <c r="P414" t="str">
        <f t="shared" si="34"/>
        <v/>
      </c>
      <c r="Q414">
        <f>COUNTIF('責任職　企業局→市長部局'!A:A,SQLデータ!B414)</f>
        <v>0</v>
      </c>
      <c r="R414">
        <f>COUNTIF('一般職員　企業局→市長部局'!A:F,SQLデータ!B414)</f>
        <v>1</v>
      </c>
    </row>
    <row r="415" spans="1:18" x14ac:dyDescent="0.4">
      <c r="A415" s="1">
        <v>202630000001</v>
      </c>
      <c r="B415" s="1">
        <v>1031211</v>
      </c>
      <c r="C415" s="2">
        <v>46115</v>
      </c>
      <c r="D415" t="s">
        <v>14</v>
      </c>
      <c r="E415" t="s">
        <v>10</v>
      </c>
      <c r="G415" t="s">
        <v>9</v>
      </c>
      <c r="L415">
        <f t="shared" si="31"/>
        <v>0</v>
      </c>
      <c r="M415">
        <f t="shared" si="32"/>
        <v>0</v>
      </c>
      <c r="N415">
        <f t="shared" si="33"/>
        <v>0</v>
      </c>
      <c r="O415">
        <f t="shared" si="35"/>
        <v>1</v>
      </c>
      <c r="P415" t="str">
        <f t="shared" si="34"/>
        <v/>
      </c>
      <c r="Q415">
        <f>COUNTIF('責任職　企業局→市長部局'!A:A,SQLデータ!B415)</f>
        <v>0</v>
      </c>
      <c r="R415">
        <f>COUNTIF('一般職員　企業局→市長部局'!A:F,SQLデータ!B415)</f>
        <v>0</v>
      </c>
    </row>
    <row r="416" spans="1:18" x14ac:dyDescent="0.4">
      <c r="A416" s="1">
        <v>202630000002</v>
      </c>
      <c r="B416" s="1">
        <v>1036033</v>
      </c>
      <c r="C416" s="2">
        <v>46115</v>
      </c>
      <c r="D416" t="s">
        <v>14</v>
      </c>
      <c r="E416" t="s">
        <v>11</v>
      </c>
      <c r="G416" t="s">
        <v>9</v>
      </c>
      <c r="L416">
        <f t="shared" si="31"/>
        <v>0</v>
      </c>
      <c r="M416">
        <f t="shared" si="32"/>
        <v>0</v>
      </c>
      <c r="N416">
        <f t="shared" si="33"/>
        <v>0</v>
      </c>
      <c r="O416">
        <f t="shared" si="35"/>
        <v>1</v>
      </c>
      <c r="P416" t="str">
        <f t="shared" si="34"/>
        <v/>
      </c>
      <c r="Q416">
        <f>COUNTIF('責任職　企業局→市長部局'!A:A,SQLデータ!B416)</f>
        <v>0</v>
      </c>
      <c r="R416">
        <f>COUNTIF('一般職員　企業局→市長部局'!A:F,SQLデータ!B416)</f>
        <v>0</v>
      </c>
    </row>
    <row r="417" spans="1:18" x14ac:dyDescent="0.4">
      <c r="A417" s="1">
        <v>202630000005</v>
      </c>
      <c r="B417" s="1">
        <v>1071348</v>
      </c>
      <c r="C417" s="2">
        <v>46115</v>
      </c>
      <c r="D417" t="s">
        <v>14</v>
      </c>
      <c r="E417" t="s">
        <v>10</v>
      </c>
      <c r="G417" t="s">
        <v>9</v>
      </c>
      <c r="L417">
        <f t="shared" si="31"/>
        <v>0</v>
      </c>
      <c r="M417">
        <f t="shared" si="32"/>
        <v>0</v>
      </c>
      <c r="N417">
        <f t="shared" si="33"/>
        <v>0</v>
      </c>
      <c r="O417">
        <f t="shared" si="35"/>
        <v>1</v>
      </c>
      <c r="P417" t="str">
        <f t="shared" si="34"/>
        <v/>
      </c>
      <c r="Q417">
        <f>COUNTIF('責任職　企業局→市長部局'!A:A,SQLデータ!B417)</f>
        <v>0</v>
      </c>
      <c r="R417">
        <f>COUNTIF('一般職員　企業局→市長部局'!A:F,SQLデータ!B417)</f>
        <v>0</v>
      </c>
    </row>
    <row r="418" spans="1:18" x14ac:dyDescent="0.4">
      <c r="A418" s="1">
        <v>202630000006</v>
      </c>
      <c r="B418" s="1">
        <v>1051148</v>
      </c>
      <c r="C418" s="2">
        <v>46115</v>
      </c>
      <c r="D418" t="s">
        <v>14</v>
      </c>
      <c r="E418" t="s">
        <v>12</v>
      </c>
      <c r="G418" t="s">
        <v>9</v>
      </c>
      <c r="L418">
        <f t="shared" si="31"/>
        <v>0</v>
      </c>
      <c r="M418">
        <f t="shared" si="32"/>
        <v>0</v>
      </c>
      <c r="N418">
        <f t="shared" si="33"/>
        <v>0</v>
      </c>
      <c r="O418">
        <f t="shared" si="35"/>
        <v>1</v>
      </c>
      <c r="P418" t="str">
        <f t="shared" si="34"/>
        <v/>
      </c>
      <c r="Q418">
        <f>COUNTIF('責任職　企業局→市長部局'!A:A,SQLデータ!B418)</f>
        <v>0</v>
      </c>
      <c r="R418">
        <f>COUNTIF('一般職員　企業局→市長部局'!A:F,SQLデータ!B418)</f>
        <v>0</v>
      </c>
    </row>
    <row r="419" spans="1:18" x14ac:dyDescent="0.4">
      <c r="A419" s="1">
        <v>202630000007</v>
      </c>
      <c r="B419" s="1">
        <v>991262</v>
      </c>
      <c r="C419" s="2">
        <v>46115</v>
      </c>
      <c r="D419" t="s">
        <v>14</v>
      </c>
      <c r="E419" t="s">
        <v>12</v>
      </c>
      <c r="G419" t="s">
        <v>9</v>
      </c>
      <c r="L419">
        <f t="shared" si="31"/>
        <v>0</v>
      </c>
      <c r="M419">
        <f t="shared" si="32"/>
        <v>0</v>
      </c>
      <c r="N419">
        <f t="shared" si="33"/>
        <v>0</v>
      </c>
      <c r="O419">
        <f t="shared" si="35"/>
        <v>1</v>
      </c>
      <c r="P419" t="str">
        <f t="shared" si="34"/>
        <v/>
      </c>
      <c r="Q419">
        <f>COUNTIF('責任職　企業局→市長部局'!A:A,SQLデータ!B419)</f>
        <v>0</v>
      </c>
      <c r="R419">
        <f>COUNTIF('一般職員　企業局→市長部局'!A:F,SQLデータ!B419)</f>
        <v>0</v>
      </c>
    </row>
    <row r="420" spans="1:18" x14ac:dyDescent="0.4">
      <c r="A420" s="1">
        <v>202630000008</v>
      </c>
      <c r="B420" s="1">
        <v>1032041</v>
      </c>
      <c r="C420" s="2">
        <v>46115</v>
      </c>
      <c r="D420" t="s">
        <v>14</v>
      </c>
      <c r="E420" t="s">
        <v>12</v>
      </c>
      <c r="G420" t="s">
        <v>9</v>
      </c>
      <c r="L420">
        <f t="shared" si="31"/>
        <v>0</v>
      </c>
      <c r="M420">
        <f t="shared" si="32"/>
        <v>0</v>
      </c>
      <c r="N420">
        <f t="shared" si="33"/>
        <v>0</v>
      </c>
      <c r="O420">
        <f t="shared" si="35"/>
        <v>1</v>
      </c>
      <c r="P420" t="str">
        <f t="shared" si="34"/>
        <v/>
      </c>
      <c r="Q420">
        <f>COUNTIF('責任職　企業局→市長部局'!A:A,SQLデータ!B420)</f>
        <v>0</v>
      </c>
      <c r="R420">
        <f>COUNTIF('一般職員　企業局→市長部局'!A:F,SQLデータ!B420)</f>
        <v>0</v>
      </c>
    </row>
    <row r="421" spans="1:18" x14ac:dyDescent="0.4">
      <c r="A421" s="1">
        <v>202630000009</v>
      </c>
      <c r="B421" s="1">
        <v>1052503</v>
      </c>
      <c r="C421" s="2">
        <v>46115</v>
      </c>
      <c r="D421" t="s">
        <v>14</v>
      </c>
      <c r="E421" t="s">
        <v>12</v>
      </c>
      <c r="G421" t="s">
        <v>9</v>
      </c>
      <c r="L421">
        <f t="shared" si="31"/>
        <v>0</v>
      </c>
      <c r="M421">
        <f t="shared" si="32"/>
        <v>0</v>
      </c>
      <c r="N421">
        <f t="shared" si="33"/>
        <v>0</v>
      </c>
      <c r="O421">
        <f t="shared" si="35"/>
        <v>1</v>
      </c>
      <c r="P421" t="str">
        <f t="shared" si="34"/>
        <v/>
      </c>
      <c r="Q421">
        <f>COUNTIF('責任職　企業局→市長部局'!A:A,SQLデータ!B421)</f>
        <v>0</v>
      </c>
      <c r="R421">
        <f>COUNTIF('一般職員　企業局→市長部局'!A:F,SQLデータ!B421)</f>
        <v>0</v>
      </c>
    </row>
    <row r="422" spans="1:18" x14ac:dyDescent="0.4">
      <c r="A422" s="1">
        <v>202630000012</v>
      </c>
      <c r="B422" s="1">
        <v>1192056</v>
      </c>
      <c r="C422" s="2">
        <v>46113</v>
      </c>
      <c r="D422" t="s">
        <v>14</v>
      </c>
      <c r="E422" t="s">
        <v>12</v>
      </c>
      <c r="G422" t="s">
        <v>9</v>
      </c>
      <c r="L422">
        <f t="shared" si="31"/>
        <v>0</v>
      </c>
      <c r="M422">
        <f t="shared" si="32"/>
        <v>0</v>
      </c>
      <c r="N422">
        <f t="shared" si="33"/>
        <v>0</v>
      </c>
      <c r="O422">
        <f t="shared" si="35"/>
        <v>1</v>
      </c>
      <c r="P422" t="str">
        <f t="shared" si="34"/>
        <v/>
      </c>
      <c r="Q422">
        <f>COUNTIF('責任職　企業局→市長部局'!A:A,SQLデータ!B422)</f>
        <v>0</v>
      </c>
      <c r="R422">
        <f>COUNTIF('一般職員　企業局→市長部局'!A:F,SQLデータ!B422)</f>
        <v>0</v>
      </c>
    </row>
    <row r="423" spans="1:18" x14ac:dyDescent="0.4">
      <c r="A423" s="1">
        <v>202630000013</v>
      </c>
      <c r="B423" s="1">
        <v>940069</v>
      </c>
      <c r="C423" s="2">
        <v>46115</v>
      </c>
      <c r="D423" t="s">
        <v>14</v>
      </c>
      <c r="E423" t="s">
        <v>12</v>
      </c>
      <c r="G423" t="s">
        <v>9</v>
      </c>
      <c r="L423">
        <f t="shared" si="31"/>
        <v>0</v>
      </c>
      <c r="M423">
        <f t="shared" si="32"/>
        <v>0</v>
      </c>
      <c r="N423">
        <f t="shared" si="33"/>
        <v>0</v>
      </c>
      <c r="O423">
        <f t="shared" si="35"/>
        <v>1</v>
      </c>
      <c r="P423" t="str">
        <f t="shared" si="34"/>
        <v/>
      </c>
      <c r="Q423">
        <f>COUNTIF('責任職　企業局→市長部局'!A:A,SQLデータ!B423)</f>
        <v>0</v>
      </c>
      <c r="R423">
        <f>COUNTIF('一般職員　企業局→市長部局'!A:F,SQLデータ!B423)</f>
        <v>0</v>
      </c>
    </row>
    <row r="424" spans="1:18" x14ac:dyDescent="0.4">
      <c r="A424" s="1">
        <v>202630000014</v>
      </c>
      <c r="B424" s="1">
        <v>1026012</v>
      </c>
      <c r="C424" s="2">
        <v>46115</v>
      </c>
      <c r="D424" t="s">
        <v>14</v>
      </c>
      <c r="E424" t="s">
        <v>12</v>
      </c>
      <c r="F424" t="s">
        <v>48</v>
      </c>
      <c r="G424" t="s">
        <v>9</v>
      </c>
      <c r="L424">
        <f t="shared" si="31"/>
        <v>0</v>
      </c>
      <c r="M424">
        <f t="shared" si="32"/>
        <v>0</v>
      </c>
      <c r="N424">
        <f t="shared" si="33"/>
        <v>0</v>
      </c>
      <c r="O424">
        <f t="shared" si="35"/>
        <v>1</v>
      </c>
      <c r="P424" t="str">
        <f t="shared" si="34"/>
        <v/>
      </c>
      <c r="Q424">
        <f>COUNTIF('責任職　企業局→市長部局'!A:A,SQLデータ!B424)</f>
        <v>0</v>
      </c>
      <c r="R424">
        <f>COUNTIF('一般職員　企業局→市長部局'!A:F,SQLデータ!B424)</f>
        <v>0</v>
      </c>
    </row>
    <row r="425" spans="1:18" x14ac:dyDescent="0.4">
      <c r="A425" s="1">
        <v>202630000015</v>
      </c>
      <c r="B425" s="1">
        <v>996021</v>
      </c>
      <c r="C425" s="2">
        <v>46115</v>
      </c>
      <c r="D425" t="s">
        <v>14</v>
      </c>
      <c r="E425" t="s">
        <v>12</v>
      </c>
      <c r="G425" t="s">
        <v>9</v>
      </c>
      <c r="L425">
        <f t="shared" si="31"/>
        <v>0</v>
      </c>
      <c r="M425">
        <f t="shared" si="32"/>
        <v>0</v>
      </c>
      <c r="N425">
        <f t="shared" si="33"/>
        <v>0</v>
      </c>
      <c r="O425">
        <f t="shared" si="35"/>
        <v>1</v>
      </c>
      <c r="P425" t="str">
        <f t="shared" si="34"/>
        <v/>
      </c>
      <c r="Q425">
        <f>COUNTIF('責任職　企業局→市長部局'!A:A,SQLデータ!B425)</f>
        <v>0</v>
      </c>
      <c r="R425">
        <f>COUNTIF('一般職員　企業局→市長部局'!A:F,SQLデータ!B425)</f>
        <v>0</v>
      </c>
    </row>
    <row r="426" spans="1:18" x14ac:dyDescent="0.4">
      <c r="A426" s="1">
        <v>202630000017</v>
      </c>
      <c r="B426" s="1">
        <v>1101520</v>
      </c>
      <c r="C426" s="2">
        <v>46115</v>
      </c>
      <c r="D426" t="s">
        <v>14</v>
      </c>
      <c r="E426" t="s">
        <v>12</v>
      </c>
      <c r="G426" t="s">
        <v>9</v>
      </c>
      <c r="L426">
        <f t="shared" si="31"/>
        <v>0</v>
      </c>
      <c r="M426">
        <f t="shared" si="32"/>
        <v>0</v>
      </c>
      <c r="N426">
        <f t="shared" si="33"/>
        <v>0</v>
      </c>
      <c r="O426">
        <f t="shared" si="35"/>
        <v>1</v>
      </c>
      <c r="P426" t="str">
        <f t="shared" si="34"/>
        <v/>
      </c>
      <c r="Q426">
        <f>COUNTIF('責任職　企業局→市長部局'!A:A,SQLデータ!B426)</f>
        <v>0</v>
      </c>
      <c r="R426">
        <f>COUNTIF('一般職員　企業局→市長部局'!A:F,SQLデータ!B426)</f>
        <v>0</v>
      </c>
    </row>
    <row r="427" spans="1:18" x14ac:dyDescent="0.4">
      <c r="A427" s="1">
        <v>202630000018</v>
      </c>
      <c r="B427" s="1">
        <v>992519</v>
      </c>
      <c r="C427" s="2">
        <v>46115</v>
      </c>
      <c r="D427" t="s">
        <v>14</v>
      </c>
      <c r="E427" t="s">
        <v>12</v>
      </c>
      <c r="G427" t="s">
        <v>9</v>
      </c>
      <c r="L427">
        <f t="shared" si="31"/>
        <v>0</v>
      </c>
      <c r="M427">
        <f t="shared" si="32"/>
        <v>0</v>
      </c>
      <c r="N427">
        <f t="shared" si="33"/>
        <v>0</v>
      </c>
      <c r="O427">
        <f t="shared" si="35"/>
        <v>1</v>
      </c>
      <c r="P427" t="str">
        <f t="shared" si="34"/>
        <v/>
      </c>
      <c r="Q427">
        <f>COUNTIF('責任職　企業局→市長部局'!A:A,SQLデータ!B427)</f>
        <v>0</v>
      </c>
      <c r="R427">
        <f>COUNTIF('一般職員　企業局→市長部局'!A:F,SQLデータ!B427)</f>
        <v>0</v>
      </c>
    </row>
    <row r="428" spans="1:18" x14ac:dyDescent="0.4">
      <c r="A428" s="1">
        <v>202630000019</v>
      </c>
      <c r="B428" s="1">
        <v>1110061</v>
      </c>
      <c r="C428" s="2">
        <v>46121</v>
      </c>
      <c r="D428" t="s">
        <v>14</v>
      </c>
      <c r="E428" t="s">
        <v>8</v>
      </c>
      <c r="G428" t="s">
        <v>9</v>
      </c>
      <c r="L428">
        <f t="shared" si="31"/>
        <v>0</v>
      </c>
      <c r="M428">
        <f t="shared" si="32"/>
        <v>0</v>
      </c>
      <c r="N428">
        <f t="shared" si="33"/>
        <v>0</v>
      </c>
      <c r="O428">
        <f t="shared" si="35"/>
        <v>1</v>
      </c>
      <c r="P428" t="str">
        <f t="shared" si="34"/>
        <v/>
      </c>
      <c r="Q428">
        <f>COUNTIF('責任職　企業局→市長部局'!A:A,SQLデータ!B428)</f>
        <v>0</v>
      </c>
      <c r="R428">
        <f>COUNTIF('一般職員　企業局→市長部局'!A:F,SQLデータ!B428)</f>
        <v>0</v>
      </c>
    </row>
    <row r="429" spans="1:18" x14ac:dyDescent="0.4">
      <c r="A429" s="1">
        <v>202630000020</v>
      </c>
      <c r="B429" s="1">
        <v>1082013</v>
      </c>
      <c r="C429" s="2">
        <v>46118</v>
      </c>
      <c r="D429" t="s">
        <v>14</v>
      </c>
      <c r="E429" t="s">
        <v>12</v>
      </c>
      <c r="G429" t="s">
        <v>9</v>
      </c>
      <c r="L429">
        <f t="shared" si="31"/>
        <v>0</v>
      </c>
      <c r="M429">
        <f t="shared" si="32"/>
        <v>0</v>
      </c>
      <c r="N429">
        <f t="shared" si="33"/>
        <v>0</v>
      </c>
      <c r="O429">
        <f t="shared" si="35"/>
        <v>1</v>
      </c>
      <c r="P429" t="str">
        <f t="shared" si="34"/>
        <v/>
      </c>
      <c r="Q429">
        <f>COUNTIF('責任職　企業局→市長部局'!A:A,SQLデータ!B429)</f>
        <v>0</v>
      </c>
      <c r="R429">
        <f>COUNTIF('一般職員　企業局→市長部局'!A:F,SQLデータ!B429)</f>
        <v>0</v>
      </c>
    </row>
    <row r="430" spans="1:18" x14ac:dyDescent="0.4">
      <c r="A430" s="1">
        <v>202630000021</v>
      </c>
      <c r="B430" s="1">
        <v>1142120</v>
      </c>
      <c r="C430" s="2">
        <v>46115</v>
      </c>
      <c r="D430" t="s">
        <v>14</v>
      </c>
      <c r="E430" t="s">
        <v>12</v>
      </c>
      <c r="G430" t="s">
        <v>9</v>
      </c>
      <c r="L430">
        <f t="shared" si="31"/>
        <v>0</v>
      </c>
      <c r="M430">
        <f t="shared" si="32"/>
        <v>0</v>
      </c>
      <c r="N430">
        <f t="shared" si="33"/>
        <v>0</v>
      </c>
      <c r="O430">
        <f t="shared" si="35"/>
        <v>1</v>
      </c>
      <c r="P430" t="str">
        <f t="shared" si="34"/>
        <v/>
      </c>
      <c r="Q430">
        <f>COUNTIF('責任職　企業局→市長部局'!A:A,SQLデータ!B430)</f>
        <v>0</v>
      </c>
      <c r="R430">
        <f>COUNTIF('一般職員　企業局→市長部局'!A:F,SQLデータ!B430)</f>
        <v>0</v>
      </c>
    </row>
    <row r="431" spans="1:18" x14ac:dyDescent="0.4">
      <c r="A431" s="1">
        <v>202630000022</v>
      </c>
      <c r="B431" s="1">
        <v>1172057</v>
      </c>
      <c r="C431" s="2">
        <v>46115</v>
      </c>
      <c r="D431" t="s">
        <v>14</v>
      </c>
      <c r="E431" t="s">
        <v>8</v>
      </c>
      <c r="G431" t="s">
        <v>9</v>
      </c>
      <c r="L431">
        <f t="shared" si="31"/>
        <v>0</v>
      </c>
      <c r="M431">
        <f t="shared" si="32"/>
        <v>0</v>
      </c>
      <c r="N431">
        <f t="shared" si="33"/>
        <v>0</v>
      </c>
      <c r="O431">
        <f t="shared" si="35"/>
        <v>1</v>
      </c>
      <c r="P431" t="str">
        <f t="shared" si="34"/>
        <v/>
      </c>
      <c r="Q431">
        <f>COUNTIF('責任職　企業局→市長部局'!A:A,SQLデータ!B431)</f>
        <v>1</v>
      </c>
      <c r="R431">
        <f>COUNTIF('一般職員　企業局→市長部局'!A:F,SQLデータ!B431)</f>
        <v>0</v>
      </c>
    </row>
    <row r="432" spans="1:18" x14ac:dyDescent="0.4">
      <c r="A432" s="1">
        <v>202630000023</v>
      </c>
      <c r="B432" s="1">
        <v>1144083</v>
      </c>
      <c r="C432" s="2">
        <v>46115</v>
      </c>
      <c r="D432" t="s">
        <v>14</v>
      </c>
      <c r="E432" t="s">
        <v>11</v>
      </c>
      <c r="G432" t="s">
        <v>9</v>
      </c>
      <c r="L432">
        <f t="shared" si="31"/>
        <v>0</v>
      </c>
      <c r="M432">
        <f t="shared" si="32"/>
        <v>0</v>
      </c>
      <c r="N432">
        <f t="shared" si="33"/>
        <v>0</v>
      </c>
      <c r="O432">
        <f t="shared" si="35"/>
        <v>1</v>
      </c>
      <c r="P432" t="str">
        <f t="shared" si="34"/>
        <v/>
      </c>
      <c r="Q432">
        <f>COUNTIF('責任職　企業局→市長部局'!A:A,SQLデータ!B432)</f>
        <v>0</v>
      </c>
      <c r="R432">
        <f>COUNTIF('一般職員　企業局→市長部局'!A:F,SQLデータ!B432)</f>
        <v>0</v>
      </c>
    </row>
    <row r="433" spans="1:18" x14ac:dyDescent="0.4">
      <c r="A433" s="1">
        <v>202630000024</v>
      </c>
      <c r="B433" s="1">
        <v>1086001</v>
      </c>
      <c r="C433" s="2">
        <v>46115</v>
      </c>
      <c r="D433" t="s">
        <v>14</v>
      </c>
      <c r="E433" t="s">
        <v>10</v>
      </c>
      <c r="G433" t="s">
        <v>9</v>
      </c>
      <c r="L433">
        <f t="shared" si="31"/>
        <v>0</v>
      </c>
      <c r="M433">
        <f t="shared" si="32"/>
        <v>0</v>
      </c>
      <c r="N433">
        <f t="shared" si="33"/>
        <v>0</v>
      </c>
      <c r="O433">
        <f t="shared" si="35"/>
        <v>1</v>
      </c>
      <c r="P433" t="str">
        <f t="shared" si="34"/>
        <v/>
      </c>
      <c r="Q433">
        <f>COUNTIF('責任職　企業局→市長部局'!A:A,SQLデータ!B433)</f>
        <v>0</v>
      </c>
      <c r="R433">
        <f>COUNTIF('一般職員　企業局→市長部局'!A:F,SQLデータ!B433)</f>
        <v>0</v>
      </c>
    </row>
    <row r="434" spans="1:18" x14ac:dyDescent="0.4">
      <c r="A434" s="1">
        <v>202630000026</v>
      </c>
      <c r="B434" s="1">
        <v>1026010</v>
      </c>
      <c r="C434" s="2">
        <v>46115</v>
      </c>
      <c r="D434" t="s">
        <v>14</v>
      </c>
      <c r="E434" t="s">
        <v>12</v>
      </c>
      <c r="G434" t="s">
        <v>9</v>
      </c>
      <c r="L434">
        <f t="shared" si="31"/>
        <v>0</v>
      </c>
      <c r="M434">
        <f t="shared" si="32"/>
        <v>0</v>
      </c>
      <c r="N434">
        <f t="shared" si="33"/>
        <v>0</v>
      </c>
      <c r="O434">
        <f t="shared" si="35"/>
        <v>1</v>
      </c>
      <c r="P434" t="str">
        <f t="shared" si="34"/>
        <v/>
      </c>
      <c r="Q434">
        <f>COUNTIF('責任職　企業局→市長部局'!A:A,SQLデータ!B434)</f>
        <v>0</v>
      </c>
      <c r="R434">
        <f>COUNTIF('一般職員　企業局→市長部局'!A:F,SQLデータ!B434)</f>
        <v>0</v>
      </c>
    </row>
    <row r="435" spans="1:18" x14ac:dyDescent="0.4">
      <c r="A435" s="1">
        <v>202630000027</v>
      </c>
      <c r="B435" s="1">
        <v>1016004</v>
      </c>
      <c r="C435" s="2">
        <v>46116</v>
      </c>
      <c r="D435" t="s">
        <v>14</v>
      </c>
      <c r="E435" t="s">
        <v>8</v>
      </c>
      <c r="G435" t="s">
        <v>9</v>
      </c>
      <c r="L435">
        <f t="shared" si="31"/>
        <v>0</v>
      </c>
      <c r="M435">
        <f t="shared" si="32"/>
        <v>0</v>
      </c>
      <c r="N435">
        <f t="shared" si="33"/>
        <v>0</v>
      </c>
      <c r="O435">
        <f t="shared" si="35"/>
        <v>1</v>
      </c>
      <c r="P435" t="str">
        <f t="shared" si="34"/>
        <v/>
      </c>
      <c r="Q435">
        <f>COUNTIF('責任職　企業局→市長部局'!A:A,SQLデータ!B435)</f>
        <v>0</v>
      </c>
      <c r="R435">
        <f>COUNTIF('一般職員　企業局→市長部局'!A:F,SQLデータ!B435)</f>
        <v>0</v>
      </c>
    </row>
    <row r="436" spans="1:18" x14ac:dyDescent="0.4">
      <c r="A436" s="1">
        <v>202630000028</v>
      </c>
      <c r="B436" s="1">
        <v>986048</v>
      </c>
      <c r="C436" s="2">
        <v>46116</v>
      </c>
      <c r="D436" t="s">
        <v>14</v>
      </c>
      <c r="E436" t="s">
        <v>8</v>
      </c>
      <c r="G436" t="s">
        <v>9</v>
      </c>
      <c r="L436">
        <f t="shared" si="31"/>
        <v>0</v>
      </c>
      <c r="M436">
        <f t="shared" si="32"/>
        <v>0</v>
      </c>
      <c r="N436">
        <f t="shared" si="33"/>
        <v>0</v>
      </c>
      <c r="O436">
        <f t="shared" si="35"/>
        <v>1</v>
      </c>
      <c r="P436" t="str">
        <f t="shared" si="34"/>
        <v/>
      </c>
      <c r="Q436">
        <f>COUNTIF('責任職　企業局→市長部局'!A:A,SQLデータ!B436)</f>
        <v>0</v>
      </c>
      <c r="R436">
        <f>COUNTIF('一般職員　企業局→市長部局'!A:F,SQLデータ!B436)</f>
        <v>0</v>
      </c>
    </row>
    <row r="437" spans="1:18" x14ac:dyDescent="0.4">
      <c r="A437" s="1">
        <v>202630000030</v>
      </c>
      <c r="B437" s="1">
        <v>1066055</v>
      </c>
      <c r="C437" s="2">
        <v>46117</v>
      </c>
      <c r="D437" t="s">
        <v>14</v>
      </c>
      <c r="E437" t="s">
        <v>11</v>
      </c>
      <c r="G437" t="s">
        <v>9</v>
      </c>
      <c r="L437">
        <f t="shared" si="31"/>
        <v>0</v>
      </c>
      <c r="M437">
        <f t="shared" si="32"/>
        <v>0</v>
      </c>
      <c r="N437">
        <f t="shared" si="33"/>
        <v>0</v>
      </c>
      <c r="O437">
        <f t="shared" si="35"/>
        <v>1</v>
      </c>
      <c r="P437" t="str">
        <f t="shared" si="34"/>
        <v/>
      </c>
      <c r="Q437">
        <f>COUNTIF('責任職　企業局→市長部局'!A:A,SQLデータ!B437)</f>
        <v>0</v>
      </c>
      <c r="R437">
        <f>COUNTIF('一般職員　企業局→市長部局'!A:F,SQLデータ!B437)</f>
        <v>0</v>
      </c>
    </row>
    <row r="438" spans="1:18" x14ac:dyDescent="0.4">
      <c r="A438" s="1">
        <v>202630000031</v>
      </c>
      <c r="B438" s="1">
        <v>1026069</v>
      </c>
      <c r="C438" s="2">
        <v>46117</v>
      </c>
      <c r="D438" t="s">
        <v>14</v>
      </c>
      <c r="E438" t="s">
        <v>8</v>
      </c>
      <c r="G438" t="s">
        <v>9</v>
      </c>
      <c r="L438">
        <f t="shared" si="31"/>
        <v>0</v>
      </c>
      <c r="M438">
        <f t="shared" si="32"/>
        <v>0</v>
      </c>
      <c r="N438">
        <f t="shared" si="33"/>
        <v>0</v>
      </c>
      <c r="O438">
        <f t="shared" si="35"/>
        <v>1</v>
      </c>
      <c r="P438" t="str">
        <f t="shared" si="34"/>
        <v/>
      </c>
      <c r="Q438">
        <f>COUNTIF('責任職　企業局→市長部局'!A:A,SQLデータ!B438)</f>
        <v>0</v>
      </c>
      <c r="R438">
        <f>COUNTIF('一般職員　企業局→市長部局'!A:F,SQLデータ!B438)</f>
        <v>0</v>
      </c>
    </row>
    <row r="439" spans="1:18" x14ac:dyDescent="0.4">
      <c r="A439" s="1">
        <v>202630000032</v>
      </c>
      <c r="B439" s="1">
        <v>1036009</v>
      </c>
      <c r="C439" s="2">
        <v>46117</v>
      </c>
      <c r="D439" t="s">
        <v>14</v>
      </c>
      <c r="E439" t="s">
        <v>10</v>
      </c>
      <c r="G439" t="s">
        <v>9</v>
      </c>
      <c r="L439">
        <f t="shared" si="31"/>
        <v>0</v>
      </c>
      <c r="M439">
        <f t="shared" si="32"/>
        <v>0</v>
      </c>
      <c r="N439">
        <f t="shared" si="33"/>
        <v>0</v>
      </c>
      <c r="O439">
        <f t="shared" si="35"/>
        <v>1</v>
      </c>
      <c r="P439" t="str">
        <f t="shared" si="34"/>
        <v/>
      </c>
      <c r="Q439">
        <f>COUNTIF('責任職　企業局→市長部局'!A:A,SQLデータ!B439)</f>
        <v>0</v>
      </c>
      <c r="R439">
        <f>COUNTIF('一般職員　企業局→市長部局'!A:F,SQLデータ!B439)</f>
        <v>0</v>
      </c>
    </row>
    <row r="440" spans="1:18" x14ac:dyDescent="0.4">
      <c r="A440" s="1">
        <v>202630000033</v>
      </c>
      <c r="B440" s="1">
        <v>1161418</v>
      </c>
      <c r="C440" s="2">
        <v>46118</v>
      </c>
      <c r="D440" t="s">
        <v>14</v>
      </c>
      <c r="E440" t="s">
        <v>12</v>
      </c>
      <c r="G440" t="s">
        <v>9</v>
      </c>
      <c r="L440">
        <f t="shared" si="31"/>
        <v>0</v>
      </c>
      <c r="M440">
        <f t="shared" si="32"/>
        <v>0</v>
      </c>
      <c r="N440">
        <f t="shared" si="33"/>
        <v>0</v>
      </c>
      <c r="O440">
        <f t="shared" si="35"/>
        <v>1</v>
      </c>
      <c r="P440" t="str">
        <f t="shared" si="34"/>
        <v/>
      </c>
      <c r="Q440">
        <f>COUNTIF('責任職　企業局→市長部局'!A:A,SQLデータ!B440)</f>
        <v>0</v>
      </c>
      <c r="R440">
        <f>COUNTIF('一般職員　企業局→市長部局'!A:F,SQLデータ!B440)</f>
        <v>0</v>
      </c>
    </row>
    <row r="441" spans="1:18" x14ac:dyDescent="0.4">
      <c r="A441" s="1">
        <v>202630000035</v>
      </c>
      <c r="B441" s="1">
        <v>1066012</v>
      </c>
      <c r="C441" s="2">
        <v>46118</v>
      </c>
      <c r="D441" t="s">
        <v>14</v>
      </c>
      <c r="E441" t="s">
        <v>11</v>
      </c>
      <c r="G441" t="s">
        <v>9</v>
      </c>
      <c r="L441">
        <f t="shared" si="31"/>
        <v>0</v>
      </c>
      <c r="M441">
        <f t="shared" si="32"/>
        <v>0</v>
      </c>
      <c r="N441">
        <f t="shared" si="33"/>
        <v>0</v>
      </c>
      <c r="O441">
        <f t="shared" si="35"/>
        <v>1</v>
      </c>
      <c r="P441" t="str">
        <f t="shared" si="34"/>
        <v/>
      </c>
      <c r="Q441">
        <f>COUNTIF('責任職　企業局→市長部局'!A:A,SQLデータ!B441)</f>
        <v>0</v>
      </c>
      <c r="R441">
        <f>COUNTIF('一般職員　企業局→市長部局'!A:F,SQLデータ!B441)</f>
        <v>0</v>
      </c>
    </row>
    <row r="442" spans="1:18" x14ac:dyDescent="0.4">
      <c r="A442" s="1">
        <v>202630000037</v>
      </c>
      <c r="B442" s="1">
        <v>1026065</v>
      </c>
      <c r="C442" s="2">
        <v>46118</v>
      </c>
      <c r="D442" t="s">
        <v>14</v>
      </c>
      <c r="E442" t="s">
        <v>12</v>
      </c>
      <c r="G442" t="s">
        <v>9</v>
      </c>
      <c r="L442">
        <f t="shared" si="31"/>
        <v>0</v>
      </c>
      <c r="M442">
        <f t="shared" si="32"/>
        <v>0</v>
      </c>
      <c r="N442">
        <f t="shared" si="33"/>
        <v>0</v>
      </c>
      <c r="O442">
        <f t="shared" si="35"/>
        <v>1</v>
      </c>
      <c r="P442" t="str">
        <f t="shared" si="34"/>
        <v/>
      </c>
      <c r="Q442">
        <f>COUNTIF('責任職　企業局→市長部局'!A:A,SQLデータ!B442)</f>
        <v>0</v>
      </c>
      <c r="R442">
        <f>COUNTIF('一般職員　企業局→市長部局'!A:F,SQLデータ!B442)</f>
        <v>0</v>
      </c>
    </row>
    <row r="443" spans="1:18" x14ac:dyDescent="0.4">
      <c r="A443" s="1">
        <v>202630000038</v>
      </c>
      <c r="B443" s="1">
        <v>930141</v>
      </c>
      <c r="C443" s="2">
        <v>46118</v>
      </c>
      <c r="D443" t="s">
        <v>14</v>
      </c>
      <c r="E443" t="s">
        <v>8</v>
      </c>
      <c r="G443" t="s">
        <v>9</v>
      </c>
      <c r="L443">
        <f t="shared" si="31"/>
        <v>0</v>
      </c>
      <c r="M443">
        <f t="shared" si="32"/>
        <v>0</v>
      </c>
      <c r="N443">
        <f t="shared" si="33"/>
        <v>0</v>
      </c>
      <c r="O443">
        <f t="shared" si="35"/>
        <v>1</v>
      </c>
      <c r="P443" t="str">
        <f t="shared" si="34"/>
        <v/>
      </c>
      <c r="Q443">
        <f>COUNTIF('責任職　企業局→市長部局'!A:A,SQLデータ!B443)</f>
        <v>0</v>
      </c>
      <c r="R443">
        <f>COUNTIF('一般職員　企業局→市長部局'!A:F,SQLデータ!B443)</f>
        <v>0</v>
      </c>
    </row>
    <row r="444" spans="1:18" x14ac:dyDescent="0.4">
      <c r="A444" s="1">
        <v>202630000039</v>
      </c>
      <c r="B444" s="1">
        <v>986038</v>
      </c>
      <c r="C444" s="2">
        <v>46118</v>
      </c>
      <c r="D444" t="s">
        <v>14</v>
      </c>
      <c r="E444" t="s">
        <v>10</v>
      </c>
      <c r="G444" t="s">
        <v>9</v>
      </c>
      <c r="L444">
        <f t="shared" si="31"/>
        <v>0</v>
      </c>
      <c r="M444">
        <f t="shared" si="32"/>
        <v>0</v>
      </c>
      <c r="N444">
        <f t="shared" si="33"/>
        <v>0</v>
      </c>
      <c r="O444">
        <f t="shared" si="35"/>
        <v>1</v>
      </c>
      <c r="P444" t="str">
        <f t="shared" si="34"/>
        <v/>
      </c>
      <c r="Q444">
        <f>COUNTIF('責任職　企業局→市長部局'!A:A,SQLデータ!B444)</f>
        <v>0</v>
      </c>
      <c r="R444">
        <f>COUNTIF('一般職員　企業局→市長部局'!A:F,SQLデータ!B444)</f>
        <v>0</v>
      </c>
    </row>
    <row r="445" spans="1:18" x14ac:dyDescent="0.4">
      <c r="A445" s="1">
        <v>202630000041</v>
      </c>
      <c r="B445" s="1">
        <v>1036014</v>
      </c>
      <c r="C445" s="2">
        <v>46118</v>
      </c>
      <c r="D445" t="s">
        <v>14</v>
      </c>
      <c r="E445" t="s">
        <v>11</v>
      </c>
      <c r="G445" t="s">
        <v>9</v>
      </c>
      <c r="L445">
        <f t="shared" si="31"/>
        <v>0</v>
      </c>
      <c r="M445">
        <f t="shared" si="32"/>
        <v>0</v>
      </c>
      <c r="N445">
        <f t="shared" si="33"/>
        <v>0</v>
      </c>
      <c r="O445">
        <f t="shared" si="35"/>
        <v>1</v>
      </c>
      <c r="P445" t="str">
        <f t="shared" si="34"/>
        <v/>
      </c>
      <c r="Q445">
        <f>COUNTIF('責任職　企業局→市長部局'!A:A,SQLデータ!B445)</f>
        <v>0</v>
      </c>
      <c r="R445">
        <f>COUNTIF('一般職員　企業局→市長部局'!A:F,SQLデータ!B445)</f>
        <v>0</v>
      </c>
    </row>
    <row r="446" spans="1:18" x14ac:dyDescent="0.4">
      <c r="A446" s="1">
        <v>202630000042</v>
      </c>
      <c r="B446" s="1">
        <v>1161507</v>
      </c>
      <c r="C446" s="2">
        <v>46118</v>
      </c>
      <c r="D446" t="s">
        <v>14</v>
      </c>
      <c r="E446" t="s">
        <v>12</v>
      </c>
      <c r="G446" t="s">
        <v>9</v>
      </c>
      <c r="L446">
        <f t="shared" si="31"/>
        <v>0</v>
      </c>
      <c r="M446">
        <f t="shared" si="32"/>
        <v>0</v>
      </c>
      <c r="N446">
        <f t="shared" si="33"/>
        <v>0</v>
      </c>
      <c r="O446">
        <f t="shared" si="35"/>
        <v>1</v>
      </c>
      <c r="P446" t="str">
        <f t="shared" si="34"/>
        <v/>
      </c>
      <c r="Q446">
        <f>COUNTIF('責任職　企業局→市長部局'!A:A,SQLデータ!B446)</f>
        <v>0</v>
      </c>
      <c r="R446">
        <f>COUNTIF('一般職員　企業局→市長部局'!A:F,SQLデータ!B446)</f>
        <v>0</v>
      </c>
    </row>
    <row r="447" spans="1:18" x14ac:dyDescent="0.4">
      <c r="A447" s="1">
        <v>202630000043</v>
      </c>
      <c r="B447" s="1">
        <v>1002006</v>
      </c>
      <c r="C447" s="2">
        <v>46118</v>
      </c>
      <c r="D447" t="s">
        <v>14</v>
      </c>
      <c r="E447" t="s">
        <v>11</v>
      </c>
      <c r="G447" t="s">
        <v>9</v>
      </c>
      <c r="L447">
        <f t="shared" si="31"/>
        <v>0</v>
      </c>
      <c r="M447">
        <f t="shared" si="32"/>
        <v>0</v>
      </c>
      <c r="N447">
        <f t="shared" si="33"/>
        <v>0</v>
      </c>
      <c r="O447">
        <f t="shared" si="35"/>
        <v>1</v>
      </c>
      <c r="P447" t="str">
        <f t="shared" si="34"/>
        <v/>
      </c>
      <c r="Q447">
        <f>COUNTIF('責任職　企業局→市長部局'!A:A,SQLデータ!B447)</f>
        <v>0</v>
      </c>
      <c r="R447">
        <f>COUNTIF('一般職員　企業局→市長部局'!A:F,SQLデータ!B447)</f>
        <v>0</v>
      </c>
    </row>
    <row r="448" spans="1:18" x14ac:dyDescent="0.4">
      <c r="A448" s="1">
        <v>202630000044</v>
      </c>
      <c r="B448" s="1">
        <v>930113</v>
      </c>
      <c r="C448" s="2">
        <v>46118</v>
      </c>
      <c r="D448" t="s">
        <v>14</v>
      </c>
      <c r="E448" t="s">
        <v>10</v>
      </c>
      <c r="G448" t="s">
        <v>9</v>
      </c>
      <c r="L448">
        <f t="shared" si="31"/>
        <v>0</v>
      </c>
      <c r="M448">
        <f t="shared" si="32"/>
        <v>0</v>
      </c>
      <c r="N448">
        <f t="shared" si="33"/>
        <v>0</v>
      </c>
      <c r="O448">
        <f t="shared" si="35"/>
        <v>1</v>
      </c>
      <c r="P448" t="str">
        <f t="shared" si="34"/>
        <v/>
      </c>
      <c r="Q448">
        <f>COUNTIF('責任職　企業局→市長部局'!A:A,SQLデータ!B448)</f>
        <v>0</v>
      </c>
      <c r="R448">
        <f>COUNTIF('一般職員　企業局→市長部局'!A:F,SQLデータ!B448)</f>
        <v>0</v>
      </c>
    </row>
    <row r="449" spans="1:18" x14ac:dyDescent="0.4">
      <c r="A449" s="1">
        <v>202630000045</v>
      </c>
      <c r="B449" s="1">
        <v>910127</v>
      </c>
      <c r="C449" s="2">
        <v>46118</v>
      </c>
      <c r="D449" t="s">
        <v>14</v>
      </c>
      <c r="E449" t="s">
        <v>8</v>
      </c>
      <c r="G449" t="s">
        <v>9</v>
      </c>
      <c r="L449">
        <f t="shared" si="31"/>
        <v>0</v>
      </c>
      <c r="M449">
        <f t="shared" si="32"/>
        <v>0</v>
      </c>
      <c r="N449">
        <f t="shared" si="33"/>
        <v>0</v>
      </c>
      <c r="O449">
        <f t="shared" si="35"/>
        <v>1</v>
      </c>
      <c r="P449" t="str">
        <f t="shared" si="34"/>
        <v/>
      </c>
      <c r="Q449">
        <f>COUNTIF('責任職　企業局→市長部局'!A:A,SQLデータ!B449)</f>
        <v>0</v>
      </c>
      <c r="R449">
        <f>COUNTIF('一般職員　企業局→市長部局'!A:F,SQLデータ!B449)</f>
        <v>0</v>
      </c>
    </row>
    <row r="450" spans="1:18" x14ac:dyDescent="0.4">
      <c r="A450" s="1">
        <v>202630000046</v>
      </c>
      <c r="B450" s="1">
        <v>986033</v>
      </c>
      <c r="C450" s="2">
        <v>46118</v>
      </c>
      <c r="D450" t="s">
        <v>14</v>
      </c>
      <c r="E450" t="s">
        <v>12</v>
      </c>
      <c r="G450" t="s">
        <v>9</v>
      </c>
      <c r="L450">
        <f t="shared" ref="L450:L513" si="36">IF(ISBLANK(J450),0,1)</f>
        <v>0</v>
      </c>
      <c r="M450">
        <f t="shared" ref="M450:M513" si="37">IF(AND(L450=0,I450&lt;&gt;""),1,0)</f>
        <v>0</v>
      </c>
      <c r="N450">
        <f t="shared" ref="N450:N513" si="38">IF(AND(L450=0,M450=0,K450&lt;&gt;""),1,0)</f>
        <v>0</v>
      </c>
      <c r="O450">
        <f t="shared" si="35"/>
        <v>1</v>
      </c>
      <c r="P450" t="str">
        <f t="shared" ref="P450:P513" si="39">IF(D450&lt;&gt;"扶養","",IF(E450&lt;&gt;"確認待ち",1,IF(OR(AND(G450="本人の結婚",O450=1),AND(H450="減",OR(N450=1,O450=1))),1,0)))</f>
        <v/>
      </c>
      <c r="Q450">
        <f>COUNTIF('責任職　企業局→市長部局'!A:A,SQLデータ!B450)</f>
        <v>0</v>
      </c>
      <c r="R450">
        <f>COUNTIF('一般職員　企業局→市長部局'!A:F,SQLデータ!B450)</f>
        <v>0</v>
      </c>
    </row>
    <row r="451" spans="1:18" x14ac:dyDescent="0.4">
      <c r="A451" s="1">
        <v>202630000047</v>
      </c>
      <c r="B451" s="1">
        <v>920139</v>
      </c>
      <c r="C451" s="2">
        <v>46118</v>
      </c>
      <c r="D451" t="s">
        <v>14</v>
      </c>
      <c r="E451" t="s">
        <v>11</v>
      </c>
      <c r="G451" t="s">
        <v>9</v>
      </c>
      <c r="L451">
        <f t="shared" si="36"/>
        <v>0</v>
      </c>
      <c r="M451">
        <f t="shared" si="37"/>
        <v>0</v>
      </c>
      <c r="N451">
        <f t="shared" si="38"/>
        <v>0</v>
      </c>
      <c r="O451">
        <f t="shared" si="35"/>
        <v>1</v>
      </c>
      <c r="P451" t="str">
        <f t="shared" si="39"/>
        <v/>
      </c>
      <c r="Q451">
        <f>COUNTIF('責任職　企業局→市長部局'!A:A,SQLデータ!B451)</f>
        <v>0</v>
      </c>
      <c r="R451">
        <f>COUNTIF('一般職員　企業局→市長部局'!A:F,SQLデータ!B451)</f>
        <v>0</v>
      </c>
    </row>
    <row r="452" spans="1:18" x14ac:dyDescent="0.4">
      <c r="A452" s="1">
        <v>202630000048</v>
      </c>
      <c r="B452" s="1">
        <v>1134063</v>
      </c>
      <c r="C452" s="2">
        <v>46118</v>
      </c>
      <c r="D452" t="s">
        <v>14</v>
      </c>
      <c r="E452" t="s">
        <v>12</v>
      </c>
      <c r="G452" t="s">
        <v>9</v>
      </c>
      <c r="L452">
        <f t="shared" si="36"/>
        <v>0</v>
      </c>
      <c r="M452">
        <f t="shared" si="37"/>
        <v>0</v>
      </c>
      <c r="N452">
        <f t="shared" si="38"/>
        <v>0</v>
      </c>
      <c r="O452">
        <f t="shared" si="35"/>
        <v>1</v>
      </c>
      <c r="P452" t="str">
        <f t="shared" si="39"/>
        <v/>
      </c>
      <c r="Q452">
        <f>COUNTIF('責任職　企業局→市長部局'!A:A,SQLデータ!B452)</f>
        <v>0</v>
      </c>
      <c r="R452">
        <f>COUNTIF('一般職員　企業局→市長部局'!A:F,SQLデータ!B452)</f>
        <v>0</v>
      </c>
    </row>
    <row r="453" spans="1:18" x14ac:dyDescent="0.4">
      <c r="A453" s="1">
        <v>202630000049</v>
      </c>
      <c r="B453" s="1">
        <v>1004152</v>
      </c>
      <c r="C453" s="2">
        <v>46118</v>
      </c>
      <c r="D453" t="s">
        <v>14</v>
      </c>
      <c r="E453" t="s">
        <v>12</v>
      </c>
      <c r="G453" t="s">
        <v>9</v>
      </c>
      <c r="L453">
        <f t="shared" si="36"/>
        <v>0</v>
      </c>
      <c r="M453">
        <f t="shared" si="37"/>
        <v>0</v>
      </c>
      <c r="N453">
        <f t="shared" si="38"/>
        <v>0</v>
      </c>
      <c r="O453">
        <f t="shared" si="35"/>
        <v>1</v>
      </c>
      <c r="P453" t="str">
        <f t="shared" si="39"/>
        <v/>
      </c>
      <c r="Q453">
        <f>COUNTIF('責任職　企業局→市長部局'!A:A,SQLデータ!B453)</f>
        <v>0</v>
      </c>
      <c r="R453">
        <f>COUNTIF('一般職員　企業局→市長部局'!A:F,SQLデータ!B453)</f>
        <v>0</v>
      </c>
    </row>
    <row r="454" spans="1:18" x14ac:dyDescent="0.4">
      <c r="A454" s="1">
        <v>202630000050</v>
      </c>
      <c r="B454" s="1">
        <v>1032017</v>
      </c>
      <c r="C454" s="2">
        <v>46119</v>
      </c>
      <c r="D454" t="s">
        <v>14</v>
      </c>
      <c r="E454" t="s">
        <v>11</v>
      </c>
      <c r="G454" t="s">
        <v>9</v>
      </c>
      <c r="L454">
        <f t="shared" si="36"/>
        <v>0</v>
      </c>
      <c r="M454">
        <f t="shared" si="37"/>
        <v>0</v>
      </c>
      <c r="N454">
        <f t="shared" si="38"/>
        <v>0</v>
      </c>
      <c r="O454">
        <f t="shared" si="35"/>
        <v>1</v>
      </c>
      <c r="P454" t="str">
        <f t="shared" si="39"/>
        <v/>
      </c>
      <c r="Q454">
        <f>COUNTIF('責任職　企業局→市長部局'!A:A,SQLデータ!B454)</f>
        <v>0</v>
      </c>
      <c r="R454">
        <f>COUNTIF('一般職員　企業局→市長部局'!A:F,SQLデータ!B454)</f>
        <v>0</v>
      </c>
    </row>
    <row r="455" spans="1:18" x14ac:dyDescent="0.4">
      <c r="A455" s="1">
        <v>202630000051</v>
      </c>
      <c r="B455" s="1">
        <v>930103</v>
      </c>
      <c r="C455" s="2">
        <v>46118</v>
      </c>
      <c r="D455" t="s">
        <v>14</v>
      </c>
      <c r="E455" t="s">
        <v>10</v>
      </c>
      <c r="G455" t="s">
        <v>9</v>
      </c>
      <c r="L455">
        <f t="shared" si="36"/>
        <v>0</v>
      </c>
      <c r="M455">
        <f t="shared" si="37"/>
        <v>0</v>
      </c>
      <c r="N455">
        <f t="shared" si="38"/>
        <v>0</v>
      </c>
      <c r="O455">
        <f t="shared" si="35"/>
        <v>1</v>
      </c>
      <c r="P455" t="str">
        <f t="shared" si="39"/>
        <v/>
      </c>
      <c r="Q455">
        <f>COUNTIF('責任職　企業局→市長部局'!A:A,SQLデータ!B455)</f>
        <v>0</v>
      </c>
      <c r="R455">
        <f>COUNTIF('一般職員　企業局→市長部局'!A:F,SQLデータ!B455)</f>
        <v>0</v>
      </c>
    </row>
    <row r="456" spans="1:18" x14ac:dyDescent="0.4">
      <c r="A456" s="1">
        <v>202630000052</v>
      </c>
      <c r="B456" s="1">
        <v>1132145</v>
      </c>
      <c r="C456" s="2">
        <v>46119</v>
      </c>
      <c r="D456" t="s">
        <v>14</v>
      </c>
      <c r="E456" t="s">
        <v>12</v>
      </c>
      <c r="G456" t="s">
        <v>9</v>
      </c>
      <c r="L456">
        <f t="shared" si="36"/>
        <v>0</v>
      </c>
      <c r="M456">
        <f t="shared" si="37"/>
        <v>0</v>
      </c>
      <c r="N456">
        <f t="shared" si="38"/>
        <v>0</v>
      </c>
      <c r="O456">
        <f t="shared" si="35"/>
        <v>1</v>
      </c>
      <c r="P456" t="str">
        <f t="shared" si="39"/>
        <v/>
      </c>
      <c r="Q456">
        <f>COUNTIF('責任職　企業局→市長部局'!A:A,SQLデータ!B456)</f>
        <v>0</v>
      </c>
      <c r="R456">
        <f>COUNTIF('一般職員　企業局→市長部局'!A:F,SQLデータ!B456)</f>
        <v>0</v>
      </c>
    </row>
    <row r="457" spans="1:18" x14ac:dyDescent="0.4">
      <c r="A457" s="1">
        <v>202630000053</v>
      </c>
      <c r="B457" s="1">
        <v>930104</v>
      </c>
      <c r="C457" s="2">
        <v>46119</v>
      </c>
      <c r="D457" t="s">
        <v>14</v>
      </c>
      <c r="E457" t="s">
        <v>12</v>
      </c>
      <c r="G457" t="s">
        <v>9</v>
      </c>
      <c r="L457">
        <f t="shared" si="36"/>
        <v>0</v>
      </c>
      <c r="M457">
        <f t="shared" si="37"/>
        <v>0</v>
      </c>
      <c r="N457">
        <f t="shared" si="38"/>
        <v>0</v>
      </c>
      <c r="O457">
        <f t="shared" ref="O457:O520" si="40">IF(COUNTIF(L457:N457,0)=3,1,0)</f>
        <v>1</v>
      </c>
      <c r="P457" t="str">
        <f t="shared" si="39"/>
        <v/>
      </c>
      <c r="Q457">
        <f>COUNTIF('責任職　企業局→市長部局'!A:A,SQLデータ!B457)</f>
        <v>0</v>
      </c>
      <c r="R457">
        <f>COUNTIF('一般職員　企業局→市長部局'!A:F,SQLデータ!B457)</f>
        <v>0</v>
      </c>
    </row>
    <row r="458" spans="1:18" x14ac:dyDescent="0.4">
      <c r="A458" s="1">
        <v>202630000055</v>
      </c>
      <c r="B458" s="1">
        <v>1186004</v>
      </c>
      <c r="C458" s="2">
        <v>46119</v>
      </c>
      <c r="D458" t="s">
        <v>14</v>
      </c>
      <c r="E458" t="s">
        <v>12</v>
      </c>
      <c r="F458" t="s">
        <v>48</v>
      </c>
      <c r="G458" t="s">
        <v>9</v>
      </c>
      <c r="L458">
        <f t="shared" si="36"/>
        <v>0</v>
      </c>
      <c r="M458">
        <f t="shared" si="37"/>
        <v>0</v>
      </c>
      <c r="N458">
        <f t="shared" si="38"/>
        <v>0</v>
      </c>
      <c r="O458">
        <f t="shared" si="40"/>
        <v>1</v>
      </c>
      <c r="P458" t="str">
        <f t="shared" si="39"/>
        <v/>
      </c>
      <c r="Q458">
        <f>COUNTIF('責任職　企業局→市長部局'!A:A,SQLデータ!B458)</f>
        <v>0</v>
      </c>
      <c r="R458">
        <f>COUNTIF('一般職員　企業局→市長部局'!A:F,SQLデータ!B458)</f>
        <v>0</v>
      </c>
    </row>
    <row r="459" spans="1:18" x14ac:dyDescent="0.4">
      <c r="A459" s="1">
        <v>202630000057</v>
      </c>
      <c r="B459" s="1">
        <v>1003019</v>
      </c>
      <c r="C459" s="2">
        <v>46119</v>
      </c>
      <c r="D459" t="s">
        <v>14</v>
      </c>
      <c r="E459" t="s">
        <v>12</v>
      </c>
      <c r="G459" t="s">
        <v>9</v>
      </c>
      <c r="L459">
        <f t="shared" si="36"/>
        <v>0</v>
      </c>
      <c r="M459">
        <f t="shared" si="37"/>
        <v>0</v>
      </c>
      <c r="N459">
        <f t="shared" si="38"/>
        <v>0</v>
      </c>
      <c r="O459">
        <f t="shared" si="40"/>
        <v>1</v>
      </c>
      <c r="P459" t="str">
        <f t="shared" si="39"/>
        <v/>
      </c>
      <c r="Q459">
        <f>COUNTIF('責任職　企業局→市長部局'!A:A,SQLデータ!B459)</f>
        <v>0</v>
      </c>
      <c r="R459">
        <f>COUNTIF('一般職員　企業局→市長部局'!A:F,SQLデータ!B459)</f>
        <v>0</v>
      </c>
    </row>
    <row r="460" spans="1:18" x14ac:dyDescent="0.4">
      <c r="A460" s="1">
        <v>202630000058</v>
      </c>
      <c r="B460" s="1">
        <v>1056064</v>
      </c>
      <c r="C460" s="2">
        <v>46119</v>
      </c>
      <c r="D460" t="s">
        <v>14</v>
      </c>
      <c r="E460" t="s">
        <v>8</v>
      </c>
      <c r="G460" t="s">
        <v>9</v>
      </c>
      <c r="L460">
        <f t="shared" si="36"/>
        <v>0</v>
      </c>
      <c r="M460">
        <f t="shared" si="37"/>
        <v>0</v>
      </c>
      <c r="N460">
        <f t="shared" si="38"/>
        <v>0</v>
      </c>
      <c r="O460">
        <f t="shared" si="40"/>
        <v>1</v>
      </c>
      <c r="P460" t="str">
        <f t="shared" si="39"/>
        <v/>
      </c>
      <c r="Q460">
        <f>COUNTIF('責任職　企業局→市長部局'!A:A,SQLデータ!B460)</f>
        <v>0</v>
      </c>
      <c r="R460">
        <f>COUNTIF('一般職員　企業局→市長部局'!A:F,SQLデータ!B460)</f>
        <v>0</v>
      </c>
    </row>
    <row r="461" spans="1:18" x14ac:dyDescent="0.4">
      <c r="A461" s="1">
        <v>202630000059</v>
      </c>
      <c r="B461" s="1">
        <v>950438</v>
      </c>
      <c r="C461" s="2">
        <v>46119</v>
      </c>
      <c r="D461" t="s">
        <v>14</v>
      </c>
      <c r="E461" t="s">
        <v>12</v>
      </c>
      <c r="G461" t="s">
        <v>9</v>
      </c>
      <c r="L461">
        <f t="shared" si="36"/>
        <v>0</v>
      </c>
      <c r="M461">
        <f t="shared" si="37"/>
        <v>0</v>
      </c>
      <c r="N461">
        <f t="shared" si="38"/>
        <v>0</v>
      </c>
      <c r="O461">
        <f t="shared" si="40"/>
        <v>1</v>
      </c>
      <c r="P461" t="str">
        <f t="shared" si="39"/>
        <v/>
      </c>
      <c r="Q461">
        <f>COUNTIF('責任職　企業局→市長部局'!A:A,SQLデータ!B461)</f>
        <v>0</v>
      </c>
      <c r="R461">
        <f>COUNTIF('一般職員　企業局→市長部局'!A:F,SQLデータ!B461)</f>
        <v>0</v>
      </c>
    </row>
    <row r="462" spans="1:18" x14ac:dyDescent="0.4">
      <c r="A462" s="1">
        <v>202630000063</v>
      </c>
      <c r="B462" s="1">
        <v>1112153</v>
      </c>
      <c r="C462" s="2">
        <v>46119</v>
      </c>
      <c r="D462" t="s">
        <v>14</v>
      </c>
      <c r="E462" t="s">
        <v>8</v>
      </c>
      <c r="G462" t="s">
        <v>9</v>
      </c>
      <c r="L462">
        <f t="shared" si="36"/>
        <v>0</v>
      </c>
      <c r="M462">
        <f t="shared" si="37"/>
        <v>0</v>
      </c>
      <c r="N462">
        <f t="shared" si="38"/>
        <v>0</v>
      </c>
      <c r="O462">
        <f t="shared" si="40"/>
        <v>1</v>
      </c>
      <c r="P462" t="str">
        <f t="shared" si="39"/>
        <v/>
      </c>
      <c r="Q462">
        <f>COUNTIF('責任職　企業局→市長部局'!A:A,SQLデータ!B462)</f>
        <v>1</v>
      </c>
      <c r="R462">
        <f>COUNTIF('一般職員　企業局→市長部局'!A:F,SQLデータ!B462)</f>
        <v>0</v>
      </c>
    </row>
    <row r="463" spans="1:18" x14ac:dyDescent="0.4">
      <c r="A463" s="1">
        <v>202630000064</v>
      </c>
      <c r="B463" s="1">
        <v>1144049</v>
      </c>
      <c r="C463" s="2">
        <v>46117</v>
      </c>
      <c r="D463" t="s">
        <v>14</v>
      </c>
      <c r="E463" t="s">
        <v>10</v>
      </c>
      <c r="G463" t="s">
        <v>9</v>
      </c>
      <c r="L463">
        <f t="shared" si="36"/>
        <v>0</v>
      </c>
      <c r="M463">
        <f t="shared" si="37"/>
        <v>0</v>
      </c>
      <c r="N463">
        <f t="shared" si="38"/>
        <v>0</v>
      </c>
      <c r="O463">
        <f t="shared" si="40"/>
        <v>1</v>
      </c>
      <c r="P463" t="str">
        <f t="shared" si="39"/>
        <v/>
      </c>
      <c r="Q463">
        <f>COUNTIF('責任職　企業局→市長部局'!A:A,SQLデータ!B463)</f>
        <v>0</v>
      </c>
      <c r="R463">
        <f>COUNTIF('一般職員　企業局→市長部局'!A:F,SQLデータ!B463)</f>
        <v>0</v>
      </c>
    </row>
    <row r="464" spans="1:18" x14ac:dyDescent="0.4">
      <c r="A464" s="1">
        <v>202630000065</v>
      </c>
      <c r="B464" s="1">
        <v>4995507</v>
      </c>
      <c r="C464" s="2">
        <v>46120</v>
      </c>
      <c r="D464" t="s">
        <v>14</v>
      </c>
      <c r="E464" t="s">
        <v>11</v>
      </c>
      <c r="G464" t="s">
        <v>9</v>
      </c>
      <c r="L464">
        <f t="shared" si="36"/>
        <v>0</v>
      </c>
      <c r="M464">
        <f t="shared" si="37"/>
        <v>0</v>
      </c>
      <c r="N464">
        <f t="shared" si="38"/>
        <v>0</v>
      </c>
      <c r="O464">
        <f t="shared" si="40"/>
        <v>1</v>
      </c>
      <c r="P464" t="str">
        <f t="shared" si="39"/>
        <v/>
      </c>
      <c r="Q464">
        <f>COUNTIF('責任職　企業局→市長部局'!A:A,SQLデータ!B464)</f>
        <v>0</v>
      </c>
      <c r="R464">
        <f>COUNTIF('一般職員　企業局→市長部局'!A:F,SQLデータ!B464)</f>
        <v>0</v>
      </c>
    </row>
    <row r="465" spans="1:18" x14ac:dyDescent="0.4">
      <c r="A465" s="1">
        <v>202630000066</v>
      </c>
      <c r="B465" s="1">
        <v>986034</v>
      </c>
      <c r="C465" s="2">
        <v>46120</v>
      </c>
      <c r="D465" t="s">
        <v>14</v>
      </c>
      <c r="E465" t="s">
        <v>8</v>
      </c>
      <c r="G465" t="s">
        <v>9</v>
      </c>
      <c r="L465">
        <f t="shared" si="36"/>
        <v>0</v>
      </c>
      <c r="M465">
        <f t="shared" si="37"/>
        <v>0</v>
      </c>
      <c r="N465">
        <f t="shared" si="38"/>
        <v>0</v>
      </c>
      <c r="O465">
        <f t="shared" si="40"/>
        <v>1</v>
      </c>
      <c r="P465" t="str">
        <f t="shared" si="39"/>
        <v/>
      </c>
      <c r="Q465">
        <f>COUNTIF('責任職　企業局→市長部局'!A:A,SQLデータ!B465)</f>
        <v>0</v>
      </c>
      <c r="R465">
        <f>COUNTIF('一般職員　企業局→市長部局'!A:F,SQLデータ!B465)</f>
        <v>0</v>
      </c>
    </row>
    <row r="466" spans="1:18" x14ac:dyDescent="0.4">
      <c r="A466" s="1">
        <v>202630000067</v>
      </c>
      <c r="B466" s="1">
        <v>960032</v>
      </c>
      <c r="C466" s="2">
        <v>46120</v>
      </c>
      <c r="D466" t="s">
        <v>14</v>
      </c>
      <c r="E466" t="s">
        <v>10</v>
      </c>
      <c r="G466" t="s">
        <v>9</v>
      </c>
      <c r="L466">
        <f t="shared" si="36"/>
        <v>0</v>
      </c>
      <c r="M466">
        <f t="shared" si="37"/>
        <v>0</v>
      </c>
      <c r="N466">
        <f t="shared" si="38"/>
        <v>0</v>
      </c>
      <c r="O466">
        <f t="shared" si="40"/>
        <v>1</v>
      </c>
      <c r="P466" t="str">
        <f t="shared" si="39"/>
        <v/>
      </c>
      <c r="Q466">
        <f>COUNTIF('責任職　企業局→市長部局'!A:A,SQLデータ!B466)</f>
        <v>0</v>
      </c>
      <c r="R466">
        <f>COUNTIF('一般職員　企業局→市長部局'!A:F,SQLデータ!B466)</f>
        <v>0</v>
      </c>
    </row>
    <row r="467" spans="1:18" x14ac:dyDescent="0.4">
      <c r="A467" s="1">
        <v>202630000068</v>
      </c>
      <c r="B467" s="1">
        <v>1192102</v>
      </c>
      <c r="C467" s="2">
        <v>46120</v>
      </c>
      <c r="D467" t="s">
        <v>14</v>
      </c>
      <c r="E467" t="s">
        <v>12</v>
      </c>
      <c r="G467" t="s">
        <v>9</v>
      </c>
      <c r="L467">
        <f t="shared" si="36"/>
        <v>0</v>
      </c>
      <c r="M467">
        <f t="shared" si="37"/>
        <v>0</v>
      </c>
      <c r="N467">
        <f t="shared" si="38"/>
        <v>0</v>
      </c>
      <c r="O467">
        <f t="shared" si="40"/>
        <v>1</v>
      </c>
      <c r="P467" t="str">
        <f t="shared" si="39"/>
        <v/>
      </c>
      <c r="Q467">
        <f>COUNTIF('責任職　企業局→市長部局'!A:A,SQLデータ!B467)</f>
        <v>0</v>
      </c>
      <c r="R467">
        <f>COUNTIF('一般職員　企業局→市長部局'!A:F,SQLデータ!B467)</f>
        <v>0</v>
      </c>
    </row>
    <row r="468" spans="1:18" x14ac:dyDescent="0.4">
      <c r="A468" s="1">
        <v>202630000069</v>
      </c>
      <c r="B468" s="1">
        <v>1056026</v>
      </c>
      <c r="C468" s="2">
        <v>46120</v>
      </c>
      <c r="D468" t="s">
        <v>14</v>
      </c>
      <c r="E468" t="s">
        <v>10</v>
      </c>
      <c r="G468" t="s">
        <v>9</v>
      </c>
      <c r="L468">
        <f t="shared" si="36"/>
        <v>0</v>
      </c>
      <c r="M468">
        <f t="shared" si="37"/>
        <v>0</v>
      </c>
      <c r="N468">
        <f t="shared" si="38"/>
        <v>0</v>
      </c>
      <c r="O468">
        <f t="shared" si="40"/>
        <v>1</v>
      </c>
      <c r="P468" t="str">
        <f t="shared" si="39"/>
        <v/>
      </c>
      <c r="Q468">
        <f>COUNTIF('責任職　企業局→市長部局'!A:A,SQLデータ!B468)</f>
        <v>0</v>
      </c>
      <c r="R468">
        <f>COUNTIF('一般職員　企業局→市長部局'!A:F,SQLデータ!B468)</f>
        <v>0</v>
      </c>
    </row>
    <row r="469" spans="1:18" x14ac:dyDescent="0.4">
      <c r="A469" s="1">
        <v>202630000070</v>
      </c>
      <c r="B469" s="1">
        <v>950680</v>
      </c>
      <c r="C469" s="2">
        <v>46120</v>
      </c>
      <c r="D469" t="s">
        <v>14</v>
      </c>
      <c r="E469" t="s">
        <v>10</v>
      </c>
      <c r="G469" t="s">
        <v>9</v>
      </c>
      <c r="L469">
        <f t="shared" si="36"/>
        <v>0</v>
      </c>
      <c r="M469">
        <f t="shared" si="37"/>
        <v>0</v>
      </c>
      <c r="N469">
        <f t="shared" si="38"/>
        <v>0</v>
      </c>
      <c r="O469">
        <f t="shared" si="40"/>
        <v>1</v>
      </c>
      <c r="P469" t="str">
        <f t="shared" si="39"/>
        <v/>
      </c>
      <c r="Q469">
        <f>COUNTIF('責任職　企業局→市長部局'!A:A,SQLデータ!B469)</f>
        <v>0</v>
      </c>
      <c r="R469">
        <f>COUNTIF('一般職員　企業局→市長部局'!A:F,SQLデータ!B469)</f>
        <v>0</v>
      </c>
    </row>
    <row r="470" spans="1:18" x14ac:dyDescent="0.4">
      <c r="A470" s="1">
        <v>202630000071</v>
      </c>
      <c r="B470" s="1">
        <v>860299</v>
      </c>
      <c r="C470" s="2">
        <v>46120</v>
      </c>
      <c r="D470" t="s">
        <v>14</v>
      </c>
      <c r="E470" t="s">
        <v>12</v>
      </c>
      <c r="G470" t="s">
        <v>9</v>
      </c>
      <c r="L470">
        <f t="shared" si="36"/>
        <v>0</v>
      </c>
      <c r="M470">
        <f t="shared" si="37"/>
        <v>0</v>
      </c>
      <c r="N470">
        <f t="shared" si="38"/>
        <v>0</v>
      </c>
      <c r="O470">
        <f t="shared" si="40"/>
        <v>1</v>
      </c>
      <c r="P470" t="str">
        <f t="shared" si="39"/>
        <v/>
      </c>
      <c r="Q470">
        <f>COUNTIF('責任職　企業局→市長部局'!A:A,SQLデータ!B470)</f>
        <v>0</v>
      </c>
      <c r="R470">
        <f>COUNTIF('一般職員　企業局→市長部局'!A:F,SQLデータ!B470)</f>
        <v>0</v>
      </c>
    </row>
    <row r="471" spans="1:18" x14ac:dyDescent="0.4">
      <c r="A471" s="1">
        <v>202630000072</v>
      </c>
      <c r="B471" s="1">
        <v>1082014</v>
      </c>
      <c r="C471" s="2">
        <v>46120</v>
      </c>
      <c r="D471" t="s">
        <v>14</v>
      </c>
      <c r="E471" t="s">
        <v>8</v>
      </c>
      <c r="G471" t="s">
        <v>9</v>
      </c>
      <c r="L471">
        <f t="shared" si="36"/>
        <v>0</v>
      </c>
      <c r="M471">
        <f t="shared" si="37"/>
        <v>0</v>
      </c>
      <c r="N471">
        <f t="shared" si="38"/>
        <v>0</v>
      </c>
      <c r="O471">
        <f t="shared" si="40"/>
        <v>1</v>
      </c>
      <c r="P471" t="str">
        <f t="shared" si="39"/>
        <v/>
      </c>
      <c r="Q471">
        <f>COUNTIF('責任職　企業局→市長部局'!A:A,SQLデータ!B471)</f>
        <v>1</v>
      </c>
      <c r="R471">
        <f>COUNTIF('一般職員　企業局→市長部局'!A:F,SQLデータ!B471)</f>
        <v>0</v>
      </c>
    </row>
    <row r="472" spans="1:18" x14ac:dyDescent="0.4">
      <c r="A472" s="1">
        <v>202630000073</v>
      </c>
      <c r="B472" s="1">
        <v>1026076</v>
      </c>
      <c r="C472" s="2">
        <v>46121</v>
      </c>
      <c r="D472" t="s">
        <v>14</v>
      </c>
      <c r="E472" t="s">
        <v>10</v>
      </c>
      <c r="G472" t="s">
        <v>9</v>
      </c>
      <c r="L472">
        <f t="shared" si="36"/>
        <v>0</v>
      </c>
      <c r="M472">
        <f t="shared" si="37"/>
        <v>0</v>
      </c>
      <c r="N472">
        <f t="shared" si="38"/>
        <v>0</v>
      </c>
      <c r="O472">
        <f t="shared" si="40"/>
        <v>1</v>
      </c>
      <c r="P472" t="str">
        <f t="shared" si="39"/>
        <v/>
      </c>
      <c r="Q472">
        <f>COUNTIF('責任職　企業局→市長部局'!A:A,SQLデータ!B472)</f>
        <v>0</v>
      </c>
      <c r="R472">
        <f>COUNTIF('一般職員　企業局→市長部局'!A:F,SQLデータ!B472)</f>
        <v>0</v>
      </c>
    </row>
    <row r="473" spans="1:18" x14ac:dyDescent="0.4">
      <c r="A473" s="1">
        <v>202630000074</v>
      </c>
      <c r="B473" s="1">
        <v>1036037</v>
      </c>
      <c r="C473" s="2">
        <v>46121</v>
      </c>
      <c r="D473" t="s">
        <v>14</v>
      </c>
      <c r="E473" t="s">
        <v>10</v>
      </c>
      <c r="G473" t="s">
        <v>9</v>
      </c>
      <c r="L473">
        <f t="shared" si="36"/>
        <v>0</v>
      </c>
      <c r="M473">
        <f t="shared" si="37"/>
        <v>0</v>
      </c>
      <c r="N473">
        <f t="shared" si="38"/>
        <v>0</v>
      </c>
      <c r="O473">
        <f t="shared" si="40"/>
        <v>1</v>
      </c>
      <c r="P473" t="str">
        <f t="shared" si="39"/>
        <v/>
      </c>
      <c r="Q473">
        <f>COUNTIF('責任職　企業局→市長部局'!A:A,SQLデータ!B473)</f>
        <v>0</v>
      </c>
      <c r="R473">
        <f>COUNTIF('一般職員　企業局→市長部局'!A:F,SQLデータ!B473)</f>
        <v>0</v>
      </c>
    </row>
    <row r="474" spans="1:18" x14ac:dyDescent="0.4">
      <c r="A474" s="1">
        <v>202630000075</v>
      </c>
      <c r="B474" s="1">
        <v>1011092</v>
      </c>
      <c r="C474" s="2">
        <v>46121</v>
      </c>
      <c r="D474" t="s">
        <v>14</v>
      </c>
      <c r="E474" t="s">
        <v>12</v>
      </c>
      <c r="G474" t="s">
        <v>9</v>
      </c>
      <c r="L474">
        <f t="shared" si="36"/>
        <v>0</v>
      </c>
      <c r="M474">
        <f t="shared" si="37"/>
        <v>0</v>
      </c>
      <c r="N474">
        <f t="shared" si="38"/>
        <v>0</v>
      </c>
      <c r="O474">
        <f t="shared" si="40"/>
        <v>1</v>
      </c>
      <c r="P474" t="str">
        <f t="shared" si="39"/>
        <v/>
      </c>
      <c r="Q474">
        <f>COUNTIF('責任職　企業局→市長部局'!A:A,SQLデータ!B474)</f>
        <v>0</v>
      </c>
      <c r="R474">
        <f>COUNTIF('一般職員　企業局→市長部局'!A:F,SQLデータ!B474)</f>
        <v>0</v>
      </c>
    </row>
    <row r="475" spans="1:18" x14ac:dyDescent="0.4">
      <c r="A475" s="1">
        <v>202630000076</v>
      </c>
      <c r="B475" s="1">
        <v>1162186</v>
      </c>
      <c r="C475" s="2">
        <v>46121</v>
      </c>
      <c r="D475" t="s">
        <v>14</v>
      </c>
      <c r="E475" t="s">
        <v>8</v>
      </c>
      <c r="G475" t="s">
        <v>9</v>
      </c>
      <c r="L475">
        <f t="shared" si="36"/>
        <v>0</v>
      </c>
      <c r="M475">
        <f t="shared" si="37"/>
        <v>0</v>
      </c>
      <c r="N475">
        <f t="shared" si="38"/>
        <v>0</v>
      </c>
      <c r="O475">
        <f t="shared" si="40"/>
        <v>1</v>
      </c>
      <c r="P475" t="str">
        <f t="shared" si="39"/>
        <v/>
      </c>
      <c r="Q475">
        <f>COUNTIF('責任職　企業局→市長部局'!A:A,SQLデータ!B475)</f>
        <v>0</v>
      </c>
      <c r="R475">
        <f>COUNTIF('一般職員　企業局→市長部局'!A:F,SQLデータ!B475)</f>
        <v>0</v>
      </c>
    </row>
    <row r="476" spans="1:18" x14ac:dyDescent="0.4">
      <c r="A476" s="1">
        <v>202630000077</v>
      </c>
      <c r="B476" s="1">
        <v>991037</v>
      </c>
      <c r="C476" s="2">
        <v>46121</v>
      </c>
      <c r="D476" t="s">
        <v>14</v>
      </c>
      <c r="E476" t="s">
        <v>12</v>
      </c>
      <c r="G476" t="s">
        <v>9</v>
      </c>
      <c r="L476">
        <f t="shared" si="36"/>
        <v>0</v>
      </c>
      <c r="M476">
        <f t="shared" si="37"/>
        <v>0</v>
      </c>
      <c r="N476">
        <f t="shared" si="38"/>
        <v>0</v>
      </c>
      <c r="O476">
        <f t="shared" si="40"/>
        <v>1</v>
      </c>
      <c r="P476" t="str">
        <f t="shared" si="39"/>
        <v/>
      </c>
      <c r="Q476">
        <f>COUNTIF('責任職　企業局→市長部局'!A:A,SQLデータ!B476)</f>
        <v>0</v>
      </c>
      <c r="R476">
        <f>COUNTIF('一般職員　企業局→市長部局'!A:F,SQLデータ!B476)</f>
        <v>0</v>
      </c>
    </row>
    <row r="477" spans="1:18" x14ac:dyDescent="0.4">
      <c r="A477" s="1">
        <v>202630000078</v>
      </c>
      <c r="B477" s="1">
        <v>1152013</v>
      </c>
      <c r="C477" s="2">
        <v>46121</v>
      </c>
      <c r="D477" t="s">
        <v>14</v>
      </c>
      <c r="E477" t="s">
        <v>12</v>
      </c>
      <c r="F477" t="s">
        <v>48</v>
      </c>
      <c r="G477" t="s">
        <v>9</v>
      </c>
      <c r="L477">
        <f t="shared" si="36"/>
        <v>0</v>
      </c>
      <c r="M477">
        <f t="shared" si="37"/>
        <v>0</v>
      </c>
      <c r="N477">
        <f t="shared" si="38"/>
        <v>0</v>
      </c>
      <c r="O477">
        <f t="shared" si="40"/>
        <v>1</v>
      </c>
      <c r="P477" t="str">
        <f t="shared" si="39"/>
        <v/>
      </c>
      <c r="Q477">
        <f>COUNTIF('責任職　企業局→市長部局'!A:A,SQLデータ!B477)</f>
        <v>0</v>
      </c>
      <c r="R477">
        <f>COUNTIF('一般職員　企業局→市長部局'!A:F,SQLデータ!B477)</f>
        <v>0</v>
      </c>
    </row>
    <row r="478" spans="1:18" x14ac:dyDescent="0.4">
      <c r="A478" s="1">
        <v>202630000081</v>
      </c>
      <c r="B478" s="1">
        <v>1154021</v>
      </c>
      <c r="C478" s="2">
        <v>46122</v>
      </c>
      <c r="D478" t="s">
        <v>14</v>
      </c>
      <c r="E478" t="s">
        <v>10</v>
      </c>
      <c r="G478" t="s">
        <v>9</v>
      </c>
      <c r="L478">
        <f t="shared" si="36"/>
        <v>0</v>
      </c>
      <c r="M478">
        <f t="shared" si="37"/>
        <v>0</v>
      </c>
      <c r="N478">
        <f t="shared" si="38"/>
        <v>0</v>
      </c>
      <c r="O478">
        <f t="shared" si="40"/>
        <v>1</v>
      </c>
      <c r="P478" t="str">
        <f t="shared" si="39"/>
        <v/>
      </c>
      <c r="Q478">
        <f>COUNTIF('責任職　企業局→市長部局'!A:A,SQLデータ!B478)</f>
        <v>0</v>
      </c>
      <c r="R478">
        <f>COUNTIF('一般職員　企業局→市長部局'!A:F,SQLデータ!B478)</f>
        <v>0</v>
      </c>
    </row>
    <row r="479" spans="1:18" x14ac:dyDescent="0.4">
      <c r="A479" s="1">
        <v>202630000082</v>
      </c>
      <c r="B479" s="1">
        <v>1036034</v>
      </c>
      <c r="C479" s="2">
        <v>46122</v>
      </c>
      <c r="D479" t="s">
        <v>14</v>
      </c>
      <c r="E479" t="s">
        <v>10</v>
      </c>
      <c r="G479" t="s">
        <v>9</v>
      </c>
      <c r="L479">
        <f t="shared" si="36"/>
        <v>0</v>
      </c>
      <c r="M479">
        <f t="shared" si="37"/>
        <v>0</v>
      </c>
      <c r="N479">
        <f t="shared" si="38"/>
        <v>0</v>
      </c>
      <c r="O479">
        <f t="shared" si="40"/>
        <v>1</v>
      </c>
      <c r="P479" t="str">
        <f t="shared" si="39"/>
        <v/>
      </c>
      <c r="Q479">
        <f>COUNTIF('責任職　企業局→市長部局'!A:A,SQLデータ!B479)</f>
        <v>0</v>
      </c>
      <c r="R479">
        <f>COUNTIF('一般職員　企業局→市長部局'!A:F,SQLデータ!B479)</f>
        <v>0</v>
      </c>
    </row>
    <row r="480" spans="1:18" x14ac:dyDescent="0.4">
      <c r="A480" s="1">
        <v>202630000083</v>
      </c>
      <c r="B480" s="1">
        <v>1171473</v>
      </c>
      <c r="C480" s="2">
        <v>46122</v>
      </c>
      <c r="D480" t="s">
        <v>14</v>
      </c>
      <c r="E480" t="s">
        <v>8</v>
      </c>
      <c r="G480" t="s">
        <v>9</v>
      </c>
      <c r="L480">
        <f t="shared" si="36"/>
        <v>0</v>
      </c>
      <c r="M480">
        <f t="shared" si="37"/>
        <v>0</v>
      </c>
      <c r="N480">
        <f t="shared" si="38"/>
        <v>0</v>
      </c>
      <c r="O480">
        <f t="shared" si="40"/>
        <v>1</v>
      </c>
      <c r="P480" t="str">
        <f t="shared" si="39"/>
        <v/>
      </c>
      <c r="Q480">
        <f>COUNTIF('責任職　企業局→市長部局'!A:A,SQLデータ!B480)</f>
        <v>0</v>
      </c>
      <c r="R480">
        <f>COUNTIF('一般職員　企業局→市長部局'!A:F,SQLデータ!B480)</f>
        <v>0</v>
      </c>
    </row>
    <row r="481" spans="1:18" x14ac:dyDescent="0.4">
      <c r="A481" s="1">
        <v>202630000084</v>
      </c>
      <c r="B481" s="1">
        <v>1176026</v>
      </c>
      <c r="C481" s="2">
        <v>46122</v>
      </c>
      <c r="D481" t="s">
        <v>14</v>
      </c>
      <c r="E481" t="s">
        <v>8</v>
      </c>
      <c r="G481" t="s">
        <v>9</v>
      </c>
      <c r="L481">
        <f t="shared" si="36"/>
        <v>0</v>
      </c>
      <c r="M481">
        <f t="shared" si="37"/>
        <v>0</v>
      </c>
      <c r="N481">
        <f t="shared" si="38"/>
        <v>0</v>
      </c>
      <c r="O481">
        <f t="shared" si="40"/>
        <v>1</v>
      </c>
      <c r="P481" t="str">
        <f t="shared" si="39"/>
        <v/>
      </c>
      <c r="Q481">
        <f>COUNTIF('責任職　企業局→市長部局'!A:A,SQLデータ!B481)</f>
        <v>0</v>
      </c>
      <c r="R481">
        <f>COUNTIF('一般職員　企業局→市長部局'!A:F,SQLデータ!B481)</f>
        <v>0</v>
      </c>
    </row>
    <row r="482" spans="1:18" x14ac:dyDescent="0.4">
      <c r="A482" s="1">
        <v>202630000085</v>
      </c>
      <c r="B482" s="1">
        <v>940254</v>
      </c>
      <c r="C482" s="2">
        <v>46122</v>
      </c>
      <c r="D482" t="s">
        <v>14</v>
      </c>
      <c r="E482" t="s">
        <v>10</v>
      </c>
      <c r="G482" t="s">
        <v>9</v>
      </c>
      <c r="L482">
        <f t="shared" si="36"/>
        <v>0</v>
      </c>
      <c r="M482">
        <f t="shared" si="37"/>
        <v>0</v>
      </c>
      <c r="N482">
        <f t="shared" si="38"/>
        <v>0</v>
      </c>
      <c r="O482">
        <f t="shared" si="40"/>
        <v>1</v>
      </c>
      <c r="P482" t="str">
        <f t="shared" si="39"/>
        <v/>
      </c>
      <c r="Q482">
        <f>COUNTIF('責任職　企業局→市長部局'!A:A,SQLデータ!B482)</f>
        <v>0</v>
      </c>
      <c r="R482">
        <f>COUNTIF('一般職員　企業局→市長部局'!A:F,SQLデータ!B482)</f>
        <v>0</v>
      </c>
    </row>
    <row r="483" spans="1:18" x14ac:dyDescent="0.4">
      <c r="A483" s="1">
        <v>202630000087</v>
      </c>
      <c r="B483" s="1">
        <v>1018014</v>
      </c>
      <c r="C483" s="2">
        <v>46122</v>
      </c>
      <c r="D483" t="s">
        <v>14</v>
      </c>
      <c r="E483" t="s">
        <v>10</v>
      </c>
      <c r="G483" t="s">
        <v>9</v>
      </c>
      <c r="L483">
        <f t="shared" si="36"/>
        <v>0</v>
      </c>
      <c r="M483">
        <f t="shared" si="37"/>
        <v>0</v>
      </c>
      <c r="N483">
        <f t="shared" si="38"/>
        <v>0</v>
      </c>
      <c r="O483">
        <f t="shared" si="40"/>
        <v>1</v>
      </c>
      <c r="P483" t="str">
        <f t="shared" si="39"/>
        <v/>
      </c>
      <c r="Q483">
        <f>COUNTIF('責任職　企業局→市長部局'!A:A,SQLデータ!B483)</f>
        <v>0</v>
      </c>
      <c r="R483">
        <f>COUNTIF('一般職員　企業局→市長部局'!A:F,SQLデータ!B483)</f>
        <v>0</v>
      </c>
    </row>
    <row r="484" spans="1:18" x14ac:dyDescent="0.4">
      <c r="A484" s="1">
        <v>202630000088</v>
      </c>
      <c r="B484" s="1">
        <v>974142</v>
      </c>
      <c r="C484" s="2">
        <v>46122</v>
      </c>
      <c r="D484" t="s">
        <v>14</v>
      </c>
      <c r="E484" t="s">
        <v>8</v>
      </c>
      <c r="G484" t="s">
        <v>9</v>
      </c>
      <c r="L484">
        <f t="shared" si="36"/>
        <v>0</v>
      </c>
      <c r="M484">
        <f t="shared" si="37"/>
        <v>0</v>
      </c>
      <c r="N484">
        <f t="shared" si="38"/>
        <v>0</v>
      </c>
      <c r="O484">
        <f t="shared" si="40"/>
        <v>1</v>
      </c>
      <c r="P484" t="str">
        <f t="shared" si="39"/>
        <v/>
      </c>
      <c r="Q484">
        <f>COUNTIF('責任職　企業局→市長部局'!A:A,SQLデータ!B484)</f>
        <v>0</v>
      </c>
      <c r="R484">
        <f>COUNTIF('一般職員　企業局→市長部局'!A:F,SQLデータ!B484)</f>
        <v>0</v>
      </c>
    </row>
    <row r="485" spans="1:18" x14ac:dyDescent="0.4">
      <c r="A485" s="1">
        <v>202630000089</v>
      </c>
      <c r="B485" s="1">
        <v>1042043</v>
      </c>
      <c r="C485" s="2">
        <v>46125</v>
      </c>
      <c r="D485" t="s">
        <v>14</v>
      </c>
      <c r="E485" t="s">
        <v>10</v>
      </c>
      <c r="G485" t="s">
        <v>9</v>
      </c>
      <c r="L485">
        <f t="shared" si="36"/>
        <v>0</v>
      </c>
      <c r="M485">
        <f t="shared" si="37"/>
        <v>0</v>
      </c>
      <c r="N485">
        <f t="shared" si="38"/>
        <v>0</v>
      </c>
      <c r="O485">
        <f t="shared" si="40"/>
        <v>1</v>
      </c>
      <c r="P485" t="str">
        <f t="shared" si="39"/>
        <v/>
      </c>
      <c r="Q485">
        <f>COUNTIF('責任職　企業局→市長部局'!A:A,SQLデータ!B485)</f>
        <v>0</v>
      </c>
      <c r="R485">
        <f>COUNTIF('一般職員　企業局→市長部局'!A:F,SQLデータ!B485)</f>
        <v>0</v>
      </c>
    </row>
    <row r="486" spans="1:18" x14ac:dyDescent="0.4">
      <c r="A486" s="1">
        <v>202630000090</v>
      </c>
      <c r="B486" s="1">
        <v>5015927</v>
      </c>
      <c r="C486" s="2">
        <v>46125</v>
      </c>
      <c r="D486" t="s">
        <v>14</v>
      </c>
      <c r="E486" t="s">
        <v>10</v>
      </c>
      <c r="G486" t="s">
        <v>9</v>
      </c>
      <c r="L486">
        <f t="shared" si="36"/>
        <v>0</v>
      </c>
      <c r="M486">
        <f t="shared" si="37"/>
        <v>0</v>
      </c>
      <c r="N486">
        <f t="shared" si="38"/>
        <v>0</v>
      </c>
      <c r="O486">
        <f t="shared" si="40"/>
        <v>1</v>
      </c>
      <c r="P486" t="str">
        <f t="shared" si="39"/>
        <v/>
      </c>
      <c r="Q486">
        <f>COUNTIF('責任職　企業局→市長部局'!A:A,SQLデータ!B486)</f>
        <v>0</v>
      </c>
      <c r="R486">
        <f>COUNTIF('一般職員　企業局→市長部局'!A:F,SQLデータ!B486)</f>
        <v>0</v>
      </c>
    </row>
    <row r="487" spans="1:18" x14ac:dyDescent="0.4">
      <c r="A487" s="1">
        <v>202630000091</v>
      </c>
      <c r="B487" s="1">
        <v>1001161</v>
      </c>
      <c r="C487" s="2">
        <v>46125</v>
      </c>
      <c r="D487" t="s">
        <v>14</v>
      </c>
      <c r="E487" t="s">
        <v>10</v>
      </c>
      <c r="G487" t="s">
        <v>9</v>
      </c>
      <c r="L487">
        <f t="shared" si="36"/>
        <v>0</v>
      </c>
      <c r="M487">
        <f t="shared" si="37"/>
        <v>0</v>
      </c>
      <c r="N487">
        <f t="shared" si="38"/>
        <v>0</v>
      </c>
      <c r="O487">
        <f t="shared" si="40"/>
        <v>1</v>
      </c>
      <c r="P487" t="str">
        <f t="shared" si="39"/>
        <v/>
      </c>
      <c r="Q487">
        <f>COUNTIF('責任職　企業局→市長部局'!A:A,SQLデータ!B487)</f>
        <v>0</v>
      </c>
      <c r="R487">
        <f>COUNTIF('一般職員　企業局→市長部局'!A:F,SQLデータ!B487)</f>
        <v>0</v>
      </c>
    </row>
    <row r="488" spans="1:18" x14ac:dyDescent="0.4">
      <c r="A488" s="1">
        <v>202630000092</v>
      </c>
      <c r="B488" s="1">
        <v>1261400</v>
      </c>
      <c r="C488" s="2">
        <v>46125</v>
      </c>
      <c r="D488" t="s">
        <v>14</v>
      </c>
      <c r="E488" t="s">
        <v>10</v>
      </c>
      <c r="G488" t="s">
        <v>9</v>
      </c>
      <c r="L488">
        <f t="shared" si="36"/>
        <v>0</v>
      </c>
      <c r="M488">
        <f t="shared" si="37"/>
        <v>0</v>
      </c>
      <c r="N488">
        <f t="shared" si="38"/>
        <v>0</v>
      </c>
      <c r="O488">
        <f t="shared" si="40"/>
        <v>1</v>
      </c>
      <c r="P488" t="str">
        <f t="shared" si="39"/>
        <v/>
      </c>
      <c r="Q488">
        <f>COUNTIF('責任職　企業局→市長部局'!A:A,SQLデータ!B488)</f>
        <v>0</v>
      </c>
      <c r="R488">
        <f>COUNTIF('一般職員　企業局→市長部局'!A:F,SQLデータ!B488)</f>
        <v>0</v>
      </c>
    </row>
    <row r="489" spans="1:18" x14ac:dyDescent="0.4">
      <c r="A489" s="1">
        <v>202630000093</v>
      </c>
      <c r="B489" s="1">
        <v>1021021</v>
      </c>
      <c r="C489" s="2">
        <v>46125</v>
      </c>
      <c r="D489" t="s">
        <v>14</v>
      </c>
      <c r="E489" t="s">
        <v>10</v>
      </c>
      <c r="G489" t="s">
        <v>9</v>
      </c>
      <c r="L489">
        <f t="shared" si="36"/>
        <v>0</v>
      </c>
      <c r="M489">
        <f t="shared" si="37"/>
        <v>0</v>
      </c>
      <c r="N489">
        <f t="shared" si="38"/>
        <v>0</v>
      </c>
      <c r="O489">
        <f t="shared" si="40"/>
        <v>1</v>
      </c>
      <c r="P489" t="str">
        <f t="shared" si="39"/>
        <v/>
      </c>
      <c r="Q489">
        <f>COUNTIF('責任職　企業局→市長部局'!A:A,SQLデータ!B489)</f>
        <v>0</v>
      </c>
      <c r="R489">
        <f>COUNTIF('一般職員　企業局→市長部局'!A:F,SQLデータ!B489)</f>
        <v>0</v>
      </c>
    </row>
    <row r="490" spans="1:18" x14ac:dyDescent="0.4">
      <c r="A490" s="1">
        <v>202630000095</v>
      </c>
      <c r="B490" s="1">
        <v>5057608</v>
      </c>
      <c r="C490" s="2">
        <v>46127</v>
      </c>
      <c r="D490" t="s">
        <v>14</v>
      </c>
      <c r="E490" t="s">
        <v>8</v>
      </c>
      <c r="G490" t="s">
        <v>9</v>
      </c>
      <c r="L490">
        <f t="shared" si="36"/>
        <v>0</v>
      </c>
      <c r="M490">
        <f t="shared" si="37"/>
        <v>0</v>
      </c>
      <c r="N490">
        <f t="shared" si="38"/>
        <v>0</v>
      </c>
      <c r="O490">
        <f t="shared" si="40"/>
        <v>1</v>
      </c>
      <c r="P490" t="str">
        <f t="shared" si="39"/>
        <v/>
      </c>
      <c r="Q490">
        <f>COUNTIF('責任職　企業局→市長部局'!A:A,SQLデータ!B490)</f>
        <v>0</v>
      </c>
      <c r="R490">
        <f>COUNTIF('一般職員　企業局→市長部局'!A:F,SQLデータ!B490)</f>
        <v>0</v>
      </c>
    </row>
    <row r="491" spans="1:18" x14ac:dyDescent="0.4">
      <c r="A491" s="1">
        <v>202630000096</v>
      </c>
      <c r="B491" s="1">
        <v>1006012</v>
      </c>
      <c r="C491" s="2">
        <v>46127</v>
      </c>
      <c r="D491" t="s">
        <v>14</v>
      </c>
      <c r="E491" t="s">
        <v>8</v>
      </c>
      <c r="G491" t="s">
        <v>9</v>
      </c>
      <c r="L491">
        <f t="shared" si="36"/>
        <v>0</v>
      </c>
      <c r="M491">
        <f t="shared" si="37"/>
        <v>0</v>
      </c>
      <c r="N491">
        <f t="shared" si="38"/>
        <v>0</v>
      </c>
      <c r="O491">
        <f t="shared" si="40"/>
        <v>1</v>
      </c>
      <c r="P491" t="str">
        <f t="shared" si="39"/>
        <v/>
      </c>
      <c r="Q491">
        <f>COUNTIF('責任職　企業局→市長部局'!A:A,SQLデータ!B491)</f>
        <v>0</v>
      </c>
      <c r="R491">
        <f>COUNTIF('一般職員　企業局→市長部局'!A:F,SQLデータ!B491)</f>
        <v>0</v>
      </c>
    </row>
    <row r="492" spans="1:18" x14ac:dyDescent="0.4">
      <c r="A492" s="1">
        <v>202630000097</v>
      </c>
      <c r="B492" s="1">
        <v>940066</v>
      </c>
      <c r="C492" s="2">
        <v>46127</v>
      </c>
      <c r="D492" t="s">
        <v>14</v>
      </c>
      <c r="E492" t="s">
        <v>8</v>
      </c>
      <c r="G492" t="s">
        <v>9</v>
      </c>
      <c r="L492">
        <f t="shared" si="36"/>
        <v>0</v>
      </c>
      <c r="M492">
        <f t="shared" si="37"/>
        <v>0</v>
      </c>
      <c r="N492">
        <f t="shared" si="38"/>
        <v>0</v>
      </c>
      <c r="O492">
        <f t="shared" si="40"/>
        <v>1</v>
      </c>
      <c r="P492" t="str">
        <f t="shared" si="39"/>
        <v/>
      </c>
      <c r="Q492">
        <f>COUNTIF('責任職　企業局→市長部局'!A:A,SQLデータ!B492)</f>
        <v>0</v>
      </c>
      <c r="R492">
        <f>COUNTIF('一般職員　企業局→市長部局'!A:F,SQLデータ!B492)</f>
        <v>0</v>
      </c>
    </row>
    <row r="493" spans="1:18" x14ac:dyDescent="0.4">
      <c r="A493" s="1">
        <v>202630000098</v>
      </c>
      <c r="B493" s="1">
        <v>1212125</v>
      </c>
      <c r="C493" s="2">
        <v>46127</v>
      </c>
      <c r="D493" t="s">
        <v>14</v>
      </c>
      <c r="E493" t="s">
        <v>8</v>
      </c>
      <c r="G493" t="s">
        <v>9</v>
      </c>
      <c r="L493">
        <f t="shared" si="36"/>
        <v>0</v>
      </c>
      <c r="M493">
        <f t="shared" si="37"/>
        <v>0</v>
      </c>
      <c r="N493">
        <f t="shared" si="38"/>
        <v>0</v>
      </c>
      <c r="O493">
        <f t="shared" si="40"/>
        <v>1</v>
      </c>
      <c r="P493" t="str">
        <f t="shared" si="39"/>
        <v/>
      </c>
      <c r="Q493">
        <f>COUNTIF('責任職　企業局→市長部局'!A:A,SQLデータ!B493)</f>
        <v>0</v>
      </c>
      <c r="R493">
        <f>COUNTIF('一般職員　企業局→市長部局'!A:F,SQLデータ!B493)</f>
        <v>1</v>
      </c>
    </row>
    <row r="494" spans="1:18" x14ac:dyDescent="0.4">
      <c r="A494" s="1">
        <v>202630000099</v>
      </c>
      <c r="B494" s="1">
        <v>1021042</v>
      </c>
      <c r="C494" s="2">
        <v>46127</v>
      </c>
      <c r="D494" t="s">
        <v>14</v>
      </c>
      <c r="E494" t="s">
        <v>8</v>
      </c>
      <c r="G494" t="s">
        <v>9</v>
      </c>
      <c r="L494">
        <f t="shared" si="36"/>
        <v>0</v>
      </c>
      <c r="M494">
        <f t="shared" si="37"/>
        <v>0</v>
      </c>
      <c r="N494">
        <f t="shared" si="38"/>
        <v>0</v>
      </c>
      <c r="O494">
        <f t="shared" si="40"/>
        <v>1</v>
      </c>
      <c r="P494" t="str">
        <f t="shared" si="39"/>
        <v/>
      </c>
      <c r="Q494">
        <f>COUNTIF('責任職　企業局→市長部局'!A:A,SQLデータ!B494)</f>
        <v>1</v>
      </c>
      <c r="R494">
        <f>COUNTIF('一般職員　企業局→市長部局'!A:F,SQLデータ!B494)</f>
        <v>0</v>
      </c>
    </row>
    <row r="495" spans="1:18" x14ac:dyDescent="0.4">
      <c r="A495" s="1">
        <v>202630000100</v>
      </c>
      <c r="B495" s="1">
        <v>1261122</v>
      </c>
      <c r="C495" s="2">
        <v>46127</v>
      </c>
      <c r="D495" t="s">
        <v>14</v>
      </c>
      <c r="E495" t="s">
        <v>8</v>
      </c>
      <c r="G495" t="s">
        <v>9</v>
      </c>
      <c r="L495">
        <f t="shared" si="36"/>
        <v>0</v>
      </c>
      <c r="M495">
        <f t="shared" si="37"/>
        <v>0</v>
      </c>
      <c r="N495">
        <f t="shared" si="38"/>
        <v>0</v>
      </c>
      <c r="O495">
        <f t="shared" si="40"/>
        <v>1</v>
      </c>
      <c r="P495" t="str">
        <f t="shared" si="39"/>
        <v/>
      </c>
      <c r="Q495">
        <f>COUNTIF('責任職　企業局→市長部局'!A:A,SQLデータ!B495)</f>
        <v>0</v>
      </c>
      <c r="R495">
        <f>COUNTIF('一般職員　企業局→市長部局'!A:F,SQLデータ!B495)</f>
        <v>0</v>
      </c>
    </row>
    <row r="496" spans="1:18" x14ac:dyDescent="0.4">
      <c r="A496" s="1">
        <v>202630000101</v>
      </c>
      <c r="B496" s="1">
        <v>991090</v>
      </c>
      <c r="C496" s="2">
        <v>46127</v>
      </c>
      <c r="D496" t="s">
        <v>14</v>
      </c>
      <c r="E496" t="s">
        <v>8</v>
      </c>
      <c r="G496" t="s">
        <v>9</v>
      </c>
      <c r="L496">
        <f t="shared" si="36"/>
        <v>0</v>
      </c>
      <c r="M496">
        <f t="shared" si="37"/>
        <v>0</v>
      </c>
      <c r="N496">
        <f t="shared" si="38"/>
        <v>0</v>
      </c>
      <c r="O496">
        <f t="shared" si="40"/>
        <v>1</v>
      </c>
      <c r="P496" t="str">
        <f t="shared" si="39"/>
        <v/>
      </c>
      <c r="Q496">
        <f>COUNTIF('責任職　企業局→市長部局'!A:A,SQLデータ!B496)</f>
        <v>0</v>
      </c>
      <c r="R496">
        <f>COUNTIF('一般職員　企業局→市長部局'!A:F,SQLデータ!B496)</f>
        <v>0</v>
      </c>
    </row>
    <row r="497" spans="1:18" x14ac:dyDescent="0.4">
      <c r="A497" s="1">
        <v>202630000102</v>
      </c>
      <c r="B497" s="1">
        <v>991121</v>
      </c>
      <c r="C497" s="2">
        <v>46127</v>
      </c>
      <c r="D497" t="s">
        <v>14</v>
      </c>
      <c r="E497" t="s">
        <v>10</v>
      </c>
      <c r="G497" t="s">
        <v>9</v>
      </c>
      <c r="L497">
        <f t="shared" si="36"/>
        <v>0</v>
      </c>
      <c r="M497">
        <f t="shared" si="37"/>
        <v>0</v>
      </c>
      <c r="N497">
        <f t="shared" si="38"/>
        <v>0</v>
      </c>
      <c r="O497">
        <f t="shared" si="40"/>
        <v>1</v>
      </c>
      <c r="P497" t="str">
        <f t="shared" si="39"/>
        <v/>
      </c>
      <c r="Q497">
        <f>COUNTIF('責任職　企業局→市長部局'!A:A,SQLデータ!B497)</f>
        <v>0</v>
      </c>
      <c r="R497">
        <f>COUNTIF('一般職員　企業局→市長部局'!A:F,SQLデータ!B497)</f>
        <v>0</v>
      </c>
    </row>
    <row r="498" spans="1:18" x14ac:dyDescent="0.4">
      <c r="A498" s="1">
        <v>202630000103</v>
      </c>
      <c r="B498" s="1">
        <v>1121203</v>
      </c>
      <c r="C498" s="2">
        <v>46127</v>
      </c>
      <c r="D498" t="s">
        <v>14</v>
      </c>
      <c r="E498" t="s">
        <v>8</v>
      </c>
      <c r="G498" t="s">
        <v>9</v>
      </c>
      <c r="L498">
        <f t="shared" si="36"/>
        <v>0</v>
      </c>
      <c r="M498">
        <f t="shared" si="37"/>
        <v>0</v>
      </c>
      <c r="N498">
        <f t="shared" si="38"/>
        <v>0</v>
      </c>
      <c r="O498">
        <f t="shared" si="40"/>
        <v>1</v>
      </c>
      <c r="P498" t="str">
        <f t="shared" si="39"/>
        <v/>
      </c>
      <c r="Q498">
        <f>COUNTIF('責任職　企業局→市長部局'!A:A,SQLデータ!B498)</f>
        <v>0</v>
      </c>
      <c r="R498">
        <f>COUNTIF('一般職員　企業局→市長部局'!A:F,SQLデータ!B498)</f>
        <v>0</v>
      </c>
    </row>
    <row r="499" spans="1:18" x14ac:dyDescent="0.4">
      <c r="A499" s="1">
        <v>202630000104</v>
      </c>
      <c r="B499" s="1">
        <v>950529</v>
      </c>
      <c r="C499" s="2">
        <v>46127</v>
      </c>
      <c r="D499" t="s">
        <v>14</v>
      </c>
      <c r="E499" t="s">
        <v>8</v>
      </c>
      <c r="G499" t="s">
        <v>9</v>
      </c>
      <c r="L499">
        <f t="shared" si="36"/>
        <v>0</v>
      </c>
      <c r="M499">
        <f t="shared" si="37"/>
        <v>0</v>
      </c>
      <c r="N499">
        <f t="shared" si="38"/>
        <v>0</v>
      </c>
      <c r="O499">
        <f t="shared" si="40"/>
        <v>1</v>
      </c>
      <c r="P499" t="str">
        <f t="shared" si="39"/>
        <v/>
      </c>
      <c r="Q499">
        <f>COUNTIF('責任職　企業局→市長部局'!A:A,SQLデータ!B499)</f>
        <v>0</v>
      </c>
      <c r="R499">
        <f>COUNTIF('一般職員　企業局→市長部局'!A:F,SQLデータ!B499)</f>
        <v>0</v>
      </c>
    </row>
    <row r="500" spans="1:18" x14ac:dyDescent="0.4">
      <c r="A500" s="1">
        <v>202630000105</v>
      </c>
      <c r="B500" s="1">
        <v>910520</v>
      </c>
      <c r="C500" s="2">
        <v>46127</v>
      </c>
      <c r="D500" t="s">
        <v>14</v>
      </c>
      <c r="E500" t="s">
        <v>8</v>
      </c>
      <c r="G500" t="s">
        <v>9</v>
      </c>
      <c r="L500">
        <f t="shared" si="36"/>
        <v>0</v>
      </c>
      <c r="M500">
        <f t="shared" si="37"/>
        <v>0</v>
      </c>
      <c r="N500">
        <f t="shared" si="38"/>
        <v>0</v>
      </c>
      <c r="O500">
        <f t="shared" si="40"/>
        <v>1</v>
      </c>
      <c r="P500" t="str">
        <f t="shared" si="39"/>
        <v/>
      </c>
      <c r="Q500">
        <f>COUNTIF('責任職　企業局→市長部局'!A:A,SQLデータ!B500)</f>
        <v>0</v>
      </c>
      <c r="R500">
        <f>COUNTIF('一般職員　企業局→市長部局'!A:F,SQLデータ!B500)</f>
        <v>0</v>
      </c>
    </row>
    <row r="501" spans="1:18" x14ac:dyDescent="0.4">
      <c r="A501" s="1">
        <v>202630000106</v>
      </c>
      <c r="B501" s="1">
        <v>992045</v>
      </c>
      <c r="C501" s="2">
        <v>46127</v>
      </c>
      <c r="D501" t="s">
        <v>14</v>
      </c>
      <c r="E501" t="s">
        <v>8</v>
      </c>
      <c r="G501" t="s">
        <v>9</v>
      </c>
      <c r="L501">
        <f t="shared" si="36"/>
        <v>0</v>
      </c>
      <c r="M501">
        <f t="shared" si="37"/>
        <v>0</v>
      </c>
      <c r="N501">
        <f t="shared" si="38"/>
        <v>0</v>
      </c>
      <c r="O501">
        <f t="shared" si="40"/>
        <v>1</v>
      </c>
      <c r="P501" t="str">
        <f t="shared" si="39"/>
        <v/>
      </c>
      <c r="Q501">
        <f>COUNTIF('責任職　企業局→市長部局'!A:A,SQLデータ!B501)</f>
        <v>0</v>
      </c>
      <c r="R501">
        <f>COUNTIF('一般職員　企業局→市長部局'!A:F,SQLデータ!B501)</f>
        <v>0</v>
      </c>
    </row>
    <row r="502" spans="1:18" x14ac:dyDescent="0.4">
      <c r="A502" s="1">
        <v>202630000107</v>
      </c>
      <c r="B502" s="1">
        <v>1032002</v>
      </c>
      <c r="C502" s="2">
        <v>46127</v>
      </c>
      <c r="D502" t="s">
        <v>14</v>
      </c>
      <c r="E502" t="s">
        <v>8</v>
      </c>
      <c r="G502" t="s">
        <v>9</v>
      </c>
      <c r="L502">
        <f t="shared" si="36"/>
        <v>0</v>
      </c>
      <c r="M502">
        <f t="shared" si="37"/>
        <v>0</v>
      </c>
      <c r="N502">
        <f t="shared" si="38"/>
        <v>0</v>
      </c>
      <c r="O502">
        <f t="shared" si="40"/>
        <v>1</v>
      </c>
      <c r="P502" t="str">
        <f t="shared" si="39"/>
        <v/>
      </c>
      <c r="Q502">
        <f>COUNTIF('責任職　企業局→市長部局'!A:A,SQLデータ!B502)</f>
        <v>0</v>
      </c>
      <c r="R502">
        <f>COUNTIF('一般職員　企業局→市長部局'!A:F,SQLデータ!B502)</f>
        <v>0</v>
      </c>
    </row>
    <row r="503" spans="1:18" x14ac:dyDescent="0.4">
      <c r="A503" s="1">
        <v>202630000108</v>
      </c>
      <c r="B503" s="1">
        <v>1081421</v>
      </c>
      <c r="C503" s="2">
        <v>46127</v>
      </c>
      <c r="D503" t="s">
        <v>14</v>
      </c>
      <c r="E503" t="s">
        <v>8</v>
      </c>
      <c r="G503" t="s">
        <v>9</v>
      </c>
      <c r="L503">
        <f t="shared" si="36"/>
        <v>0</v>
      </c>
      <c r="M503">
        <f t="shared" si="37"/>
        <v>0</v>
      </c>
      <c r="N503">
        <f t="shared" si="38"/>
        <v>0</v>
      </c>
      <c r="O503">
        <f t="shared" si="40"/>
        <v>1</v>
      </c>
      <c r="P503" t="str">
        <f t="shared" si="39"/>
        <v/>
      </c>
      <c r="Q503">
        <f>COUNTIF('責任職　企業局→市長部局'!A:A,SQLデータ!B503)</f>
        <v>0</v>
      </c>
      <c r="R503">
        <f>COUNTIF('一般職員　企業局→市長部局'!A:F,SQLデータ!B503)</f>
        <v>0</v>
      </c>
    </row>
    <row r="504" spans="1:18" x14ac:dyDescent="0.4">
      <c r="A504" s="1">
        <v>202630000110</v>
      </c>
      <c r="B504" s="1">
        <v>1184109</v>
      </c>
      <c r="C504" s="2">
        <v>46128</v>
      </c>
      <c r="D504" t="s">
        <v>14</v>
      </c>
      <c r="E504" t="s">
        <v>8</v>
      </c>
      <c r="G504" t="s">
        <v>9</v>
      </c>
      <c r="L504">
        <f t="shared" si="36"/>
        <v>0</v>
      </c>
      <c r="M504">
        <f t="shared" si="37"/>
        <v>0</v>
      </c>
      <c r="N504">
        <f t="shared" si="38"/>
        <v>0</v>
      </c>
      <c r="O504">
        <f t="shared" si="40"/>
        <v>1</v>
      </c>
      <c r="P504" t="str">
        <f t="shared" si="39"/>
        <v/>
      </c>
      <c r="Q504">
        <f>COUNTIF('責任職　企業局→市長部局'!A:A,SQLデータ!B504)</f>
        <v>0</v>
      </c>
      <c r="R504">
        <f>COUNTIF('一般職員　企業局→市長部局'!A:F,SQLデータ!B504)</f>
        <v>0</v>
      </c>
    </row>
    <row r="505" spans="1:18" x14ac:dyDescent="0.4">
      <c r="A505" s="1">
        <v>202630000111</v>
      </c>
      <c r="B505" s="1">
        <v>1196073</v>
      </c>
      <c r="C505" s="2">
        <v>46128</v>
      </c>
      <c r="D505" t="s">
        <v>14</v>
      </c>
      <c r="E505" t="s">
        <v>8</v>
      </c>
      <c r="G505" t="s">
        <v>9</v>
      </c>
      <c r="L505">
        <f t="shared" si="36"/>
        <v>0</v>
      </c>
      <c r="M505">
        <f t="shared" si="37"/>
        <v>0</v>
      </c>
      <c r="N505">
        <f t="shared" si="38"/>
        <v>0</v>
      </c>
      <c r="O505">
        <f t="shared" si="40"/>
        <v>1</v>
      </c>
      <c r="P505" t="str">
        <f t="shared" si="39"/>
        <v/>
      </c>
      <c r="Q505">
        <f>COUNTIF('責任職　企業局→市長部局'!A:A,SQLデータ!B505)</f>
        <v>0</v>
      </c>
      <c r="R505">
        <f>COUNTIF('一般職員　企業局→市長部局'!A:F,SQLデータ!B505)</f>
        <v>0</v>
      </c>
    </row>
    <row r="506" spans="1:18" x14ac:dyDescent="0.4">
      <c r="A506" s="1">
        <v>202630000113</v>
      </c>
      <c r="B506" s="1">
        <v>1106049</v>
      </c>
      <c r="C506" s="2">
        <v>46131</v>
      </c>
      <c r="D506" t="s">
        <v>14</v>
      </c>
      <c r="E506" t="s">
        <v>8</v>
      </c>
      <c r="G506" t="s">
        <v>9</v>
      </c>
      <c r="L506">
        <f t="shared" si="36"/>
        <v>0</v>
      </c>
      <c r="M506">
        <f t="shared" si="37"/>
        <v>0</v>
      </c>
      <c r="N506">
        <f t="shared" si="38"/>
        <v>0</v>
      </c>
      <c r="O506">
        <f t="shared" si="40"/>
        <v>1</v>
      </c>
      <c r="P506" t="str">
        <f t="shared" si="39"/>
        <v/>
      </c>
      <c r="Q506">
        <f>COUNTIF('責任職　企業局→市長部局'!A:A,SQLデータ!B506)</f>
        <v>0</v>
      </c>
      <c r="R506">
        <f>COUNTIF('一般職員　企業局→市長部局'!A:F,SQLデータ!B506)</f>
        <v>0</v>
      </c>
    </row>
    <row r="507" spans="1:18" x14ac:dyDescent="0.4">
      <c r="A507" s="1">
        <v>202640000001</v>
      </c>
      <c r="B507" s="1">
        <v>1216063</v>
      </c>
      <c r="C507" s="2">
        <v>46120</v>
      </c>
      <c r="D507" t="s">
        <v>16</v>
      </c>
      <c r="E507" t="s">
        <v>10</v>
      </c>
      <c r="G507" t="s">
        <v>9</v>
      </c>
      <c r="L507">
        <f t="shared" si="36"/>
        <v>0</v>
      </c>
      <c r="M507">
        <f t="shared" si="37"/>
        <v>0</v>
      </c>
      <c r="N507">
        <f t="shared" si="38"/>
        <v>0</v>
      </c>
      <c r="O507">
        <f t="shared" si="40"/>
        <v>1</v>
      </c>
      <c r="P507" t="str">
        <f t="shared" si="39"/>
        <v/>
      </c>
      <c r="Q507">
        <f>COUNTIF('責任職　企業局→市長部局'!A:A,SQLデータ!B507)</f>
        <v>0</v>
      </c>
      <c r="R507">
        <f>COUNTIF('一般職員　企業局→市長部局'!A:F,SQLデータ!B507)</f>
        <v>0</v>
      </c>
    </row>
    <row r="508" spans="1:18" x14ac:dyDescent="0.4">
      <c r="A508" s="1">
        <v>202640000002</v>
      </c>
      <c r="B508" s="1">
        <v>1256016</v>
      </c>
      <c r="C508" s="2">
        <v>46115</v>
      </c>
      <c r="D508" t="s">
        <v>16</v>
      </c>
      <c r="E508" t="s">
        <v>15</v>
      </c>
      <c r="G508" t="s">
        <v>9</v>
      </c>
      <c r="L508">
        <f t="shared" si="36"/>
        <v>0</v>
      </c>
      <c r="M508">
        <f t="shared" si="37"/>
        <v>0</v>
      </c>
      <c r="N508">
        <f t="shared" si="38"/>
        <v>0</v>
      </c>
      <c r="O508">
        <f t="shared" si="40"/>
        <v>1</v>
      </c>
      <c r="P508" t="str">
        <f t="shared" si="39"/>
        <v/>
      </c>
      <c r="Q508">
        <f>COUNTIF('責任職　企業局→市長部局'!A:A,SQLデータ!B508)</f>
        <v>0</v>
      </c>
      <c r="R508">
        <f>COUNTIF('一般職員　企業局→市長部局'!A:F,SQLデータ!B508)</f>
        <v>0</v>
      </c>
    </row>
    <row r="509" spans="1:18" x14ac:dyDescent="0.4">
      <c r="A509" s="1">
        <v>202640000003</v>
      </c>
      <c r="B509" s="1">
        <v>1236050</v>
      </c>
      <c r="C509" s="2">
        <v>46116</v>
      </c>
      <c r="D509" t="s">
        <v>16</v>
      </c>
      <c r="E509" t="s">
        <v>8</v>
      </c>
      <c r="F509" t="s">
        <v>47</v>
      </c>
      <c r="G509" t="s">
        <v>9</v>
      </c>
      <c r="L509">
        <f t="shared" si="36"/>
        <v>0</v>
      </c>
      <c r="M509">
        <f t="shared" si="37"/>
        <v>0</v>
      </c>
      <c r="N509">
        <f t="shared" si="38"/>
        <v>0</v>
      </c>
      <c r="O509">
        <f t="shared" si="40"/>
        <v>1</v>
      </c>
      <c r="P509" t="str">
        <f t="shared" si="39"/>
        <v/>
      </c>
      <c r="Q509">
        <f>COUNTIF('責任職　企業局→市長部局'!A:A,SQLデータ!B509)</f>
        <v>0</v>
      </c>
      <c r="R509">
        <f>COUNTIF('一般職員　企業局→市長部局'!A:F,SQLデータ!B509)</f>
        <v>0</v>
      </c>
    </row>
    <row r="510" spans="1:18" x14ac:dyDescent="0.4">
      <c r="A510" s="1">
        <v>202640000005</v>
      </c>
      <c r="B510" s="1">
        <v>1251037</v>
      </c>
      <c r="C510" s="2">
        <v>46115</v>
      </c>
      <c r="D510" t="s">
        <v>16</v>
      </c>
      <c r="E510" t="s">
        <v>12</v>
      </c>
      <c r="G510" t="s">
        <v>9</v>
      </c>
      <c r="L510">
        <f t="shared" si="36"/>
        <v>0</v>
      </c>
      <c r="M510">
        <f t="shared" si="37"/>
        <v>0</v>
      </c>
      <c r="N510">
        <f t="shared" si="38"/>
        <v>0</v>
      </c>
      <c r="O510">
        <f t="shared" si="40"/>
        <v>1</v>
      </c>
      <c r="P510" t="str">
        <f t="shared" si="39"/>
        <v/>
      </c>
      <c r="Q510">
        <f>COUNTIF('責任職　企業局→市長部局'!A:A,SQLデータ!B510)</f>
        <v>0</v>
      </c>
      <c r="R510">
        <f>COUNTIF('一般職員　企業局→市長部局'!A:F,SQLデータ!B510)</f>
        <v>0</v>
      </c>
    </row>
    <row r="511" spans="1:18" x14ac:dyDescent="0.4">
      <c r="A511" s="1">
        <v>202640000006</v>
      </c>
      <c r="B511" s="1">
        <v>830048</v>
      </c>
      <c r="C511" s="2">
        <v>46115</v>
      </c>
      <c r="D511" t="s">
        <v>16</v>
      </c>
      <c r="E511" t="s">
        <v>11</v>
      </c>
      <c r="G511" t="s">
        <v>9</v>
      </c>
      <c r="L511">
        <f t="shared" si="36"/>
        <v>0</v>
      </c>
      <c r="M511">
        <f t="shared" si="37"/>
        <v>0</v>
      </c>
      <c r="N511">
        <f t="shared" si="38"/>
        <v>0</v>
      </c>
      <c r="O511">
        <f t="shared" si="40"/>
        <v>1</v>
      </c>
      <c r="P511" t="str">
        <f t="shared" si="39"/>
        <v/>
      </c>
      <c r="Q511">
        <f>COUNTIF('責任職　企業局→市長部局'!A:A,SQLデータ!B511)</f>
        <v>0</v>
      </c>
      <c r="R511">
        <f>COUNTIF('一般職員　企業局→市長部局'!A:F,SQLデータ!B511)</f>
        <v>0</v>
      </c>
    </row>
    <row r="512" spans="1:18" x14ac:dyDescent="0.4">
      <c r="A512" s="1">
        <v>202640000007</v>
      </c>
      <c r="B512" s="1">
        <v>1111197</v>
      </c>
      <c r="C512" s="2">
        <v>46115</v>
      </c>
      <c r="D512" t="s">
        <v>16</v>
      </c>
      <c r="E512" t="s">
        <v>10</v>
      </c>
      <c r="G512" t="s">
        <v>9</v>
      </c>
      <c r="L512">
        <f t="shared" si="36"/>
        <v>0</v>
      </c>
      <c r="M512">
        <f t="shared" si="37"/>
        <v>0</v>
      </c>
      <c r="N512">
        <f t="shared" si="38"/>
        <v>0</v>
      </c>
      <c r="O512">
        <f t="shared" si="40"/>
        <v>1</v>
      </c>
      <c r="P512" t="str">
        <f t="shared" si="39"/>
        <v/>
      </c>
      <c r="Q512">
        <f>COUNTIF('責任職　企業局→市長部局'!A:A,SQLデータ!B512)</f>
        <v>0</v>
      </c>
      <c r="R512">
        <f>COUNTIF('一般職員　企業局→市長部局'!A:F,SQLデータ!B512)</f>
        <v>0</v>
      </c>
    </row>
    <row r="513" spans="1:18" x14ac:dyDescent="0.4">
      <c r="A513" s="1">
        <v>202640000009</v>
      </c>
      <c r="B513" s="1">
        <v>860378</v>
      </c>
      <c r="C513" s="2">
        <v>46115</v>
      </c>
      <c r="D513" t="s">
        <v>16</v>
      </c>
      <c r="E513" t="s">
        <v>8</v>
      </c>
      <c r="F513" t="s">
        <v>47</v>
      </c>
      <c r="G513" t="s">
        <v>9</v>
      </c>
      <c r="L513">
        <f t="shared" si="36"/>
        <v>0</v>
      </c>
      <c r="M513">
        <f t="shared" si="37"/>
        <v>0</v>
      </c>
      <c r="N513">
        <f t="shared" si="38"/>
        <v>0</v>
      </c>
      <c r="O513">
        <f t="shared" si="40"/>
        <v>1</v>
      </c>
      <c r="P513" t="str">
        <f t="shared" si="39"/>
        <v/>
      </c>
      <c r="Q513">
        <f>COUNTIF('責任職　企業局→市長部局'!A:A,SQLデータ!B513)</f>
        <v>0</v>
      </c>
      <c r="R513">
        <f>COUNTIF('一般職員　企業局→市長部局'!A:F,SQLデータ!B513)</f>
        <v>0</v>
      </c>
    </row>
    <row r="514" spans="1:18" x14ac:dyDescent="0.4">
      <c r="A514" s="1">
        <v>202640000010</v>
      </c>
      <c r="B514" s="1">
        <v>1242070</v>
      </c>
      <c r="C514" s="2">
        <v>46115</v>
      </c>
      <c r="D514" t="s">
        <v>16</v>
      </c>
      <c r="E514" t="s">
        <v>11</v>
      </c>
      <c r="G514" t="s">
        <v>9</v>
      </c>
      <c r="L514">
        <f t="shared" ref="L514:L577" si="41">IF(ISBLANK(J514),0,1)</f>
        <v>0</v>
      </c>
      <c r="M514">
        <f t="shared" ref="M514:M577" si="42">IF(AND(L514=0,I514&lt;&gt;""),1,0)</f>
        <v>0</v>
      </c>
      <c r="N514">
        <f t="shared" ref="N514:N577" si="43">IF(AND(L514=0,M514=0,K514&lt;&gt;""),1,0)</f>
        <v>0</v>
      </c>
      <c r="O514">
        <f t="shared" si="40"/>
        <v>1</v>
      </c>
      <c r="P514" t="str">
        <f t="shared" ref="P514:P577" si="44">IF(D514&lt;&gt;"扶養","",IF(E514&lt;&gt;"確認待ち",1,IF(OR(AND(G514="本人の結婚",O514=1),AND(H514="減",OR(N514=1,O514=1))),1,0)))</f>
        <v/>
      </c>
      <c r="Q514">
        <f>COUNTIF('責任職　企業局→市長部局'!A:A,SQLデータ!B514)</f>
        <v>0</v>
      </c>
      <c r="R514">
        <f>COUNTIF('一般職員　企業局→市長部局'!A:F,SQLデータ!B514)</f>
        <v>0</v>
      </c>
    </row>
    <row r="515" spans="1:18" x14ac:dyDescent="0.4">
      <c r="A515" s="1">
        <v>202640000014</v>
      </c>
      <c r="B515" s="1">
        <v>1161481</v>
      </c>
      <c r="C515" s="2">
        <v>46115</v>
      </c>
      <c r="D515" t="s">
        <v>16</v>
      </c>
      <c r="E515" t="s">
        <v>15</v>
      </c>
      <c r="G515" t="s">
        <v>9</v>
      </c>
      <c r="L515">
        <f t="shared" si="41"/>
        <v>0</v>
      </c>
      <c r="M515">
        <f t="shared" si="42"/>
        <v>0</v>
      </c>
      <c r="N515">
        <f t="shared" si="43"/>
        <v>0</v>
      </c>
      <c r="O515">
        <f t="shared" si="40"/>
        <v>1</v>
      </c>
      <c r="P515" t="str">
        <f t="shared" si="44"/>
        <v/>
      </c>
      <c r="Q515">
        <f>COUNTIF('責任職　企業局→市長部局'!A:A,SQLデータ!B515)</f>
        <v>1</v>
      </c>
      <c r="R515">
        <f>COUNTIF('一般職員　企業局→市長部局'!A:F,SQLデータ!B515)</f>
        <v>0</v>
      </c>
    </row>
    <row r="516" spans="1:18" x14ac:dyDescent="0.4">
      <c r="A516" s="1">
        <v>202640000016</v>
      </c>
      <c r="B516" s="1">
        <v>1102055</v>
      </c>
      <c r="C516" s="2">
        <v>46115</v>
      </c>
      <c r="D516" t="s">
        <v>16</v>
      </c>
      <c r="E516" t="s">
        <v>8</v>
      </c>
      <c r="F516" t="s">
        <v>47</v>
      </c>
      <c r="G516" t="s">
        <v>9</v>
      </c>
      <c r="L516">
        <f t="shared" si="41"/>
        <v>0</v>
      </c>
      <c r="M516">
        <f t="shared" si="42"/>
        <v>0</v>
      </c>
      <c r="N516">
        <f t="shared" si="43"/>
        <v>0</v>
      </c>
      <c r="O516">
        <f t="shared" si="40"/>
        <v>1</v>
      </c>
      <c r="P516" t="str">
        <f t="shared" si="44"/>
        <v/>
      </c>
      <c r="Q516">
        <f>COUNTIF('責任職　企業局→市長部局'!A:A,SQLデータ!B516)</f>
        <v>0</v>
      </c>
      <c r="R516">
        <f>COUNTIF('一般職員　企業局→市長部局'!A:F,SQLデータ!B516)</f>
        <v>0</v>
      </c>
    </row>
    <row r="517" spans="1:18" x14ac:dyDescent="0.4">
      <c r="A517" s="1">
        <v>202640000017</v>
      </c>
      <c r="B517" s="1">
        <v>1216013</v>
      </c>
      <c r="C517" s="2">
        <v>46115</v>
      </c>
      <c r="D517" t="s">
        <v>16</v>
      </c>
      <c r="E517" t="s">
        <v>8</v>
      </c>
      <c r="F517" t="s">
        <v>47</v>
      </c>
      <c r="G517" t="s">
        <v>9</v>
      </c>
      <c r="L517">
        <f t="shared" si="41"/>
        <v>0</v>
      </c>
      <c r="M517">
        <f t="shared" si="42"/>
        <v>0</v>
      </c>
      <c r="N517">
        <f t="shared" si="43"/>
        <v>0</v>
      </c>
      <c r="O517">
        <f t="shared" si="40"/>
        <v>1</v>
      </c>
      <c r="P517" t="str">
        <f t="shared" si="44"/>
        <v/>
      </c>
      <c r="Q517">
        <f>COUNTIF('責任職　企業局→市長部局'!A:A,SQLデータ!B517)</f>
        <v>0</v>
      </c>
      <c r="R517">
        <f>COUNTIF('一般職員　企業局→市長部局'!A:F,SQLデータ!B517)</f>
        <v>0</v>
      </c>
    </row>
    <row r="518" spans="1:18" x14ac:dyDescent="0.4">
      <c r="A518" s="1">
        <v>202640000021</v>
      </c>
      <c r="B518" s="1">
        <v>1192002</v>
      </c>
      <c r="C518" s="2">
        <v>46125</v>
      </c>
      <c r="D518" t="s">
        <v>16</v>
      </c>
      <c r="E518" t="s">
        <v>10</v>
      </c>
      <c r="G518" t="s">
        <v>9</v>
      </c>
      <c r="L518">
        <f t="shared" si="41"/>
        <v>0</v>
      </c>
      <c r="M518">
        <f t="shared" si="42"/>
        <v>0</v>
      </c>
      <c r="N518">
        <f t="shared" si="43"/>
        <v>0</v>
      </c>
      <c r="O518">
        <f t="shared" si="40"/>
        <v>1</v>
      </c>
      <c r="P518" t="str">
        <f t="shared" si="44"/>
        <v/>
      </c>
      <c r="Q518">
        <f>COUNTIF('責任職　企業局→市長部局'!A:A,SQLデータ!B518)</f>
        <v>0</v>
      </c>
      <c r="R518">
        <f>COUNTIF('一般職員　企業局→市長部局'!A:F,SQLデータ!B518)</f>
        <v>0</v>
      </c>
    </row>
    <row r="519" spans="1:18" x14ac:dyDescent="0.4">
      <c r="A519" s="1">
        <v>202640000022</v>
      </c>
      <c r="B519" s="1">
        <v>1071045</v>
      </c>
      <c r="C519" s="2">
        <v>46121</v>
      </c>
      <c r="D519" t="s">
        <v>16</v>
      </c>
      <c r="E519" t="s">
        <v>11</v>
      </c>
      <c r="G519" t="s">
        <v>9</v>
      </c>
      <c r="L519">
        <f t="shared" si="41"/>
        <v>0</v>
      </c>
      <c r="M519">
        <f t="shared" si="42"/>
        <v>0</v>
      </c>
      <c r="N519">
        <f t="shared" si="43"/>
        <v>0</v>
      </c>
      <c r="O519">
        <f t="shared" si="40"/>
        <v>1</v>
      </c>
      <c r="P519" t="str">
        <f t="shared" si="44"/>
        <v/>
      </c>
      <c r="Q519">
        <f>COUNTIF('責任職　企業局→市長部局'!A:A,SQLデータ!B519)</f>
        <v>0</v>
      </c>
      <c r="R519">
        <f>COUNTIF('一般職員　企業局→市長部局'!A:F,SQLデータ!B519)</f>
        <v>0</v>
      </c>
    </row>
    <row r="520" spans="1:18" x14ac:dyDescent="0.4">
      <c r="A520" s="1">
        <v>202640000023</v>
      </c>
      <c r="B520" s="1">
        <v>1176042</v>
      </c>
      <c r="C520" s="2">
        <v>46115</v>
      </c>
      <c r="D520" t="s">
        <v>16</v>
      </c>
      <c r="E520" t="s">
        <v>8</v>
      </c>
      <c r="F520" t="s">
        <v>50</v>
      </c>
      <c r="G520" t="s">
        <v>9</v>
      </c>
      <c r="L520">
        <f t="shared" si="41"/>
        <v>0</v>
      </c>
      <c r="M520">
        <f t="shared" si="42"/>
        <v>0</v>
      </c>
      <c r="N520">
        <f t="shared" si="43"/>
        <v>0</v>
      </c>
      <c r="O520">
        <f t="shared" si="40"/>
        <v>1</v>
      </c>
      <c r="P520" t="str">
        <f t="shared" si="44"/>
        <v/>
      </c>
      <c r="Q520">
        <f>COUNTIF('責任職　企業局→市長部局'!A:A,SQLデータ!B520)</f>
        <v>0</v>
      </c>
      <c r="R520">
        <f>COUNTIF('一般職員　企業局→市長部局'!A:F,SQLデータ!B520)</f>
        <v>0</v>
      </c>
    </row>
    <row r="521" spans="1:18" x14ac:dyDescent="0.4">
      <c r="A521" s="1">
        <v>202640000025</v>
      </c>
      <c r="B521" s="1">
        <v>1226049</v>
      </c>
      <c r="C521" s="2">
        <v>46115</v>
      </c>
      <c r="D521" t="s">
        <v>16</v>
      </c>
      <c r="E521" t="s">
        <v>11</v>
      </c>
      <c r="G521" t="s">
        <v>9</v>
      </c>
      <c r="L521">
        <f t="shared" si="41"/>
        <v>0</v>
      </c>
      <c r="M521">
        <f t="shared" si="42"/>
        <v>0</v>
      </c>
      <c r="N521">
        <f t="shared" si="43"/>
        <v>0</v>
      </c>
      <c r="O521">
        <f t="shared" ref="O521:O584" si="45">IF(COUNTIF(L521:N521,0)=3,1,0)</f>
        <v>1</v>
      </c>
      <c r="P521" t="str">
        <f t="shared" si="44"/>
        <v/>
      </c>
      <c r="Q521">
        <f>COUNTIF('責任職　企業局→市長部局'!A:A,SQLデータ!B521)</f>
        <v>0</v>
      </c>
      <c r="R521">
        <f>COUNTIF('一般職員　企業局→市長部局'!A:F,SQLデータ!B521)</f>
        <v>0</v>
      </c>
    </row>
    <row r="522" spans="1:18" x14ac:dyDescent="0.4">
      <c r="A522" s="1">
        <v>202640000029</v>
      </c>
      <c r="B522" s="1">
        <v>1086001</v>
      </c>
      <c r="C522" s="2">
        <v>46115</v>
      </c>
      <c r="D522" t="s">
        <v>16</v>
      </c>
      <c r="E522" t="s">
        <v>11</v>
      </c>
      <c r="G522" t="s">
        <v>9</v>
      </c>
      <c r="L522">
        <f t="shared" si="41"/>
        <v>0</v>
      </c>
      <c r="M522">
        <f t="shared" si="42"/>
        <v>0</v>
      </c>
      <c r="N522">
        <f t="shared" si="43"/>
        <v>0</v>
      </c>
      <c r="O522">
        <f t="shared" si="45"/>
        <v>1</v>
      </c>
      <c r="P522" t="str">
        <f t="shared" si="44"/>
        <v/>
      </c>
      <c r="Q522">
        <f>COUNTIF('責任職　企業局→市長部局'!A:A,SQLデータ!B522)</f>
        <v>0</v>
      </c>
      <c r="R522">
        <f>COUNTIF('一般職員　企業局→市長部局'!A:F,SQLデータ!B522)</f>
        <v>0</v>
      </c>
    </row>
    <row r="523" spans="1:18" x14ac:dyDescent="0.4">
      <c r="A523" s="1">
        <v>202640000031</v>
      </c>
      <c r="B523" s="1">
        <v>1096105</v>
      </c>
      <c r="C523" s="2">
        <v>46121</v>
      </c>
      <c r="D523" t="s">
        <v>16</v>
      </c>
      <c r="E523" t="s">
        <v>10</v>
      </c>
      <c r="G523" t="s">
        <v>9</v>
      </c>
      <c r="L523">
        <f t="shared" si="41"/>
        <v>0</v>
      </c>
      <c r="M523">
        <f t="shared" si="42"/>
        <v>0</v>
      </c>
      <c r="N523">
        <f t="shared" si="43"/>
        <v>0</v>
      </c>
      <c r="O523">
        <f t="shared" si="45"/>
        <v>1</v>
      </c>
      <c r="P523" t="str">
        <f t="shared" si="44"/>
        <v/>
      </c>
      <c r="Q523">
        <f>COUNTIF('責任職　企業局→市長部局'!A:A,SQLデータ!B523)</f>
        <v>0</v>
      </c>
      <c r="R523">
        <f>COUNTIF('一般職員　企業局→市長部局'!A:F,SQLデータ!B523)</f>
        <v>0</v>
      </c>
    </row>
    <row r="524" spans="1:18" x14ac:dyDescent="0.4">
      <c r="A524" s="1">
        <v>202640000032</v>
      </c>
      <c r="B524" s="1">
        <v>1241272</v>
      </c>
      <c r="C524" s="2">
        <v>46117</v>
      </c>
      <c r="D524" t="s">
        <v>16</v>
      </c>
      <c r="E524" t="s">
        <v>11</v>
      </c>
      <c r="G524" t="s">
        <v>9</v>
      </c>
      <c r="L524">
        <f t="shared" si="41"/>
        <v>0</v>
      </c>
      <c r="M524">
        <f t="shared" si="42"/>
        <v>0</v>
      </c>
      <c r="N524">
        <f t="shared" si="43"/>
        <v>0</v>
      </c>
      <c r="O524">
        <f t="shared" si="45"/>
        <v>1</v>
      </c>
      <c r="P524" t="str">
        <f t="shared" si="44"/>
        <v/>
      </c>
      <c r="Q524">
        <f>COUNTIF('責任職　企業局→市長部局'!A:A,SQLデータ!B524)</f>
        <v>0</v>
      </c>
      <c r="R524">
        <f>COUNTIF('一般職員　企業局→市長部局'!A:F,SQLデータ!B524)</f>
        <v>0</v>
      </c>
    </row>
    <row r="525" spans="1:18" x14ac:dyDescent="0.4">
      <c r="A525" s="1">
        <v>202640000033</v>
      </c>
      <c r="B525" s="1">
        <v>1081286</v>
      </c>
      <c r="C525" s="2">
        <v>46118</v>
      </c>
      <c r="D525" t="s">
        <v>16</v>
      </c>
      <c r="E525" t="s">
        <v>11</v>
      </c>
      <c r="G525" t="s">
        <v>9</v>
      </c>
      <c r="L525">
        <f t="shared" si="41"/>
        <v>0</v>
      </c>
      <c r="M525">
        <f t="shared" si="42"/>
        <v>0</v>
      </c>
      <c r="N525">
        <f t="shared" si="43"/>
        <v>0</v>
      </c>
      <c r="O525">
        <f t="shared" si="45"/>
        <v>1</v>
      </c>
      <c r="P525" t="str">
        <f t="shared" si="44"/>
        <v/>
      </c>
      <c r="Q525">
        <f>COUNTIF('責任職　企業局→市長部局'!A:A,SQLデータ!B525)</f>
        <v>0</v>
      </c>
      <c r="R525">
        <f>COUNTIF('一般職員　企業局→市長部局'!A:F,SQLデータ!B525)</f>
        <v>0</v>
      </c>
    </row>
    <row r="526" spans="1:18" x14ac:dyDescent="0.4">
      <c r="A526" s="1">
        <v>202640000034</v>
      </c>
      <c r="B526" s="1">
        <v>1223017</v>
      </c>
      <c r="C526" s="2">
        <v>46118</v>
      </c>
      <c r="D526" t="s">
        <v>16</v>
      </c>
      <c r="E526" t="s">
        <v>11</v>
      </c>
      <c r="G526" t="s">
        <v>9</v>
      </c>
      <c r="L526">
        <f t="shared" si="41"/>
        <v>0</v>
      </c>
      <c r="M526">
        <f t="shared" si="42"/>
        <v>0</v>
      </c>
      <c r="N526">
        <f t="shared" si="43"/>
        <v>0</v>
      </c>
      <c r="O526">
        <f t="shared" si="45"/>
        <v>1</v>
      </c>
      <c r="P526" t="str">
        <f t="shared" si="44"/>
        <v/>
      </c>
      <c r="Q526">
        <f>COUNTIF('責任職　企業局→市長部局'!A:A,SQLデータ!B526)</f>
        <v>0</v>
      </c>
      <c r="R526">
        <f>COUNTIF('一般職員　企業局→市長部局'!A:F,SQLデータ!B526)</f>
        <v>0</v>
      </c>
    </row>
    <row r="527" spans="1:18" x14ac:dyDescent="0.4">
      <c r="A527" s="1">
        <v>202640000036</v>
      </c>
      <c r="B527" s="1">
        <v>1201104</v>
      </c>
      <c r="C527" s="2">
        <v>46118</v>
      </c>
      <c r="D527" t="s">
        <v>16</v>
      </c>
      <c r="E527" t="s">
        <v>10</v>
      </c>
      <c r="F527" t="s">
        <v>50</v>
      </c>
      <c r="G527" t="s">
        <v>9</v>
      </c>
      <c r="L527">
        <f t="shared" si="41"/>
        <v>0</v>
      </c>
      <c r="M527">
        <f t="shared" si="42"/>
        <v>0</v>
      </c>
      <c r="N527">
        <f t="shared" si="43"/>
        <v>0</v>
      </c>
      <c r="O527">
        <f t="shared" si="45"/>
        <v>1</v>
      </c>
      <c r="P527" t="str">
        <f t="shared" si="44"/>
        <v/>
      </c>
      <c r="Q527">
        <f>COUNTIF('責任職　企業局→市長部局'!A:A,SQLデータ!B527)</f>
        <v>0</v>
      </c>
      <c r="R527">
        <f>COUNTIF('一般職員　企業局→市長部局'!A:F,SQLデータ!B527)</f>
        <v>0</v>
      </c>
    </row>
    <row r="528" spans="1:18" x14ac:dyDescent="0.4">
      <c r="A528" s="1">
        <v>202640000038</v>
      </c>
      <c r="B528" s="1">
        <v>1101201</v>
      </c>
      <c r="C528" s="2">
        <v>46118</v>
      </c>
      <c r="D528" t="s">
        <v>16</v>
      </c>
      <c r="E528" t="s">
        <v>11</v>
      </c>
      <c r="G528" t="s">
        <v>9</v>
      </c>
      <c r="L528">
        <f t="shared" si="41"/>
        <v>0</v>
      </c>
      <c r="M528">
        <f t="shared" si="42"/>
        <v>0</v>
      </c>
      <c r="N528">
        <f t="shared" si="43"/>
        <v>0</v>
      </c>
      <c r="O528">
        <f t="shared" si="45"/>
        <v>1</v>
      </c>
      <c r="P528" t="str">
        <f t="shared" si="44"/>
        <v/>
      </c>
      <c r="Q528">
        <f>COUNTIF('責任職　企業局→市長部局'!A:A,SQLデータ!B528)</f>
        <v>0</v>
      </c>
      <c r="R528">
        <f>COUNTIF('一般職員　企業局→市長部局'!A:F,SQLデータ!B528)</f>
        <v>0</v>
      </c>
    </row>
    <row r="529" spans="1:18" x14ac:dyDescent="0.4">
      <c r="A529" s="1">
        <v>202640000039</v>
      </c>
      <c r="B529" s="1">
        <v>1151228</v>
      </c>
      <c r="C529" s="2">
        <v>46118</v>
      </c>
      <c r="D529" t="s">
        <v>16</v>
      </c>
      <c r="E529" t="s">
        <v>8</v>
      </c>
      <c r="F529" t="s">
        <v>47</v>
      </c>
      <c r="G529" t="s">
        <v>9</v>
      </c>
      <c r="L529">
        <f t="shared" si="41"/>
        <v>0</v>
      </c>
      <c r="M529">
        <f t="shared" si="42"/>
        <v>0</v>
      </c>
      <c r="N529">
        <f t="shared" si="43"/>
        <v>0</v>
      </c>
      <c r="O529">
        <f t="shared" si="45"/>
        <v>1</v>
      </c>
      <c r="P529" t="str">
        <f t="shared" si="44"/>
        <v/>
      </c>
      <c r="Q529">
        <f>COUNTIF('責任職　企業局→市長部局'!A:A,SQLデータ!B529)</f>
        <v>0</v>
      </c>
      <c r="R529">
        <f>COUNTIF('一般職員　企業局→市長部局'!A:F,SQLデータ!B529)</f>
        <v>0</v>
      </c>
    </row>
    <row r="530" spans="1:18" x14ac:dyDescent="0.4">
      <c r="A530" s="1">
        <v>202640000040</v>
      </c>
      <c r="B530" s="1">
        <v>1152190</v>
      </c>
      <c r="C530" s="2">
        <v>46118</v>
      </c>
      <c r="D530" t="s">
        <v>16</v>
      </c>
      <c r="E530" t="s">
        <v>15</v>
      </c>
      <c r="G530" t="s">
        <v>9</v>
      </c>
      <c r="L530">
        <f t="shared" si="41"/>
        <v>0</v>
      </c>
      <c r="M530">
        <f t="shared" si="42"/>
        <v>0</v>
      </c>
      <c r="N530">
        <f t="shared" si="43"/>
        <v>0</v>
      </c>
      <c r="O530">
        <f t="shared" si="45"/>
        <v>1</v>
      </c>
      <c r="P530" t="str">
        <f t="shared" si="44"/>
        <v/>
      </c>
      <c r="Q530">
        <f>COUNTIF('責任職　企業局→市長部局'!A:A,SQLデータ!B530)</f>
        <v>0</v>
      </c>
      <c r="R530">
        <f>COUNTIF('一般職員　企業局→市長部局'!A:F,SQLデータ!B530)</f>
        <v>0</v>
      </c>
    </row>
    <row r="531" spans="1:18" x14ac:dyDescent="0.4">
      <c r="A531" s="1">
        <v>202640000041</v>
      </c>
      <c r="B531" s="1">
        <v>1191165</v>
      </c>
      <c r="C531" s="2">
        <v>46118</v>
      </c>
      <c r="D531" t="s">
        <v>16</v>
      </c>
      <c r="E531" t="s">
        <v>11</v>
      </c>
      <c r="G531" t="s">
        <v>9</v>
      </c>
      <c r="L531">
        <f t="shared" si="41"/>
        <v>0</v>
      </c>
      <c r="M531">
        <f t="shared" si="42"/>
        <v>0</v>
      </c>
      <c r="N531">
        <f t="shared" si="43"/>
        <v>0</v>
      </c>
      <c r="O531">
        <f t="shared" si="45"/>
        <v>1</v>
      </c>
      <c r="P531" t="str">
        <f t="shared" si="44"/>
        <v/>
      </c>
      <c r="Q531">
        <f>COUNTIF('責任職　企業局→市長部局'!A:A,SQLデータ!B531)</f>
        <v>0</v>
      </c>
      <c r="R531">
        <f>COUNTIF('一般職員　企業局→市長部局'!A:F,SQLデータ!B531)</f>
        <v>0</v>
      </c>
    </row>
    <row r="532" spans="1:18" x14ac:dyDescent="0.4">
      <c r="A532" s="1">
        <v>202640000042</v>
      </c>
      <c r="B532" s="1">
        <v>1144090</v>
      </c>
      <c r="C532" s="2">
        <v>46118</v>
      </c>
      <c r="D532" t="s">
        <v>16</v>
      </c>
      <c r="E532" t="s">
        <v>11</v>
      </c>
      <c r="G532" t="s">
        <v>9</v>
      </c>
      <c r="L532">
        <f t="shared" si="41"/>
        <v>0</v>
      </c>
      <c r="M532">
        <f t="shared" si="42"/>
        <v>0</v>
      </c>
      <c r="N532">
        <f t="shared" si="43"/>
        <v>0</v>
      </c>
      <c r="O532">
        <f t="shared" si="45"/>
        <v>1</v>
      </c>
      <c r="P532" t="str">
        <f t="shared" si="44"/>
        <v/>
      </c>
      <c r="Q532">
        <f>COUNTIF('責任職　企業局→市長部局'!A:A,SQLデータ!B532)</f>
        <v>0</v>
      </c>
      <c r="R532">
        <f>COUNTIF('一般職員　企業局→市長部局'!A:F,SQLデータ!B532)</f>
        <v>0</v>
      </c>
    </row>
    <row r="533" spans="1:18" x14ac:dyDescent="0.4">
      <c r="A533" s="1">
        <v>202640000043</v>
      </c>
      <c r="B533" s="1">
        <v>1191165</v>
      </c>
      <c r="C533" s="2">
        <v>46118</v>
      </c>
      <c r="D533" t="s">
        <v>16</v>
      </c>
      <c r="E533" t="s">
        <v>11</v>
      </c>
      <c r="G533" t="s">
        <v>9</v>
      </c>
      <c r="L533">
        <f t="shared" si="41"/>
        <v>0</v>
      </c>
      <c r="M533">
        <f t="shared" si="42"/>
        <v>0</v>
      </c>
      <c r="N533">
        <f t="shared" si="43"/>
        <v>0</v>
      </c>
      <c r="O533">
        <f t="shared" si="45"/>
        <v>1</v>
      </c>
      <c r="P533" t="str">
        <f t="shared" si="44"/>
        <v/>
      </c>
      <c r="Q533">
        <f>COUNTIF('責任職　企業局→市長部局'!A:A,SQLデータ!B533)</f>
        <v>0</v>
      </c>
      <c r="R533">
        <f>COUNTIF('一般職員　企業局→市長部局'!A:F,SQLデータ!B533)</f>
        <v>0</v>
      </c>
    </row>
    <row r="534" spans="1:18" x14ac:dyDescent="0.4">
      <c r="A534" s="1">
        <v>202640000046</v>
      </c>
      <c r="B534" s="1">
        <v>1211252</v>
      </c>
      <c r="C534" s="2">
        <v>46118</v>
      </c>
      <c r="D534" t="s">
        <v>16</v>
      </c>
      <c r="E534" t="s">
        <v>11</v>
      </c>
      <c r="G534" t="s">
        <v>9</v>
      </c>
      <c r="L534">
        <f t="shared" si="41"/>
        <v>0</v>
      </c>
      <c r="M534">
        <f t="shared" si="42"/>
        <v>0</v>
      </c>
      <c r="N534">
        <f t="shared" si="43"/>
        <v>0</v>
      </c>
      <c r="O534">
        <f t="shared" si="45"/>
        <v>1</v>
      </c>
      <c r="P534" t="str">
        <f t="shared" si="44"/>
        <v/>
      </c>
      <c r="Q534">
        <f>COUNTIF('責任職　企業局→市長部局'!A:A,SQLデータ!B534)</f>
        <v>0</v>
      </c>
      <c r="R534">
        <f>COUNTIF('一般職員　企業局→市長部局'!A:F,SQLデータ!B534)</f>
        <v>0</v>
      </c>
    </row>
    <row r="535" spans="1:18" x14ac:dyDescent="0.4">
      <c r="A535" s="1">
        <v>202640000047</v>
      </c>
      <c r="B535" s="1">
        <v>1201254</v>
      </c>
      <c r="C535" s="2">
        <v>46118</v>
      </c>
      <c r="D535" t="s">
        <v>16</v>
      </c>
      <c r="E535" t="s">
        <v>15</v>
      </c>
      <c r="G535" t="s">
        <v>9</v>
      </c>
      <c r="L535">
        <f t="shared" si="41"/>
        <v>0</v>
      </c>
      <c r="M535">
        <f t="shared" si="42"/>
        <v>0</v>
      </c>
      <c r="N535">
        <f t="shared" si="43"/>
        <v>0</v>
      </c>
      <c r="O535">
        <f t="shared" si="45"/>
        <v>1</v>
      </c>
      <c r="P535" t="str">
        <f t="shared" si="44"/>
        <v/>
      </c>
      <c r="Q535">
        <f>COUNTIF('責任職　企業局→市長部局'!A:A,SQLデータ!B535)</f>
        <v>0</v>
      </c>
      <c r="R535">
        <f>COUNTIF('一般職員　企業局→市長部局'!A:F,SQLデータ!B535)</f>
        <v>0</v>
      </c>
    </row>
    <row r="536" spans="1:18" x14ac:dyDescent="0.4">
      <c r="A536" s="1">
        <v>202640000048</v>
      </c>
      <c r="B536" s="1">
        <v>1166052</v>
      </c>
      <c r="C536" s="2">
        <v>46118</v>
      </c>
      <c r="D536" t="s">
        <v>16</v>
      </c>
      <c r="E536" t="s">
        <v>10</v>
      </c>
      <c r="G536" t="s">
        <v>9</v>
      </c>
      <c r="L536">
        <f t="shared" si="41"/>
        <v>0</v>
      </c>
      <c r="M536">
        <f t="shared" si="42"/>
        <v>0</v>
      </c>
      <c r="N536">
        <f t="shared" si="43"/>
        <v>0</v>
      </c>
      <c r="O536">
        <f t="shared" si="45"/>
        <v>1</v>
      </c>
      <c r="P536" t="str">
        <f t="shared" si="44"/>
        <v/>
      </c>
      <c r="Q536">
        <f>COUNTIF('責任職　企業局→市長部局'!A:A,SQLデータ!B536)</f>
        <v>0</v>
      </c>
      <c r="R536">
        <f>COUNTIF('一般職員　企業局→市長部局'!A:F,SQLデータ!B536)</f>
        <v>0</v>
      </c>
    </row>
    <row r="537" spans="1:18" x14ac:dyDescent="0.4">
      <c r="A537" s="1">
        <v>202640000052</v>
      </c>
      <c r="B537" s="1">
        <v>1191004</v>
      </c>
      <c r="C537" s="2">
        <v>46118</v>
      </c>
      <c r="D537" t="s">
        <v>16</v>
      </c>
      <c r="E537" t="s">
        <v>11</v>
      </c>
      <c r="G537" t="s">
        <v>9</v>
      </c>
      <c r="L537">
        <f t="shared" si="41"/>
        <v>0</v>
      </c>
      <c r="M537">
        <f t="shared" si="42"/>
        <v>0</v>
      </c>
      <c r="N537">
        <f t="shared" si="43"/>
        <v>0</v>
      </c>
      <c r="O537">
        <f t="shared" si="45"/>
        <v>1</v>
      </c>
      <c r="P537" t="str">
        <f t="shared" si="44"/>
        <v/>
      </c>
      <c r="Q537">
        <f>COUNTIF('責任職　企業局→市長部局'!A:A,SQLデータ!B537)</f>
        <v>0</v>
      </c>
      <c r="R537">
        <f>COUNTIF('一般職員　企業局→市長部局'!A:F,SQLデータ!B537)</f>
        <v>0</v>
      </c>
    </row>
    <row r="538" spans="1:18" x14ac:dyDescent="0.4">
      <c r="A538" s="1">
        <v>202640000053</v>
      </c>
      <c r="B538" s="1">
        <v>1216080</v>
      </c>
      <c r="C538" s="2">
        <v>46118</v>
      </c>
      <c r="D538" t="s">
        <v>16</v>
      </c>
      <c r="E538" t="s">
        <v>15</v>
      </c>
      <c r="G538" t="s">
        <v>9</v>
      </c>
      <c r="L538">
        <f t="shared" si="41"/>
        <v>0</v>
      </c>
      <c r="M538">
        <f t="shared" si="42"/>
        <v>0</v>
      </c>
      <c r="N538">
        <f t="shared" si="43"/>
        <v>0</v>
      </c>
      <c r="O538">
        <f t="shared" si="45"/>
        <v>1</v>
      </c>
      <c r="P538" t="str">
        <f t="shared" si="44"/>
        <v/>
      </c>
      <c r="Q538">
        <f>COUNTIF('責任職　企業局→市長部局'!A:A,SQLデータ!B538)</f>
        <v>0</v>
      </c>
      <c r="R538">
        <f>COUNTIF('一般職員　企業局→市長部局'!A:F,SQLデータ!B538)</f>
        <v>0</v>
      </c>
    </row>
    <row r="539" spans="1:18" x14ac:dyDescent="0.4">
      <c r="A539" s="1">
        <v>202640000054</v>
      </c>
      <c r="B539" s="1">
        <v>1171171</v>
      </c>
      <c r="C539" s="2">
        <v>46118</v>
      </c>
      <c r="D539" t="s">
        <v>16</v>
      </c>
      <c r="E539" t="s">
        <v>10</v>
      </c>
      <c r="F539" t="s">
        <v>50</v>
      </c>
      <c r="G539" t="s">
        <v>9</v>
      </c>
      <c r="L539">
        <f t="shared" si="41"/>
        <v>0</v>
      </c>
      <c r="M539">
        <f t="shared" si="42"/>
        <v>0</v>
      </c>
      <c r="N539">
        <f t="shared" si="43"/>
        <v>0</v>
      </c>
      <c r="O539">
        <f t="shared" si="45"/>
        <v>1</v>
      </c>
      <c r="P539" t="str">
        <f t="shared" si="44"/>
        <v/>
      </c>
      <c r="Q539">
        <f>COUNTIF('責任職　企業局→市長部局'!A:A,SQLデータ!B539)</f>
        <v>1</v>
      </c>
      <c r="R539">
        <f>COUNTIF('一般職員　企業局→市長部局'!A:F,SQLデータ!B539)</f>
        <v>0</v>
      </c>
    </row>
    <row r="540" spans="1:18" x14ac:dyDescent="0.4">
      <c r="A540" s="1">
        <v>202640000055</v>
      </c>
      <c r="B540" s="1">
        <v>1211059</v>
      </c>
      <c r="C540" s="2">
        <v>46118</v>
      </c>
      <c r="D540" t="s">
        <v>16</v>
      </c>
      <c r="E540" t="s">
        <v>8</v>
      </c>
      <c r="F540" t="s">
        <v>47</v>
      </c>
      <c r="G540" t="s">
        <v>9</v>
      </c>
      <c r="L540">
        <f t="shared" si="41"/>
        <v>0</v>
      </c>
      <c r="M540">
        <f t="shared" si="42"/>
        <v>0</v>
      </c>
      <c r="N540">
        <f t="shared" si="43"/>
        <v>0</v>
      </c>
      <c r="O540">
        <f t="shared" si="45"/>
        <v>1</v>
      </c>
      <c r="P540" t="str">
        <f t="shared" si="44"/>
        <v/>
      </c>
      <c r="Q540">
        <f>COUNTIF('責任職　企業局→市長部局'!A:A,SQLデータ!B540)</f>
        <v>0</v>
      </c>
      <c r="R540">
        <f>COUNTIF('一般職員　企業局→市長部局'!A:F,SQLデータ!B540)</f>
        <v>0</v>
      </c>
    </row>
    <row r="541" spans="1:18" x14ac:dyDescent="0.4">
      <c r="A541" s="1">
        <v>202640000059</v>
      </c>
      <c r="B541" s="1">
        <v>1246042</v>
      </c>
      <c r="C541" s="2">
        <v>46119</v>
      </c>
      <c r="D541" t="s">
        <v>16</v>
      </c>
      <c r="E541" t="s">
        <v>10</v>
      </c>
      <c r="G541" t="s">
        <v>9</v>
      </c>
      <c r="L541">
        <f t="shared" si="41"/>
        <v>0</v>
      </c>
      <c r="M541">
        <f t="shared" si="42"/>
        <v>0</v>
      </c>
      <c r="N541">
        <f t="shared" si="43"/>
        <v>0</v>
      </c>
      <c r="O541">
        <f t="shared" si="45"/>
        <v>1</v>
      </c>
      <c r="P541" t="str">
        <f t="shared" si="44"/>
        <v/>
      </c>
      <c r="Q541">
        <f>COUNTIF('責任職　企業局→市長部局'!A:A,SQLデータ!B541)</f>
        <v>0</v>
      </c>
      <c r="R541">
        <f>COUNTIF('一般職員　企業局→市長部局'!A:F,SQLデータ!B541)</f>
        <v>0</v>
      </c>
    </row>
    <row r="542" spans="1:18" x14ac:dyDescent="0.4">
      <c r="A542" s="1">
        <v>202640000062</v>
      </c>
      <c r="B542" s="1">
        <v>1211388</v>
      </c>
      <c r="C542" s="2">
        <v>46119</v>
      </c>
      <c r="D542" t="s">
        <v>16</v>
      </c>
      <c r="E542" t="s">
        <v>10</v>
      </c>
      <c r="G542" t="s">
        <v>9</v>
      </c>
      <c r="L542">
        <f t="shared" si="41"/>
        <v>0</v>
      </c>
      <c r="M542">
        <f t="shared" si="42"/>
        <v>0</v>
      </c>
      <c r="N542">
        <f t="shared" si="43"/>
        <v>0</v>
      </c>
      <c r="O542">
        <f t="shared" si="45"/>
        <v>1</v>
      </c>
      <c r="P542" t="str">
        <f t="shared" si="44"/>
        <v/>
      </c>
      <c r="Q542">
        <f>COUNTIF('責任職　企業局→市長部局'!A:A,SQLデータ!B542)</f>
        <v>0</v>
      </c>
      <c r="R542">
        <f>COUNTIF('一般職員　企業局→市長部局'!A:F,SQLデータ!B542)</f>
        <v>0</v>
      </c>
    </row>
    <row r="543" spans="1:18" x14ac:dyDescent="0.4">
      <c r="A543" s="1">
        <v>202640000063</v>
      </c>
      <c r="B543" s="1">
        <v>1211119</v>
      </c>
      <c r="C543" s="2">
        <v>46128</v>
      </c>
      <c r="D543" t="s">
        <v>16</v>
      </c>
      <c r="E543" t="s">
        <v>10</v>
      </c>
      <c r="G543" t="s">
        <v>9</v>
      </c>
      <c r="L543">
        <f t="shared" si="41"/>
        <v>0</v>
      </c>
      <c r="M543">
        <f t="shared" si="42"/>
        <v>0</v>
      </c>
      <c r="N543">
        <f t="shared" si="43"/>
        <v>0</v>
      </c>
      <c r="O543">
        <f t="shared" si="45"/>
        <v>1</v>
      </c>
      <c r="P543" t="str">
        <f t="shared" si="44"/>
        <v/>
      </c>
      <c r="Q543">
        <f>COUNTIF('責任職　企業局→市長部局'!A:A,SQLデータ!B543)</f>
        <v>0</v>
      </c>
      <c r="R543">
        <f>COUNTIF('一般職員　企業局→市長部局'!A:F,SQLデータ!B543)</f>
        <v>0</v>
      </c>
    </row>
    <row r="544" spans="1:18" x14ac:dyDescent="0.4">
      <c r="A544" s="1">
        <v>202640000064</v>
      </c>
      <c r="B544" s="1">
        <v>1116040</v>
      </c>
      <c r="C544" s="2">
        <v>46119</v>
      </c>
      <c r="D544" t="s">
        <v>16</v>
      </c>
      <c r="E544" t="s">
        <v>8</v>
      </c>
      <c r="F544" t="s">
        <v>47</v>
      </c>
      <c r="G544" t="s">
        <v>9</v>
      </c>
      <c r="L544">
        <f t="shared" si="41"/>
        <v>0</v>
      </c>
      <c r="M544">
        <f t="shared" si="42"/>
        <v>0</v>
      </c>
      <c r="N544">
        <f t="shared" si="43"/>
        <v>0</v>
      </c>
      <c r="O544">
        <f t="shared" si="45"/>
        <v>1</v>
      </c>
      <c r="P544" t="str">
        <f t="shared" si="44"/>
        <v/>
      </c>
      <c r="Q544">
        <f>COUNTIF('責任職　企業局→市長部局'!A:A,SQLデータ!B544)</f>
        <v>0</v>
      </c>
      <c r="R544">
        <f>COUNTIF('一般職員　企業局→市長部局'!A:F,SQLデータ!B544)</f>
        <v>0</v>
      </c>
    </row>
    <row r="545" spans="1:18" x14ac:dyDescent="0.4">
      <c r="A545" s="1">
        <v>202640000066</v>
      </c>
      <c r="B545" s="1">
        <v>1132506</v>
      </c>
      <c r="C545" s="2">
        <v>46119</v>
      </c>
      <c r="D545" t="s">
        <v>16</v>
      </c>
      <c r="E545" t="s">
        <v>8</v>
      </c>
      <c r="F545" t="s">
        <v>47</v>
      </c>
      <c r="G545" t="s">
        <v>9</v>
      </c>
      <c r="L545">
        <f t="shared" si="41"/>
        <v>0</v>
      </c>
      <c r="M545">
        <f t="shared" si="42"/>
        <v>0</v>
      </c>
      <c r="N545">
        <f t="shared" si="43"/>
        <v>0</v>
      </c>
      <c r="O545">
        <f t="shared" si="45"/>
        <v>1</v>
      </c>
      <c r="P545" t="str">
        <f t="shared" si="44"/>
        <v/>
      </c>
      <c r="Q545">
        <f>COUNTIF('責任職　企業局→市長部局'!A:A,SQLデータ!B545)</f>
        <v>0</v>
      </c>
      <c r="R545">
        <f>COUNTIF('一般職員　企業局→市長部局'!A:F,SQLデータ!B545)</f>
        <v>0</v>
      </c>
    </row>
    <row r="546" spans="1:18" x14ac:dyDescent="0.4">
      <c r="A546" s="1">
        <v>202640000067</v>
      </c>
      <c r="B546" s="1">
        <v>974090</v>
      </c>
      <c r="C546" s="2">
        <v>46119</v>
      </c>
      <c r="D546" t="s">
        <v>16</v>
      </c>
      <c r="E546" t="s">
        <v>11</v>
      </c>
      <c r="G546" t="s">
        <v>9</v>
      </c>
      <c r="L546">
        <f t="shared" si="41"/>
        <v>0</v>
      </c>
      <c r="M546">
        <f t="shared" si="42"/>
        <v>0</v>
      </c>
      <c r="N546">
        <f t="shared" si="43"/>
        <v>0</v>
      </c>
      <c r="O546">
        <f t="shared" si="45"/>
        <v>1</v>
      </c>
      <c r="P546" t="str">
        <f t="shared" si="44"/>
        <v/>
      </c>
      <c r="Q546">
        <f>COUNTIF('責任職　企業局→市長部局'!A:A,SQLデータ!B546)</f>
        <v>0</v>
      </c>
      <c r="R546">
        <f>COUNTIF('一般職員　企業局→市長部局'!A:F,SQLデータ!B546)</f>
        <v>0</v>
      </c>
    </row>
    <row r="547" spans="1:18" x14ac:dyDescent="0.4">
      <c r="A547" s="1">
        <v>202640000068</v>
      </c>
      <c r="B547" s="1">
        <v>1201264</v>
      </c>
      <c r="C547" s="2">
        <v>46119</v>
      </c>
      <c r="D547" t="s">
        <v>16</v>
      </c>
      <c r="E547" t="s">
        <v>11</v>
      </c>
      <c r="G547" t="s">
        <v>9</v>
      </c>
      <c r="L547">
        <f t="shared" si="41"/>
        <v>0</v>
      </c>
      <c r="M547">
        <f t="shared" si="42"/>
        <v>0</v>
      </c>
      <c r="N547">
        <f t="shared" si="43"/>
        <v>0</v>
      </c>
      <c r="O547">
        <f t="shared" si="45"/>
        <v>1</v>
      </c>
      <c r="P547" t="str">
        <f t="shared" si="44"/>
        <v/>
      </c>
      <c r="Q547">
        <f>COUNTIF('責任職　企業局→市長部局'!A:A,SQLデータ!B547)</f>
        <v>0</v>
      </c>
      <c r="R547">
        <f>COUNTIF('一般職員　企業局→市長部局'!A:F,SQLデータ!B547)</f>
        <v>0</v>
      </c>
    </row>
    <row r="548" spans="1:18" x14ac:dyDescent="0.4">
      <c r="A548" s="1">
        <v>202640000069</v>
      </c>
      <c r="B548" s="1">
        <v>1253010</v>
      </c>
      <c r="C548" s="2">
        <v>46119</v>
      </c>
      <c r="D548" t="s">
        <v>16</v>
      </c>
      <c r="E548" t="s">
        <v>8</v>
      </c>
      <c r="F548" t="s">
        <v>47</v>
      </c>
      <c r="G548" t="s">
        <v>9</v>
      </c>
      <c r="L548">
        <f t="shared" si="41"/>
        <v>0</v>
      </c>
      <c r="M548">
        <f t="shared" si="42"/>
        <v>0</v>
      </c>
      <c r="N548">
        <f t="shared" si="43"/>
        <v>0</v>
      </c>
      <c r="O548">
        <f t="shared" si="45"/>
        <v>1</v>
      </c>
      <c r="P548" t="str">
        <f t="shared" si="44"/>
        <v/>
      </c>
      <c r="Q548">
        <f>COUNTIF('責任職　企業局→市長部局'!A:A,SQLデータ!B548)</f>
        <v>0</v>
      </c>
      <c r="R548">
        <f>COUNTIF('一般職員　企業局→市長部局'!A:F,SQLデータ!B548)</f>
        <v>0</v>
      </c>
    </row>
    <row r="549" spans="1:18" x14ac:dyDescent="0.4">
      <c r="A549" s="1">
        <v>202640000070</v>
      </c>
      <c r="B549" s="1">
        <v>1206088</v>
      </c>
      <c r="C549" s="2">
        <v>46119</v>
      </c>
      <c r="D549" t="s">
        <v>16</v>
      </c>
      <c r="E549" t="s">
        <v>8</v>
      </c>
      <c r="F549" t="s">
        <v>47</v>
      </c>
      <c r="G549" t="s">
        <v>9</v>
      </c>
      <c r="L549">
        <f t="shared" si="41"/>
        <v>0</v>
      </c>
      <c r="M549">
        <f t="shared" si="42"/>
        <v>0</v>
      </c>
      <c r="N549">
        <f t="shared" si="43"/>
        <v>0</v>
      </c>
      <c r="O549">
        <f t="shared" si="45"/>
        <v>1</v>
      </c>
      <c r="P549" t="str">
        <f t="shared" si="44"/>
        <v/>
      </c>
      <c r="Q549">
        <f>COUNTIF('責任職　企業局→市長部局'!A:A,SQLデータ!B549)</f>
        <v>0</v>
      </c>
      <c r="R549">
        <f>COUNTIF('一般職員　企業局→市長部局'!A:F,SQLデータ!B549)</f>
        <v>0</v>
      </c>
    </row>
    <row r="550" spans="1:18" x14ac:dyDescent="0.4">
      <c r="A550" s="1">
        <v>202640000071</v>
      </c>
      <c r="B550" s="1">
        <v>1202303</v>
      </c>
      <c r="C550" s="2">
        <v>46119</v>
      </c>
      <c r="D550" t="s">
        <v>16</v>
      </c>
      <c r="E550" t="s">
        <v>11</v>
      </c>
      <c r="G550" t="s">
        <v>9</v>
      </c>
      <c r="L550">
        <f t="shared" si="41"/>
        <v>0</v>
      </c>
      <c r="M550">
        <f t="shared" si="42"/>
        <v>0</v>
      </c>
      <c r="N550">
        <f t="shared" si="43"/>
        <v>0</v>
      </c>
      <c r="O550">
        <f t="shared" si="45"/>
        <v>1</v>
      </c>
      <c r="P550" t="str">
        <f t="shared" si="44"/>
        <v/>
      </c>
      <c r="Q550">
        <f>COUNTIF('責任職　企業局→市長部局'!A:A,SQLデータ!B550)</f>
        <v>0</v>
      </c>
      <c r="R550">
        <f>COUNTIF('一般職員　企業局→市長部局'!A:F,SQLデータ!B550)</f>
        <v>0</v>
      </c>
    </row>
    <row r="551" spans="1:18" x14ac:dyDescent="0.4">
      <c r="A551" s="1">
        <v>202640000074</v>
      </c>
      <c r="B551" s="1">
        <v>1032072</v>
      </c>
      <c r="C551" s="2">
        <v>46120</v>
      </c>
      <c r="D551" t="s">
        <v>16</v>
      </c>
      <c r="E551" t="s">
        <v>8</v>
      </c>
      <c r="F551" t="s">
        <v>50</v>
      </c>
      <c r="G551" t="s">
        <v>9</v>
      </c>
      <c r="L551">
        <f t="shared" si="41"/>
        <v>0</v>
      </c>
      <c r="M551">
        <f t="shared" si="42"/>
        <v>0</v>
      </c>
      <c r="N551">
        <f t="shared" si="43"/>
        <v>0</v>
      </c>
      <c r="O551">
        <f t="shared" si="45"/>
        <v>1</v>
      </c>
      <c r="P551" t="str">
        <f t="shared" si="44"/>
        <v/>
      </c>
      <c r="Q551">
        <f>COUNTIF('責任職　企業局→市長部局'!A:A,SQLデータ!B551)</f>
        <v>0</v>
      </c>
      <c r="R551">
        <f>COUNTIF('一般職員　企業局→市長部局'!A:F,SQLデータ!B551)</f>
        <v>0</v>
      </c>
    </row>
    <row r="552" spans="1:18" x14ac:dyDescent="0.4">
      <c r="A552" s="1">
        <v>202640000075</v>
      </c>
      <c r="B552" s="1">
        <v>1252098</v>
      </c>
      <c r="C552" s="2">
        <v>46120</v>
      </c>
      <c r="D552" t="s">
        <v>16</v>
      </c>
      <c r="E552" t="s">
        <v>11</v>
      </c>
      <c r="G552" t="s">
        <v>9</v>
      </c>
      <c r="L552">
        <f t="shared" si="41"/>
        <v>0</v>
      </c>
      <c r="M552">
        <f t="shared" si="42"/>
        <v>0</v>
      </c>
      <c r="N552">
        <f t="shared" si="43"/>
        <v>0</v>
      </c>
      <c r="O552">
        <f t="shared" si="45"/>
        <v>1</v>
      </c>
      <c r="P552" t="str">
        <f t="shared" si="44"/>
        <v/>
      </c>
      <c r="Q552">
        <f>COUNTIF('責任職　企業局→市長部局'!A:A,SQLデータ!B552)</f>
        <v>0</v>
      </c>
      <c r="R552">
        <f>COUNTIF('一般職員　企業局→市長部局'!A:F,SQLデータ!B552)</f>
        <v>0</v>
      </c>
    </row>
    <row r="553" spans="1:18" x14ac:dyDescent="0.4">
      <c r="A553" s="1">
        <v>202640000080</v>
      </c>
      <c r="B553" s="1">
        <v>1226065</v>
      </c>
      <c r="C553" s="2">
        <v>46120</v>
      </c>
      <c r="D553" t="s">
        <v>16</v>
      </c>
      <c r="E553" t="s">
        <v>10</v>
      </c>
      <c r="G553" t="s">
        <v>9</v>
      </c>
      <c r="L553">
        <f t="shared" si="41"/>
        <v>0</v>
      </c>
      <c r="M553">
        <f t="shared" si="42"/>
        <v>0</v>
      </c>
      <c r="N553">
        <f t="shared" si="43"/>
        <v>0</v>
      </c>
      <c r="O553">
        <f t="shared" si="45"/>
        <v>1</v>
      </c>
      <c r="P553" t="str">
        <f t="shared" si="44"/>
        <v/>
      </c>
      <c r="Q553">
        <f>COUNTIF('責任職　企業局→市長部局'!A:A,SQLデータ!B553)</f>
        <v>0</v>
      </c>
      <c r="R553">
        <f>COUNTIF('一般職員　企業局→市長部局'!A:F,SQLデータ!B553)</f>
        <v>0</v>
      </c>
    </row>
    <row r="554" spans="1:18" x14ac:dyDescent="0.4">
      <c r="A554" s="1">
        <v>202640000081</v>
      </c>
      <c r="B554" s="1">
        <v>1221521</v>
      </c>
      <c r="C554" s="2">
        <v>46120</v>
      </c>
      <c r="D554" t="s">
        <v>16</v>
      </c>
      <c r="E554" t="s">
        <v>15</v>
      </c>
      <c r="G554" t="s">
        <v>9</v>
      </c>
      <c r="L554">
        <f t="shared" si="41"/>
        <v>0</v>
      </c>
      <c r="M554">
        <f t="shared" si="42"/>
        <v>0</v>
      </c>
      <c r="N554">
        <f t="shared" si="43"/>
        <v>0</v>
      </c>
      <c r="O554">
        <f t="shared" si="45"/>
        <v>1</v>
      </c>
      <c r="P554" t="str">
        <f t="shared" si="44"/>
        <v/>
      </c>
      <c r="Q554">
        <f>COUNTIF('責任職　企業局→市長部局'!A:A,SQLデータ!B554)</f>
        <v>0</v>
      </c>
      <c r="R554">
        <f>COUNTIF('一般職員　企業局→市長部局'!A:F,SQLデータ!B554)</f>
        <v>0</v>
      </c>
    </row>
    <row r="555" spans="1:18" x14ac:dyDescent="0.4">
      <c r="A555" s="1">
        <v>202640000082</v>
      </c>
      <c r="B555" s="1">
        <v>1246035</v>
      </c>
      <c r="C555" s="2">
        <v>46121</v>
      </c>
      <c r="D555" t="s">
        <v>16</v>
      </c>
      <c r="E555" t="s">
        <v>8</v>
      </c>
      <c r="F555" t="s">
        <v>47</v>
      </c>
      <c r="G555" t="s">
        <v>9</v>
      </c>
      <c r="L555">
        <f t="shared" si="41"/>
        <v>0</v>
      </c>
      <c r="M555">
        <f t="shared" si="42"/>
        <v>0</v>
      </c>
      <c r="N555">
        <f t="shared" si="43"/>
        <v>0</v>
      </c>
      <c r="O555">
        <f t="shared" si="45"/>
        <v>1</v>
      </c>
      <c r="P555" t="str">
        <f t="shared" si="44"/>
        <v/>
      </c>
      <c r="Q555">
        <f>COUNTIF('責任職　企業局→市長部局'!A:A,SQLデータ!B555)</f>
        <v>0</v>
      </c>
      <c r="R555">
        <f>COUNTIF('一般職員　企業局→市長部局'!A:F,SQLデータ!B555)</f>
        <v>0</v>
      </c>
    </row>
    <row r="556" spans="1:18" x14ac:dyDescent="0.4">
      <c r="A556" s="1">
        <v>202640000083</v>
      </c>
      <c r="B556" s="1">
        <v>1232116</v>
      </c>
      <c r="C556" s="2">
        <v>46121</v>
      </c>
      <c r="D556" t="s">
        <v>16</v>
      </c>
      <c r="E556" t="s">
        <v>8</v>
      </c>
      <c r="F556" t="s">
        <v>47</v>
      </c>
      <c r="G556" t="s">
        <v>9</v>
      </c>
      <c r="L556">
        <f t="shared" si="41"/>
        <v>0</v>
      </c>
      <c r="M556">
        <f t="shared" si="42"/>
        <v>0</v>
      </c>
      <c r="N556">
        <f t="shared" si="43"/>
        <v>0</v>
      </c>
      <c r="O556">
        <f t="shared" si="45"/>
        <v>1</v>
      </c>
      <c r="P556" t="str">
        <f t="shared" si="44"/>
        <v/>
      </c>
      <c r="Q556">
        <f>COUNTIF('責任職　企業局→市長部局'!A:A,SQLデータ!B556)</f>
        <v>0</v>
      </c>
      <c r="R556">
        <f>COUNTIF('一般職員　企業局→市長部局'!A:F,SQLデータ!B556)</f>
        <v>0</v>
      </c>
    </row>
    <row r="557" spans="1:18" x14ac:dyDescent="0.4">
      <c r="A557" s="1">
        <v>202640000085</v>
      </c>
      <c r="B557" s="1">
        <v>1161432</v>
      </c>
      <c r="C557" s="2">
        <v>46121</v>
      </c>
      <c r="D557" t="s">
        <v>16</v>
      </c>
      <c r="E557" t="s">
        <v>11</v>
      </c>
      <c r="G557" t="s">
        <v>9</v>
      </c>
      <c r="L557">
        <f t="shared" si="41"/>
        <v>0</v>
      </c>
      <c r="M557">
        <f t="shared" si="42"/>
        <v>0</v>
      </c>
      <c r="N557">
        <f t="shared" si="43"/>
        <v>0</v>
      </c>
      <c r="O557">
        <f t="shared" si="45"/>
        <v>1</v>
      </c>
      <c r="P557" t="str">
        <f t="shared" si="44"/>
        <v/>
      </c>
      <c r="Q557">
        <f>COUNTIF('責任職　企業局→市長部局'!A:A,SQLデータ!B557)</f>
        <v>0</v>
      </c>
      <c r="R557">
        <f>COUNTIF('一般職員　企業局→市長部局'!A:F,SQLデータ!B557)</f>
        <v>0</v>
      </c>
    </row>
    <row r="558" spans="1:18" x14ac:dyDescent="0.4">
      <c r="A558" s="1">
        <v>202640000088</v>
      </c>
      <c r="B558" s="1">
        <v>1121144</v>
      </c>
      <c r="C558" s="2">
        <v>46121</v>
      </c>
      <c r="D558" t="s">
        <v>16</v>
      </c>
      <c r="E558" t="s">
        <v>11</v>
      </c>
      <c r="G558" t="s">
        <v>9</v>
      </c>
      <c r="L558">
        <f t="shared" si="41"/>
        <v>0</v>
      </c>
      <c r="M558">
        <f t="shared" si="42"/>
        <v>0</v>
      </c>
      <c r="N558">
        <f t="shared" si="43"/>
        <v>0</v>
      </c>
      <c r="O558">
        <f t="shared" si="45"/>
        <v>1</v>
      </c>
      <c r="P558" t="str">
        <f t="shared" si="44"/>
        <v/>
      </c>
      <c r="Q558">
        <f>COUNTIF('責任職　企業局→市長部局'!A:A,SQLデータ!B558)</f>
        <v>0</v>
      </c>
      <c r="R558">
        <f>COUNTIF('一般職員　企業局→市長部局'!A:F,SQLデータ!B558)</f>
        <v>0</v>
      </c>
    </row>
    <row r="559" spans="1:18" x14ac:dyDescent="0.4">
      <c r="A559" s="1">
        <v>202640000089</v>
      </c>
      <c r="B559" s="1">
        <v>1212501</v>
      </c>
      <c r="C559" s="2">
        <v>46127</v>
      </c>
      <c r="D559" t="s">
        <v>16</v>
      </c>
      <c r="E559" t="s">
        <v>10</v>
      </c>
      <c r="G559" t="s">
        <v>9</v>
      </c>
      <c r="L559">
        <f t="shared" si="41"/>
        <v>0</v>
      </c>
      <c r="M559">
        <f t="shared" si="42"/>
        <v>0</v>
      </c>
      <c r="N559">
        <f t="shared" si="43"/>
        <v>0</v>
      </c>
      <c r="O559">
        <f t="shared" si="45"/>
        <v>1</v>
      </c>
      <c r="P559" t="str">
        <f t="shared" si="44"/>
        <v/>
      </c>
      <c r="Q559">
        <f>COUNTIF('責任職　企業局→市長部局'!A:A,SQLデータ!B559)</f>
        <v>0</v>
      </c>
      <c r="R559">
        <f>COUNTIF('一般職員　企業局→市長部局'!A:F,SQLデータ!B559)</f>
        <v>0</v>
      </c>
    </row>
    <row r="560" spans="1:18" x14ac:dyDescent="0.4">
      <c r="A560" s="1">
        <v>202640000090</v>
      </c>
      <c r="B560" s="1">
        <v>1156016</v>
      </c>
      <c r="C560" s="2">
        <v>46122</v>
      </c>
      <c r="D560" t="s">
        <v>16</v>
      </c>
      <c r="E560" t="s">
        <v>8</v>
      </c>
      <c r="F560" t="s">
        <v>47</v>
      </c>
      <c r="G560" t="s">
        <v>9</v>
      </c>
      <c r="L560">
        <f t="shared" si="41"/>
        <v>0</v>
      </c>
      <c r="M560">
        <f t="shared" si="42"/>
        <v>0</v>
      </c>
      <c r="N560">
        <f t="shared" si="43"/>
        <v>0</v>
      </c>
      <c r="O560">
        <f t="shared" si="45"/>
        <v>1</v>
      </c>
      <c r="P560" t="str">
        <f t="shared" si="44"/>
        <v/>
      </c>
      <c r="Q560">
        <f>COUNTIF('責任職　企業局→市長部局'!A:A,SQLデータ!B560)</f>
        <v>0</v>
      </c>
      <c r="R560">
        <f>COUNTIF('一般職員　企業局→市長部局'!A:F,SQLデータ!B560)</f>
        <v>0</v>
      </c>
    </row>
    <row r="561" spans="1:18" x14ac:dyDescent="0.4">
      <c r="A561" s="1">
        <v>202640000091</v>
      </c>
      <c r="B561" s="1">
        <v>1166100</v>
      </c>
      <c r="C561" s="2">
        <v>46122</v>
      </c>
      <c r="D561" t="s">
        <v>16</v>
      </c>
      <c r="E561" t="s">
        <v>8</v>
      </c>
      <c r="F561" t="s">
        <v>47</v>
      </c>
      <c r="G561" t="s">
        <v>9</v>
      </c>
      <c r="L561">
        <f t="shared" si="41"/>
        <v>0</v>
      </c>
      <c r="M561">
        <f t="shared" si="42"/>
        <v>0</v>
      </c>
      <c r="N561">
        <f t="shared" si="43"/>
        <v>0</v>
      </c>
      <c r="O561">
        <f t="shared" si="45"/>
        <v>1</v>
      </c>
      <c r="P561" t="str">
        <f t="shared" si="44"/>
        <v/>
      </c>
      <c r="Q561">
        <f>COUNTIF('責任職　企業局→市長部局'!A:A,SQLデータ!B561)</f>
        <v>0</v>
      </c>
      <c r="R561">
        <f>COUNTIF('一般職員　企業局→市長部局'!A:F,SQLデータ!B561)</f>
        <v>0</v>
      </c>
    </row>
    <row r="562" spans="1:18" x14ac:dyDescent="0.4">
      <c r="A562" s="1">
        <v>202640000093</v>
      </c>
      <c r="B562" s="1">
        <v>1222013</v>
      </c>
      <c r="C562" s="2">
        <v>46122</v>
      </c>
      <c r="D562" t="s">
        <v>16</v>
      </c>
      <c r="E562" t="s">
        <v>15</v>
      </c>
      <c r="G562" t="s">
        <v>9</v>
      </c>
      <c r="L562">
        <f t="shared" si="41"/>
        <v>0</v>
      </c>
      <c r="M562">
        <f t="shared" si="42"/>
        <v>0</v>
      </c>
      <c r="N562">
        <f t="shared" si="43"/>
        <v>0</v>
      </c>
      <c r="O562">
        <f t="shared" si="45"/>
        <v>1</v>
      </c>
      <c r="P562" t="str">
        <f t="shared" si="44"/>
        <v/>
      </c>
      <c r="Q562">
        <f>COUNTIF('責任職　企業局→市長部局'!A:A,SQLデータ!B562)</f>
        <v>0</v>
      </c>
      <c r="R562">
        <f>COUNTIF('一般職員　企業局→市長部局'!A:F,SQLデータ!B562)</f>
        <v>0</v>
      </c>
    </row>
    <row r="563" spans="1:18" x14ac:dyDescent="0.4">
      <c r="A563" s="1">
        <v>202640000096</v>
      </c>
      <c r="B563" s="1">
        <v>1171473</v>
      </c>
      <c r="C563" s="2">
        <v>46122</v>
      </c>
      <c r="D563" t="s">
        <v>16</v>
      </c>
      <c r="E563" t="s">
        <v>8</v>
      </c>
      <c r="F563" t="s">
        <v>47</v>
      </c>
      <c r="G563" t="s">
        <v>9</v>
      </c>
      <c r="L563">
        <f t="shared" si="41"/>
        <v>0</v>
      </c>
      <c r="M563">
        <f t="shared" si="42"/>
        <v>0</v>
      </c>
      <c r="N563">
        <f t="shared" si="43"/>
        <v>0</v>
      </c>
      <c r="O563">
        <f t="shared" si="45"/>
        <v>1</v>
      </c>
      <c r="P563" t="str">
        <f t="shared" si="44"/>
        <v/>
      </c>
      <c r="Q563">
        <f>COUNTIF('責任職　企業局→市長部局'!A:A,SQLデータ!B563)</f>
        <v>0</v>
      </c>
      <c r="R563">
        <f>COUNTIF('一般職員　企業局→市長部局'!A:F,SQLデータ!B563)</f>
        <v>0</v>
      </c>
    </row>
    <row r="564" spans="1:18" x14ac:dyDescent="0.4">
      <c r="A564" s="1">
        <v>202640000098</v>
      </c>
      <c r="B564" s="1">
        <v>1131217</v>
      </c>
      <c r="C564" s="2">
        <v>46122</v>
      </c>
      <c r="D564" t="s">
        <v>16</v>
      </c>
      <c r="E564" t="s">
        <v>11</v>
      </c>
      <c r="G564" t="s">
        <v>9</v>
      </c>
      <c r="L564">
        <f t="shared" si="41"/>
        <v>0</v>
      </c>
      <c r="M564">
        <f t="shared" si="42"/>
        <v>0</v>
      </c>
      <c r="N564">
        <f t="shared" si="43"/>
        <v>0</v>
      </c>
      <c r="O564">
        <f t="shared" si="45"/>
        <v>1</v>
      </c>
      <c r="P564" t="str">
        <f t="shared" si="44"/>
        <v/>
      </c>
      <c r="Q564">
        <f>COUNTIF('責任職　企業局→市長部局'!A:A,SQLデータ!B564)</f>
        <v>0</v>
      </c>
      <c r="R564">
        <f>COUNTIF('一般職員　企業局→市長部局'!A:F,SQLデータ!B564)</f>
        <v>0</v>
      </c>
    </row>
    <row r="565" spans="1:18" x14ac:dyDescent="0.4">
      <c r="A565" s="1">
        <v>202640000099</v>
      </c>
      <c r="B565" s="1">
        <v>950644</v>
      </c>
      <c r="C565" s="2">
        <v>46122</v>
      </c>
      <c r="D565" t="s">
        <v>16</v>
      </c>
      <c r="E565" t="s">
        <v>11</v>
      </c>
      <c r="G565" t="s">
        <v>9</v>
      </c>
      <c r="L565">
        <f t="shared" si="41"/>
        <v>0</v>
      </c>
      <c r="M565">
        <f t="shared" si="42"/>
        <v>0</v>
      </c>
      <c r="N565">
        <f t="shared" si="43"/>
        <v>0</v>
      </c>
      <c r="O565">
        <f t="shared" si="45"/>
        <v>1</v>
      </c>
      <c r="P565" t="str">
        <f t="shared" si="44"/>
        <v/>
      </c>
      <c r="Q565">
        <f>COUNTIF('責任職　企業局→市長部局'!A:A,SQLデータ!B565)</f>
        <v>0</v>
      </c>
      <c r="R565">
        <f>COUNTIF('一般職員　企業局→市長部局'!A:F,SQLデータ!B565)</f>
        <v>0</v>
      </c>
    </row>
    <row r="566" spans="1:18" x14ac:dyDescent="0.4">
      <c r="A566" s="1">
        <v>202640000100</v>
      </c>
      <c r="B566" s="1">
        <v>1206116</v>
      </c>
      <c r="C566" s="2">
        <v>46123</v>
      </c>
      <c r="D566" t="s">
        <v>16</v>
      </c>
      <c r="E566" t="s">
        <v>10</v>
      </c>
      <c r="G566" t="s">
        <v>9</v>
      </c>
      <c r="L566">
        <f t="shared" si="41"/>
        <v>0</v>
      </c>
      <c r="M566">
        <f t="shared" si="42"/>
        <v>0</v>
      </c>
      <c r="N566">
        <f t="shared" si="43"/>
        <v>0</v>
      </c>
      <c r="O566">
        <f t="shared" si="45"/>
        <v>1</v>
      </c>
      <c r="P566" t="str">
        <f t="shared" si="44"/>
        <v/>
      </c>
      <c r="Q566">
        <f>COUNTIF('責任職　企業局→市長部局'!A:A,SQLデータ!B566)</f>
        <v>0</v>
      </c>
      <c r="R566">
        <f>COUNTIF('一般職員　企業局→市長部局'!A:F,SQLデータ!B566)</f>
        <v>0</v>
      </c>
    </row>
    <row r="567" spans="1:18" x14ac:dyDescent="0.4">
      <c r="A567" s="1">
        <v>202640000102</v>
      </c>
      <c r="B567" s="1">
        <v>1226102</v>
      </c>
      <c r="C567" s="2">
        <v>46123</v>
      </c>
      <c r="D567" t="s">
        <v>16</v>
      </c>
      <c r="E567" t="s">
        <v>10</v>
      </c>
      <c r="G567" t="s">
        <v>9</v>
      </c>
      <c r="L567">
        <f t="shared" si="41"/>
        <v>0</v>
      </c>
      <c r="M567">
        <f t="shared" si="42"/>
        <v>0</v>
      </c>
      <c r="N567">
        <f t="shared" si="43"/>
        <v>0</v>
      </c>
      <c r="O567">
        <f t="shared" si="45"/>
        <v>1</v>
      </c>
      <c r="P567" t="str">
        <f t="shared" si="44"/>
        <v/>
      </c>
      <c r="Q567">
        <f>COUNTIF('責任職　企業局→市長部局'!A:A,SQLデータ!B567)</f>
        <v>0</v>
      </c>
      <c r="R567">
        <f>COUNTIF('一般職員　企業局→市長部局'!A:F,SQLデータ!B567)</f>
        <v>0</v>
      </c>
    </row>
    <row r="568" spans="1:18" x14ac:dyDescent="0.4">
      <c r="A568" s="1">
        <v>202640000103</v>
      </c>
      <c r="B568" s="1">
        <v>1146090</v>
      </c>
      <c r="C568" s="2">
        <v>46124</v>
      </c>
      <c r="D568" t="s">
        <v>16</v>
      </c>
      <c r="E568" t="s">
        <v>8</v>
      </c>
      <c r="F568" t="s">
        <v>47</v>
      </c>
      <c r="G568" t="s">
        <v>9</v>
      </c>
      <c r="L568">
        <f t="shared" si="41"/>
        <v>0</v>
      </c>
      <c r="M568">
        <f t="shared" si="42"/>
        <v>0</v>
      </c>
      <c r="N568">
        <f t="shared" si="43"/>
        <v>0</v>
      </c>
      <c r="O568">
        <f t="shared" si="45"/>
        <v>1</v>
      </c>
      <c r="P568" t="str">
        <f t="shared" si="44"/>
        <v/>
      </c>
      <c r="Q568">
        <f>COUNTIF('責任職　企業局→市長部局'!A:A,SQLデータ!B568)</f>
        <v>0</v>
      </c>
      <c r="R568">
        <f>COUNTIF('一般職員　企業局→市長部局'!A:F,SQLデータ!B568)</f>
        <v>0</v>
      </c>
    </row>
    <row r="569" spans="1:18" x14ac:dyDescent="0.4">
      <c r="A569" s="1">
        <v>202640000104</v>
      </c>
      <c r="B569" s="1">
        <v>1181061</v>
      </c>
      <c r="C569" s="2">
        <v>46125</v>
      </c>
      <c r="D569" t="s">
        <v>16</v>
      </c>
      <c r="E569" t="s">
        <v>11</v>
      </c>
      <c r="G569" t="s">
        <v>9</v>
      </c>
      <c r="L569">
        <f t="shared" si="41"/>
        <v>0</v>
      </c>
      <c r="M569">
        <f t="shared" si="42"/>
        <v>0</v>
      </c>
      <c r="N569">
        <f t="shared" si="43"/>
        <v>0</v>
      </c>
      <c r="O569">
        <f t="shared" si="45"/>
        <v>1</v>
      </c>
      <c r="P569" t="str">
        <f t="shared" si="44"/>
        <v/>
      </c>
      <c r="Q569">
        <f>COUNTIF('責任職　企業局→市長部局'!A:A,SQLデータ!B569)</f>
        <v>0</v>
      </c>
      <c r="R569">
        <f>COUNTIF('一般職員　企業局→市長部局'!A:F,SQLデータ!B569)</f>
        <v>0</v>
      </c>
    </row>
    <row r="570" spans="1:18" x14ac:dyDescent="0.4">
      <c r="A570" s="1">
        <v>202640000105</v>
      </c>
      <c r="B570" s="1">
        <v>1213023</v>
      </c>
      <c r="C570" s="2">
        <v>46125</v>
      </c>
      <c r="D570" t="s">
        <v>16</v>
      </c>
      <c r="E570" t="s">
        <v>11</v>
      </c>
      <c r="G570" t="s">
        <v>9</v>
      </c>
      <c r="L570">
        <f t="shared" si="41"/>
        <v>0</v>
      </c>
      <c r="M570">
        <f t="shared" si="42"/>
        <v>0</v>
      </c>
      <c r="N570">
        <f t="shared" si="43"/>
        <v>0</v>
      </c>
      <c r="O570">
        <f t="shared" si="45"/>
        <v>1</v>
      </c>
      <c r="P570" t="str">
        <f t="shared" si="44"/>
        <v/>
      </c>
      <c r="Q570">
        <f>COUNTIF('責任職　企業局→市長部局'!A:A,SQLデータ!B570)</f>
        <v>0</v>
      </c>
      <c r="R570">
        <f>COUNTIF('一般職員　企業局→市長部局'!A:F,SQLデータ!B570)</f>
        <v>0</v>
      </c>
    </row>
    <row r="571" spans="1:18" x14ac:dyDescent="0.4">
      <c r="A571" s="1">
        <v>202640000106</v>
      </c>
      <c r="B571" s="1">
        <v>1161296</v>
      </c>
      <c r="C571" s="2">
        <v>46125</v>
      </c>
      <c r="D571" t="s">
        <v>16</v>
      </c>
      <c r="E571" t="s">
        <v>11</v>
      </c>
      <c r="G571" t="s">
        <v>9</v>
      </c>
      <c r="L571">
        <f t="shared" si="41"/>
        <v>0</v>
      </c>
      <c r="M571">
        <f t="shared" si="42"/>
        <v>0</v>
      </c>
      <c r="N571">
        <f t="shared" si="43"/>
        <v>0</v>
      </c>
      <c r="O571">
        <f t="shared" si="45"/>
        <v>1</v>
      </c>
      <c r="P571" t="str">
        <f t="shared" si="44"/>
        <v/>
      </c>
      <c r="Q571">
        <f>COUNTIF('責任職　企業局→市長部局'!A:A,SQLデータ!B571)</f>
        <v>0</v>
      </c>
      <c r="R571">
        <f>COUNTIF('一般職員　企業局→市長部局'!A:F,SQLデータ!B571)</f>
        <v>0</v>
      </c>
    </row>
    <row r="572" spans="1:18" x14ac:dyDescent="0.4">
      <c r="A572" s="1">
        <v>202640000107</v>
      </c>
      <c r="B572" s="1">
        <v>1231068</v>
      </c>
      <c r="C572" s="2">
        <v>46125</v>
      </c>
      <c r="D572" t="s">
        <v>16</v>
      </c>
      <c r="E572" t="s">
        <v>10</v>
      </c>
      <c r="G572" t="s">
        <v>9</v>
      </c>
      <c r="L572">
        <f t="shared" si="41"/>
        <v>0</v>
      </c>
      <c r="M572">
        <f t="shared" si="42"/>
        <v>0</v>
      </c>
      <c r="N572">
        <f t="shared" si="43"/>
        <v>0</v>
      </c>
      <c r="O572">
        <f t="shared" si="45"/>
        <v>1</v>
      </c>
      <c r="P572" t="str">
        <f t="shared" si="44"/>
        <v/>
      </c>
      <c r="Q572">
        <f>COUNTIF('責任職　企業局→市長部局'!A:A,SQLデータ!B572)</f>
        <v>0</v>
      </c>
      <c r="R572">
        <f>COUNTIF('一般職員　企業局→市長部局'!A:F,SQLデータ!B572)</f>
        <v>0</v>
      </c>
    </row>
    <row r="573" spans="1:18" x14ac:dyDescent="0.4">
      <c r="A573" s="1">
        <v>202640000108</v>
      </c>
      <c r="B573" s="1">
        <v>1191240</v>
      </c>
      <c r="C573" s="2">
        <v>46125</v>
      </c>
      <c r="D573" t="s">
        <v>16</v>
      </c>
      <c r="E573" t="s">
        <v>11</v>
      </c>
      <c r="G573" t="s">
        <v>9</v>
      </c>
      <c r="L573">
        <f t="shared" si="41"/>
        <v>0</v>
      </c>
      <c r="M573">
        <f t="shared" si="42"/>
        <v>0</v>
      </c>
      <c r="N573">
        <f t="shared" si="43"/>
        <v>0</v>
      </c>
      <c r="O573">
        <f t="shared" si="45"/>
        <v>1</v>
      </c>
      <c r="P573" t="str">
        <f t="shared" si="44"/>
        <v/>
      </c>
      <c r="Q573">
        <f>COUNTIF('責任職　企業局→市長部局'!A:A,SQLデータ!B573)</f>
        <v>0</v>
      </c>
      <c r="R573">
        <f>COUNTIF('一般職員　企業局→市長部局'!A:F,SQLデータ!B573)</f>
        <v>0</v>
      </c>
    </row>
    <row r="574" spans="1:18" x14ac:dyDescent="0.4">
      <c r="A574" s="1">
        <v>202640000110</v>
      </c>
      <c r="B574" s="1">
        <v>1171359</v>
      </c>
      <c r="C574" s="2">
        <v>46125</v>
      </c>
      <c r="D574" t="s">
        <v>16</v>
      </c>
      <c r="E574" t="s">
        <v>15</v>
      </c>
      <c r="G574" t="s">
        <v>9</v>
      </c>
      <c r="L574">
        <f t="shared" si="41"/>
        <v>0</v>
      </c>
      <c r="M574">
        <f t="shared" si="42"/>
        <v>0</v>
      </c>
      <c r="N574">
        <f t="shared" si="43"/>
        <v>0</v>
      </c>
      <c r="O574">
        <f t="shared" si="45"/>
        <v>1</v>
      </c>
      <c r="P574" t="str">
        <f t="shared" si="44"/>
        <v/>
      </c>
      <c r="Q574">
        <f>COUNTIF('責任職　企業局→市長部局'!A:A,SQLデータ!B574)</f>
        <v>0</v>
      </c>
      <c r="R574">
        <f>COUNTIF('一般職員　企業局→市長部局'!A:F,SQLデータ!B574)</f>
        <v>0</v>
      </c>
    </row>
    <row r="575" spans="1:18" x14ac:dyDescent="0.4">
      <c r="A575" s="1">
        <v>202640000111</v>
      </c>
      <c r="B575" s="1">
        <v>1131209</v>
      </c>
      <c r="C575" s="2">
        <v>46125</v>
      </c>
      <c r="D575" t="s">
        <v>16</v>
      </c>
      <c r="E575" t="s">
        <v>10</v>
      </c>
      <c r="G575" t="s">
        <v>9</v>
      </c>
      <c r="L575">
        <f t="shared" si="41"/>
        <v>0</v>
      </c>
      <c r="M575">
        <f t="shared" si="42"/>
        <v>0</v>
      </c>
      <c r="N575">
        <f t="shared" si="43"/>
        <v>0</v>
      </c>
      <c r="O575">
        <f t="shared" si="45"/>
        <v>1</v>
      </c>
      <c r="P575" t="str">
        <f t="shared" si="44"/>
        <v/>
      </c>
      <c r="Q575">
        <f>COUNTIF('責任職　企業局→市長部局'!A:A,SQLデータ!B575)</f>
        <v>0</v>
      </c>
      <c r="R575">
        <f>COUNTIF('一般職員　企業局→市長部局'!A:F,SQLデータ!B575)</f>
        <v>0</v>
      </c>
    </row>
    <row r="576" spans="1:18" x14ac:dyDescent="0.4">
      <c r="A576" s="1">
        <v>202640000112</v>
      </c>
      <c r="B576" s="1">
        <v>1213029</v>
      </c>
      <c r="C576" s="2">
        <v>46125</v>
      </c>
      <c r="D576" t="s">
        <v>16</v>
      </c>
      <c r="E576" t="s">
        <v>10</v>
      </c>
      <c r="G576" t="s">
        <v>9</v>
      </c>
      <c r="L576">
        <f t="shared" si="41"/>
        <v>0</v>
      </c>
      <c r="M576">
        <f t="shared" si="42"/>
        <v>0</v>
      </c>
      <c r="N576">
        <f t="shared" si="43"/>
        <v>0</v>
      </c>
      <c r="O576">
        <f t="shared" si="45"/>
        <v>1</v>
      </c>
      <c r="P576" t="str">
        <f t="shared" si="44"/>
        <v/>
      </c>
      <c r="Q576">
        <f>COUNTIF('責任職　企業局→市長部局'!A:A,SQLデータ!B576)</f>
        <v>0</v>
      </c>
      <c r="R576">
        <f>COUNTIF('一般職員　企業局→市長部局'!A:F,SQLデータ!B576)</f>
        <v>0</v>
      </c>
    </row>
    <row r="577" spans="1:18" x14ac:dyDescent="0.4">
      <c r="A577" s="1">
        <v>202640000113</v>
      </c>
      <c r="B577" s="1">
        <v>1186003</v>
      </c>
      <c r="C577" s="2">
        <v>46129</v>
      </c>
      <c r="D577" t="s">
        <v>16</v>
      </c>
      <c r="E577" t="s">
        <v>8</v>
      </c>
      <c r="G577" t="s">
        <v>9</v>
      </c>
      <c r="L577">
        <f t="shared" si="41"/>
        <v>0</v>
      </c>
      <c r="M577">
        <f t="shared" si="42"/>
        <v>0</v>
      </c>
      <c r="N577">
        <f t="shared" si="43"/>
        <v>0</v>
      </c>
      <c r="O577">
        <f t="shared" si="45"/>
        <v>1</v>
      </c>
      <c r="P577" t="str">
        <f t="shared" si="44"/>
        <v/>
      </c>
      <c r="Q577">
        <f>COUNTIF('責任職　企業局→市長部局'!A:A,SQLデータ!B577)</f>
        <v>0</v>
      </c>
      <c r="R577">
        <f>COUNTIF('一般職員　企業局→市長部局'!A:F,SQLデータ!B577)</f>
        <v>0</v>
      </c>
    </row>
    <row r="578" spans="1:18" x14ac:dyDescent="0.4">
      <c r="A578" s="1">
        <v>202640000115</v>
      </c>
      <c r="B578" s="1">
        <v>1256097</v>
      </c>
      <c r="C578" s="2">
        <v>46127</v>
      </c>
      <c r="D578" t="s">
        <v>16</v>
      </c>
      <c r="E578" t="s">
        <v>8</v>
      </c>
      <c r="G578" t="s">
        <v>9</v>
      </c>
      <c r="L578">
        <f t="shared" ref="L578:L641" si="46">IF(ISBLANK(J578),0,1)</f>
        <v>0</v>
      </c>
      <c r="M578">
        <f t="shared" ref="M578:M641" si="47">IF(AND(L578=0,I578&lt;&gt;""),1,0)</f>
        <v>0</v>
      </c>
      <c r="N578">
        <f t="shared" ref="N578:N641" si="48">IF(AND(L578=0,M578=0,K578&lt;&gt;""),1,0)</f>
        <v>0</v>
      </c>
      <c r="O578">
        <f t="shared" si="45"/>
        <v>1</v>
      </c>
      <c r="P578" t="str">
        <f t="shared" ref="P578:P641" si="49">IF(D578&lt;&gt;"扶養","",IF(E578&lt;&gt;"確認待ち",1,IF(OR(AND(G578="本人の結婚",O578=1),AND(H578="減",OR(N578=1,O578=1))),1,0)))</f>
        <v/>
      </c>
      <c r="Q578">
        <f>COUNTIF('責任職　企業局→市長部局'!A:A,SQLデータ!B578)</f>
        <v>0</v>
      </c>
      <c r="R578">
        <f>COUNTIF('一般職員　企業局→市長部局'!A:F,SQLデータ!B578)</f>
        <v>0</v>
      </c>
    </row>
    <row r="579" spans="1:18" x14ac:dyDescent="0.4">
      <c r="A579" s="1">
        <v>202640000117</v>
      </c>
      <c r="B579" s="1">
        <v>1221172</v>
      </c>
      <c r="C579" s="2">
        <v>46127</v>
      </c>
      <c r="D579" t="s">
        <v>16</v>
      </c>
      <c r="E579" t="s">
        <v>8</v>
      </c>
      <c r="G579" t="s">
        <v>9</v>
      </c>
      <c r="L579">
        <f t="shared" si="46"/>
        <v>0</v>
      </c>
      <c r="M579">
        <f t="shared" si="47"/>
        <v>0</v>
      </c>
      <c r="N579">
        <f t="shared" si="48"/>
        <v>0</v>
      </c>
      <c r="O579">
        <f t="shared" si="45"/>
        <v>1</v>
      </c>
      <c r="P579" t="str">
        <f t="shared" si="49"/>
        <v/>
      </c>
      <c r="Q579">
        <f>COUNTIF('責任職　企業局→市長部局'!A:A,SQLデータ!B579)</f>
        <v>0</v>
      </c>
      <c r="R579">
        <f>COUNTIF('一般職員　企業局→市長部局'!A:F,SQLデータ!B579)</f>
        <v>0</v>
      </c>
    </row>
    <row r="580" spans="1:18" x14ac:dyDescent="0.4">
      <c r="A580" s="1">
        <v>202640000118</v>
      </c>
      <c r="B580" s="1">
        <v>1152167</v>
      </c>
      <c r="C580" s="2">
        <v>46127</v>
      </c>
      <c r="D580" t="s">
        <v>16</v>
      </c>
      <c r="E580" t="s">
        <v>8</v>
      </c>
      <c r="G580" t="s">
        <v>9</v>
      </c>
      <c r="L580">
        <f t="shared" si="46"/>
        <v>0</v>
      </c>
      <c r="M580">
        <f t="shared" si="47"/>
        <v>0</v>
      </c>
      <c r="N580">
        <f t="shared" si="48"/>
        <v>0</v>
      </c>
      <c r="O580">
        <f t="shared" si="45"/>
        <v>1</v>
      </c>
      <c r="P580" t="str">
        <f t="shared" si="49"/>
        <v/>
      </c>
      <c r="Q580">
        <f>COUNTIF('責任職　企業局→市長部局'!A:A,SQLデータ!B580)</f>
        <v>0</v>
      </c>
      <c r="R580">
        <f>COUNTIF('一般職員　企業局→市長部局'!A:F,SQLデータ!B580)</f>
        <v>0</v>
      </c>
    </row>
    <row r="581" spans="1:18" x14ac:dyDescent="0.4">
      <c r="A581" s="1">
        <v>202640000119</v>
      </c>
      <c r="B581" s="1">
        <v>1242073</v>
      </c>
      <c r="C581" s="2">
        <v>46127</v>
      </c>
      <c r="D581" t="s">
        <v>16</v>
      </c>
      <c r="E581" t="s">
        <v>8</v>
      </c>
      <c r="G581" t="s">
        <v>9</v>
      </c>
      <c r="L581">
        <f t="shared" si="46"/>
        <v>0</v>
      </c>
      <c r="M581">
        <f t="shared" si="47"/>
        <v>0</v>
      </c>
      <c r="N581">
        <f t="shared" si="48"/>
        <v>0</v>
      </c>
      <c r="O581">
        <f t="shared" si="45"/>
        <v>1</v>
      </c>
      <c r="P581" t="str">
        <f t="shared" si="49"/>
        <v/>
      </c>
      <c r="Q581">
        <f>COUNTIF('責任職　企業局→市長部局'!A:A,SQLデータ!B581)</f>
        <v>0</v>
      </c>
      <c r="R581">
        <f>COUNTIF('一般職員　企業局→市長部局'!A:F,SQLデータ!B581)</f>
        <v>0</v>
      </c>
    </row>
    <row r="582" spans="1:18" x14ac:dyDescent="0.4">
      <c r="A582" s="1">
        <v>202640000120</v>
      </c>
      <c r="B582" s="1">
        <v>1121203</v>
      </c>
      <c r="C582" s="2">
        <v>46127</v>
      </c>
      <c r="D582" t="s">
        <v>16</v>
      </c>
      <c r="E582" t="s">
        <v>8</v>
      </c>
      <c r="G582" t="s">
        <v>9</v>
      </c>
      <c r="L582">
        <f t="shared" si="46"/>
        <v>0</v>
      </c>
      <c r="M582">
        <f t="shared" si="47"/>
        <v>0</v>
      </c>
      <c r="N582">
        <f t="shared" si="48"/>
        <v>0</v>
      </c>
      <c r="O582">
        <f t="shared" si="45"/>
        <v>1</v>
      </c>
      <c r="P582" t="str">
        <f t="shared" si="49"/>
        <v/>
      </c>
      <c r="Q582">
        <f>COUNTIF('責任職　企業局→市長部局'!A:A,SQLデータ!B582)</f>
        <v>0</v>
      </c>
      <c r="R582">
        <f>COUNTIF('一般職員　企業局→市長部局'!A:F,SQLデータ!B582)</f>
        <v>0</v>
      </c>
    </row>
    <row r="583" spans="1:18" x14ac:dyDescent="0.4">
      <c r="A583" s="1">
        <v>202640000122</v>
      </c>
      <c r="B583" s="1">
        <v>1172311</v>
      </c>
      <c r="C583" s="2">
        <v>46127</v>
      </c>
      <c r="D583" t="s">
        <v>16</v>
      </c>
      <c r="E583" t="s">
        <v>8</v>
      </c>
      <c r="G583" t="s">
        <v>9</v>
      </c>
      <c r="L583">
        <f t="shared" si="46"/>
        <v>0</v>
      </c>
      <c r="M583">
        <f t="shared" si="47"/>
        <v>0</v>
      </c>
      <c r="N583">
        <f t="shared" si="48"/>
        <v>0</v>
      </c>
      <c r="O583">
        <f t="shared" si="45"/>
        <v>1</v>
      </c>
      <c r="P583" t="str">
        <f t="shared" si="49"/>
        <v/>
      </c>
      <c r="Q583">
        <f>COUNTIF('責任職　企業局→市長部局'!A:A,SQLデータ!B583)</f>
        <v>0</v>
      </c>
      <c r="R583">
        <f>COUNTIF('一般職員　企業局→市長部局'!A:F,SQLデータ!B583)</f>
        <v>1</v>
      </c>
    </row>
    <row r="584" spans="1:18" x14ac:dyDescent="0.4">
      <c r="A584" s="1">
        <v>202640000123</v>
      </c>
      <c r="B584" s="1">
        <v>1231096</v>
      </c>
      <c r="C584" s="2">
        <v>46128</v>
      </c>
      <c r="D584" t="s">
        <v>16</v>
      </c>
      <c r="E584" t="s">
        <v>10</v>
      </c>
      <c r="G584" t="s">
        <v>9</v>
      </c>
      <c r="L584">
        <f t="shared" si="46"/>
        <v>0</v>
      </c>
      <c r="M584">
        <f t="shared" si="47"/>
        <v>0</v>
      </c>
      <c r="N584">
        <f t="shared" si="48"/>
        <v>0</v>
      </c>
      <c r="O584">
        <f t="shared" si="45"/>
        <v>1</v>
      </c>
      <c r="P584" t="str">
        <f t="shared" si="49"/>
        <v/>
      </c>
      <c r="Q584">
        <f>COUNTIF('責任職　企業局→市長部局'!A:A,SQLデータ!B584)</f>
        <v>0</v>
      </c>
      <c r="R584">
        <f>COUNTIF('一般職員　企業局→市長部局'!A:F,SQLデータ!B584)</f>
        <v>0</v>
      </c>
    </row>
    <row r="585" spans="1:18" x14ac:dyDescent="0.4">
      <c r="A585" s="1">
        <v>202640000127</v>
      </c>
      <c r="B585" s="1">
        <v>1221039</v>
      </c>
      <c r="C585" s="2">
        <v>46127</v>
      </c>
      <c r="D585" t="s">
        <v>16</v>
      </c>
      <c r="E585" t="s">
        <v>10</v>
      </c>
      <c r="G585" t="s">
        <v>9</v>
      </c>
      <c r="L585">
        <f t="shared" si="46"/>
        <v>0</v>
      </c>
      <c r="M585">
        <f t="shared" si="47"/>
        <v>0</v>
      </c>
      <c r="N585">
        <f t="shared" si="48"/>
        <v>0</v>
      </c>
      <c r="O585">
        <f t="shared" ref="O585:O648" si="50">IF(COUNTIF(L585:N585,0)=3,1,0)</f>
        <v>1</v>
      </c>
      <c r="P585" t="str">
        <f t="shared" si="49"/>
        <v/>
      </c>
      <c r="Q585">
        <f>COUNTIF('責任職　企業局→市長部局'!A:A,SQLデータ!B585)</f>
        <v>0</v>
      </c>
      <c r="R585">
        <f>COUNTIF('一般職員　企業局→市長部局'!A:F,SQLデータ!B585)</f>
        <v>0</v>
      </c>
    </row>
    <row r="586" spans="1:18" x14ac:dyDescent="0.4">
      <c r="A586" s="1">
        <v>202640000129</v>
      </c>
      <c r="B586" s="1">
        <v>1161294</v>
      </c>
      <c r="C586" s="2">
        <v>46127</v>
      </c>
      <c r="D586" t="s">
        <v>16</v>
      </c>
      <c r="E586" t="s">
        <v>10</v>
      </c>
      <c r="G586" t="s">
        <v>9</v>
      </c>
      <c r="L586">
        <f t="shared" si="46"/>
        <v>0</v>
      </c>
      <c r="M586">
        <f t="shared" si="47"/>
        <v>0</v>
      </c>
      <c r="N586">
        <f t="shared" si="48"/>
        <v>0</v>
      </c>
      <c r="O586">
        <f t="shared" si="50"/>
        <v>1</v>
      </c>
      <c r="P586" t="str">
        <f t="shared" si="49"/>
        <v/>
      </c>
      <c r="Q586">
        <f>COUNTIF('責任職　企業局→市長部局'!A:A,SQLデータ!B586)</f>
        <v>0</v>
      </c>
      <c r="R586">
        <f>COUNTIF('一般職員　企業局→市長部局'!A:F,SQLデータ!B586)</f>
        <v>0</v>
      </c>
    </row>
    <row r="587" spans="1:18" x14ac:dyDescent="0.4">
      <c r="A587" s="1">
        <v>202640000134</v>
      </c>
      <c r="B587" s="1">
        <v>1201272</v>
      </c>
      <c r="C587" s="2">
        <v>46128</v>
      </c>
      <c r="D587" t="s">
        <v>16</v>
      </c>
      <c r="E587" t="s">
        <v>10</v>
      </c>
      <c r="G587" t="s">
        <v>9</v>
      </c>
      <c r="L587">
        <f t="shared" si="46"/>
        <v>0</v>
      </c>
      <c r="M587">
        <f t="shared" si="47"/>
        <v>0</v>
      </c>
      <c r="N587">
        <f t="shared" si="48"/>
        <v>0</v>
      </c>
      <c r="O587">
        <f t="shared" si="50"/>
        <v>1</v>
      </c>
      <c r="P587" t="str">
        <f t="shared" si="49"/>
        <v/>
      </c>
      <c r="Q587">
        <f>COUNTIF('責任職　企業局→市長部局'!A:A,SQLデータ!B587)</f>
        <v>0</v>
      </c>
      <c r="R587">
        <f>COUNTIF('一般職員　企業局→市長部局'!A:F,SQLデータ!B587)</f>
        <v>0</v>
      </c>
    </row>
    <row r="588" spans="1:18" x14ac:dyDescent="0.4">
      <c r="A588" s="1">
        <v>202640000135</v>
      </c>
      <c r="B588" s="1">
        <v>1201400</v>
      </c>
      <c r="C588" s="2">
        <v>46128</v>
      </c>
      <c r="D588" t="s">
        <v>16</v>
      </c>
      <c r="E588" t="s">
        <v>8</v>
      </c>
      <c r="G588" t="s">
        <v>9</v>
      </c>
      <c r="L588">
        <f t="shared" si="46"/>
        <v>0</v>
      </c>
      <c r="M588">
        <f t="shared" si="47"/>
        <v>0</v>
      </c>
      <c r="N588">
        <f t="shared" si="48"/>
        <v>0</v>
      </c>
      <c r="O588">
        <f t="shared" si="50"/>
        <v>1</v>
      </c>
      <c r="P588" t="str">
        <f t="shared" si="49"/>
        <v/>
      </c>
      <c r="Q588">
        <f>COUNTIF('責任職　企業局→市長部局'!A:A,SQLデータ!B588)</f>
        <v>0</v>
      </c>
      <c r="R588">
        <f>COUNTIF('一般職員　企業局→市長部局'!A:F,SQLデータ!B588)</f>
        <v>0</v>
      </c>
    </row>
    <row r="589" spans="1:18" x14ac:dyDescent="0.4">
      <c r="A589" s="1">
        <v>202640000136</v>
      </c>
      <c r="B589" s="1">
        <v>1234059</v>
      </c>
      <c r="C589" s="2">
        <v>46128</v>
      </c>
      <c r="D589" t="s">
        <v>16</v>
      </c>
      <c r="E589" t="s">
        <v>8</v>
      </c>
      <c r="G589" t="s">
        <v>9</v>
      </c>
      <c r="L589">
        <f t="shared" si="46"/>
        <v>0</v>
      </c>
      <c r="M589">
        <f t="shared" si="47"/>
        <v>0</v>
      </c>
      <c r="N589">
        <f t="shared" si="48"/>
        <v>0</v>
      </c>
      <c r="O589">
        <f t="shared" si="50"/>
        <v>1</v>
      </c>
      <c r="P589" t="str">
        <f t="shared" si="49"/>
        <v/>
      </c>
      <c r="Q589">
        <f>COUNTIF('責任職　企業局→市長部局'!A:A,SQLデータ!B589)</f>
        <v>0</v>
      </c>
      <c r="R589">
        <f>COUNTIF('一般職員　企業局→市長部局'!A:F,SQLデータ!B589)</f>
        <v>0</v>
      </c>
    </row>
    <row r="590" spans="1:18" x14ac:dyDescent="0.4">
      <c r="A590" s="1">
        <v>202640000137</v>
      </c>
      <c r="B590" s="1">
        <v>1192055</v>
      </c>
      <c r="C590" s="2">
        <v>46128</v>
      </c>
      <c r="D590" t="s">
        <v>16</v>
      </c>
      <c r="E590" t="s">
        <v>8</v>
      </c>
      <c r="G590" t="s">
        <v>9</v>
      </c>
      <c r="L590">
        <f t="shared" si="46"/>
        <v>0</v>
      </c>
      <c r="M590">
        <f t="shared" si="47"/>
        <v>0</v>
      </c>
      <c r="N590">
        <f t="shared" si="48"/>
        <v>0</v>
      </c>
      <c r="O590">
        <f t="shared" si="50"/>
        <v>1</v>
      </c>
      <c r="P590" t="str">
        <f t="shared" si="49"/>
        <v/>
      </c>
      <c r="Q590">
        <f>COUNTIF('責任職　企業局→市長部局'!A:A,SQLデータ!B590)</f>
        <v>0</v>
      </c>
      <c r="R590">
        <f>COUNTIF('一般職員　企業局→市長部局'!A:F,SQLデータ!B590)</f>
        <v>0</v>
      </c>
    </row>
    <row r="591" spans="1:18" x14ac:dyDescent="0.4">
      <c r="A591" s="1">
        <v>202640000138</v>
      </c>
      <c r="B591" s="1">
        <v>1192306</v>
      </c>
      <c r="C591" s="2">
        <v>46128</v>
      </c>
      <c r="D591" t="s">
        <v>16</v>
      </c>
      <c r="E591" t="s">
        <v>10</v>
      </c>
      <c r="G591" t="s">
        <v>9</v>
      </c>
      <c r="L591">
        <f t="shared" si="46"/>
        <v>0</v>
      </c>
      <c r="M591">
        <f t="shared" si="47"/>
        <v>0</v>
      </c>
      <c r="N591">
        <f t="shared" si="48"/>
        <v>0</v>
      </c>
      <c r="O591">
        <f t="shared" si="50"/>
        <v>1</v>
      </c>
      <c r="P591" t="str">
        <f t="shared" si="49"/>
        <v/>
      </c>
      <c r="Q591">
        <f>COUNTIF('責任職　企業局→市長部局'!A:A,SQLデータ!B591)</f>
        <v>0</v>
      </c>
      <c r="R591">
        <f>COUNTIF('一般職員　企業局→市長部局'!A:F,SQLデータ!B591)</f>
        <v>0</v>
      </c>
    </row>
    <row r="592" spans="1:18" x14ac:dyDescent="0.4">
      <c r="A592" s="1">
        <v>202640000139</v>
      </c>
      <c r="B592" s="1">
        <v>1221147</v>
      </c>
      <c r="C592" s="2">
        <v>46128</v>
      </c>
      <c r="D592" t="s">
        <v>16</v>
      </c>
      <c r="E592" t="s">
        <v>8</v>
      </c>
      <c r="G592" t="s">
        <v>9</v>
      </c>
      <c r="L592">
        <f t="shared" si="46"/>
        <v>0</v>
      </c>
      <c r="M592">
        <f t="shared" si="47"/>
        <v>0</v>
      </c>
      <c r="N592">
        <f t="shared" si="48"/>
        <v>0</v>
      </c>
      <c r="O592">
        <f t="shared" si="50"/>
        <v>1</v>
      </c>
      <c r="P592" t="str">
        <f t="shared" si="49"/>
        <v/>
      </c>
      <c r="Q592">
        <f>COUNTIF('責任職　企業局→市長部局'!A:A,SQLデータ!B592)</f>
        <v>0</v>
      </c>
      <c r="R592">
        <f>COUNTIF('一般職員　企業局→市長部局'!A:F,SQLデータ!B592)</f>
        <v>0</v>
      </c>
    </row>
    <row r="593" spans="1:18" x14ac:dyDescent="0.4">
      <c r="A593" s="1">
        <v>202640000141</v>
      </c>
      <c r="B593" s="1">
        <v>1213029</v>
      </c>
      <c r="C593" s="2">
        <v>46128</v>
      </c>
      <c r="D593" t="s">
        <v>16</v>
      </c>
      <c r="E593" t="s">
        <v>8</v>
      </c>
      <c r="G593" t="s">
        <v>9</v>
      </c>
      <c r="L593">
        <f t="shared" si="46"/>
        <v>0</v>
      </c>
      <c r="M593">
        <f t="shared" si="47"/>
        <v>0</v>
      </c>
      <c r="N593">
        <f t="shared" si="48"/>
        <v>0</v>
      </c>
      <c r="O593">
        <f t="shared" si="50"/>
        <v>1</v>
      </c>
      <c r="P593" t="str">
        <f t="shared" si="49"/>
        <v/>
      </c>
      <c r="Q593">
        <f>COUNTIF('責任職　企業局→市長部局'!A:A,SQLデータ!B593)</f>
        <v>0</v>
      </c>
      <c r="R593">
        <f>COUNTIF('一般職員　企業局→市長部局'!A:F,SQLデータ!B593)</f>
        <v>0</v>
      </c>
    </row>
    <row r="594" spans="1:18" x14ac:dyDescent="0.4">
      <c r="A594" s="1">
        <v>202640000144</v>
      </c>
      <c r="B594" s="1">
        <v>1076104</v>
      </c>
      <c r="C594" s="2">
        <v>46129</v>
      </c>
      <c r="D594" t="s">
        <v>16</v>
      </c>
      <c r="E594" t="s">
        <v>8</v>
      </c>
      <c r="G594" t="s">
        <v>9</v>
      </c>
      <c r="L594">
        <f t="shared" si="46"/>
        <v>0</v>
      </c>
      <c r="M594">
        <f t="shared" si="47"/>
        <v>0</v>
      </c>
      <c r="N594">
        <f t="shared" si="48"/>
        <v>0</v>
      </c>
      <c r="O594">
        <f t="shared" si="50"/>
        <v>1</v>
      </c>
      <c r="P594" t="str">
        <f t="shared" si="49"/>
        <v/>
      </c>
      <c r="Q594">
        <f>COUNTIF('責任職　企業局→市長部局'!A:A,SQLデータ!B594)</f>
        <v>0</v>
      </c>
      <c r="R594">
        <f>COUNTIF('一般職員　企業局→市長部局'!A:F,SQLデータ!B594)</f>
        <v>0</v>
      </c>
    </row>
    <row r="595" spans="1:18" x14ac:dyDescent="0.4">
      <c r="A595" s="1">
        <v>202640000147</v>
      </c>
      <c r="B595" s="1">
        <v>1131208</v>
      </c>
      <c r="C595" s="2">
        <v>46120</v>
      </c>
      <c r="D595" t="s">
        <v>16</v>
      </c>
      <c r="E595" t="s">
        <v>8</v>
      </c>
      <c r="G595" t="s">
        <v>9</v>
      </c>
      <c r="L595">
        <f t="shared" si="46"/>
        <v>0</v>
      </c>
      <c r="M595">
        <f t="shared" si="47"/>
        <v>0</v>
      </c>
      <c r="N595">
        <f t="shared" si="48"/>
        <v>0</v>
      </c>
      <c r="O595">
        <f t="shared" si="50"/>
        <v>1</v>
      </c>
      <c r="P595" t="str">
        <f t="shared" si="49"/>
        <v/>
      </c>
      <c r="Q595">
        <f>COUNTIF('責任職　企業局→市長部局'!A:A,SQLデータ!B595)</f>
        <v>0</v>
      </c>
      <c r="R595">
        <f>COUNTIF('一般職員　企業局→市長部局'!A:F,SQLデータ!B595)</f>
        <v>0</v>
      </c>
    </row>
    <row r="596" spans="1:18" x14ac:dyDescent="0.4">
      <c r="A596" s="1">
        <v>202640000148</v>
      </c>
      <c r="B596" s="1">
        <v>1201257</v>
      </c>
      <c r="C596" s="2">
        <v>46129</v>
      </c>
      <c r="D596" t="s">
        <v>16</v>
      </c>
      <c r="E596" t="s">
        <v>8</v>
      </c>
      <c r="G596" t="s">
        <v>9</v>
      </c>
      <c r="L596">
        <f t="shared" si="46"/>
        <v>0</v>
      </c>
      <c r="M596">
        <f t="shared" si="47"/>
        <v>0</v>
      </c>
      <c r="N596">
        <f t="shared" si="48"/>
        <v>0</v>
      </c>
      <c r="O596">
        <f t="shared" si="50"/>
        <v>1</v>
      </c>
      <c r="P596" t="str">
        <f t="shared" si="49"/>
        <v/>
      </c>
      <c r="Q596">
        <f>COUNTIF('責任職　企業局→市長部局'!A:A,SQLデータ!B596)</f>
        <v>0</v>
      </c>
      <c r="R596">
        <f>COUNTIF('一般職員　企業局→市長部局'!A:F,SQLデータ!B596)</f>
        <v>0</v>
      </c>
    </row>
    <row r="597" spans="1:18" x14ac:dyDescent="0.4">
      <c r="A597" s="1">
        <v>202640000150</v>
      </c>
      <c r="B597" s="1">
        <v>1111158</v>
      </c>
      <c r="C597" s="2">
        <v>46129</v>
      </c>
      <c r="D597" t="s">
        <v>16</v>
      </c>
      <c r="E597" t="s">
        <v>8</v>
      </c>
      <c r="G597" t="s">
        <v>9</v>
      </c>
      <c r="L597">
        <f t="shared" si="46"/>
        <v>0</v>
      </c>
      <c r="M597">
        <f t="shared" si="47"/>
        <v>0</v>
      </c>
      <c r="N597">
        <f t="shared" si="48"/>
        <v>0</v>
      </c>
      <c r="O597">
        <f t="shared" si="50"/>
        <v>1</v>
      </c>
      <c r="P597" t="str">
        <f t="shared" si="49"/>
        <v/>
      </c>
      <c r="Q597">
        <f>COUNTIF('責任職　企業局→市長部局'!A:A,SQLデータ!B597)</f>
        <v>0</v>
      </c>
      <c r="R597">
        <f>COUNTIF('一般職員　企業局→市長部局'!A:F,SQLデータ!B597)</f>
        <v>0</v>
      </c>
    </row>
    <row r="598" spans="1:18" x14ac:dyDescent="0.4">
      <c r="A598" s="1">
        <v>202640000151</v>
      </c>
      <c r="B598" s="1">
        <v>1171591</v>
      </c>
      <c r="C598" s="2">
        <v>46129</v>
      </c>
      <c r="D598" t="s">
        <v>16</v>
      </c>
      <c r="E598" t="s">
        <v>8</v>
      </c>
      <c r="G598" t="s">
        <v>9</v>
      </c>
      <c r="L598">
        <f t="shared" si="46"/>
        <v>0</v>
      </c>
      <c r="M598">
        <f t="shared" si="47"/>
        <v>0</v>
      </c>
      <c r="N598">
        <f t="shared" si="48"/>
        <v>0</v>
      </c>
      <c r="O598">
        <f t="shared" si="50"/>
        <v>1</v>
      </c>
      <c r="P598" t="str">
        <f t="shared" si="49"/>
        <v/>
      </c>
      <c r="Q598">
        <f>COUNTIF('責任職　企業局→市長部局'!A:A,SQLデータ!B598)</f>
        <v>0</v>
      </c>
      <c r="R598">
        <f>COUNTIF('一般職員　企業局→市長部局'!A:F,SQLデータ!B598)</f>
        <v>0</v>
      </c>
    </row>
    <row r="599" spans="1:18" x14ac:dyDescent="0.4">
      <c r="A599" s="1">
        <v>202640000152</v>
      </c>
      <c r="B599" s="1">
        <v>1211050</v>
      </c>
      <c r="C599" s="2">
        <v>46129</v>
      </c>
      <c r="D599" t="s">
        <v>16</v>
      </c>
      <c r="E599" t="s">
        <v>8</v>
      </c>
      <c r="G599" t="s">
        <v>9</v>
      </c>
      <c r="L599">
        <f t="shared" si="46"/>
        <v>0</v>
      </c>
      <c r="M599">
        <f t="shared" si="47"/>
        <v>0</v>
      </c>
      <c r="N599">
        <f t="shared" si="48"/>
        <v>0</v>
      </c>
      <c r="O599">
        <f t="shared" si="50"/>
        <v>1</v>
      </c>
      <c r="P599" t="str">
        <f t="shared" si="49"/>
        <v/>
      </c>
      <c r="Q599">
        <f>COUNTIF('責任職　企業局→市長部局'!A:A,SQLデータ!B599)</f>
        <v>0</v>
      </c>
      <c r="R599">
        <f>COUNTIF('一般職員　企業局→市長部局'!A:F,SQLデータ!B599)</f>
        <v>0</v>
      </c>
    </row>
    <row r="600" spans="1:18" x14ac:dyDescent="0.4">
      <c r="A600" s="1">
        <v>202640000153</v>
      </c>
      <c r="B600" s="1">
        <v>1211050</v>
      </c>
      <c r="C600" s="2">
        <v>46129</v>
      </c>
      <c r="D600" t="s">
        <v>16</v>
      </c>
      <c r="E600" t="s">
        <v>8</v>
      </c>
      <c r="G600" t="s">
        <v>9</v>
      </c>
      <c r="L600">
        <f t="shared" si="46"/>
        <v>0</v>
      </c>
      <c r="M600">
        <f t="shared" si="47"/>
        <v>0</v>
      </c>
      <c r="N600">
        <f t="shared" si="48"/>
        <v>0</v>
      </c>
      <c r="O600">
        <f t="shared" si="50"/>
        <v>1</v>
      </c>
      <c r="P600" t="str">
        <f t="shared" si="49"/>
        <v/>
      </c>
      <c r="Q600">
        <f>COUNTIF('責任職　企業局→市長部局'!A:A,SQLデータ!B600)</f>
        <v>0</v>
      </c>
      <c r="R600">
        <f>COUNTIF('一般職員　企業局→市長部局'!A:F,SQLデータ!B600)</f>
        <v>0</v>
      </c>
    </row>
    <row r="601" spans="1:18" x14ac:dyDescent="0.4">
      <c r="A601" s="1">
        <v>202640000156</v>
      </c>
      <c r="B601" s="1">
        <v>1214064</v>
      </c>
      <c r="C601" s="2">
        <v>46113</v>
      </c>
      <c r="D601" t="s">
        <v>16</v>
      </c>
      <c r="E601" t="s">
        <v>8</v>
      </c>
      <c r="G601" t="s">
        <v>9</v>
      </c>
      <c r="L601">
        <f t="shared" si="46"/>
        <v>0</v>
      </c>
      <c r="M601">
        <f t="shared" si="47"/>
        <v>0</v>
      </c>
      <c r="N601">
        <f t="shared" si="48"/>
        <v>0</v>
      </c>
      <c r="O601">
        <f t="shared" si="50"/>
        <v>1</v>
      </c>
      <c r="P601" t="str">
        <f t="shared" si="49"/>
        <v/>
      </c>
      <c r="Q601">
        <f>COUNTIF('責任職　企業局→市長部局'!A:A,SQLデータ!B601)</f>
        <v>0</v>
      </c>
      <c r="R601">
        <f>COUNTIF('一般職員　企業局→市長部局'!A:F,SQLデータ!B601)</f>
        <v>0</v>
      </c>
    </row>
    <row r="602" spans="1:18" x14ac:dyDescent="0.4">
      <c r="A602" s="1">
        <v>202640000158</v>
      </c>
      <c r="B602" s="1">
        <v>1106118</v>
      </c>
      <c r="C602" s="2">
        <v>46131</v>
      </c>
      <c r="D602" t="s">
        <v>16</v>
      </c>
      <c r="E602" t="s">
        <v>8</v>
      </c>
      <c r="G602" t="s">
        <v>9</v>
      </c>
      <c r="L602">
        <f t="shared" si="46"/>
        <v>0</v>
      </c>
      <c r="M602">
        <f t="shared" si="47"/>
        <v>0</v>
      </c>
      <c r="N602">
        <f t="shared" si="48"/>
        <v>0</v>
      </c>
      <c r="O602">
        <f t="shared" si="50"/>
        <v>1</v>
      </c>
      <c r="P602" t="str">
        <f t="shared" si="49"/>
        <v/>
      </c>
      <c r="Q602">
        <f>COUNTIF('責任職　企業局→市長部局'!A:A,SQLデータ!B602)</f>
        <v>0</v>
      </c>
      <c r="R602">
        <f>COUNTIF('一般職員　企業局→市長部局'!A:F,SQLデータ!B602)</f>
        <v>0</v>
      </c>
    </row>
    <row r="603" spans="1:18" x14ac:dyDescent="0.4">
      <c r="A603" s="1">
        <v>202650000002</v>
      </c>
      <c r="B603" s="1">
        <v>1136057</v>
      </c>
      <c r="C603" s="2">
        <v>46115</v>
      </c>
      <c r="D603" t="s">
        <v>17</v>
      </c>
      <c r="E603" t="s">
        <v>11</v>
      </c>
      <c r="F603" t="s">
        <v>49</v>
      </c>
      <c r="G603" t="s">
        <v>9</v>
      </c>
      <c r="L603">
        <f t="shared" si="46"/>
        <v>0</v>
      </c>
      <c r="M603">
        <f t="shared" si="47"/>
        <v>0</v>
      </c>
      <c r="N603">
        <f t="shared" si="48"/>
        <v>0</v>
      </c>
      <c r="O603">
        <f t="shared" si="50"/>
        <v>1</v>
      </c>
      <c r="P603" t="str">
        <f t="shared" si="49"/>
        <v/>
      </c>
      <c r="Q603">
        <f>COUNTIF('責任職　企業局→市長部局'!A:A,SQLデータ!B603)</f>
        <v>0</v>
      </c>
      <c r="R603">
        <f>COUNTIF('一般職員　企業局→市長部局'!A:F,SQLデータ!B603)</f>
        <v>0</v>
      </c>
    </row>
    <row r="604" spans="1:18" x14ac:dyDescent="0.4">
      <c r="A604" s="1">
        <v>202650000003</v>
      </c>
      <c r="B604" s="1">
        <v>986052</v>
      </c>
      <c r="C604" s="2">
        <v>46115</v>
      </c>
      <c r="D604" t="s">
        <v>17</v>
      </c>
      <c r="E604" t="s">
        <v>10</v>
      </c>
      <c r="G604" t="s">
        <v>9</v>
      </c>
      <c r="L604">
        <f t="shared" si="46"/>
        <v>0</v>
      </c>
      <c r="M604">
        <f t="shared" si="47"/>
        <v>0</v>
      </c>
      <c r="N604">
        <f t="shared" si="48"/>
        <v>0</v>
      </c>
      <c r="O604">
        <f t="shared" si="50"/>
        <v>1</v>
      </c>
      <c r="P604" t="str">
        <f t="shared" si="49"/>
        <v/>
      </c>
      <c r="Q604">
        <f>COUNTIF('責任職　企業局→市長部局'!A:A,SQLデータ!B604)</f>
        <v>0</v>
      </c>
      <c r="R604">
        <f>COUNTIF('一般職員　企業局→市長部局'!A:F,SQLデータ!B604)</f>
        <v>0</v>
      </c>
    </row>
    <row r="605" spans="1:18" x14ac:dyDescent="0.4">
      <c r="A605" s="1">
        <v>202650000004</v>
      </c>
      <c r="B605" s="1">
        <v>1076036</v>
      </c>
      <c r="C605" s="2">
        <v>46115</v>
      </c>
      <c r="D605" t="s">
        <v>17</v>
      </c>
      <c r="E605" t="s">
        <v>8</v>
      </c>
      <c r="G605" t="s">
        <v>9</v>
      </c>
      <c r="L605">
        <f t="shared" si="46"/>
        <v>0</v>
      </c>
      <c r="M605">
        <f t="shared" si="47"/>
        <v>0</v>
      </c>
      <c r="N605">
        <f t="shared" si="48"/>
        <v>0</v>
      </c>
      <c r="O605">
        <f t="shared" si="50"/>
        <v>1</v>
      </c>
      <c r="P605" t="str">
        <f t="shared" si="49"/>
        <v/>
      </c>
      <c r="Q605">
        <f>COUNTIF('責任職　企業局→市長部局'!A:A,SQLデータ!B605)</f>
        <v>0</v>
      </c>
      <c r="R605">
        <f>COUNTIF('一般職員　企業局→市長部局'!A:F,SQLデータ!B605)</f>
        <v>0</v>
      </c>
    </row>
    <row r="606" spans="1:18" x14ac:dyDescent="0.4">
      <c r="A606" s="1">
        <v>202650000005</v>
      </c>
      <c r="B606" s="1">
        <v>1096085</v>
      </c>
      <c r="C606" s="2">
        <v>46115</v>
      </c>
      <c r="D606" t="s">
        <v>17</v>
      </c>
      <c r="E606" t="s">
        <v>11</v>
      </c>
      <c r="G606" t="s">
        <v>9</v>
      </c>
      <c r="L606">
        <f t="shared" si="46"/>
        <v>0</v>
      </c>
      <c r="M606">
        <f t="shared" si="47"/>
        <v>0</v>
      </c>
      <c r="N606">
        <f t="shared" si="48"/>
        <v>0</v>
      </c>
      <c r="O606">
        <f t="shared" si="50"/>
        <v>1</v>
      </c>
      <c r="P606" t="str">
        <f t="shared" si="49"/>
        <v/>
      </c>
      <c r="Q606">
        <f>COUNTIF('責任職　企業局→市長部局'!A:A,SQLデータ!B606)</f>
        <v>0</v>
      </c>
      <c r="R606">
        <f>COUNTIF('一般職員　企業局→市長部局'!A:F,SQLデータ!B606)</f>
        <v>0</v>
      </c>
    </row>
    <row r="607" spans="1:18" x14ac:dyDescent="0.4">
      <c r="A607" s="1">
        <v>202650000006</v>
      </c>
      <c r="B607" s="1">
        <v>1126154</v>
      </c>
      <c r="C607" s="2">
        <v>46115</v>
      </c>
      <c r="D607" t="s">
        <v>17</v>
      </c>
      <c r="E607" t="s">
        <v>11</v>
      </c>
      <c r="F607" t="s">
        <v>49</v>
      </c>
      <c r="G607" t="s">
        <v>9</v>
      </c>
      <c r="L607">
        <f t="shared" si="46"/>
        <v>0</v>
      </c>
      <c r="M607">
        <f t="shared" si="47"/>
        <v>0</v>
      </c>
      <c r="N607">
        <f t="shared" si="48"/>
        <v>0</v>
      </c>
      <c r="O607">
        <f t="shared" si="50"/>
        <v>1</v>
      </c>
      <c r="P607" t="str">
        <f t="shared" si="49"/>
        <v/>
      </c>
      <c r="Q607">
        <f>COUNTIF('責任職　企業局→市長部局'!A:A,SQLデータ!B607)</f>
        <v>0</v>
      </c>
      <c r="R607">
        <f>COUNTIF('一般職員　企業局→市長部局'!A:F,SQLデータ!B607)</f>
        <v>0</v>
      </c>
    </row>
    <row r="608" spans="1:18" x14ac:dyDescent="0.4">
      <c r="A608" s="1">
        <v>202650000007</v>
      </c>
      <c r="B608" s="1">
        <v>1186146</v>
      </c>
      <c r="C608" s="2">
        <v>46115</v>
      </c>
      <c r="D608" t="s">
        <v>17</v>
      </c>
      <c r="E608" t="s">
        <v>8</v>
      </c>
      <c r="F608" t="s">
        <v>47</v>
      </c>
      <c r="G608" t="s">
        <v>9</v>
      </c>
      <c r="L608">
        <f t="shared" si="46"/>
        <v>0</v>
      </c>
      <c r="M608">
        <f t="shared" si="47"/>
        <v>0</v>
      </c>
      <c r="N608">
        <f t="shared" si="48"/>
        <v>0</v>
      </c>
      <c r="O608">
        <f t="shared" si="50"/>
        <v>1</v>
      </c>
      <c r="P608" t="str">
        <f t="shared" si="49"/>
        <v/>
      </c>
      <c r="Q608">
        <f>COUNTIF('責任職　企業局→市長部局'!A:A,SQLデータ!B608)</f>
        <v>0</v>
      </c>
      <c r="R608">
        <f>COUNTIF('一般職員　企業局→市長部局'!A:F,SQLデータ!B608)</f>
        <v>0</v>
      </c>
    </row>
    <row r="609" spans="1:18" x14ac:dyDescent="0.4">
      <c r="A609" s="1">
        <v>202650000021</v>
      </c>
      <c r="B609" s="1">
        <v>930065</v>
      </c>
      <c r="C609" s="2">
        <v>46115</v>
      </c>
      <c r="D609" t="s">
        <v>17</v>
      </c>
      <c r="E609" t="s">
        <v>11</v>
      </c>
      <c r="F609" t="s">
        <v>49</v>
      </c>
      <c r="G609" t="s">
        <v>9</v>
      </c>
      <c r="L609">
        <f t="shared" si="46"/>
        <v>0</v>
      </c>
      <c r="M609">
        <f t="shared" si="47"/>
        <v>0</v>
      </c>
      <c r="N609">
        <f t="shared" si="48"/>
        <v>0</v>
      </c>
      <c r="O609">
        <f t="shared" si="50"/>
        <v>1</v>
      </c>
      <c r="P609" t="str">
        <f t="shared" si="49"/>
        <v/>
      </c>
      <c r="Q609">
        <f>COUNTIF('責任職　企業局→市長部局'!A:A,SQLデータ!B609)</f>
        <v>0</v>
      </c>
      <c r="R609">
        <f>COUNTIF('一般職員　企業局→市長部局'!A:F,SQLデータ!B609)</f>
        <v>0</v>
      </c>
    </row>
    <row r="610" spans="1:18" x14ac:dyDescent="0.4">
      <c r="A610" s="1">
        <v>202650000024</v>
      </c>
      <c r="B610" s="1">
        <v>1156130</v>
      </c>
      <c r="C610" s="2">
        <v>46115</v>
      </c>
      <c r="D610" t="s">
        <v>17</v>
      </c>
      <c r="E610" t="s">
        <v>8</v>
      </c>
      <c r="G610" t="s">
        <v>9</v>
      </c>
      <c r="L610">
        <f t="shared" si="46"/>
        <v>0</v>
      </c>
      <c r="M610">
        <f t="shared" si="47"/>
        <v>0</v>
      </c>
      <c r="N610">
        <f t="shared" si="48"/>
        <v>0</v>
      </c>
      <c r="O610">
        <f t="shared" si="50"/>
        <v>1</v>
      </c>
      <c r="P610" t="str">
        <f t="shared" si="49"/>
        <v/>
      </c>
      <c r="Q610">
        <f>COUNTIF('責任職　企業局→市長部局'!A:A,SQLデータ!B610)</f>
        <v>0</v>
      </c>
      <c r="R610">
        <f>COUNTIF('一般職員　企業局→市長部局'!A:F,SQLデータ!B610)</f>
        <v>0</v>
      </c>
    </row>
    <row r="611" spans="1:18" x14ac:dyDescent="0.4">
      <c r="A611" s="1">
        <v>202650000027</v>
      </c>
      <c r="B611" s="1">
        <v>1246013</v>
      </c>
      <c r="C611" s="2">
        <v>46120</v>
      </c>
      <c r="D611" t="s">
        <v>17</v>
      </c>
      <c r="E611" t="s">
        <v>11</v>
      </c>
      <c r="G611" t="s">
        <v>9</v>
      </c>
      <c r="L611">
        <f t="shared" si="46"/>
        <v>0</v>
      </c>
      <c r="M611">
        <f t="shared" si="47"/>
        <v>0</v>
      </c>
      <c r="N611">
        <f t="shared" si="48"/>
        <v>0</v>
      </c>
      <c r="O611">
        <f t="shared" si="50"/>
        <v>1</v>
      </c>
      <c r="P611" t="str">
        <f t="shared" si="49"/>
        <v/>
      </c>
      <c r="Q611">
        <f>COUNTIF('責任職　企業局→市長部局'!A:A,SQLデータ!B611)</f>
        <v>0</v>
      </c>
      <c r="R611">
        <f>COUNTIF('一般職員　企業局→市長部局'!A:F,SQLデータ!B611)</f>
        <v>0</v>
      </c>
    </row>
    <row r="612" spans="1:18" x14ac:dyDescent="0.4">
      <c r="A612" s="1">
        <v>202650000033</v>
      </c>
      <c r="B612" s="1">
        <v>992042</v>
      </c>
      <c r="C612" s="2">
        <v>46115</v>
      </c>
      <c r="D612" t="s">
        <v>17</v>
      </c>
      <c r="E612" t="s">
        <v>8</v>
      </c>
      <c r="G612" t="s">
        <v>9</v>
      </c>
      <c r="L612">
        <f t="shared" si="46"/>
        <v>0</v>
      </c>
      <c r="M612">
        <f t="shared" si="47"/>
        <v>0</v>
      </c>
      <c r="N612">
        <f t="shared" si="48"/>
        <v>0</v>
      </c>
      <c r="O612">
        <f t="shared" si="50"/>
        <v>1</v>
      </c>
      <c r="P612" t="str">
        <f t="shared" si="49"/>
        <v/>
      </c>
      <c r="Q612">
        <f>COUNTIF('責任職　企業局→市長部局'!A:A,SQLデータ!B612)</f>
        <v>0</v>
      </c>
      <c r="R612">
        <f>COUNTIF('一般職員　企業局→市長部局'!A:F,SQLデータ!B612)</f>
        <v>0</v>
      </c>
    </row>
    <row r="613" spans="1:18" x14ac:dyDescent="0.4">
      <c r="A613" s="1">
        <v>202650000039</v>
      </c>
      <c r="B613" s="1">
        <v>1206049</v>
      </c>
      <c r="C613" s="2">
        <v>46115</v>
      </c>
      <c r="D613" t="s">
        <v>17</v>
      </c>
      <c r="E613" t="s">
        <v>11</v>
      </c>
      <c r="G613" t="s">
        <v>9</v>
      </c>
      <c r="L613">
        <f t="shared" si="46"/>
        <v>0</v>
      </c>
      <c r="M613">
        <f t="shared" si="47"/>
        <v>0</v>
      </c>
      <c r="N613">
        <f t="shared" si="48"/>
        <v>0</v>
      </c>
      <c r="O613">
        <f t="shared" si="50"/>
        <v>1</v>
      </c>
      <c r="P613" t="str">
        <f t="shared" si="49"/>
        <v/>
      </c>
      <c r="Q613">
        <f>COUNTIF('責任職　企業局→市長部局'!A:A,SQLデータ!B613)</f>
        <v>0</v>
      </c>
      <c r="R613">
        <f>COUNTIF('一般職員　企業局→市長部局'!A:F,SQLデータ!B613)</f>
        <v>0</v>
      </c>
    </row>
    <row r="614" spans="1:18" x14ac:dyDescent="0.4">
      <c r="A614" s="1">
        <v>202650000041</v>
      </c>
      <c r="B614" s="1">
        <v>1206067</v>
      </c>
      <c r="C614" s="2">
        <v>46115</v>
      </c>
      <c r="D614" t="s">
        <v>17</v>
      </c>
      <c r="E614" t="s">
        <v>8</v>
      </c>
      <c r="F614" t="s">
        <v>47</v>
      </c>
      <c r="G614" t="s">
        <v>9</v>
      </c>
      <c r="L614">
        <f t="shared" si="46"/>
        <v>0</v>
      </c>
      <c r="M614">
        <f t="shared" si="47"/>
        <v>0</v>
      </c>
      <c r="N614">
        <f t="shared" si="48"/>
        <v>0</v>
      </c>
      <c r="O614">
        <f t="shared" si="50"/>
        <v>1</v>
      </c>
      <c r="P614" t="str">
        <f t="shared" si="49"/>
        <v/>
      </c>
      <c r="Q614">
        <f>COUNTIF('責任職　企業局→市長部局'!A:A,SQLデータ!B614)</f>
        <v>0</v>
      </c>
      <c r="R614">
        <f>COUNTIF('一般職員　企業局→市長部局'!A:F,SQLデータ!B614)</f>
        <v>0</v>
      </c>
    </row>
    <row r="615" spans="1:18" x14ac:dyDescent="0.4">
      <c r="A615" s="1">
        <v>202650000042</v>
      </c>
      <c r="B615" s="1">
        <v>1206095</v>
      </c>
      <c r="C615" s="2">
        <v>46115</v>
      </c>
      <c r="D615" t="s">
        <v>17</v>
      </c>
      <c r="E615" t="s">
        <v>11</v>
      </c>
      <c r="F615" t="s">
        <v>48</v>
      </c>
      <c r="G615" t="s">
        <v>9</v>
      </c>
      <c r="L615">
        <f t="shared" si="46"/>
        <v>0</v>
      </c>
      <c r="M615">
        <f t="shared" si="47"/>
        <v>0</v>
      </c>
      <c r="N615">
        <f t="shared" si="48"/>
        <v>0</v>
      </c>
      <c r="O615">
        <f t="shared" si="50"/>
        <v>1</v>
      </c>
      <c r="P615" t="str">
        <f t="shared" si="49"/>
        <v/>
      </c>
      <c r="Q615">
        <f>COUNTIF('責任職　企業局→市長部局'!A:A,SQLデータ!B615)</f>
        <v>0</v>
      </c>
      <c r="R615">
        <f>COUNTIF('一般職員　企業局→市長部局'!A:F,SQLデータ!B615)</f>
        <v>0</v>
      </c>
    </row>
    <row r="616" spans="1:18" x14ac:dyDescent="0.4">
      <c r="A616" s="1">
        <v>202650000043</v>
      </c>
      <c r="B616" s="1">
        <v>920494</v>
      </c>
      <c r="C616" s="2">
        <v>46115</v>
      </c>
      <c r="D616" t="s">
        <v>17</v>
      </c>
      <c r="E616" t="s">
        <v>8</v>
      </c>
      <c r="G616" t="s">
        <v>9</v>
      </c>
      <c r="L616">
        <f t="shared" si="46"/>
        <v>0</v>
      </c>
      <c r="M616">
        <f t="shared" si="47"/>
        <v>0</v>
      </c>
      <c r="N616">
        <f t="shared" si="48"/>
        <v>0</v>
      </c>
      <c r="O616">
        <f t="shared" si="50"/>
        <v>1</v>
      </c>
      <c r="P616" t="str">
        <f t="shared" si="49"/>
        <v/>
      </c>
      <c r="Q616">
        <f>COUNTIF('責任職　企業局→市長部局'!A:A,SQLデータ!B616)</f>
        <v>0</v>
      </c>
      <c r="R616">
        <f>COUNTIF('一般職員　企業局→市長部局'!A:F,SQLデータ!B616)</f>
        <v>0</v>
      </c>
    </row>
    <row r="617" spans="1:18" x14ac:dyDescent="0.4">
      <c r="A617" s="1">
        <v>202650000049</v>
      </c>
      <c r="B617" s="1">
        <v>920287</v>
      </c>
      <c r="C617" s="2">
        <v>46115</v>
      </c>
      <c r="D617" t="s">
        <v>17</v>
      </c>
      <c r="E617" t="s">
        <v>8</v>
      </c>
      <c r="G617" t="s">
        <v>9</v>
      </c>
      <c r="L617">
        <f t="shared" si="46"/>
        <v>0</v>
      </c>
      <c r="M617">
        <f t="shared" si="47"/>
        <v>0</v>
      </c>
      <c r="N617">
        <f t="shared" si="48"/>
        <v>0</v>
      </c>
      <c r="O617">
        <f t="shared" si="50"/>
        <v>1</v>
      </c>
      <c r="P617" t="str">
        <f t="shared" si="49"/>
        <v/>
      </c>
      <c r="Q617">
        <f>COUNTIF('責任職　企業局→市長部局'!A:A,SQLデータ!B617)</f>
        <v>0</v>
      </c>
      <c r="R617">
        <f>COUNTIF('一般職員　企業局→市長部局'!A:F,SQLデータ!B617)</f>
        <v>0</v>
      </c>
    </row>
    <row r="618" spans="1:18" x14ac:dyDescent="0.4">
      <c r="A618" s="1">
        <v>202650000051</v>
      </c>
      <c r="B618" s="1">
        <v>850104</v>
      </c>
      <c r="C618" s="2">
        <v>46115</v>
      </c>
      <c r="D618" t="s">
        <v>17</v>
      </c>
      <c r="E618" t="s">
        <v>11</v>
      </c>
      <c r="F618" t="s">
        <v>54</v>
      </c>
      <c r="G618" t="s">
        <v>9</v>
      </c>
      <c r="L618">
        <f t="shared" si="46"/>
        <v>0</v>
      </c>
      <c r="M618">
        <f t="shared" si="47"/>
        <v>0</v>
      </c>
      <c r="N618">
        <f t="shared" si="48"/>
        <v>0</v>
      </c>
      <c r="O618">
        <f t="shared" si="50"/>
        <v>1</v>
      </c>
      <c r="P618" t="str">
        <f t="shared" si="49"/>
        <v/>
      </c>
      <c r="Q618">
        <f>COUNTIF('責任職　企業局→市長部局'!A:A,SQLデータ!B618)</f>
        <v>0</v>
      </c>
      <c r="R618">
        <f>COUNTIF('一般職員　企業局→市長部局'!A:F,SQLデータ!B618)</f>
        <v>0</v>
      </c>
    </row>
    <row r="619" spans="1:18" x14ac:dyDescent="0.4">
      <c r="A619" s="1">
        <v>202650000052</v>
      </c>
      <c r="B619" s="1">
        <v>820186</v>
      </c>
      <c r="C619" s="2">
        <v>46115</v>
      </c>
      <c r="D619" t="s">
        <v>17</v>
      </c>
      <c r="E619" t="s">
        <v>11</v>
      </c>
      <c r="F619" t="s">
        <v>53</v>
      </c>
      <c r="G619" t="s">
        <v>9</v>
      </c>
      <c r="L619">
        <f t="shared" si="46"/>
        <v>0</v>
      </c>
      <c r="M619">
        <f t="shared" si="47"/>
        <v>0</v>
      </c>
      <c r="N619">
        <f t="shared" si="48"/>
        <v>0</v>
      </c>
      <c r="O619">
        <f t="shared" si="50"/>
        <v>1</v>
      </c>
      <c r="P619" t="str">
        <f t="shared" si="49"/>
        <v/>
      </c>
      <c r="Q619">
        <f>COUNTIF('責任職　企業局→市長部局'!A:A,SQLデータ!B619)</f>
        <v>0</v>
      </c>
      <c r="R619">
        <f>COUNTIF('一般職員　企業局→市長部局'!A:F,SQLデータ!B619)</f>
        <v>0</v>
      </c>
    </row>
    <row r="620" spans="1:18" x14ac:dyDescent="0.4">
      <c r="A620" s="1">
        <v>202650000058</v>
      </c>
      <c r="B620" s="1">
        <v>1236050</v>
      </c>
      <c r="C620" s="2">
        <v>46116</v>
      </c>
      <c r="D620" t="s">
        <v>17</v>
      </c>
      <c r="E620" t="s">
        <v>10</v>
      </c>
      <c r="F620" t="s">
        <v>48</v>
      </c>
      <c r="G620" t="s">
        <v>9</v>
      </c>
      <c r="L620">
        <f t="shared" si="46"/>
        <v>0</v>
      </c>
      <c r="M620">
        <f t="shared" si="47"/>
        <v>0</v>
      </c>
      <c r="N620">
        <f t="shared" si="48"/>
        <v>0</v>
      </c>
      <c r="O620">
        <f t="shared" si="50"/>
        <v>1</v>
      </c>
      <c r="P620" t="str">
        <f t="shared" si="49"/>
        <v/>
      </c>
      <c r="Q620">
        <f>COUNTIF('責任職　企業局→市長部局'!A:A,SQLデータ!B620)</f>
        <v>0</v>
      </c>
      <c r="R620">
        <f>COUNTIF('一般職員　企業局→市長部局'!A:F,SQLデータ!B620)</f>
        <v>0</v>
      </c>
    </row>
    <row r="621" spans="1:18" x14ac:dyDescent="0.4">
      <c r="A621" s="1">
        <v>202650000059</v>
      </c>
      <c r="B621" s="1">
        <v>1022034</v>
      </c>
      <c r="C621" s="2">
        <v>46115</v>
      </c>
      <c r="D621" t="s">
        <v>17</v>
      </c>
      <c r="E621" t="s">
        <v>8</v>
      </c>
      <c r="G621" t="s">
        <v>9</v>
      </c>
      <c r="L621">
        <f t="shared" si="46"/>
        <v>0</v>
      </c>
      <c r="M621">
        <f t="shared" si="47"/>
        <v>0</v>
      </c>
      <c r="N621">
        <f t="shared" si="48"/>
        <v>0</v>
      </c>
      <c r="O621">
        <f t="shared" si="50"/>
        <v>1</v>
      </c>
      <c r="P621" t="str">
        <f t="shared" si="49"/>
        <v/>
      </c>
      <c r="Q621">
        <f>COUNTIF('責任職　企業局→市長部局'!A:A,SQLデータ!B621)</f>
        <v>0</v>
      </c>
      <c r="R621">
        <f>COUNTIF('一般職員　企業局→市長部局'!A:F,SQLデータ!B621)</f>
        <v>0</v>
      </c>
    </row>
    <row r="622" spans="1:18" x14ac:dyDescent="0.4">
      <c r="A622" s="1">
        <v>202650000063</v>
      </c>
      <c r="B622" s="1">
        <v>1181150</v>
      </c>
      <c r="C622" s="2">
        <v>46115</v>
      </c>
      <c r="D622" t="s">
        <v>17</v>
      </c>
      <c r="E622" t="s">
        <v>11</v>
      </c>
      <c r="G622" t="s">
        <v>9</v>
      </c>
      <c r="L622">
        <f t="shared" si="46"/>
        <v>0</v>
      </c>
      <c r="M622">
        <f t="shared" si="47"/>
        <v>0</v>
      </c>
      <c r="N622">
        <f t="shared" si="48"/>
        <v>0</v>
      </c>
      <c r="O622">
        <f t="shared" si="50"/>
        <v>1</v>
      </c>
      <c r="P622" t="str">
        <f t="shared" si="49"/>
        <v/>
      </c>
      <c r="Q622">
        <f>COUNTIF('責任職　企業局→市長部局'!A:A,SQLデータ!B622)</f>
        <v>0</v>
      </c>
      <c r="R622">
        <f>COUNTIF('一般職員　企業局→市長部局'!A:F,SQLデータ!B622)</f>
        <v>0</v>
      </c>
    </row>
    <row r="623" spans="1:18" x14ac:dyDescent="0.4">
      <c r="A623" s="1">
        <v>202650000074</v>
      </c>
      <c r="B623" s="1">
        <v>1046063</v>
      </c>
      <c r="C623" s="2">
        <v>46115</v>
      </c>
      <c r="D623" t="s">
        <v>17</v>
      </c>
      <c r="E623" t="s">
        <v>8</v>
      </c>
      <c r="G623" t="s">
        <v>9</v>
      </c>
      <c r="L623">
        <f t="shared" si="46"/>
        <v>0</v>
      </c>
      <c r="M623">
        <f t="shared" si="47"/>
        <v>0</v>
      </c>
      <c r="N623">
        <f t="shared" si="48"/>
        <v>0</v>
      </c>
      <c r="O623">
        <f t="shared" si="50"/>
        <v>1</v>
      </c>
      <c r="P623" t="str">
        <f t="shared" si="49"/>
        <v/>
      </c>
      <c r="Q623">
        <f>COUNTIF('責任職　企業局→市長部局'!A:A,SQLデータ!B623)</f>
        <v>0</v>
      </c>
      <c r="R623">
        <f>COUNTIF('一般職員　企業局→市長部局'!A:F,SQLデータ!B623)</f>
        <v>0</v>
      </c>
    </row>
    <row r="624" spans="1:18" x14ac:dyDescent="0.4">
      <c r="A624" s="1">
        <v>202650000080</v>
      </c>
      <c r="B624" s="1">
        <v>1226082</v>
      </c>
      <c r="C624" s="2">
        <v>46115</v>
      </c>
      <c r="D624" t="s">
        <v>17</v>
      </c>
      <c r="E624" t="s">
        <v>10</v>
      </c>
      <c r="G624" t="s">
        <v>9</v>
      </c>
      <c r="L624">
        <f t="shared" si="46"/>
        <v>0</v>
      </c>
      <c r="M624">
        <f t="shared" si="47"/>
        <v>0</v>
      </c>
      <c r="N624">
        <f t="shared" si="48"/>
        <v>0</v>
      </c>
      <c r="O624">
        <f t="shared" si="50"/>
        <v>1</v>
      </c>
      <c r="P624" t="str">
        <f t="shared" si="49"/>
        <v/>
      </c>
      <c r="Q624">
        <f>COUNTIF('責任職　企業局→市長部局'!A:A,SQLデータ!B624)</f>
        <v>0</v>
      </c>
      <c r="R624">
        <f>COUNTIF('一般職員　企業局→市長部局'!A:F,SQLデータ!B624)</f>
        <v>0</v>
      </c>
    </row>
    <row r="625" spans="1:18" x14ac:dyDescent="0.4">
      <c r="A625" s="1">
        <v>202650000081</v>
      </c>
      <c r="B625" s="1">
        <v>1136055</v>
      </c>
      <c r="C625" s="2">
        <v>46115</v>
      </c>
      <c r="D625" t="s">
        <v>17</v>
      </c>
      <c r="E625" t="s">
        <v>11</v>
      </c>
      <c r="F625" t="s">
        <v>49</v>
      </c>
      <c r="G625" t="s">
        <v>9</v>
      </c>
      <c r="L625">
        <f t="shared" si="46"/>
        <v>0</v>
      </c>
      <c r="M625">
        <f t="shared" si="47"/>
        <v>0</v>
      </c>
      <c r="N625">
        <f t="shared" si="48"/>
        <v>0</v>
      </c>
      <c r="O625">
        <f t="shared" si="50"/>
        <v>1</v>
      </c>
      <c r="P625" t="str">
        <f t="shared" si="49"/>
        <v/>
      </c>
      <c r="Q625">
        <f>COUNTIF('責任職　企業局→市長部局'!A:A,SQLデータ!B625)</f>
        <v>0</v>
      </c>
      <c r="R625">
        <f>COUNTIF('一般職員　企業局→市長部局'!A:F,SQLデータ!B625)</f>
        <v>0</v>
      </c>
    </row>
    <row r="626" spans="1:18" x14ac:dyDescent="0.4">
      <c r="A626" s="1">
        <v>202650000085</v>
      </c>
      <c r="B626" s="1">
        <v>1076022</v>
      </c>
      <c r="C626" s="2">
        <v>46115</v>
      </c>
      <c r="D626" t="s">
        <v>17</v>
      </c>
      <c r="E626" t="s">
        <v>11</v>
      </c>
      <c r="G626" t="s">
        <v>9</v>
      </c>
      <c r="L626">
        <f t="shared" si="46"/>
        <v>0</v>
      </c>
      <c r="M626">
        <f t="shared" si="47"/>
        <v>0</v>
      </c>
      <c r="N626">
        <f t="shared" si="48"/>
        <v>0</v>
      </c>
      <c r="O626">
        <f t="shared" si="50"/>
        <v>1</v>
      </c>
      <c r="P626" t="str">
        <f t="shared" si="49"/>
        <v/>
      </c>
      <c r="Q626">
        <f>COUNTIF('責任職　企業局→市長部局'!A:A,SQLデータ!B626)</f>
        <v>0</v>
      </c>
      <c r="R626">
        <f>COUNTIF('一般職員　企業局→市長部局'!A:F,SQLデータ!B626)</f>
        <v>0</v>
      </c>
    </row>
    <row r="627" spans="1:18" x14ac:dyDescent="0.4">
      <c r="A627" s="1">
        <v>202650000090</v>
      </c>
      <c r="B627" s="1">
        <v>950343</v>
      </c>
      <c r="C627" s="2">
        <v>46115</v>
      </c>
      <c r="D627" t="s">
        <v>17</v>
      </c>
      <c r="E627" t="s">
        <v>11</v>
      </c>
      <c r="G627" t="s">
        <v>9</v>
      </c>
      <c r="L627">
        <f t="shared" si="46"/>
        <v>0</v>
      </c>
      <c r="M627">
        <f t="shared" si="47"/>
        <v>0</v>
      </c>
      <c r="N627">
        <f t="shared" si="48"/>
        <v>0</v>
      </c>
      <c r="O627">
        <f t="shared" si="50"/>
        <v>1</v>
      </c>
      <c r="P627" t="str">
        <f t="shared" si="49"/>
        <v/>
      </c>
      <c r="Q627">
        <f>COUNTIF('責任職　企業局→市長部局'!A:A,SQLデータ!B627)</f>
        <v>0</v>
      </c>
      <c r="R627">
        <f>COUNTIF('一般職員　企業局→市長部局'!A:F,SQLデータ!B627)</f>
        <v>0</v>
      </c>
    </row>
    <row r="628" spans="1:18" x14ac:dyDescent="0.4">
      <c r="A628" s="1">
        <v>202650000095</v>
      </c>
      <c r="B628" s="1">
        <v>1086035</v>
      </c>
      <c r="C628" s="2">
        <v>46115</v>
      </c>
      <c r="D628" t="s">
        <v>17</v>
      </c>
      <c r="E628" t="s">
        <v>12</v>
      </c>
      <c r="F628" t="s">
        <v>48</v>
      </c>
      <c r="G628" t="s">
        <v>9</v>
      </c>
      <c r="L628">
        <f t="shared" si="46"/>
        <v>0</v>
      </c>
      <c r="M628">
        <f t="shared" si="47"/>
        <v>0</v>
      </c>
      <c r="N628">
        <f t="shared" si="48"/>
        <v>0</v>
      </c>
      <c r="O628">
        <f t="shared" si="50"/>
        <v>1</v>
      </c>
      <c r="P628" t="str">
        <f t="shared" si="49"/>
        <v/>
      </c>
      <c r="Q628">
        <f>COUNTIF('責任職　企業局→市長部局'!A:A,SQLデータ!B628)</f>
        <v>0</v>
      </c>
      <c r="R628">
        <f>COUNTIF('一般職員　企業局→市長部局'!A:F,SQLデータ!B628)</f>
        <v>0</v>
      </c>
    </row>
    <row r="629" spans="1:18" x14ac:dyDescent="0.4">
      <c r="A629" s="1">
        <v>202650000098</v>
      </c>
      <c r="B629" s="1">
        <v>880399</v>
      </c>
      <c r="C629" s="2">
        <v>46115</v>
      </c>
      <c r="D629" t="s">
        <v>17</v>
      </c>
      <c r="E629" t="s">
        <v>11</v>
      </c>
      <c r="G629" t="s">
        <v>9</v>
      </c>
      <c r="L629">
        <f t="shared" si="46"/>
        <v>0</v>
      </c>
      <c r="M629">
        <f t="shared" si="47"/>
        <v>0</v>
      </c>
      <c r="N629">
        <f t="shared" si="48"/>
        <v>0</v>
      </c>
      <c r="O629">
        <f t="shared" si="50"/>
        <v>1</v>
      </c>
      <c r="P629" t="str">
        <f t="shared" si="49"/>
        <v/>
      </c>
      <c r="Q629">
        <f>COUNTIF('責任職　企業局→市長部局'!A:A,SQLデータ!B629)</f>
        <v>0</v>
      </c>
      <c r="R629">
        <f>COUNTIF('一般職員　企業局→市長部局'!A:F,SQLデータ!B629)</f>
        <v>0</v>
      </c>
    </row>
    <row r="630" spans="1:18" x14ac:dyDescent="0.4">
      <c r="A630" s="1">
        <v>202650000101</v>
      </c>
      <c r="B630" s="1">
        <v>1151248</v>
      </c>
      <c r="C630" s="2">
        <v>46115</v>
      </c>
      <c r="D630" t="s">
        <v>17</v>
      </c>
      <c r="E630" t="s">
        <v>12</v>
      </c>
      <c r="G630" t="s">
        <v>9</v>
      </c>
      <c r="L630">
        <f t="shared" si="46"/>
        <v>0</v>
      </c>
      <c r="M630">
        <f t="shared" si="47"/>
        <v>0</v>
      </c>
      <c r="N630">
        <f t="shared" si="48"/>
        <v>0</v>
      </c>
      <c r="O630">
        <f t="shared" si="50"/>
        <v>1</v>
      </c>
      <c r="P630" t="str">
        <f t="shared" si="49"/>
        <v/>
      </c>
      <c r="Q630">
        <f>COUNTIF('責任職　企業局→市長部局'!A:A,SQLデータ!B630)</f>
        <v>0</v>
      </c>
      <c r="R630">
        <f>COUNTIF('一般職員　企業局→市長部局'!A:F,SQLデータ!B630)</f>
        <v>0</v>
      </c>
    </row>
    <row r="631" spans="1:18" x14ac:dyDescent="0.4">
      <c r="A631" s="1">
        <v>202650000102</v>
      </c>
      <c r="B631" s="1">
        <v>1131203</v>
      </c>
      <c r="C631" s="2">
        <v>46115</v>
      </c>
      <c r="D631" t="s">
        <v>17</v>
      </c>
      <c r="E631" t="s">
        <v>12</v>
      </c>
      <c r="G631" t="s">
        <v>9</v>
      </c>
      <c r="L631">
        <f t="shared" si="46"/>
        <v>0</v>
      </c>
      <c r="M631">
        <f t="shared" si="47"/>
        <v>0</v>
      </c>
      <c r="N631">
        <f t="shared" si="48"/>
        <v>0</v>
      </c>
      <c r="O631">
        <f t="shared" si="50"/>
        <v>1</v>
      </c>
      <c r="P631" t="str">
        <f t="shared" si="49"/>
        <v/>
      </c>
      <c r="Q631">
        <f>COUNTIF('責任職　企業局→市長部局'!A:A,SQLデータ!B631)</f>
        <v>0</v>
      </c>
      <c r="R631">
        <f>COUNTIF('一般職員　企業局→市長部局'!A:F,SQLデータ!B631)</f>
        <v>0</v>
      </c>
    </row>
    <row r="632" spans="1:18" x14ac:dyDescent="0.4">
      <c r="A632" s="1">
        <v>202650000104</v>
      </c>
      <c r="B632" s="1">
        <v>1061197</v>
      </c>
      <c r="C632" s="2">
        <v>46115</v>
      </c>
      <c r="D632" t="s">
        <v>17</v>
      </c>
      <c r="E632" t="s">
        <v>11</v>
      </c>
      <c r="F632" t="s">
        <v>49</v>
      </c>
      <c r="G632" t="s">
        <v>9</v>
      </c>
      <c r="L632">
        <f t="shared" si="46"/>
        <v>0</v>
      </c>
      <c r="M632">
        <f t="shared" si="47"/>
        <v>0</v>
      </c>
      <c r="N632">
        <f t="shared" si="48"/>
        <v>0</v>
      </c>
      <c r="O632">
        <f t="shared" si="50"/>
        <v>1</v>
      </c>
      <c r="P632" t="str">
        <f t="shared" si="49"/>
        <v/>
      </c>
      <c r="Q632">
        <f>COUNTIF('責任職　企業局→市長部局'!A:A,SQLデータ!B632)</f>
        <v>0</v>
      </c>
      <c r="R632">
        <f>COUNTIF('一般職員　企業局→市長部局'!A:F,SQLデータ!B632)</f>
        <v>0</v>
      </c>
    </row>
    <row r="633" spans="1:18" x14ac:dyDescent="0.4">
      <c r="A633" s="1">
        <v>202650000105</v>
      </c>
      <c r="B633" s="1">
        <v>1121319</v>
      </c>
      <c r="C633" s="2">
        <v>46115</v>
      </c>
      <c r="D633" t="s">
        <v>17</v>
      </c>
      <c r="E633" t="s">
        <v>11</v>
      </c>
      <c r="G633" t="s">
        <v>9</v>
      </c>
      <c r="L633">
        <f t="shared" si="46"/>
        <v>0</v>
      </c>
      <c r="M633">
        <f t="shared" si="47"/>
        <v>0</v>
      </c>
      <c r="N633">
        <f t="shared" si="48"/>
        <v>0</v>
      </c>
      <c r="O633">
        <f t="shared" si="50"/>
        <v>1</v>
      </c>
      <c r="P633" t="str">
        <f t="shared" si="49"/>
        <v/>
      </c>
      <c r="Q633">
        <f>COUNTIF('責任職　企業局→市長部局'!A:A,SQLデータ!B633)</f>
        <v>0</v>
      </c>
      <c r="R633">
        <f>COUNTIF('一般職員　企業局→市長部局'!A:F,SQLデータ!B633)</f>
        <v>0</v>
      </c>
    </row>
    <row r="634" spans="1:18" x14ac:dyDescent="0.4">
      <c r="A634" s="1">
        <v>202650000106</v>
      </c>
      <c r="B634" s="1">
        <v>1111533</v>
      </c>
      <c r="C634" s="2">
        <v>46115</v>
      </c>
      <c r="D634" t="s">
        <v>17</v>
      </c>
      <c r="E634" t="s">
        <v>11</v>
      </c>
      <c r="G634" t="s">
        <v>9</v>
      </c>
      <c r="L634">
        <f t="shared" si="46"/>
        <v>0</v>
      </c>
      <c r="M634">
        <f t="shared" si="47"/>
        <v>0</v>
      </c>
      <c r="N634">
        <f t="shared" si="48"/>
        <v>0</v>
      </c>
      <c r="O634">
        <f t="shared" si="50"/>
        <v>1</v>
      </c>
      <c r="P634" t="str">
        <f t="shared" si="49"/>
        <v/>
      </c>
      <c r="Q634">
        <f>COUNTIF('責任職　企業局→市長部局'!A:A,SQLデータ!B634)</f>
        <v>0</v>
      </c>
      <c r="R634">
        <f>COUNTIF('一般職員　企業局→市長部局'!A:F,SQLデータ!B634)</f>
        <v>0</v>
      </c>
    </row>
    <row r="635" spans="1:18" x14ac:dyDescent="0.4">
      <c r="A635" s="1">
        <v>202650000107</v>
      </c>
      <c r="B635" s="1">
        <v>950201</v>
      </c>
      <c r="C635" s="2">
        <v>46115</v>
      </c>
      <c r="D635" t="s">
        <v>17</v>
      </c>
      <c r="E635" t="s">
        <v>11</v>
      </c>
      <c r="F635" t="s">
        <v>894</v>
      </c>
      <c r="G635" t="s">
        <v>9</v>
      </c>
      <c r="L635">
        <f t="shared" si="46"/>
        <v>0</v>
      </c>
      <c r="M635">
        <f t="shared" si="47"/>
        <v>0</v>
      </c>
      <c r="N635">
        <f t="shared" si="48"/>
        <v>0</v>
      </c>
      <c r="O635">
        <f t="shared" si="50"/>
        <v>1</v>
      </c>
      <c r="P635" t="str">
        <f t="shared" si="49"/>
        <v/>
      </c>
      <c r="Q635">
        <f>COUNTIF('責任職　企業局→市長部局'!A:A,SQLデータ!B635)</f>
        <v>0</v>
      </c>
      <c r="R635">
        <f>COUNTIF('一般職員　企業局→市長部局'!A:F,SQLデータ!B635)</f>
        <v>0</v>
      </c>
    </row>
    <row r="636" spans="1:18" x14ac:dyDescent="0.4">
      <c r="A636" s="1">
        <v>202650000110</v>
      </c>
      <c r="B636" s="1">
        <v>1116034</v>
      </c>
      <c r="C636" s="2">
        <v>46115</v>
      </c>
      <c r="D636" t="s">
        <v>17</v>
      </c>
      <c r="E636" t="s">
        <v>11</v>
      </c>
      <c r="F636" t="s">
        <v>49</v>
      </c>
      <c r="G636" t="s">
        <v>9</v>
      </c>
      <c r="L636">
        <f t="shared" si="46"/>
        <v>0</v>
      </c>
      <c r="M636">
        <f t="shared" si="47"/>
        <v>0</v>
      </c>
      <c r="N636">
        <f t="shared" si="48"/>
        <v>0</v>
      </c>
      <c r="O636">
        <f t="shared" si="50"/>
        <v>1</v>
      </c>
      <c r="P636" t="str">
        <f t="shared" si="49"/>
        <v/>
      </c>
      <c r="Q636">
        <f>COUNTIF('責任職　企業局→市長部局'!A:A,SQLデータ!B636)</f>
        <v>0</v>
      </c>
      <c r="R636">
        <f>COUNTIF('一般職員　企業局→市長部局'!A:F,SQLデータ!B636)</f>
        <v>0</v>
      </c>
    </row>
    <row r="637" spans="1:18" x14ac:dyDescent="0.4">
      <c r="A637" s="1">
        <v>202650000111</v>
      </c>
      <c r="B637" s="1">
        <v>991124</v>
      </c>
      <c r="C637" s="2">
        <v>46115</v>
      </c>
      <c r="D637" t="s">
        <v>17</v>
      </c>
      <c r="E637" t="s">
        <v>12</v>
      </c>
      <c r="G637" t="s">
        <v>9</v>
      </c>
      <c r="L637">
        <f t="shared" si="46"/>
        <v>0</v>
      </c>
      <c r="M637">
        <f t="shared" si="47"/>
        <v>0</v>
      </c>
      <c r="N637">
        <f t="shared" si="48"/>
        <v>0</v>
      </c>
      <c r="O637">
        <f t="shared" si="50"/>
        <v>1</v>
      </c>
      <c r="P637" t="str">
        <f t="shared" si="49"/>
        <v/>
      </c>
      <c r="Q637">
        <f>COUNTIF('責任職　企業局→市長部局'!A:A,SQLデータ!B637)</f>
        <v>0</v>
      </c>
      <c r="R637">
        <f>COUNTIF('一般職員　企業局→市長部局'!A:F,SQLデータ!B637)</f>
        <v>0</v>
      </c>
    </row>
    <row r="638" spans="1:18" x14ac:dyDescent="0.4">
      <c r="A638" s="1">
        <v>202650000112</v>
      </c>
      <c r="B638" s="1">
        <v>1031149</v>
      </c>
      <c r="C638" s="2">
        <v>46115</v>
      </c>
      <c r="D638" t="s">
        <v>17</v>
      </c>
      <c r="E638" t="s">
        <v>8</v>
      </c>
      <c r="F638" t="s">
        <v>47</v>
      </c>
      <c r="G638" t="s">
        <v>9</v>
      </c>
      <c r="L638">
        <f t="shared" si="46"/>
        <v>0</v>
      </c>
      <c r="M638">
        <f t="shared" si="47"/>
        <v>0</v>
      </c>
      <c r="N638">
        <f t="shared" si="48"/>
        <v>0</v>
      </c>
      <c r="O638">
        <f t="shared" si="50"/>
        <v>1</v>
      </c>
      <c r="P638" t="str">
        <f t="shared" si="49"/>
        <v/>
      </c>
      <c r="Q638">
        <f>COUNTIF('責任職　企業局→市長部局'!A:A,SQLデータ!B638)</f>
        <v>0</v>
      </c>
      <c r="R638">
        <f>COUNTIF('一般職員　企業局→市長部局'!A:F,SQLデータ!B638)</f>
        <v>0</v>
      </c>
    </row>
    <row r="639" spans="1:18" x14ac:dyDescent="0.4">
      <c r="A639" s="1">
        <v>202650000114</v>
      </c>
      <c r="B639" s="1">
        <v>880088</v>
      </c>
      <c r="C639" s="2">
        <v>46115</v>
      </c>
      <c r="D639" t="s">
        <v>17</v>
      </c>
      <c r="E639" t="s">
        <v>11</v>
      </c>
      <c r="G639" t="s">
        <v>9</v>
      </c>
      <c r="L639">
        <f t="shared" si="46"/>
        <v>0</v>
      </c>
      <c r="M639">
        <f t="shared" si="47"/>
        <v>0</v>
      </c>
      <c r="N639">
        <f t="shared" si="48"/>
        <v>0</v>
      </c>
      <c r="O639">
        <f t="shared" si="50"/>
        <v>1</v>
      </c>
      <c r="P639" t="str">
        <f t="shared" si="49"/>
        <v/>
      </c>
      <c r="Q639">
        <f>COUNTIF('責任職　企業局→市長部局'!A:A,SQLデータ!B639)</f>
        <v>0</v>
      </c>
      <c r="R639">
        <f>COUNTIF('一般職員　企業局→市長部局'!A:F,SQLデータ!B639)</f>
        <v>0</v>
      </c>
    </row>
    <row r="640" spans="1:18" x14ac:dyDescent="0.4">
      <c r="A640" s="1">
        <v>202650000115</v>
      </c>
      <c r="B640" s="1">
        <v>1206117</v>
      </c>
      <c r="C640" s="2">
        <v>46115</v>
      </c>
      <c r="D640" t="s">
        <v>17</v>
      </c>
      <c r="E640" t="s">
        <v>11</v>
      </c>
      <c r="G640" t="s">
        <v>9</v>
      </c>
      <c r="L640">
        <f t="shared" si="46"/>
        <v>0</v>
      </c>
      <c r="M640">
        <f t="shared" si="47"/>
        <v>0</v>
      </c>
      <c r="N640">
        <f t="shared" si="48"/>
        <v>0</v>
      </c>
      <c r="O640">
        <f t="shared" si="50"/>
        <v>1</v>
      </c>
      <c r="P640" t="str">
        <f t="shared" si="49"/>
        <v/>
      </c>
      <c r="Q640">
        <f>COUNTIF('責任職　企業局→市長部局'!A:A,SQLデータ!B640)</f>
        <v>0</v>
      </c>
      <c r="R640">
        <f>COUNTIF('一般職員　企業局→市長部局'!A:F,SQLデータ!B640)</f>
        <v>0</v>
      </c>
    </row>
    <row r="641" spans="1:18" x14ac:dyDescent="0.4">
      <c r="A641" s="1">
        <v>202650000119</v>
      </c>
      <c r="B641" s="1">
        <v>1016014</v>
      </c>
      <c r="C641" s="2">
        <v>46115</v>
      </c>
      <c r="D641" t="s">
        <v>17</v>
      </c>
      <c r="E641" t="s">
        <v>11</v>
      </c>
      <c r="G641" t="s">
        <v>9</v>
      </c>
      <c r="L641">
        <f t="shared" si="46"/>
        <v>0</v>
      </c>
      <c r="M641">
        <f t="shared" si="47"/>
        <v>0</v>
      </c>
      <c r="N641">
        <f t="shared" si="48"/>
        <v>0</v>
      </c>
      <c r="O641">
        <f t="shared" si="50"/>
        <v>1</v>
      </c>
      <c r="P641" t="str">
        <f t="shared" si="49"/>
        <v/>
      </c>
      <c r="Q641">
        <f>COUNTIF('責任職　企業局→市長部局'!A:A,SQLデータ!B641)</f>
        <v>0</v>
      </c>
      <c r="R641">
        <f>COUNTIF('一般職員　企業局→市長部局'!A:F,SQLデータ!B641)</f>
        <v>0</v>
      </c>
    </row>
    <row r="642" spans="1:18" x14ac:dyDescent="0.4">
      <c r="A642" s="1">
        <v>202650000122</v>
      </c>
      <c r="B642" s="1">
        <v>840478</v>
      </c>
      <c r="C642" s="2">
        <v>46115</v>
      </c>
      <c r="D642" t="s">
        <v>17</v>
      </c>
      <c r="E642" t="s">
        <v>10</v>
      </c>
      <c r="F642" t="s">
        <v>48</v>
      </c>
      <c r="G642" t="s">
        <v>9</v>
      </c>
      <c r="L642">
        <f t="shared" ref="L642:L705" si="51">IF(ISBLANK(J642),0,1)</f>
        <v>0</v>
      </c>
      <c r="M642">
        <f t="shared" ref="M642:M705" si="52">IF(AND(L642=0,I642&lt;&gt;""),1,0)</f>
        <v>0</v>
      </c>
      <c r="N642">
        <f t="shared" ref="N642:N705" si="53">IF(AND(L642=0,M642=0,K642&lt;&gt;""),1,0)</f>
        <v>0</v>
      </c>
      <c r="O642">
        <f t="shared" si="50"/>
        <v>1</v>
      </c>
      <c r="P642" t="str">
        <f t="shared" ref="P642:P705" si="54">IF(D642&lt;&gt;"扶養","",IF(E642&lt;&gt;"確認待ち",1,IF(OR(AND(G642="本人の結婚",O642=1),AND(H642="減",OR(N642=1,O642=1))),1,0)))</f>
        <v/>
      </c>
      <c r="Q642">
        <f>COUNTIF('責任職　企業局→市長部局'!A:A,SQLデータ!B642)</f>
        <v>0</v>
      </c>
      <c r="R642">
        <f>COUNTIF('一般職員　企業局→市長部局'!A:F,SQLデータ!B642)</f>
        <v>0</v>
      </c>
    </row>
    <row r="643" spans="1:18" x14ac:dyDescent="0.4">
      <c r="A643" s="1">
        <v>202650000142</v>
      </c>
      <c r="B643" s="1">
        <v>920597</v>
      </c>
      <c r="C643" s="2">
        <v>46115</v>
      </c>
      <c r="D643" t="s">
        <v>17</v>
      </c>
      <c r="E643" t="s">
        <v>11</v>
      </c>
      <c r="G643" t="s">
        <v>9</v>
      </c>
      <c r="L643">
        <f t="shared" si="51"/>
        <v>0</v>
      </c>
      <c r="M643">
        <f t="shared" si="52"/>
        <v>0</v>
      </c>
      <c r="N643">
        <f t="shared" si="53"/>
        <v>0</v>
      </c>
      <c r="O643">
        <f t="shared" si="50"/>
        <v>1</v>
      </c>
      <c r="P643" t="str">
        <f t="shared" si="54"/>
        <v/>
      </c>
      <c r="Q643">
        <f>COUNTIF('責任職　企業局→市長部局'!A:A,SQLデータ!B643)</f>
        <v>0</v>
      </c>
      <c r="R643">
        <f>COUNTIF('一般職員　企業局→市長部局'!A:F,SQLデータ!B643)</f>
        <v>0</v>
      </c>
    </row>
    <row r="644" spans="1:18" x14ac:dyDescent="0.4">
      <c r="A644" s="1">
        <v>202650000144</v>
      </c>
      <c r="B644" s="1">
        <v>1036052</v>
      </c>
      <c r="C644" s="2">
        <v>46115</v>
      </c>
      <c r="D644" t="s">
        <v>17</v>
      </c>
      <c r="E644" t="s">
        <v>12</v>
      </c>
      <c r="G644" t="s">
        <v>9</v>
      </c>
      <c r="L644">
        <f t="shared" si="51"/>
        <v>0</v>
      </c>
      <c r="M644">
        <f t="shared" si="52"/>
        <v>0</v>
      </c>
      <c r="N644">
        <f t="shared" si="53"/>
        <v>0</v>
      </c>
      <c r="O644">
        <f t="shared" si="50"/>
        <v>1</v>
      </c>
      <c r="P644" t="str">
        <f t="shared" si="54"/>
        <v/>
      </c>
      <c r="Q644">
        <f>COUNTIF('責任職　企業局→市長部局'!A:A,SQLデータ!B644)</f>
        <v>0</v>
      </c>
      <c r="R644">
        <f>COUNTIF('一般職員　企業局→市長部局'!A:F,SQLデータ!B644)</f>
        <v>0</v>
      </c>
    </row>
    <row r="645" spans="1:18" x14ac:dyDescent="0.4">
      <c r="A645" s="1">
        <v>202650000160</v>
      </c>
      <c r="B645" s="1">
        <v>1171437</v>
      </c>
      <c r="C645" s="2">
        <v>46115</v>
      </c>
      <c r="D645" t="s">
        <v>17</v>
      </c>
      <c r="E645" t="s">
        <v>8</v>
      </c>
      <c r="F645" t="s">
        <v>47</v>
      </c>
      <c r="G645" t="s">
        <v>9</v>
      </c>
      <c r="L645">
        <f t="shared" si="51"/>
        <v>0</v>
      </c>
      <c r="M645">
        <f t="shared" si="52"/>
        <v>0</v>
      </c>
      <c r="N645">
        <f t="shared" si="53"/>
        <v>0</v>
      </c>
      <c r="O645">
        <f t="shared" si="50"/>
        <v>1</v>
      </c>
      <c r="P645" t="str">
        <f t="shared" si="54"/>
        <v/>
      </c>
      <c r="Q645">
        <f>COUNTIF('責任職　企業局→市長部局'!A:A,SQLデータ!B645)</f>
        <v>0</v>
      </c>
      <c r="R645">
        <f>COUNTIF('一般職員　企業局→市長部局'!A:F,SQLデータ!B645)</f>
        <v>0</v>
      </c>
    </row>
    <row r="646" spans="1:18" x14ac:dyDescent="0.4">
      <c r="A646" s="1">
        <v>202650000167</v>
      </c>
      <c r="B646" s="1">
        <v>950345</v>
      </c>
      <c r="C646" s="2">
        <v>46115</v>
      </c>
      <c r="D646" t="s">
        <v>17</v>
      </c>
      <c r="E646" t="s">
        <v>11</v>
      </c>
      <c r="G646" t="s">
        <v>9</v>
      </c>
      <c r="L646">
        <f t="shared" si="51"/>
        <v>0</v>
      </c>
      <c r="M646">
        <f t="shared" si="52"/>
        <v>0</v>
      </c>
      <c r="N646">
        <f t="shared" si="53"/>
        <v>0</v>
      </c>
      <c r="O646">
        <f t="shared" si="50"/>
        <v>1</v>
      </c>
      <c r="P646" t="str">
        <f t="shared" si="54"/>
        <v/>
      </c>
      <c r="Q646">
        <f>COUNTIF('責任職　企業局→市長部局'!A:A,SQLデータ!B646)</f>
        <v>0</v>
      </c>
      <c r="R646">
        <f>COUNTIF('一般職員　企業局→市長部局'!A:F,SQLデータ!B646)</f>
        <v>0</v>
      </c>
    </row>
    <row r="647" spans="1:18" x14ac:dyDescent="0.4">
      <c r="A647" s="1">
        <v>202650000176</v>
      </c>
      <c r="B647" s="1">
        <v>1012027</v>
      </c>
      <c r="C647" s="2">
        <v>46115</v>
      </c>
      <c r="D647" t="s">
        <v>17</v>
      </c>
      <c r="E647" t="s">
        <v>10</v>
      </c>
      <c r="F647" t="s">
        <v>48</v>
      </c>
      <c r="G647" t="s">
        <v>9</v>
      </c>
      <c r="L647">
        <f t="shared" si="51"/>
        <v>0</v>
      </c>
      <c r="M647">
        <f t="shared" si="52"/>
        <v>0</v>
      </c>
      <c r="N647">
        <f t="shared" si="53"/>
        <v>0</v>
      </c>
      <c r="O647">
        <f t="shared" si="50"/>
        <v>1</v>
      </c>
      <c r="P647" t="str">
        <f t="shared" si="54"/>
        <v/>
      </c>
      <c r="Q647">
        <f>COUNTIF('責任職　企業局→市長部局'!A:A,SQLデータ!B647)</f>
        <v>0</v>
      </c>
      <c r="R647">
        <f>COUNTIF('一般職員　企業局→市長部局'!A:F,SQLデータ!B647)</f>
        <v>0</v>
      </c>
    </row>
    <row r="648" spans="1:18" x14ac:dyDescent="0.4">
      <c r="A648" s="1">
        <v>202650000177</v>
      </c>
      <c r="B648" s="1">
        <v>840147</v>
      </c>
      <c r="C648" s="2">
        <v>46115</v>
      </c>
      <c r="D648" t="s">
        <v>17</v>
      </c>
      <c r="E648" t="s">
        <v>11</v>
      </c>
      <c r="F648" t="s">
        <v>54</v>
      </c>
      <c r="G648" t="s">
        <v>9</v>
      </c>
      <c r="L648">
        <f t="shared" si="51"/>
        <v>0</v>
      </c>
      <c r="M648">
        <f t="shared" si="52"/>
        <v>0</v>
      </c>
      <c r="N648">
        <f t="shared" si="53"/>
        <v>0</v>
      </c>
      <c r="O648">
        <f t="shared" si="50"/>
        <v>1</v>
      </c>
      <c r="P648" t="str">
        <f t="shared" si="54"/>
        <v/>
      </c>
      <c r="Q648">
        <f>COUNTIF('責任職　企業局→市長部局'!A:A,SQLデータ!B648)</f>
        <v>0</v>
      </c>
      <c r="R648">
        <f>COUNTIF('一般職員　企業局→市長部局'!A:F,SQLデータ!B648)</f>
        <v>0</v>
      </c>
    </row>
    <row r="649" spans="1:18" x14ac:dyDescent="0.4">
      <c r="A649" s="1">
        <v>202650000188</v>
      </c>
      <c r="B649" s="1">
        <v>920030</v>
      </c>
      <c r="C649" s="2">
        <v>46117</v>
      </c>
      <c r="D649" t="s">
        <v>17</v>
      </c>
      <c r="E649" t="s">
        <v>8</v>
      </c>
      <c r="G649" t="s">
        <v>9</v>
      </c>
      <c r="L649">
        <f t="shared" si="51"/>
        <v>0</v>
      </c>
      <c r="M649">
        <f t="shared" si="52"/>
        <v>0</v>
      </c>
      <c r="N649">
        <f t="shared" si="53"/>
        <v>0</v>
      </c>
      <c r="O649">
        <f t="shared" ref="O649:O712" si="55">IF(COUNTIF(L649:N649,0)=3,1,0)</f>
        <v>1</v>
      </c>
      <c r="P649" t="str">
        <f t="shared" si="54"/>
        <v/>
      </c>
      <c r="Q649">
        <f>COUNTIF('責任職　企業局→市長部局'!A:A,SQLデータ!B649)</f>
        <v>0</v>
      </c>
      <c r="R649">
        <f>COUNTIF('一般職員　企業局→市長部局'!A:F,SQLデータ!B649)</f>
        <v>0</v>
      </c>
    </row>
    <row r="650" spans="1:18" x14ac:dyDescent="0.4">
      <c r="A650" s="1">
        <v>202650000194</v>
      </c>
      <c r="B650" s="1">
        <v>1116008</v>
      </c>
      <c r="C650" s="2">
        <v>46118</v>
      </c>
      <c r="D650" t="s">
        <v>17</v>
      </c>
      <c r="E650" t="s">
        <v>11</v>
      </c>
      <c r="G650" t="s">
        <v>9</v>
      </c>
      <c r="L650">
        <f t="shared" si="51"/>
        <v>0</v>
      </c>
      <c r="M650">
        <f t="shared" si="52"/>
        <v>0</v>
      </c>
      <c r="N650">
        <f t="shared" si="53"/>
        <v>0</v>
      </c>
      <c r="O650">
        <f t="shared" si="55"/>
        <v>1</v>
      </c>
      <c r="P650" t="str">
        <f t="shared" si="54"/>
        <v/>
      </c>
      <c r="Q650">
        <f>COUNTIF('責任職　企業局→市長部局'!A:A,SQLデータ!B650)</f>
        <v>0</v>
      </c>
      <c r="R650">
        <f>COUNTIF('一般職員　企業局→市長部局'!A:F,SQLデータ!B650)</f>
        <v>0</v>
      </c>
    </row>
    <row r="651" spans="1:18" x14ac:dyDescent="0.4">
      <c r="A651" s="1">
        <v>202650000201</v>
      </c>
      <c r="B651" s="1">
        <v>830048</v>
      </c>
      <c r="C651" s="2">
        <v>46115</v>
      </c>
      <c r="D651" t="s">
        <v>17</v>
      </c>
      <c r="E651" t="s">
        <v>11</v>
      </c>
      <c r="F651" t="s">
        <v>54</v>
      </c>
      <c r="G651" t="s">
        <v>9</v>
      </c>
      <c r="L651">
        <f t="shared" si="51"/>
        <v>0</v>
      </c>
      <c r="M651">
        <f t="shared" si="52"/>
        <v>0</v>
      </c>
      <c r="N651">
        <f t="shared" si="53"/>
        <v>0</v>
      </c>
      <c r="O651">
        <f t="shared" si="55"/>
        <v>1</v>
      </c>
      <c r="P651" t="str">
        <f t="shared" si="54"/>
        <v/>
      </c>
      <c r="Q651">
        <f>COUNTIF('責任職　企業局→市長部局'!A:A,SQLデータ!B651)</f>
        <v>0</v>
      </c>
      <c r="R651">
        <f>COUNTIF('一般職員　企業局→市長部局'!A:F,SQLデータ!B651)</f>
        <v>0</v>
      </c>
    </row>
    <row r="652" spans="1:18" x14ac:dyDescent="0.4">
      <c r="A652" s="1">
        <v>202650000207</v>
      </c>
      <c r="B652" s="1">
        <v>1251433</v>
      </c>
      <c r="C652" s="2">
        <v>46115</v>
      </c>
      <c r="D652" t="s">
        <v>17</v>
      </c>
      <c r="E652" t="s">
        <v>11</v>
      </c>
      <c r="G652" t="s">
        <v>9</v>
      </c>
      <c r="L652">
        <f t="shared" si="51"/>
        <v>0</v>
      </c>
      <c r="M652">
        <f t="shared" si="52"/>
        <v>0</v>
      </c>
      <c r="N652">
        <f t="shared" si="53"/>
        <v>0</v>
      </c>
      <c r="O652">
        <f t="shared" si="55"/>
        <v>1</v>
      </c>
      <c r="P652" t="str">
        <f t="shared" si="54"/>
        <v/>
      </c>
      <c r="Q652">
        <f>COUNTIF('責任職　企業局→市長部局'!A:A,SQLデータ!B652)</f>
        <v>0</v>
      </c>
      <c r="R652">
        <f>COUNTIF('一般職員　企業局→市長部局'!A:F,SQLデータ!B652)</f>
        <v>0</v>
      </c>
    </row>
    <row r="653" spans="1:18" x14ac:dyDescent="0.4">
      <c r="A653" s="1">
        <v>202650000216</v>
      </c>
      <c r="B653" s="1">
        <v>1241222</v>
      </c>
      <c r="C653" s="2">
        <v>46118</v>
      </c>
      <c r="D653" t="s">
        <v>17</v>
      </c>
      <c r="E653" t="s">
        <v>11</v>
      </c>
      <c r="F653" t="s">
        <v>49</v>
      </c>
      <c r="G653" t="s">
        <v>9</v>
      </c>
      <c r="L653">
        <f t="shared" si="51"/>
        <v>0</v>
      </c>
      <c r="M653">
        <f t="shared" si="52"/>
        <v>0</v>
      </c>
      <c r="N653">
        <f t="shared" si="53"/>
        <v>0</v>
      </c>
      <c r="O653">
        <f t="shared" si="55"/>
        <v>1</v>
      </c>
      <c r="P653" t="str">
        <f t="shared" si="54"/>
        <v/>
      </c>
      <c r="Q653">
        <f>COUNTIF('責任職　企業局→市長部局'!A:A,SQLデータ!B653)</f>
        <v>0</v>
      </c>
      <c r="R653">
        <f>COUNTIF('一般職員　企業局→市長部局'!A:F,SQLデータ!B653)</f>
        <v>0</v>
      </c>
    </row>
    <row r="654" spans="1:18" x14ac:dyDescent="0.4">
      <c r="A654" s="1">
        <v>202650000217</v>
      </c>
      <c r="B654" s="1">
        <v>1216022</v>
      </c>
      <c r="C654" s="2">
        <v>46115</v>
      </c>
      <c r="D654" t="s">
        <v>17</v>
      </c>
      <c r="E654" t="s">
        <v>11</v>
      </c>
      <c r="F654" t="s">
        <v>53</v>
      </c>
      <c r="G654" t="s">
        <v>9</v>
      </c>
      <c r="L654">
        <f t="shared" si="51"/>
        <v>0</v>
      </c>
      <c r="M654">
        <f t="shared" si="52"/>
        <v>0</v>
      </c>
      <c r="N654">
        <f t="shared" si="53"/>
        <v>0</v>
      </c>
      <c r="O654">
        <f t="shared" si="55"/>
        <v>1</v>
      </c>
      <c r="P654" t="str">
        <f t="shared" si="54"/>
        <v/>
      </c>
      <c r="Q654">
        <f>COUNTIF('責任職　企業局→市長部局'!A:A,SQLデータ!B654)</f>
        <v>0</v>
      </c>
      <c r="R654">
        <f>COUNTIF('一般職員　企業局→市長部局'!A:F,SQLデータ!B654)</f>
        <v>0</v>
      </c>
    </row>
    <row r="655" spans="1:18" x14ac:dyDescent="0.4">
      <c r="A655" s="1">
        <v>202650000221</v>
      </c>
      <c r="B655" s="1">
        <v>870575</v>
      </c>
      <c r="C655" s="2">
        <v>46115</v>
      </c>
      <c r="D655" t="s">
        <v>17</v>
      </c>
      <c r="E655" t="s">
        <v>11</v>
      </c>
      <c r="G655" t="s">
        <v>9</v>
      </c>
      <c r="L655">
        <f t="shared" si="51"/>
        <v>0</v>
      </c>
      <c r="M655">
        <f t="shared" si="52"/>
        <v>0</v>
      </c>
      <c r="N655">
        <f t="shared" si="53"/>
        <v>0</v>
      </c>
      <c r="O655">
        <f t="shared" si="55"/>
        <v>1</v>
      </c>
      <c r="P655" t="str">
        <f t="shared" si="54"/>
        <v/>
      </c>
      <c r="Q655">
        <f>COUNTIF('責任職　企業局→市長部局'!A:A,SQLデータ!B655)</f>
        <v>0</v>
      </c>
      <c r="R655">
        <f>COUNTIF('一般職員　企業局→市長部局'!A:F,SQLデータ!B655)</f>
        <v>0</v>
      </c>
    </row>
    <row r="656" spans="1:18" x14ac:dyDescent="0.4">
      <c r="A656" s="1">
        <v>202650000222</v>
      </c>
      <c r="B656" s="1">
        <v>1226031</v>
      </c>
      <c r="C656" s="2">
        <v>46115</v>
      </c>
      <c r="D656" t="s">
        <v>17</v>
      </c>
      <c r="E656" t="s">
        <v>8</v>
      </c>
      <c r="G656" t="s">
        <v>9</v>
      </c>
      <c r="L656">
        <f t="shared" si="51"/>
        <v>0</v>
      </c>
      <c r="M656">
        <f t="shared" si="52"/>
        <v>0</v>
      </c>
      <c r="N656">
        <f t="shared" si="53"/>
        <v>0</v>
      </c>
      <c r="O656">
        <f t="shared" si="55"/>
        <v>1</v>
      </c>
      <c r="P656" t="str">
        <f t="shared" si="54"/>
        <v/>
      </c>
      <c r="Q656">
        <f>COUNTIF('責任職　企業局→市長部局'!A:A,SQLデータ!B656)</f>
        <v>0</v>
      </c>
      <c r="R656">
        <f>COUNTIF('一般職員　企業局→市長部局'!A:F,SQLデータ!B656)</f>
        <v>0</v>
      </c>
    </row>
    <row r="657" spans="1:18" x14ac:dyDescent="0.4">
      <c r="A657" s="1">
        <v>202650000223</v>
      </c>
      <c r="B657" s="1">
        <v>1106079</v>
      </c>
      <c r="C657" s="2">
        <v>46115</v>
      </c>
      <c r="D657" t="s">
        <v>17</v>
      </c>
      <c r="E657" t="s">
        <v>10</v>
      </c>
      <c r="G657" t="s">
        <v>9</v>
      </c>
      <c r="L657">
        <f t="shared" si="51"/>
        <v>0</v>
      </c>
      <c r="M657">
        <f t="shared" si="52"/>
        <v>0</v>
      </c>
      <c r="N657">
        <f t="shared" si="53"/>
        <v>0</v>
      </c>
      <c r="O657">
        <f t="shared" si="55"/>
        <v>1</v>
      </c>
      <c r="P657" t="str">
        <f t="shared" si="54"/>
        <v/>
      </c>
      <c r="Q657">
        <f>COUNTIF('責任職　企業局→市長部局'!A:A,SQLデータ!B657)</f>
        <v>0</v>
      </c>
      <c r="R657">
        <f>COUNTIF('一般職員　企業局→市長部局'!A:F,SQLデータ!B657)</f>
        <v>0</v>
      </c>
    </row>
    <row r="658" spans="1:18" x14ac:dyDescent="0.4">
      <c r="A658" s="1">
        <v>202650000227</v>
      </c>
      <c r="B658" s="1">
        <v>992526</v>
      </c>
      <c r="C658" s="2">
        <v>46115</v>
      </c>
      <c r="D658" t="s">
        <v>17</v>
      </c>
      <c r="E658" t="s">
        <v>10</v>
      </c>
      <c r="G658" t="s">
        <v>9</v>
      </c>
      <c r="L658">
        <f t="shared" si="51"/>
        <v>0</v>
      </c>
      <c r="M658">
        <f t="shared" si="52"/>
        <v>0</v>
      </c>
      <c r="N658">
        <f t="shared" si="53"/>
        <v>0</v>
      </c>
      <c r="O658">
        <f t="shared" si="55"/>
        <v>1</v>
      </c>
      <c r="P658" t="str">
        <f t="shared" si="54"/>
        <v/>
      </c>
      <c r="Q658">
        <f>COUNTIF('責任職　企業局→市長部局'!A:A,SQLデータ!B658)</f>
        <v>0</v>
      </c>
      <c r="R658">
        <f>COUNTIF('一般職員　企業局→市長部局'!A:F,SQLデータ!B658)</f>
        <v>0</v>
      </c>
    </row>
    <row r="659" spans="1:18" x14ac:dyDescent="0.4">
      <c r="A659" s="1">
        <v>202650000230</v>
      </c>
      <c r="B659" s="1">
        <v>971057</v>
      </c>
      <c r="C659" s="2">
        <v>46115</v>
      </c>
      <c r="D659" t="s">
        <v>17</v>
      </c>
      <c r="E659" t="s">
        <v>10</v>
      </c>
      <c r="G659" t="s">
        <v>9</v>
      </c>
      <c r="L659">
        <f t="shared" si="51"/>
        <v>0</v>
      </c>
      <c r="M659">
        <f t="shared" si="52"/>
        <v>0</v>
      </c>
      <c r="N659">
        <f t="shared" si="53"/>
        <v>0</v>
      </c>
      <c r="O659">
        <f t="shared" si="55"/>
        <v>1</v>
      </c>
      <c r="P659" t="str">
        <f t="shared" si="54"/>
        <v/>
      </c>
      <c r="Q659">
        <f>COUNTIF('責任職　企業局→市長部局'!A:A,SQLデータ!B659)</f>
        <v>0</v>
      </c>
      <c r="R659">
        <f>COUNTIF('一般職員　企業局→市長部局'!A:F,SQLデータ!B659)</f>
        <v>0</v>
      </c>
    </row>
    <row r="660" spans="1:18" x14ac:dyDescent="0.4">
      <c r="A660" s="1">
        <v>202650000232</v>
      </c>
      <c r="B660" s="1">
        <v>1086093</v>
      </c>
      <c r="C660" s="2">
        <v>46115</v>
      </c>
      <c r="D660" t="s">
        <v>17</v>
      </c>
      <c r="E660" t="s">
        <v>10</v>
      </c>
      <c r="G660" t="s">
        <v>9</v>
      </c>
      <c r="L660">
        <f t="shared" si="51"/>
        <v>0</v>
      </c>
      <c r="M660">
        <f t="shared" si="52"/>
        <v>0</v>
      </c>
      <c r="N660">
        <f t="shared" si="53"/>
        <v>0</v>
      </c>
      <c r="O660">
        <f t="shared" si="55"/>
        <v>1</v>
      </c>
      <c r="P660" t="str">
        <f t="shared" si="54"/>
        <v/>
      </c>
      <c r="Q660">
        <f>COUNTIF('責任職　企業局→市長部局'!A:A,SQLデータ!B660)</f>
        <v>0</v>
      </c>
      <c r="R660">
        <f>COUNTIF('一般職員　企業局→市長部局'!A:F,SQLデータ!B660)</f>
        <v>0</v>
      </c>
    </row>
    <row r="661" spans="1:18" x14ac:dyDescent="0.4">
      <c r="A661" s="1">
        <v>202650000236</v>
      </c>
      <c r="B661" s="1">
        <v>830443</v>
      </c>
      <c r="C661" s="2">
        <v>46115</v>
      </c>
      <c r="D661" t="s">
        <v>17</v>
      </c>
      <c r="E661" t="s">
        <v>10</v>
      </c>
      <c r="F661" t="s">
        <v>54</v>
      </c>
      <c r="G661" t="s">
        <v>9</v>
      </c>
      <c r="L661">
        <f t="shared" si="51"/>
        <v>0</v>
      </c>
      <c r="M661">
        <f t="shared" si="52"/>
        <v>0</v>
      </c>
      <c r="N661">
        <f t="shared" si="53"/>
        <v>0</v>
      </c>
      <c r="O661">
        <f t="shared" si="55"/>
        <v>1</v>
      </c>
      <c r="P661" t="str">
        <f t="shared" si="54"/>
        <v/>
      </c>
      <c r="Q661">
        <f>COUNTIF('責任職　企業局→市長部局'!A:A,SQLデータ!B661)</f>
        <v>0</v>
      </c>
      <c r="R661">
        <f>COUNTIF('一般職員　企業局→市長部局'!A:F,SQLデータ!B661)</f>
        <v>0</v>
      </c>
    </row>
    <row r="662" spans="1:18" x14ac:dyDescent="0.4">
      <c r="A662" s="1">
        <v>202650000240</v>
      </c>
      <c r="B662" s="1">
        <v>1071287</v>
      </c>
      <c r="C662" s="2">
        <v>46115</v>
      </c>
      <c r="D662" t="s">
        <v>17</v>
      </c>
      <c r="E662" t="s">
        <v>8</v>
      </c>
      <c r="F662" t="s">
        <v>47</v>
      </c>
      <c r="G662" t="s">
        <v>9</v>
      </c>
      <c r="L662">
        <f t="shared" si="51"/>
        <v>0</v>
      </c>
      <c r="M662">
        <f t="shared" si="52"/>
        <v>0</v>
      </c>
      <c r="N662">
        <f t="shared" si="53"/>
        <v>0</v>
      </c>
      <c r="O662">
        <f t="shared" si="55"/>
        <v>1</v>
      </c>
      <c r="P662" t="str">
        <f t="shared" si="54"/>
        <v/>
      </c>
      <c r="Q662">
        <f>COUNTIF('責任職　企業局→市長部局'!A:A,SQLデータ!B662)</f>
        <v>0</v>
      </c>
      <c r="R662">
        <f>COUNTIF('一般職員　企業局→市長部局'!A:F,SQLデータ!B662)</f>
        <v>0</v>
      </c>
    </row>
    <row r="663" spans="1:18" x14ac:dyDescent="0.4">
      <c r="A663" s="1">
        <v>202650000242</v>
      </c>
      <c r="B663" s="1">
        <v>1201065</v>
      </c>
      <c r="C663" s="2">
        <v>46127</v>
      </c>
      <c r="D663" t="s">
        <v>17</v>
      </c>
      <c r="E663" t="s">
        <v>11</v>
      </c>
      <c r="F663" t="s">
        <v>48</v>
      </c>
      <c r="G663" t="s">
        <v>9</v>
      </c>
      <c r="L663">
        <f t="shared" si="51"/>
        <v>0</v>
      </c>
      <c r="M663">
        <f t="shared" si="52"/>
        <v>0</v>
      </c>
      <c r="N663">
        <f t="shared" si="53"/>
        <v>0</v>
      </c>
      <c r="O663">
        <f t="shared" si="55"/>
        <v>1</v>
      </c>
      <c r="P663" t="str">
        <f t="shared" si="54"/>
        <v/>
      </c>
      <c r="Q663">
        <f>COUNTIF('責任職　企業局→市長部局'!A:A,SQLデータ!B663)</f>
        <v>0</v>
      </c>
      <c r="R663">
        <f>COUNTIF('一般職員　企業局→市長部局'!A:F,SQLデータ!B663)</f>
        <v>0</v>
      </c>
    </row>
    <row r="664" spans="1:18" x14ac:dyDescent="0.4">
      <c r="A664" s="1">
        <v>202650000247</v>
      </c>
      <c r="B664" s="1">
        <v>1006045</v>
      </c>
      <c r="C664" s="2">
        <v>46115</v>
      </c>
      <c r="D664" t="s">
        <v>17</v>
      </c>
      <c r="E664" t="s">
        <v>10</v>
      </c>
      <c r="G664" t="s">
        <v>9</v>
      </c>
      <c r="L664">
        <f t="shared" si="51"/>
        <v>0</v>
      </c>
      <c r="M664">
        <f t="shared" si="52"/>
        <v>0</v>
      </c>
      <c r="N664">
        <f t="shared" si="53"/>
        <v>0</v>
      </c>
      <c r="O664">
        <f t="shared" si="55"/>
        <v>1</v>
      </c>
      <c r="P664" t="str">
        <f t="shared" si="54"/>
        <v/>
      </c>
      <c r="Q664">
        <f>COUNTIF('責任職　企業局→市長部局'!A:A,SQLデータ!B664)</f>
        <v>0</v>
      </c>
      <c r="R664">
        <f>COUNTIF('一般職員　企業局→市長部局'!A:F,SQLデータ!B664)</f>
        <v>0</v>
      </c>
    </row>
    <row r="665" spans="1:18" x14ac:dyDescent="0.4">
      <c r="A665" s="1">
        <v>202650000251</v>
      </c>
      <c r="B665" s="1">
        <v>950039</v>
      </c>
      <c r="C665" s="2">
        <v>46115</v>
      </c>
      <c r="D665" t="s">
        <v>17</v>
      </c>
      <c r="E665" t="s">
        <v>11</v>
      </c>
      <c r="G665" t="s">
        <v>9</v>
      </c>
      <c r="L665">
        <f t="shared" si="51"/>
        <v>0</v>
      </c>
      <c r="M665">
        <f t="shared" si="52"/>
        <v>0</v>
      </c>
      <c r="N665">
        <f t="shared" si="53"/>
        <v>0</v>
      </c>
      <c r="O665">
        <f t="shared" si="55"/>
        <v>1</v>
      </c>
      <c r="P665" t="str">
        <f t="shared" si="54"/>
        <v/>
      </c>
      <c r="Q665">
        <f>COUNTIF('責任職　企業局→市長部局'!A:A,SQLデータ!B665)</f>
        <v>0</v>
      </c>
      <c r="R665">
        <f>COUNTIF('一般職員　企業局→市長部局'!A:F,SQLデータ!B665)</f>
        <v>0</v>
      </c>
    </row>
    <row r="666" spans="1:18" x14ac:dyDescent="0.4">
      <c r="A666" s="1">
        <v>202650000256</v>
      </c>
      <c r="B666" s="1">
        <v>1246028</v>
      </c>
      <c r="C666" s="2">
        <v>46115</v>
      </c>
      <c r="D666" t="s">
        <v>17</v>
      </c>
      <c r="E666" t="s">
        <v>10</v>
      </c>
      <c r="G666" t="s">
        <v>9</v>
      </c>
      <c r="L666">
        <f t="shared" si="51"/>
        <v>0</v>
      </c>
      <c r="M666">
        <f t="shared" si="52"/>
        <v>0</v>
      </c>
      <c r="N666">
        <f t="shared" si="53"/>
        <v>0</v>
      </c>
      <c r="O666">
        <f t="shared" si="55"/>
        <v>1</v>
      </c>
      <c r="P666" t="str">
        <f t="shared" si="54"/>
        <v/>
      </c>
      <c r="Q666">
        <f>COUNTIF('責任職　企業局→市長部局'!A:A,SQLデータ!B666)</f>
        <v>0</v>
      </c>
      <c r="R666">
        <f>COUNTIF('一般職員　企業局→市長部局'!A:F,SQLデータ!B666)</f>
        <v>0</v>
      </c>
    </row>
    <row r="667" spans="1:18" x14ac:dyDescent="0.4">
      <c r="A667" s="1">
        <v>202650000271</v>
      </c>
      <c r="B667" s="1">
        <v>1166053</v>
      </c>
      <c r="C667" s="2">
        <v>46118</v>
      </c>
      <c r="D667" t="s">
        <v>17</v>
      </c>
      <c r="E667" t="s">
        <v>12</v>
      </c>
      <c r="F667" t="s">
        <v>51</v>
      </c>
      <c r="G667" t="s">
        <v>9</v>
      </c>
      <c r="L667">
        <f t="shared" si="51"/>
        <v>0</v>
      </c>
      <c r="M667">
        <f t="shared" si="52"/>
        <v>0</v>
      </c>
      <c r="N667">
        <f t="shared" si="53"/>
        <v>0</v>
      </c>
      <c r="O667">
        <f t="shared" si="55"/>
        <v>1</v>
      </c>
      <c r="P667" t="str">
        <f t="shared" si="54"/>
        <v/>
      </c>
      <c r="Q667">
        <f>COUNTIF('責任職　企業局→市長部局'!A:A,SQLデータ!B667)</f>
        <v>0</v>
      </c>
      <c r="R667">
        <f>COUNTIF('一般職員　企業局→市長部局'!A:F,SQLデータ!B667)</f>
        <v>0</v>
      </c>
    </row>
    <row r="668" spans="1:18" x14ac:dyDescent="0.4">
      <c r="A668" s="1">
        <v>202650000272</v>
      </c>
      <c r="B668" s="1">
        <v>830363</v>
      </c>
      <c r="C668" s="2">
        <v>46115</v>
      </c>
      <c r="D668" t="s">
        <v>17</v>
      </c>
      <c r="E668" t="s">
        <v>10</v>
      </c>
      <c r="F668" t="s">
        <v>54</v>
      </c>
      <c r="G668" t="s">
        <v>9</v>
      </c>
      <c r="L668">
        <f t="shared" si="51"/>
        <v>0</v>
      </c>
      <c r="M668">
        <f t="shared" si="52"/>
        <v>0</v>
      </c>
      <c r="N668">
        <f t="shared" si="53"/>
        <v>0</v>
      </c>
      <c r="O668">
        <f t="shared" si="55"/>
        <v>1</v>
      </c>
      <c r="P668" t="str">
        <f t="shared" si="54"/>
        <v/>
      </c>
      <c r="Q668">
        <f>COUNTIF('責任職　企業局→市長部局'!A:A,SQLデータ!B668)</f>
        <v>0</v>
      </c>
      <c r="R668">
        <f>COUNTIF('一般職員　企業局→市長部局'!A:F,SQLデータ!B668)</f>
        <v>0</v>
      </c>
    </row>
    <row r="669" spans="1:18" x14ac:dyDescent="0.4">
      <c r="A669" s="1">
        <v>202650000273</v>
      </c>
      <c r="B669" s="1">
        <v>1250040</v>
      </c>
      <c r="C669" s="2">
        <v>46115</v>
      </c>
      <c r="D669" t="s">
        <v>17</v>
      </c>
      <c r="E669" t="s">
        <v>10</v>
      </c>
      <c r="G669" t="s">
        <v>9</v>
      </c>
      <c r="L669">
        <f t="shared" si="51"/>
        <v>0</v>
      </c>
      <c r="M669">
        <f t="shared" si="52"/>
        <v>0</v>
      </c>
      <c r="N669">
        <f t="shared" si="53"/>
        <v>0</v>
      </c>
      <c r="O669">
        <f t="shared" si="55"/>
        <v>1</v>
      </c>
      <c r="P669" t="str">
        <f t="shared" si="54"/>
        <v/>
      </c>
      <c r="Q669">
        <f>COUNTIF('責任職　企業局→市長部局'!A:A,SQLデータ!B669)</f>
        <v>0</v>
      </c>
      <c r="R669">
        <f>COUNTIF('一般職員　企業局→市長部局'!A:F,SQLデータ!B669)</f>
        <v>0</v>
      </c>
    </row>
    <row r="670" spans="1:18" x14ac:dyDescent="0.4">
      <c r="A670" s="1">
        <v>202650000285</v>
      </c>
      <c r="B670" s="1">
        <v>1202045</v>
      </c>
      <c r="C670" s="2">
        <v>46115</v>
      </c>
      <c r="D670" t="s">
        <v>17</v>
      </c>
      <c r="E670" t="s">
        <v>10</v>
      </c>
      <c r="G670" t="s">
        <v>9</v>
      </c>
      <c r="L670">
        <f t="shared" si="51"/>
        <v>0</v>
      </c>
      <c r="M670">
        <f t="shared" si="52"/>
        <v>0</v>
      </c>
      <c r="N670">
        <f t="shared" si="53"/>
        <v>0</v>
      </c>
      <c r="O670">
        <f t="shared" si="55"/>
        <v>1</v>
      </c>
      <c r="P670" t="str">
        <f t="shared" si="54"/>
        <v/>
      </c>
      <c r="Q670">
        <f>COUNTIF('責任職　企業局→市長部局'!A:A,SQLデータ!B670)</f>
        <v>0</v>
      </c>
      <c r="R670">
        <f>COUNTIF('一般職員　企業局→市長部局'!A:F,SQLデータ!B670)</f>
        <v>0</v>
      </c>
    </row>
    <row r="671" spans="1:18" x14ac:dyDescent="0.4">
      <c r="A671" s="1">
        <v>202650000286</v>
      </c>
      <c r="B671" s="1">
        <v>971205</v>
      </c>
      <c r="C671" s="2">
        <v>46115</v>
      </c>
      <c r="D671" t="s">
        <v>17</v>
      </c>
      <c r="E671" t="s">
        <v>10</v>
      </c>
      <c r="F671" t="s">
        <v>50</v>
      </c>
      <c r="G671" t="s">
        <v>9</v>
      </c>
      <c r="L671">
        <f t="shared" si="51"/>
        <v>0</v>
      </c>
      <c r="M671">
        <f t="shared" si="52"/>
        <v>0</v>
      </c>
      <c r="N671">
        <f t="shared" si="53"/>
        <v>0</v>
      </c>
      <c r="O671">
        <f t="shared" si="55"/>
        <v>1</v>
      </c>
      <c r="P671" t="str">
        <f t="shared" si="54"/>
        <v/>
      </c>
      <c r="Q671">
        <f>COUNTIF('責任職　企業局→市長部局'!A:A,SQLデータ!B671)</f>
        <v>0</v>
      </c>
      <c r="R671">
        <f>COUNTIF('一般職員　企業局→市長部局'!A:F,SQLデータ!B671)</f>
        <v>0</v>
      </c>
    </row>
    <row r="672" spans="1:18" x14ac:dyDescent="0.4">
      <c r="A672" s="1">
        <v>202650000288</v>
      </c>
      <c r="B672" s="1">
        <v>860242</v>
      </c>
      <c r="C672" s="2">
        <v>46115</v>
      </c>
      <c r="D672" t="s">
        <v>17</v>
      </c>
      <c r="E672" t="s">
        <v>10</v>
      </c>
      <c r="F672" t="s">
        <v>48</v>
      </c>
      <c r="G672" t="s">
        <v>9</v>
      </c>
      <c r="L672">
        <f t="shared" si="51"/>
        <v>0</v>
      </c>
      <c r="M672">
        <f t="shared" si="52"/>
        <v>0</v>
      </c>
      <c r="N672">
        <f t="shared" si="53"/>
        <v>0</v>
      </c>
      <c r="O672">
        <f t="shared" si="55"/>
        <v>1</v>
      </c>
      <c r="P672" t="str">
        <f t="shared" si="54"/>
        <v/>
      </c>
      <c r="Q672">
        <f>COUNTIF('責任職　企業局→市長部局'!A:A,SQLデータ!B672)</f>
        <v>0</v>
      </c>
      <c r="R672">
        <f>COUNTIF('一般職員　企業局→市長部局'!A:F,SQLデータ!B672)</f>
        <v>0</v>
      </c>
    </row>
    <row r="673" spans="1:18" x14ac:dyDescent="0.4">
      <c r="A673" s="1">
        <v>202650000296</v>
      </c>
      <c r="B673" s="1">
        <v>1091002</v>
      </c>
      <c r="C673" s="2">
        <v>46115</v>
      </c>
      <c r="D673" t="s">
        <v>17</v>
      </c>
      <c r="E673" t="s">
        <v>11</v>
      </c>
      <c r="G673" t="s">
        <v>9</v>
      </c>
      <c r="L673">
        <f t="shared" si="51"/>
        <v>0</v>
      </c>
      <c r="M673">
        <f t="shared" si="52"/>
        <v>0</v>
      </c>
      <c r="N673">
        <f t="shared" si="53"/>
        <v>0</v>
      </c>
      <c r="O673">
        <f t="shared" si="55"/>
        <v>1</v>
      </c>
      <c r="P673" t="str">
        <f t="shared" si="54"/>
        <v/>
      </c>
      <c r="Q673">
        <f>COUNTIF('責任職　企業局→市長部局'!A:A,SQLデータ!B673)</f>
        <v>0</v>
      </c>
      <c r="R673">
        <f>COUNTIF('一般職員　企業局→市長部局'!A:F,SQLデータ!B673)</f>
        <v>0</v>
      </c>
    </row>
    <row r="674" spans="1:18" x14ac:dyDescent="0.4">
      <c r="A674" s="1">
        <v>202650000301</v>
      </c>
      <c r="B674" s="1">
        <v>1011009</v>
      </c>
      <c r="C674" s="2">
        <v>46115</v>
      </c>
      <c r="D674" t="s">
        <v>17</v>
      </c>
      <c r="E674" t="s">
        <v>11</v>
      </c>
      <c r="F674" t="s">
        <v>49</v>
      </c>
      <c r="G674" t="s">
        <v>9</v>
      </c>
      <c r="L674">
        <f t="shared" si="51"/>
        <v>0</v>
      </c>
      <c r="M674">
        <f t="shared" si="52"/>
        <v>0</v>
      </c>
      <c r="N674">
        <f t="shared" si="53"/>
        <v>0</v>
      </c>
      <c r="O674">
        <f t="shared" si="55"/>
        <v>1</v>
      </c>
      <c r="P674" t="str">
        <f t="shared" si="54"/>
        <v/>
      </c>
      <c r="Q674">
        <f>COUNTIF('責任職　企業局→市長部局'!A:A,SQLデータ!B674)</f>
        <v>0</v>
      </c>
      <c r="R674">
        <f>COUNTIF('一般職員　企業局→市長部局'!A:F,SQLデータ!B674)</f>
        <v>0</v>
      </c>
    </row>
    <row r="675" spans="1:18" x14ac:dyDescent="0.4">
      <c r="A675" s="1">
        <v>202650000305</v>
      </c>
      <c r="B675" s="1">
        <v>1066023</v>
      </c>
      <c r="C675" s="2">
        <v>46115</v>
      </c>
      <c r="D675" t="s">
        <v>17</v>
      </c>
      <c r="E675" t="s">
        <v>10</v>
      </c>
      <c r="G675" t="s">
        <v>9</v>
      </c>
      <c r="L675">
        <f t="shared" si="51"/>
        <v>0</v>
      </c>
      <c r="M675">
        <f t="shared" si="52"/>
        <v>0</v>
      </c>
      <c r="N675">
        <f t="shared" si="53"/>
        <v>0</v>
      </c>
      <c r="O675">
        <f t="shared" si="55"/>
        <v>1</v>
      </c>
      <c r="P675" t="str">
        <f t="shared" si="54"/>
        <v/>
      </c>
      <c r="Q675">
        <f>COUNTIF('責任職　企業局→市長部局'!A:A,SQLデータ!B675)</f>
        <v>0</v>
      </c>
      <c r="R675">
        <f>COUNTIF('一般職員　企業局→市長部局'!A:F,SQLデータ!B675)</f>
        <v>0</v>
      </c>
    </row>
    <row r="676" spans="1:18" x14ac:dyDescent="0.4">
      <c r="A676" s="1">
        <v>202650000308</v>
      </c>
      <c r="B676" s="1">
        <v>1251334</v>
      </c>
      <c r="C676" s="2">
        <v>46121</v>
      </c>
      <c r="D676" t="s">
        <v>17</v>
      </c>
      <c r="E676" t="s">
        <v>11</v>
      </c>
      <c r="G676" t="s">
        <v>9</v>
      </c>
      <c r="L676">
        <f t="shared" si="51"/>
        <v>0</v>
      </c>
      <c r="M676">
        <f t="shared" si="52"/>
        <v>0</v>
      </c>
      <c r="N676">
        <f t="shared" si="53"/>
        <v>0</v>
      </c>
      <c r="O676">
        <f t="shared" si="55"/>
        <v>1</v>
      </c>
      <c r="P676" t="str">
        <f t="shared" si="54"/>
        <v/>
      </c>
      <c r="Q676">
        <f>COUNTIF('責任職　企業局→市長部局'!A:A,SQLデータ!B676)</f>
        <v>0</v>
      </c>
      <c r="R676">
        <f>COUNTIF('一般職員　企業局→市長部局'!A:F,SQLデータ!B676)</f>
        <v>0</v>
      </c>
    </row>
    <row r="677" spans="1:18" x14ac:dyDescent="0.4">
      <c r="A677" s="1">
        <v>202650000310</v>
      </c>
      <c r="B677" s="1">
        <v>1141022</v>
      </c>
      <c r="C677" s="2">
        <v>46115</v>
      </c>
      <c r="D677" t="s">
        <v>17</v>
      </c>
      <c r="E677" t="s">
        <v>11</v>
      </c>
      <c r="F677" t="s">
        <v>49</v>
      </c>
      <c r="G677" t="s">
        <v>9</v>
      </c>
      <c r="L677">
        <f t="shared" si="51"/>
        <v>0</v>
      </c>
      <c r="M677">
        <f t="shared" si="52"/>
        <v>0</v>
      </c>
      <c r="N677">
        <f t="shared" si="53"/>
        <v>0</v>
      </c>
      <c r="O677">
        <f t="shared" si="55"/>
        <v>1</v>
      </c>
      <c r="P677" t="str">
        <f t="shared" si="54"/>
        <v/>
      </c>
      <c r="Q677">
        <f>COUNTIF('責任職　企業局→市長部局'!A:A,SQLデータ!B677)</f>
        <v>0</v>
      </c>
      <c r="R677">
        <f>COUNTIF('一般職員　企業局→市長部局'!A:F,SQLデータ!B677)</f>
        <v>0</v>
      </c>
    </row>
    <row r="678" spans="1:18" x14ac:dyDescent="0.4">
      <c r="A678" s="1">
        <v>202650000313</v>
      </c>
      <c r="B678" s="1">
        <v>930636</v>
      </c>
      <c r="C678" s="2">
        <v>46115</v>
      </c>
      <c r="D678" t="s">
        <v>17</v>
      </c>
      <c r="E678" t="s">
        <v>10</v>
      </c>
      <c r="G678" t="s">
        <v>9</v>
      </c>
      <c r="L678">
        <f t="shared" si="51"/>
        <v>0</v>
      </c>
      <c r="M678">
        <f t="shared" si="52"/>
        <v>0</v>
      </c>
      <c r="N678">
        <f t="shared" si="53"/>
        <v>0</v>
      </c>
      <c r="O678">
        <f t="shared" si="55"/>
        <v>1</v>
      </c>
      <c r="P678" t="str">
        <f t="shared" si="54"/>
        <v/>
      </c>
      <c r="Q678">
        <f>COUNTIF('責任職　企業局→市長部局'!A:A,SQLデータ!B678)</f>
        <v>0</v>
      </c>
      <c r="R678">
        <f>COUNTIF('一般職員　企業局→市長部局'!A:F,SQLデータ!B678)</f>
        <v>0</v>
      </c>
    </row>
    <row r="679" spans="1:18" x14ac:dyDescent="0.4">
      <c r="A679" s="1">
        <v>202650000314</v>
      </c>
      <c r="B679" s="1">
        <v>1212135</v>
      </c>
      <c r="C679" s="2">
        <v>46115</v>
      </c>
      <c r="D679" t="s">
        <v>17</v>
      </c>
      <c r="E679" t="s">
        <v>10</v>
      </c>
      <c r="G679" t="s">
        <v>9</v>
      </c>
      <c r="L679">
        <f t="shared" si="51"/>
        <v>0</v>
      </c>
      <c r="M679">
        <f t="shared" si="52"/>
        <v>0</v>
      </c>
      <c r="N679">
        <f t="shared" si="53"/>
        <v>0</v>
      </c>
      <c r="O679">
        <f t="shared" si="55"/>
        <v>1</v>
      </c>
      <c r="P679" t="str">
        <f t="shared" si="54"/>
        <v/>
      </c>
      <c r="Q679">
        <f>COUNTIF('責任職　企業局→市長部局'!A:A,SQLデータ!B679)</f>
        <v>0</v>
      </c>
      <c r="R679">
        <f>COUNTIF('一般職員　企業局→市長部局'!A:F,SQLデータ!B679)</f>
        <v>0</v>
      </c>
    </row>
    <row r="680" spans="1:18" x14ac:dyDescent="0.4">
      <c r="A680" s="1">
        <v>202650000316</v>
      </c>
      <c r="B680" s="1">
        <v>1141084</v>
      </c>
      <c r="C680" s="2">
        <v>46115</v>
      </c>
      <c r="D680" t="s">
        <v>17</v>
      </c>
      <c r="E680" t="s">
        <v>10</v>
      </c>
      <c r="G680" t="s">
        <v>9</v>
      </c>
      <c r="L680">
        <f t="shared" si="51"/>
        <v>0</v>
      </c>
      <c r="M680">
        <f t="shared" si="52"/>
        <v>0</v>
      </c>
      <c r="N680">
        <f t="shared" si="53"/>
        <v>0</v>
      </c>
      <c r="O680">
        <f t="shared" si="55"/>
        <v>1</v>
      </c>
      <c r="P680" t="str">
        <f t="shared" si="54"/>
        <v/>
      </c>
      <c r="Q680">
        <f>COUNTIF('責任職　企業局→市長部局'!A:A,SQLデータ!B680)</f>
        <v>0</v>
      </c>
      <c r="R680">
        <f>COUNTIF('一般職員　企業局→市長部局'!A:F,SQLデータ!B680)</f>
        <v>0</v>
      </c>
    </row>
    <row r="681" spans="1:18" x14ac:dyDescent="0.4">
      <c r="A681" s="1">
        <v>202650000318</v>
      </c>
      <c r="B681" s="1">
        <v>1156146</v>
      </c>
      <c r="C681" s="2">
        <v>46115</v>
      </c>
      <c r="D681" t="s">
        <v>17</v>
      </c>
      <c r="E681" t="s">
        <v>11</v>
      </c>
      <c r="G681" t="s">
        <v>9</v>
      </c>
      <c r="L681">
        <f t="shared" si="51"/>
        <v>0</v>
      </c>
      <c r="M681">
        <f t="shared" si="52"/>
        <v>0</v>
      </c>
      <c r="N681">
        <f t="shared" si="53"/>
        <v>0</v>
      </c>
      <c r="O681">
        <f t="shared" si="55"/>
        <v>1</v>
      </c>
      <c r="P681" t="str">
        <f t="shared" si="54"/>
        <v/>
      </c>
      <c r="Q681">
        <f>COUNTIF('責任職　企業局→市長部局'!A:A,SQLデータ!B681)</f>
        <v>0</v>
      </c>
      <c r="R681">
        <f>COUNTIF('一般職員　企業局→市長部局'!A:F,SQLデータ!B681)</f>
        <v>0</v>
      </c>
    </row>
    <row r="682" spans="1:18" x14ac:dyDescent="0.4">
      <c r="A682" s="1">
        <v>202650000319</v>
      </c>
      <c r="B682" s="1">
        <v>1161522</v>
      </c>
      <c r="C682" s="2">
        <v>46115</v>
      </c>
      <c r="D682" t="s">
        <v>17</v>
      </c>
      <c r="E682" t="s">
        <v>11</v>
      </c>
      <c r="G682" t="s">
        <v>9</v>
      </c>
      <c r="L682">
        <f t="shared" si="51"/>
        <v>0</v>
      </c>
      <c r="M682">
        <f t="shared" si="52"/>
        <v>0</v>
      </c>
      <c r="N682">
        <f t="shared" si="53"/>
        <v>0</v>
      </c>
      <c r="O682">
        <f t="shared" si="55"/>
        <v>1</v>
      </c>
      <c r="P682" t="str">
        <f t="shared" si="54"/>
        <v/>
      </c>
      <c r="Q682">
        <f>COUNTIF('責任職　企業局→市長部局'!A:A,SQLデータ!B682)</f>
        <v>0</v>
      </c>
      <c r="R682">
        <f>COUNTIF('一般職員　企業局→市長部局'!A:F,SQLデータ!B682)</f>
        <v>0</v>
      </c>
    </row>
    <row r="683" spans="1:18" x14ac:dyDescent="0.4">
      <c r="A683" s="1">
        <v>202650000321</v>
      </c>
      <c r="B683" s="1">
        <v>981166</v>
      </c>
      <c r="C683" s="2">
        <v>46115</v>
      </c>
      <c r="D683" t="s">
        <v>17</v>
      </c>
      <c r="E683" t="s">
        <v>11</v>
      </c>
      <c r="F683" t="s">
        <v>49</v>
      </c>
      <c r="G683" t="s">
        <v>9</v>
      </c>
      <c r="L683">
        <f t="shared" si="51"/>
        <v>0</v>
      </c>
      <c r="M683">
        <f t="shared" si="52"/>
        <v>0</v>
      </c>
      <c r="N683">
        <f t="shared" si="53"/>
        <v>0</v>
      </c>
      <c r="O683">
        <f t="shared" si="55"/>
        <v>1</v>
      </c>
      <c r="P683" t="str">
        <f t="shared" si="54"/>
        <v/>
      </c>
      <c r="Q683">
        <f>COUNTIF('責任職　企業局→市長部局'!A:A,SQLデータ!B683)</f>
        <v>0</v>
      </c>
      <c r="R683">
        <f>COUNTIF('一般職員　企業局→市長部局'!A:F,SQLデータ!B683)</f>
        <v>0</v>
      </c>
    </row>
    <row r="684" spans="1:18" x14ac:dyDescent="0.4">
      <c r="A684" s="1">
        <v>202650000322</v>
      </c>
      <c r="B684" s="1">
        <v>1031279</v>
      </c>
      <c r="C684" s="2">
        <v>46115</v>
      </c>
      <c r="D684" t="s">
        <v>17</v>
      </c>
      <c r="E684" t="s">
        <v>10</v>
      </c>
      <c r="G684" t="s">
        <v>9</v>
      </c>
      <c r="L684">
        <f t="shared" si="51"/>
        <v>0</v>
      </c>
      <c r="M684">
        <f t="shared" si="52"/>
        <v>0</v>
      </c>
      <c r="N684">
        <f t="shared" si="53"/>
        <v>0</v>
      </c>
      <c r="O684">
        <f t="shared" si="55"/>
        <v>1</v>
      </c>
      <c r="P684" t="str">
        <f t="shared" si="54"/>
        <v/>
      </c>
      <c r="Q684">
        <f>COUNTIF('責任職　企業局→市長部局'!A:A,SQLデータ!B684)</f>
        <v>0</v>
      </c>
      <c r="R684">
        <f>COUNTIF('一般職員　企業局→市長部局'!A:F,SQLデータ!B684)</f>
        <v>0</v>
      </c>
    </row>
    <row r="685" spans="1:18" x14ac:dyDescent="0.4">
      <c r="A685" s="1">
        <v>202650000325</v>
      </c>
      <c r="B685" s="1">
        <v>1181224</v>
      </c>
      <c r="C685" s="2">
        <v>46115</v>
      </c>
      <c r="D685" t="s">
        <v>17</v>
      </c>
      <c r="E685" t="s">
        <v>10</v>
      </c>
      <c r="G685" t="s">
        <v>9</v>
      </c>
      <c r="L685">
        <f t="shared" si="51"/>
        <v>0</v>
      </c>
      <c r="M685">
        <f t="shared" si="52"/>
        <v>0</v>
      </c>
      <c r="N685">
        <f t="shared" si="53"/>
        <v>0</v>
      </c>
      <c r="O685">
        <f t="shared" si="55"/>
        <v>1</v>
      </c>
      <c r="P685" t="str">
        <f t="shared" si="54"/>
        <v/>
      </c>
      <c r="Q685">
        <f>COUNTIF('責任職　企業局→市長部局'!A:A,SQLデータ!B685)</f>
        <v>0</v>
      </c>
      <c r="R685">
        <f>COUNTIF('一般職員　企業局→市長部局'!A:F,SQLデータ!B685)</f>
        <v>0</v>
      </c>
    </row>
    <row r="686" spans="1:18" x14ac:dyDescent="0.4">
      <c r="A686" s="1">
        <v>202650000327</v>
      </c>
      <c r="B686" s="1">
        <v>860378</v>
      </c>
      <c r="C686" s="2">
        <v>46122</v>
      </c>
      <c r="D686" t="s">
        <v>17</v>
      </c>
      <c r="E686" t="s">
        <v>8</v>
      </c>
      <c r="F686" t="s">
        <v>52</v>
      </c>
      <c r="G686" t="s">
        <v>9</v>
      </c>
      <c r="L686">
        <f t="shared" si="51"/>
        <v>0</v>
      </c>
      <c r="M686">
        <f t="shared" si="52"/>
        <v>0</v>
      </c>
      <c r="N686">
        <f t="shared" si="53"/>
        <v>0</v>
      </c>
      <c r="O686">
        <f t="shared" si="55"/>
        <v>1</v>
      </c>
      <c r="P686" t="str">
        <f t="shared" si="54"/>
        <v/>
      </c>
      <c r="Q686">
        <f>COUNTIF('責任職　企業局→市長部局'!A:A,SQLデータ!B686)</f>
        <v>0</v>
      </c>
      <c r="R686">
        <f>COUNTIF('一般職員　企業局→市長部局'!A:F,SQLデータ!B686)</f>
        <v>0</v>
      </c>
    </row>
    <row r="687" spans="1:18" x14ac:dyDescent="0.4">
      <c r="A687" s="1">
        <v>202650000333</v>
      </c>
      <c r="B687" s="1">
        <v>930442</v>
      </c>
      <c r="C687" s="2">
        <v>46119</v>
      </c>
      <c r="D687" t="s">
        <v>17</v>
      </c>
      <c r="E687" t="s">
        <v>11</v>
      </c>
      <c r="F687" t="s">
        <v>48</v>
      </c>
      <c r="G687" t="s">
        <v>9</v>
      </c>
      <c r="L687">
        <f t="shared" si="51"/>
        <v>0</v>
      </c>
      <c r="M687">
        <f t="shared" si="52"/>
        <v>0</v>
      </c>
      <c r="N687">
        <f t="shared" si="53"/>
        <v>0</v>
      </c>
      <c r="O687">
        <f t="shared" si="55"/>
        <v>1</v>
      </c>
      <c r="P687" t="str">
        <f t="shared" si="54"/>
        <v/>
      </c>
      <c r="Q687">
        <f>COUNTIF('責任職　企業局→市長部局'!A:A,SQLデータ!B687)</f>
        <v>0</v>
      </c>
      <c r="R687">
        <f>COUNTIF('一般職員　企業局→市長部局'!A:F,SQLデータ!B687)</f>
        <v>0</v>
      </c>
    </row>
    <row r="688" spans="1:18" x14ac:dyDescent="0.4">
      <c r="A688" s="1">
        <v>202650000339</v>
      </c>
      <c r="B688" s="1">
        <v>1101322</v>
      </c>
      <c r="C688" s="2">
        <v>46115</v>
      </c>
      <c r="D688" t="s">
        <v>17</v>
      </c>
      <c r="E688" t="s">
        <v>11</v>
      </c>
      <c r="F688" t="s">
        <v>48</v>
      </c>
      <c r="G688" t="s">
        <v>9</v>
      </c>
      <c r="L688">
        <f t="shared" si="51"/>
        <v>0</v>
      </c>
      <c r="M688">
        <f t="shared" si="52"/>
        <v>0</v>
      </c>
      <c r="N688">
        <f t="shared" si="53"/>
        <v>0</v>
      </c>
      <c r="O688">
        <f t="shared" si="55"/>
        <v>1</v>
      </c>
      <c r="P688" t="str">
        <f t="shared" si="54"/>
        <v/>
      </c>
      <c r="Q688">
        <f>COUNTIF('責任職　企業局→市長部局'!A:A,SQLデータ!B688)</f>
        <v>0</v>
      </c>
      <c r="R688">
        <f>COUNTIF('一般職員　企業局→市長部局'!A:F,SQLデータ!B688)</f>
        <v>0</v>
      </c>
    </row>
    <row r="689" spans="1:18" x14ac:dyDescent="0.4">
      <c r="A689" s="1">
        <v>202650000340</v>
      </c>
      <c r="B689" s="1">
        <v>1071008</v>
      </c>
      <c r="C689" s="2">
        <v>46115</v>
      </c>
      <c r="D689" t="s">
        <v>17</v>
      </c>
      <c r="E689" t="s">
        <v>11</v>
      </c>
      <c r="G689" t="s">
        <v>9</v>
      </c>
      <c r="L689">
        <f t="shared" si="51"/>
        <v>0</v>
      </c>
      <c r="M689">
        <f t="shared" si="52"/>
        <v>0</v>
      </c>
      <c r="N689">
        <f t="shared" si="53"/>
        <v>0</v>
      </c>
      <c r="O689">
        <f t="shared" si="55"/>
        <v>1</v>
      </c>
      <c r="P689" t="str">
        <f t="shared" si="54"/>
        <v/>
      </c>
      <c r="Q689">
        <f>COUNTIF('責任職　企業局→市長部局'!A:A,SQLデータ!B689)</f>
        <v>0</v>
      </c>
      <c r="R689">
        <f>COUNTIF('一般職員　企業局→市長部局'!A:F,SQLデータ!B689)</f>
        <v>0</v>
      </c>
    </row>
    <row r="690" spans="1:18" x14ac:dyDescent="0.4">
      <c r="A690" s="1">
        <v>202650000341</v>
      </c>
      <c r="B690" s="1">
        <v>1186010</v>
      </c>
      <c r="C690" s="2">
        <v>46115</v>
      </c>
      <c r="D690" t="s">
        <v>17</v>
      </c>
      <c r="E690" t="s">
        <v>8</v>
      </c>
      <c r="F690" t="s">
        <v>47</v>
      </c>
      <c r="G690" t="s">
        <v>9</v>
      </c>
      <c r="L690">
        <f t="shared" si="51"/>
        <v>0</v>
      </c>
      <c r="M690">
        <f t="shared" si="52"/>
        <v>0</v>
      </c>
      <c r="N690">
        <f t="shared" si="53"/>
        <v>0</v>
      </c>
      <c r="O690">
        <f t="shared" si="55"/>
        <v>1</v>
      </c>
      <c r="P690" t="str">
        <f t="shared" si="54"/>
        <v/>
      </c>
      <c r="Q690">
        <f>COUNTIF('責任職　企業局→市長部局'!A:A,SQLデータ!B690)</f>
        <v>0</v>
      </c>
      <c r="R690">
        <f>COUNTIF('一般職員　企業局→市長部局'!A:F,SQLデータ!B690)</f>
        <v>0</v>
      </c>
    </row>
    <row r="691" spans="1:18" x14ac:dyDescent="0.4">
      <c r="A691" s="1">
        <v>202650000343</v>
      </c>
      <c r="B691" s="1">
        <v>1052009</v>
      </c>
      <c r="C691" s="2">
        <v>46115</v>
      </c>
      <c r="D691" t="s">
        <v>17</v>
      </c>
      <c r="E691" t="s">
        <v>10</v>
      </c>
      <c r="G691" t="s">
        <v>9</v>
      </c>
      <c r="L691">
        <f t="shared" si="51"/>
        <v>0</v>
      </c>
      <c r="M691">
        <f t="shared" si="52"/>
        <v>0</v>
      </c>
      <c r="N691">
        <f t="shared" si="53"/>
        <v>0</v>
      </c>
      <c r="O691">
        <f t="shared" si="55"/>
        <v>1</v>
      </c>
      <c r="P691" t="str">
        <f t="shared" si="54"/>
        <v/>
      </c>
      <c r="Q691">
        <f>COUNTIF('責任職　企業局→市長部局'!A:A,SQLデータ!B691)</f>
        <v>0</v>
      </c>
      <c r="R691">
        <f>COUNTIF('一般職員　企業局→市長部局'!A:F,SQLデータ!B691)</f>
        <v>0</v>
      </c>
    </row>
    <row r="692" spans="1:18" x14ac:dyDescent="0.4">
      <c r="A692" s="1">
        <v>202650000347</v>
      </c>
      <c r="B692" s="1">
        <v>1136025</v>
      </c>
      <c r="C692" s="2">
        <v>46115</v>
      </c>
      <c r="D692" t="s">
        <v>17</v>
      </c>
      <c r="E692" t="s">
        <v>8</v>
      </c>
      <c r="F692" t="s">
        <v>47</v>
      </c>
      <c r="G692" t="s">
        <v>9</v>
      </c>
      <c r="L692">
        <f t="shared" si="51"/>
        <v>0</v>
      </c>
      <c r="M692">
        <f t="shared" si="52"/>
        <v>0</v>
      </c>
      <c r="N692">
        <f t="shared" si="53"/>
        <v>0</v>
      </c>
      <c r="O692">
        <f t="shared" si="55"/>
        <v>1</v>
      </c>
      <c r="P692" t="str">
        <f t="shared" si="54"/>
        <v/>
      </c>
      <c r="Q692">
        <f>COUNTIF('責任職　企業局→市長部局'!A:A,SQLデータ!B692)</f>
        <v>0</v>
      </c>
      <c r="R692">
        <f>COUNTIF('一般職員　企業局→市長部局'!A:F,SQLデータ!B692)</f>
        <v>0</v>
      </c>
    </row>
    <row r="693" spans="1:18" x14ac:dyDescent="0.4">
      <c r="A693" s="1">
        <v>202650000350</v>
      </c>
      <c r="B693" s="1">
        <v>1196104</v>
      </c>
      <c r="C693" s="2">
        <v>46115</v>
      </c>
      <c r="D693" t="s">
        <v>17</v>
      </c>
      <c r="E693" t="s">
        <v>11</v>
      </c>
      <c r="F693" t="s">
        <v>50</v>
      </c>
      <c r="G693" t="s">
        <v>9</v>
      </c>
      <c r="L693">
        <f t="shared" si="51"/>
        <v>0</v>
      </c>
      <c r="M693">
        <f t="shared" si="52"/>
        <v>0</v>
      </c>
      <c r="N693">
        <f t="shared" si="53"/>
        <v>0</v>
      </c>
      <c r="O693">
        <f t="shared" si="55"/>
        <v>1</v>
      </c>
      <c r="P693" t="str">
        <f t="shared" si="54"/>
        <v/>
      </c>
      <c r="Q693">
        <f>COUNTIF('責任職　企業局→市長部局'!A:A,SQLデータ!B693)</f>
        <v>0</v>
      </c>
      <c r="R693">
        <f>COUNTIF('一般職員　企業局→市長部局'!A:F,SQLデータ!B693)</f>
        <v>0</v>
      </c>
    </row>
    <row r="694" spans="1:18" x14ac:dyDescent="0.4">
      <c r="A694" s="1">
        <v>202650000352</v>
      </c>
      <c r="B694" s="1">
        <v>1151264</v>
      </c>
      <c r="C694" s="2">
        <v>46115</v>
      </c>
      <c r="D694" t="s">
        <v>17</v>
      </c>
      <c r="E694" t="s">
        <v>11</v>
      </c>
      <c r="G694" t="s">
        <v>9</v>
      </c>
      <c r="L694">
        <f t="shared" si="51"/>
        <v>0</v>
      </c>
      <c r="M694">
        <f t="shared" si="52"/>
        <v>0</v>
      </c>
      <c r="N694">
        <f t="shared" si="53"/>
        <v>0</v>
      </c>
      <c r="O694">
        <f t="shared" si="55"/>
        <v>1</v>
      </c>
      <c r="P694" t="str">
        <f t="shared" si="54"/>
        <v/>
      </c>
      <c r="Q694">
        <f>COUNTIF('責任職　企業局→市長部局'!A:A,SQLデータ!B694)</f>
        <v>0</v>
      </c>
      <c r="R694">
        <f>COUNTIF('一般職員　企業局→市長部局'!A:F,SQLデータ!B694)</f>
        <v>0</v>
      </c>
    </row>
    <row r="695" spans="1:18" x14ac:dyDescent="0.4">
      <c r="A695" s="1">
        <v>202650000353</v>
      </c>
      <c r="B695" s="1">
        <v>1210014</v>
      </c>
      <c r="C695" s="2">
        <v>46115</v>
      </c>
      <c r="D695" t="s">
        <v>17</v>
      </c>
      <c r="E695" t="s">
        <v>10</v>
      </c>
      <c r="G695" t="s">
        <v>9</v>
      </c>
      <c r="L695">
        <f t="shared" si="51"/>
        <v>0</v>
      </c>
      <c r="M695">
        <f t="shared" si="52"/>
        <v>0</v>
      </c>
      <c r="N695">
        <f t="shared" si="53"/>
        <v>0</v>
      </c>
      <c r="O695">
        <f t="shared" si="55"/>
        <v>1</v>
      </c>
      <c r="P695" t="str">
        <f t="shared" si="54"/>
        <v/>
      </c>
      <c r="Q695">
        <f>COUNTIF('責任職　企業局→市長部局'!A:A,SQLデータ!B695)</f>
        <v>0</v>
      </c>
      <c r="R695">
        <f>COUNTIF('一般職員　企業局→市長部局'!A:F,SQLデータ!B695)</f>
        <v>0</v>
      </c>
    </row>
    <row r="696" spans="1:18" x14ac:dyDescent="0.4">
      <c r="A696" s="1">
        <v>202650000359</v>
      </c>
      <c r="B696" s="1">
        <v>1216100</v>
      </c>
      <c r="C696" s="2">
        <v>46115</v>
      </c>
      <c r="D696" t="s">
        <v>17</v>
      </c>
      <c r="E696" t="s">
        <v>10</v>
      </c>
      <c r="G696" t="s">
        <v>9</v>
      </c>
      <c r="L696">
        <f t="shared" si="51"/>
        <v>0</v>
      </c>
      <c r="M696">
        <f t="shared" si="52"/>
        <v>0</v>
      </c>
      <c r="N696">
        <f t="shared" si="53"/>
        <v>0</v>
      </c>
      <c r="O696">
        <f t="shared" si="55"/>
        <v>1</v>
      </c>
      <c r="P696" t="str">
        <f t="shared" si="54"/>
        <v/>
      </c>
      <c r="Q696">
        <f>COUNTIF('責任職　企業局→市長部局'!A:A,SQLデータ!B696)</f>
        <v>0</v>
      </c>
      <c r="R696">
        <f>COUNTIF('一般職員　企業局→市長部局'!A:F,SQLデータ!B696)</f>
        <v>0</v>
      </c>
    </row>
    <row r="697" spans="1:18" x14ac:dyDescent="0.4">
      <c r="A697" s="1">
        <v>202650000360</v>
      </c>
      <c r="B697" s="1">
        <v>1212098</v>
      </c>
      <c r="C697" s="2">
        <v>46115</v>
      </c>
      <c r="D697" t="s">
        <v>17</v>
      </c>
      <c r="E697" t="s">
        <v>10</v>
      </c>
      <c r="G697" t="s">
        <v>9</v>
      </c>
      <c r="L697">
        <f t="shared" si="51"/>
        <v>0</v>
      </c>
      <c r="M697">
        <f t="shared" si="52"/>
        <v>0</v>
      </c>
      <c r="N697">
        <f t="shared" si="53"/>
        <v>0</v>
      </c>
      <c r="O697">
        <f t="shared" si="55"/>
        <v>1</v>
      </c>
      <c r="P697" t="str">
        <f t="shared" si="54"/>
        <v/>
      </c>
      <c r="Q697">
        <f>COUNTIF('責任職　企業局→市長部局'!A:A,SQLデータ!B697)</f>
        <v>0</v>
      </c>
      <c r="R697">
        <f>COUNTIF('一般職員　企業局→市長部局'!A:F,SQLデータ!B697)</f>
        <v>0</v>
      </c>
    </row>
    <row r="698" spans="1:18" x14ac:dyDescent="0.4">
      <c r="A698" s="1">
        <v>202650000365</v>
      </c>
      <c r="B698" s="1">
        <v>1146004</v>
      </c>
      <c r="C698" s="2">
        <v>46115</v>
      </c>
      <c r="D698" t="s">
        <v>17</v>
      </c>
      <c r="E698" t="s">
        <v>10</v>
      </c>
      <c r="G698" t="s">
        <v>9</v>
      </c>
      <c r="L698">
        <f t="shared" si="51"/>
        <v>0</v>
      </c>
      <c r="M698">
        <f t="shared" si="52"/>
        <v>0</v>
      </c>
      <c r="N698">
        <f t="shared" si="53"/>
        <v>0</v>
      </c>
      <c r="O698">
        <f t="shared" si="55"/>
        <v>1</v>
      </c>
      <c r="P698" t="str">
        <f t="shared" si="54"/>
        <v/>
      </c>
      <c r="Q698">
        <f>COUNTIF('責任職　企業局→市長部局'!A:A,SQLデータ!B698)</f>
        <v>0</v>
      </c>
      <c r="R698">
        <f>COUNTIF('一般職員　企業局→市長部局'!A:F,SQLデータ!B698)</f>
        <v>0</v>
      </c>
    </row>
    <row r="699" spans="1:18" x14ac:dyDescent="0.4">
      <c r="A699" s="1">
        <v>202650000368</v>
      </c>
      <c r="B699" s="1">
        <v>890136</v>
      </c>
      <c r="C699" s="2">
        <v>46115</v>
      </c>
      <c r="D699" t="s">
        <v>17</v>
      </c>
      <c r="E699" t="s">
        <v>11</v>
      </c>
      <c r="G699" t="s">
        <v>9</v>
      </c>
      <c r="L699">
        <f t="shared" si="51"/>
        <v>0</v>
      </c>
      <c r="M699">
        <f t="shared" si="52"/>
        <v>0</v>
      </c>
      <c r="N699">
        <f t="shared" si="53"/>
        <v>0</v>
      </c>
      <c r="O699">
        <f t="shared" si="55"/>
        <v>1</v>
      </c>
      <c r="P699" t="str">
        <f t="shared" si="54"/>
        <v/>
      </c>
      <c r="Q699">
        <f>COUNTIF('責任職　企業局→市長部局'!A:A,SQLデータ!B699)</f>
        <v>0</v>
      </c>
      <c r="R699">
        <f>COUNTIF('一般職員　企業局→市長部局'!A:F,SQLデータ!B699)</f>
        <v>0</v>
      </c>
    </row>
    <row r="700" spans="1:18" x14ac:dyDescent="0.4">
      <c r="A700" s="1">
        <v>202650000370</v>
      </c>
      <c r="B700" s="1">
        <v>830386</v>
      </c>
      <c r="C700" s="2">
        <v>46115</v>
      </c>
      <c r="D700" t="s">
        <v>17</v>
      </c>
      <c r="E700" t="s">
        <v>15</v>
      </c>
      <c r="F700" t="s">
        <v>54</v>
      </c>
      <c r="G700" t="s">
        <v>9</v>
      </c>
      <c r="L700">
        <f t="shared" si="51"/>
        <v>0</v>
      </c>
      <c r="M700">
        <f t="shared" si="52"/>
        <v>0</v>
      </c>
      <c r="N700">
        <f t="shared" si="53"/>
        <v>0</v>
      </c>
      <c r="O700">
        <f t="shared" si="55"/>
        <v>1</v>
      </c>
      <c r="P700" t="str">
        <f t="shared" si="54"/>
        <v/>
      </c>
      <c r="Q700">
        <f>COUNTIF('責任職　企業局→市長部局'!A:A,SQLデータ!B700)</f>
        <v>0</v>
      </c>
      <c r="R700">
        <f>COUNTIF('一般職員　企業局→市長部局'!A:F,SQLデータ!B700)</f>
        <v>0</v>
      </c>
    </row>
    <row r="701" spans="1:18" x14ac:dyDescent="0.4">
      <c r="A701" s="1">
        <v>202650000372</v>
      </c>
      <c r="B701" s="1">
        <v>940030</v>
      </c>
      <c r="C701" s="2">
        <v>46115</v>
      </c>
      <c r="D701" t="s">
        <v>17</v>
      </c>
      <c r="E701" t="s">
        <v>10</v>
      </c>
      <c r="G701" t="s">
        <v>9</v>
      </c>
      <c r="L701">
        <f t="shared" si="51"/>
        <v>0</v>
      </c>
      <c r="M701">
        <f t="shared" si="52"/>
        <v>0</v>
      </c>
      <c r="N701">
        <f t="shared" si="53"/>
        <v>0</v>
      </c>
      <c r="O701">
        <f t="shared" si="55"/>
        <v>1</v>
      </c>
      <c r="P701" t="str">
        <f t="shared" si="54"/>
        <v/>
      </c>
      <c r="Q701">
        <f>COUNTIF('責任職　企業局→市長部局'!A:A,SQLデータ!B701)</f>
        <v>0</v>
      </c>
      <c r="R701">
        <f>COUNTIF('一般職員　企業局→市長部局'!A:F,SQLデータ!B701)</f>
        <v>0</v>
      </c>
    </row>
    <row r="702" spans="1:18" x14ac:dyDescent="0.4">
      <c r="A702" s="1">
        <v>202650000376</v>
      </c>
      <c r="B702" s="1">
        <v>1121325</v>
      </c>
      <c r="C702" s="2">
        <v>46115</v>
      </c>
      <c r="D702" t="s">
        <v>17</v>
      </c>
      <c r="E702" t="s">
        <v>12</v>
      </c>
      <c r="F702" t="s">
        <v>51</v>
      </c>
      <c r="G702" t="s">
        <v>9</v>
      </c>
      <c r="L702">
        <f t="shared" si="51"/>
        <v>0</v>
      </c>
      <c r="M702">
        <f t="shared" si="52"/>
        <v>0</v>
      </c>
      <c r="N702">
        <f t="shared" si="53"/>
        <v>0</v>
      </c>
      <c r="O702">
        <f t="shared" si="55"/>
        <v>1</v>
      </c>
      <c r="P702" t="str">
        <f t="shared" si="54"/>
        <v/>
      </c>
      <c r="Q702">
        <f>COUNTIF('責任職　企業局→市長部局'!A:A,SQLデータ!B702)</f>
        <v>0</v>
      </c>
      <c r="R702">
        <f>COUNTIF('一般職員　企業局→市長部局'!A:F,SQLデータ!B702)</f>
        <v>0</v>
      </c>
    </row>
    <row r="703" spans="1:18" x14ac:dyDescent="0.4">
      <c r="A703" s="1">
        <v>202650000379</v>
      </c>
      <c r="B703" s="1">
        <v>1216067</v>
      </c>
      <c r="C703" s="2">
        <v>46115</v>
      </c>
      <c r="D703" t="s">
        <v>17</v>
      </c>
      <c r="E703" t="s">
        <v>10</v>
      </c>
      <c r="G703" t="s">
        <v>9</v>
      </c>
      <c r="L703">
        <f t="shared" si="51"/>
        <v>0</v>
      </c>
      <c r="M703">
        <f t="shared" si="52"/>
        <v>0</v>
      </c>
      <c r="N703">
        <f t="shared" si="53"/>
        <v>0</v>
      </c>
      <c r="O703">
        <f t="shared" si="55"/>
        <v>1</v>
      </c>
      <c r="P703" t="str">
        <f t="shared" si="54"/>
        <v/>
      </c>
      <c r="Q703">
        <f>COUNTIF('責任職　企業局→市長部局'!A:A,SQLデータ!B703)</f>
        <v>0</v>
      </c>
      <c r="R703">
        <f>COUNTIF('一般職員　企業局→市長部局'!A:F,SQLデータ!B703)</f>
        <v>0</v>
      </c>
    </row>
    <row r="704" spans="1:18" x14ac:dyDescent="0.4">
      <c r="A704" s="1">
        <v>202650000381</v>
      </c>
      <c r="B704" s="1">
        <v>950529</v>
      </c>
      <c r="C704" s="2">
        <v>46115</v>
      </c>
      <c r="D704" t="s">
        <v>17</v>
      </c>
      <c r="E704" t="s">
        <v>11</v>
      </c>
      <c r="F704" t="s">
        <v>48</v>
      </c>
      <c r="G704" t="s">
        <v>9</v>
      </c>
      <c r="L704">
        <f t="shared" si="51"/>
        <v>0</v>
      </c>
      <c r="M704">
        <f t="shared" si="52"/>
        <v>0</v>
      </c>
      <c r="N704">
        <f t="shared" si="53"/>
        <v>0</v>
      </c>
      <c r="O704">
        <f t="shared" si="55"/>
        <v>1</v>
      </c>
      <c r="P704" t="str">
        <f t="shared" si="54"/>
        <v/>
      </c>
      <c r="Q704">
        <f>COUNTIF('責任職　企業局→市長部局'!A:A,SQLデータ!B704)</f>
        <v>0</v>
      </c>
      <c r="R704">
        <f>COUNTIF('一般職員　企業局→市長部局'!A:F,SQLデータ!B704)</f>
        <v>0</v>
      </c>
    </row>
    <row r="705" spans="1:18" x14ac:dyDescent="0.4">
      <c r="A705" s="1">
        <v>202650000382</v>
      </c>
      <c r="B705" s="1">
        <v>930137</v>
      </c>
      <c r="C705" s="2">
        <v>46115</v>
      </c>
      <c r="D705" t="s">
        <v>17</v>
      </c>
      <c r="E705" t="s">
        <v>10</v>
      </c>
      <c r="G705" t="s">
        <v>9</v>
      </c>
      <c r="L705">
        <f t="shared" si="51"/>
        <v>0</v>
      </c>
      <c r="M705">
        <f t="shared" si="52"/>
        <v>0</v>
      </c>
      <c r="N705">
        <f t="shared" si="53"/>
        <v>0</v>
      </c>
      <c r="O705">
        <f t="shared" si="55"/>
        <v>1</v>
      </c>
      <c r="P705" t="str">
        <f t="shared" si="54"/>
        <v/>
      </c>
      <c r="Q705">
        <f>COUNTIF('責任職　企業局→市長部局'!A:A,SQLデータ!B705)</f>
        <v>0</v>
      </c>
      <c r="R705">
        <f>COUNTIF('一般職員　企業局→市長部局'!A:F,SQLデータ!B705)</f>
        <v>0</v>
      </c>
    </row>
    <row r="706" spans="1:18" x14ac:dyDescent="0.4">
      <c r="A706" s="1">
        <v>202650000384</v>
      </c>
      <c r="B706" s="1">
        <v>910124</v>
      </c>
      <c r="C706" s="2">
        <v>46117</v>
      </c>
      <c r="D706" t="s">
        <v>17</v>
      </c>
      <c r="E706" t="s">
        <v>10</v>
      </c>
      <c r="G706" t="s">
        <v>9</v>
      </c>
      <c r="L706">
        <f t="shared" ref="L706:L769" si="56">IF(ISBLANK(J706),0,1)</f>
        <v>0</v>
      </c>
      <c r="M706">
        <f t="shared" ref="M706:M769" si="57">IF(AND(L706=0,I706&lt;&gt;""),1,0)</f>
        <v>0</v>
      </c>
      <c r="N706">
        <f t="shared" ref="N706:N769" si="58">IF(AND(L706=0,M706=0,K706&lt;&gt;""),1,0)</f>
        <v>0</v>
      </c>
      <c r="O706">
        <f t="shared" si="55"/>
        <v>1</v>
      </c>
      <c r="P706" t="str">
        <f t="shared" ref="P706:P769" si="59">IF(D706&lt;&gt;"扶養","",IF(E706&lt;&gt;"確認待ち",1,IF(OR(AND(G706="本人の結婚",O706=1),AND(H706="減",OR(N706=1,O706=1))),1,0)))</f>
        <v/>
      </c>
      <c r="Q706">
        <f>COUNTIF('責任職　企業局→市長部局'!A:A,SQLデータ!B706)</f>
        <v>0</v>
      </c>
      <c r="R706">
        <f>COUNTIF('一般職員　企業局→市長部局'!A:F,SQLデータ!B706)</f>
        <v>0</v>
      </c>
    </row>
    <row r="707" spans="1:18" x14ac:dyDescent="0.4">
      <c r="A707" s="1">
        <v>202650000390</v>
      </c>
      <c r="B707" s="1">
        <v>1256028</v>
      </c>
      <c r="C707" s="2">
        <v>46115</v>
      </c>
      <c r="D707" t="s">
        <v>17</v>
      </c>
      <c r="E707" t="s">
        <v>8</v>
      </c>
      <c r="F707" t="s">
        <v>47</v>
      </c>
      <c r="G707" t="s">
        <v>9</v>
      </c>
      <c r="L707">
        <f t="shared" si="56"/>
        <v>0</v>
      </c>
      <c r="M707">
        <f t="shared" si="57"/>
        <v>0</v>
      </c>
      <c r="N707">
        <f t="shared" si="58"/>
        <v>0</v>
      </c>
      <c r="O707">
        <f t="shared" si="55"/>
        <v>1</v>
      </c>
      <c r="P707" t="str">
        <f t="shared" si="59"/>
        <v/>
      </c>
      <c r="Q707">
        <f>COUNTIF('責任職　企業局→市長部局'!A:A,SQLデータ!B707)</f>
        <v>0</v>
      </c>
      <c r="R707">
        <f>COUNTIF('一般職員　企業局→市長部局'!A:F,SQLデータ!B707)</f>
        <v>0</v>
      </c>
    </row>
    <row r="708" spans="1:18" x14ac:dyDescent="0.4">
      <c r="A708" s="1">
        <v>202650000394</v>
      </c>
      <c r="B708" s="1">
        <v>1236081</v>
      </c>
      <c r="C708" s="2">
        <v>46115</v>
      </c>
      <c r="D708" t="s">
        <v>17</v>
      </c>
      <c r="E708" t="s">
        <v>10</v>
      </c>
      <c r="G708" t="s">
        <v>9</v>
      </c>
      <c r="L708">
        <f t="shared" si="56"/>
        <v>0</v>
      </c>
      <c r="M708">
        <f t="shared" si="57"/>
        <v>0</v>
      </c>
      <c r="N708">
        <f t="shared" si="58"/>
        <v>0</v>
      </c>
      <c r="O708">
        <f t="shared" si="55"/>
        <v>1</v>
      </c>
      <c r="P708" t="str">
        <f t="shared" si="59"/>
        <v/>
      </c>
      <c r="Q708">
        <f>COUNTIF('責任職　企業局→市長部局'!A:A,SQLデータ!B708)</f>
        <v>0</v>
      </c>
      <c r="R708">
        <f>COUNTIF('一般職員　企業局→市長部局'!A:F,SQLデータ!B708)</f>
        <v>0</v>
      </c>
    </row>
    <row r="709" spans="1:18" x14ac:dyDescent="0.4">
      <c r="A709" s="1">
        <v>202650000397</v>
      </c>
      <c r="B709" s="1">
        <v>1136036</v>
      </c>
      <c r="C709" s="2">
        <v>46115</v>
      </c>
      <c r="D709" t="s">
        <v>17</v>
      </c>
      <c r="E709" t="s">
        <v>10</v>
      </c>
      <c r="G709" t="s">
        <v>9</v>
      </c>
      <c r="L709">
        <f t="shared" si="56"/>
        <v>0</v>
      </c>
      <c r="M709">
        <f t="shared" si="57"/>
        <v>0</v>
      </c>
      <c r="N709">
        <f t="shared" si="58"/>
        <v>0</v>
      </c>
      <c r="O709">
        <f t="shared" si="55"/>
        <v>1</v>
      </c>
      <c r="P709" t="str">
        <f t="shared" si="59"/>
        <v/>
      </c>
      <c r="Q709">
        <f>COUNTIF('責任職　企業局→市長部局'!A:A,SQLデータ!B709)</f>
        <v>0</v>
      </c>
      <c r="R709">
        <f>COUNTIF('一般職員　企業局→市長部局'!A:F,SQLデータ!B709)</f>
        <v>0</v>
      </c>
    </row>
    <row r="710" spans="1:18" x14ac:dyDescent="0.4">
      <c r="A710" s="1">
        <v>202650000402</v>
      </c>
      <c r="B710" s="1">
        <v>5118445</v>
      </c>
      <c r="C710" s="2">
        <v>46115</v>
      </c>
      <c r="D710" t="s">
        <v>17</v>
      </c>
      <c r="E710" t="s">
        <v>10</v>
      </c>
      <c r="F710" t="s">
        <v>54</v>
      </c>
      <c r="G710" t="s">
        <v>9</v>
      </c>
      <c r="L710">
        <f t="shared" si="56"/>
        <v>0</v>
      </c>
      <c r="M710">
        <f t="shared" si="57"/>
        <v>0</v>
      </c>
      <c r="N710">
        <f t="shared" si="58"/>
        <v>0</v>
      </c>
      <c r="O710">
        <f t="shared" si="55"/>
        <v>1</v>
      </c>
      <c r="P710" t="str">
        <f t="shared" si="59"/>
        <v/>
      </c>
      <c r="Q710">
        <f>COUNTIF('責任職　企業局→市長部局'!A:A,SQLデータ!B710)</f>
        <v>0</v>
      </c>
      <c r="R710">
        <f>COUNTIF('一般職員　企業局→市長部局'!A:F,SQLデータ!B710)</f>
        <v>0</v>
      </c>
    </row>
    <row r="711" spans="1:18" x14ac:dyDescent="0.4">
      <c r="A711" s="1">
        <v>202650000404</v>
      </c>
      <c r="B711" s="1">
        <v>996009</v>
      </c>
      <c r="C711" s="2">
        <v>46115</v>
      </c>
      <c r="D711" t="s">
        <v>17</v>
      </c>
      <c r="E711" t="s">
        <v>10</v>
      </c>
      <c r="G711" t="s">
        <v>9</v>
      </c>
      <c r="L711">
        <f t="shared" si="56"/>
        <v>0</v>
      </c>
      <c r="M711">
        <f t="shared" si="57"/>
        <v>0</v>
      </c>
      <c r="N711">
        <f t="shared" si="58"/>
        <v>0</v>
      </c>
      <c r="O711">
        <f t="shared" si="55"/>
        <v>1</v>
      </c>
      <c r="P711" t="str">
        <f t="shared" si="59"/>
        <v/>
      </c>
      <c r="Q711">
        <f>COUNTIF('責任職　企業局→市長部局'!A:A,SQLデータ!B711)</f>
        <v>0</v>
      </c>
      <c r="R711">
        <f>COUNTIF('一般職員　企業局→市長部局'!A:F,SQLデータ!B711)</f>
        <v>0</v>
      </c>
    </row>
    <row r="712" spans="1:18" x14ac:dyDescent="0.4">
      <c r="A712" s="1">
        <v>202650000405</v>
      </c>
      <c r="B712" s="1">
        <v>900536</v>
      </c>
      <c r="C712" s="2">
        <v>46115</v>
      </c>
      <c r="D712" t="s">
        <v>17</v>
      </c>
      <c r="E712" t="s">
        <v>11</v>
      </c>
      <c r="F712" t="s">
        <v>50</v>
      </c>
      <c r="G712" t="s">
        <v>9</v>
      </c>
      <c r="L712">
        <f t="shared" si="56"/>
        <v>0</v>
      </c>
      <c r="M712">
        <f t="shared" si="57"/>
        <v>0</v>
      </c>
      <c r="N712">
        <f t="shared" si="58"/>
        <v>0</v>
      </c>
      <c r="O712">
        <f t="shared" si="55"/>
        <v>1</v>
      </c>
      <c r="P712" t="str">
        <f t="shared" si="59"/>
        <v/>
      </c>
      <c r="Q712">
        <f>COUNTIF('責任職　企業局→市長部局'!A:A,SQLデータ!B712)</f>
        <v>0</v>
      </c>
      <c r="R712">
        <f>COUNTIF('一般職員　企業局→市長部局'!A:F,SQLデータ!B712)</f>
        <v>0</v>
      </c>
    </row>
    <row r="713" spans="1:18" x14ac:dyDescent="0.4">
      <c r="A713" s="1">
        <v>202650000408</v>
      </c>
      <c r="B713" s="1">
        <v>1086032</v>
      </c>
      <c r="C713" s="2">
        <v>46115</v>
      </c>
      <c r="D713" t="s">
        <v>17</v>
      </c>
      <c r="E713" t="s">
        <v>10</v>
      </c>
      <c r="G713" t="s">
        <v>9</v>
      </c>
      <c r="L713">
        <f t="shared" si="56"/>
        <v>0</v>
      </c>
      <c r="M713">
        <f t="shared" si="57"/>
        <v>0</v>
      </c>
      <c r="N713">
        <f t="shared" si="58"/>
        <v>0</v>
      </c>
      <c r="O713">
        <f t="shared" ref="O713:O776" si="60">IF(COUNTIF(L713:N713,0)=3,1,0)</f>
        <v>1</v>
      </c>
      <c r="P713" t="str">
        <f t="shared" si="59"/>
        <v/>
      </c>
      <c r="Q713">
        <f>COUNTIF('責任職　企業局→市長部局'!A:A,SQLデータ!B713)</f>
        <v>0</v>
      </c>
      <c r="R713">
        <f>COUNTIF('一般職員　企業局→市長部局'!A:F,SQLデータ!B713)</f>
        <v>0</v>
      </c>
    </row>
    <row r="714" spans="1:18" x14ac:dyDescent="0.4">
      <c r="A714" s="1">
        <v>202650000409</v>
      </c>
      <c r="B714" s="1">
        <v>870259</v>
      </c>
      <c r="C714" s="2">
        <v>46115</v>
      </c>
      <c r="D714" t="s">
        <v>17</v>
      </c>
      <c r="E714" t="s">
        <v>12</v>
      </c>
      <c r="G714" t="s">
        <v>9</v>
      </c>
      <c r="L714">
        <f t="shared" si="56"/>
        <v>0</v>
      </c>
      <c r="M714">
        <f t="shared" si="57"/>
        <v>0</v>
      </c>
      <c r="N714">
        <f t="shared" si="58"/>
        <v>0</v>
      </c>
      <c r="O714">
        <f t="shared" si="60"/>
        <v>1</v>
      </c>
      <c r="P714" t="str">
        <f t="shared" si="59"/>
        <v/>
      </c>
      <c r="Q714">
        <f>COUNTIF('責任職　企業局→市長部局'!A:A,SQLデータ!B714)</f>
        <v>0</v>
      </c>
      <c r="R714">
        <f>COUNTIF('一般職員　企業局→市長部局'!A:F,SQLデータ!B714)</f>
        <v>0</v>
      </c>
    </row>
    <row r="715" spans="1:18" x14ac:dyDescent="0.4">
      <c r="A715" s="1">
        <v>202650000410</v>
      </c>
      <c r="B715" s="1">
        <v>1061038</v>
      </c>
      <c r="C715" s="2">
        <v>46115</v>
      </c>
      <c r="D715" t="s">
        <v>17</v>
      </c>
      <c r="E715" t="s">
        <v>11</v>
      </c>
      <c r="G715" t="s">
        <v>9</v>
      </c>
      <c r="L715">
        <f t="shared" si="56"/>
        <v>0</v>
      </c>
      <c r="M715">
        <f t="shared" si="57"/>
        <v>0</v>
      </c>
      <c r="N715">
        <f t="shared" si="58"/>
        <v>0</v>
      </c>
      <c r="O715">
        <f t="shared" si="60"/>
        <v>1</v>
      </c>
      <c r="P715" t="str">
        <f t="shared" si="59"/>
        <v/>
      </c>
      <c r="Q715">
        <f>COUNTIF('責任職　企業局→市長部局'!A:A,SQLデータ!B715)</f>
        <v>0</v>
      </c>
      <c r="R715">
        <f>COUNTIF('一般職員　企業局→市長部局'!A:F,SQLデータ!B715)</f>
        <v>0</v>
      </c>
    </row>
    <row r="716" spans="1:18" x14ac:dyDescent="0.4">
      <c r="A716" s="1">
        <v>202650000412</v>
      </c>
      <c r="B716" s="1">
        <v>974169</v>
      </c>
      <c r="C716" s="2">
        <v>46115</v>
      </c>
      <c r="D716" t="s">
        <v>17</v>
      </c>
      <c r="E716" t="s">
        <v>11</v>
      </c>
      <c r="F716" t="s">
        <v>48</v>
      </c>
      <c r="G716" t="s">
        <v>9</v>
      </c>
      <c r="L716">
        <f t="shared" si="56"/>
        <v>0</v>
      </c>
      <c r="M716">
        <f t="shared" si="57"/>
        <v>0</v>
      </c>
      <c r="N716">
        <f t="shared" si="58"/>
        <v>0</v>
      </c>
      <c r="O716">
        <f t="shared" si="60"/>
        <v>1</v>
      </c>
      <c r="P716" t="str">
        <f t="shared" si="59"/>
        <v/>
      </c>
      <c r="Q716">
        <f>COUNTIF('責任職　企業局→市長部局'!A:A,SQLデータ!B716)</f>
        <v>0</v>
      </c>
      <c r="R716">
        <f>COUNTIF('一般職員　企業局→市長部局'!A:F,SQLデータ!B716)</f>
        <v>0</v>
      </c>
    </row>
    <row r="717" spans="1:18" x14ac:dyDescent="0.4">
      <c r="A717" s="1">
        <v>202650000416</v>
      </c>
      <c r="B717" s="1">
        <v>920522</v>
      </c>
      <c r="C717" s="2">
        <v>46115</v>
      </c>
      <c r="D717" t="s">
        <v>17</v>
      </c>
      <c r="E717" t="s">
        <v>11</v>
      </c>
      <c r="F717" t="s">
        <v>48</v>
      </c>
      <c r="G717" t="s">
        <v>9</v>
      </c>
      <c r="L717">
        <f t="shared" si="56"/>
        <v>0</v>
      </c>
      <c r="M717">
        <f t="shared" si="57"/>
        <v>0</v>
      </c>
      <c r="N717">
        <f t="shared" si="58"/>
        <v>0</v>
      </c>
      <c r="O717">
        <f t="shared" si="60"/>
        <v>1</v>
      </c>
      <c r="P717" t="str">
        <f t="shared" si="59"/>
        <v/>
      </c>
      <c r="Q717">
        <f>COUNTIF('責任職　企業局→市長部局'!A:A,SQLデータ!B717)</f>
        <v>0</v>
      </c>
      <c r="R717">
        <f>COUNTIF('一般職員　企業局→市長部局'!A:F,SQLデータ!B717)</f>
        <v>0</v>
      </c>
    </row>
    <row r="718" spans="1:18" x14ac:dyDescent="0.4">
      <c r="A718" s="1">
        <v>202650000425</v>
      </c>
      <c r="B718" s="1">
        <v>1081511</v>
      </c>
      <c r="C718" s="2">
        <v>46118</v>
      </c>
      <c r="D718" t="s">
        <v>17</v>
      </c>
      <c r="E718" t="s">
        <v>11</v>
      </c>
      <c r="F718" t="s">
        <v>50</v>
      </c>
      <c r="G718" t="s">
        <v>9</v>
      </c>
      <c r="L718">
        <f t="shared" si="56"/>
        <v>0</v>
      </c>
      <c r="M718">
        <f t="shared" si="57"/>
        <v>0</v>
      </c>
      <c r="N718">
        <f t="shared" si="58"/>
        <v>0</v>
      </c>
      <c r="O718">
        <f t="shared" si="60"/>
        <v>1</v>
      </c>
      <c r="P718" t="str">
        <f t="shared" si="59"/>
        <v/>
      </c>
      <c r="Q718">
        <f>COUNTIF('責任職　企業局→市長部局'!A:A,SQLデータ!B718)</f>
        <v>0</v>
      </c>
      <c r="R718">
        <f>COUNTIF('一般職員　企業局→市長部局'!A:F,SQLデータ!B718)</f>
        <v>0</v>
      </c>
    </row>
    <row r="719" spans="1:18" x14ac:dyDescent="0.4">
      <c r="A719" s="1">
        <v>202650000427</v>
      </c>
      <c r="B719" s="1">
        <v>860377</v>
      </c>
      <c r="C719" s="2">
        <v>46115</v>
      </c>
      <c r="D719" t="s">
        <v>17</v>
      </c>
      <c r="E719" t="s">
        <v>8</v>
      </c>
      <c r="G719" t="s">
        <v>9</v>
      </c>
      <c r="L719">
        <f t="shared" si="56"/>
        <v>0</v>
      </c>
      <c r="M719">
        <f t="shared" si="57"/>
        <v>0</v>
      </c>
      <c r="N719">
        <f t="shared" si="58"/>
        <v>0</v>
      </c>
      <c r="O719">
        <f t="shared" si="60"/>
        <v>1</v>
      </c>
      <c r="P719" t="str">
        <f t="shared" si="59"/>
        <v/>
      </c>
      <c r="Q719">
        <f>COUNTIF('責任職　企業局→市長部局'!A:A,SQLデータ!B719)</f>
        <v>0</v>
      </c>
      <c r="R719">
        <f>COUNTIF('一般職員　企業局→市長部局'!A:F,SQLデータ!B719)</f>
        <v>0</v>
      </c>
    </row>
    <row r="720" spans="1:18" x14ac:dyDescent="0.4">
      <c r="A720" s="1">
        <v>202650000431</v>
      </c>
      <c r="B720" s="1">
        <v>1131125</v>
      </c>
      <c r="C720" s="2">
        <v>46115</v>
      </c>
      <c r="D720" t="s">
        <v>17</v>
      </c>
      <c r="E720" t="s">
        <v>11</v>
      </c>
      <c r="F720" t="s">
        <v>48</v>
      </c>
      <c r="G720" t="s">
        <v>9</v>
      </c>
      <c r="L720">
        <f t="shared" si="56"/>
        <v>0</v>
      </c>
      <c r="M720">
        <f t="shared" si="57"/>
        <v>0</v>
      </c>
      <c r="N720">
        <f t="shared" si="58"/>
        <v>0</v>
      </c>
      <c r="O720">
        <f t="shared" si="60"/>
        <v>1</v>
      </c>
      <c r="P720" t="str">
        <f t="shared" si="59"/>
        <v/>
      </c>
      <c r="Q720">
        <f>COUNTIF('責任職　企業局→市長部局'!A:A,SQLデータ!B720)</f>
        <v>0</v>
      </c>
      <c r="R720">
        <f>COUNTIF('一般職員　企業局→市長部局'!A:F,SQLデータ!B720)</f>
        <v>0</v>
      </c>
    </row>
    <row r="721" spans="1:18" x14ac:dyDescent="0.4">
      <c r="A721" s="1">
        <v>202650000432</v>
      </c>
      <c r="B721" s="1">
        <v>1016054</v>
      </c>
      <c r="C721" s="2">
        <v>46115</v>
      </c>
      <c r="D721" t="s">
        <v>17</v>
      </c>
      <c r="E721" t="s">
        <v>10</v>
      </c>
      <c r="G721" t="s">
        <v>9</v>
      </c>
      <c r="L721">
        <f t="shared" si="56"/>
        <v>0</v>
      </c>
      <c r="M721">
        <f t="shared" si="57"/>
        <v>0</v>
      </c>
      <c r="N721">
        <f t="shared" si="58"/>
        <v>0</v>
      </c>
      <c r="O721">
        <f t="shared" si="60"/>
        <v>1</v>
      </c>
      <c r="P721" t="str">
        <f t="shared" si="59"/>
        <v/>
      </c>
      <c r="Q721">
        <f>COUNTIF('責任職　企業局→市長部局'!A:A,SQLデータ!B721)</f>
        <v>0</v>
      </c>
      <c r="R721">
        <f>COUNTIF('一般職員　企業局→市長部局'!A:F,SQLデータ!B721)</f>
        <v>0</v>
      </c>
    </row>
    <row r="722" spans="1:18" x14ac:dyDescent="0.4">
      <c r="A722" s="1">
        <v>202650000434</v>
      </c>
      <c r="B722" s="1">
        <v>890180</v>
      </c>
      <c r="C722" s="2">
        <v>46115</v>
      </c>
      <c r="D722" t="s">
        <v>17</v>
      </c>
      <c r="E722" t="s">
        <v>10</v>
      </c>
      <c r="G722" t="s">
        <v>9</v>
      </c>
      <c r="L722">
        <f t="shared" si="56"/>
        <v>0</v>
      </c>
      <c r="M722">
        <f t="shared" si="57"/>
        <v>0</v>
      </c>
      <c r="N722">
        <f t="shared" si="58"/>
        <v>0</v>
      </c>
      <c r="O722">
        <f t="shared" si="60"/>
        <v>1</v>
      </c>
      <c r="P722" t="str">
        <f t="shared" si="59"/>
        <v/>
      </c>
      <c r="Q722">
        <f>COUNTIF('責任職　企業局→市長部局'!A:A,SQLデータ!B722)</f>
        <v>0</v>
      </c>
      <c r="R722">
        <f>COUNTIF('一般職員　企業局→市長部局'!A:F,SQLデータ!B722)</f>
        <v>0</v>
      </c>
    </row>
    <row r="723" spans="1:18" x14ac:dyDescent="0.4">
      <c r="A723" s="1">
        <v>202650000440</v>
      </c>
      <c r="B723" s="1">
        <v>900361</v>
      </c>
      <c r="C723" s="2">
        <v>46115</v>
      </c>
      <c r="D723" t="s">
        <v>17</v>
      </c>
      <c r="E723" t="s">
        <v>10</v>
      </c>
      <c r="F723" t="s">
        <v>48</v>
      </c>
      <c r="G723" t="s">
        <v>9</v>
      </c>
      <c r="L723">
        <f t="shared" si="56"/>
        <v>0</v>
      </c>
      <c r="M723">
        <f t="shared" si="57"/>
        <v>0</v>
      </c>
      <c r="N723">
        <f t="shared" si="58"/>
        <v>0</v>
      </c>
      <c r="O723">
        <f t="shared" si="60"/>
        <v>1</v>
      </c>
      <c r="P723" t="str">
        <f t="shared" si="59"/>
        <v/>
      </c>
      <c r="Q723">
        <f>COUNTIF('責任職　企業局→市長部局'!A:A,SQLデータ!B723)</f>
        <v>0</v>
      </c>
      <c r="R723">
        <f>COUNTIF('一般職員　企業局→市長部局'!A:F,SQLデータ!B723)</f>
        <v>0</v>
      </c>
    </row>
    <row r="724" spans="1:18" x14ac:dyDescent="0.4">
      <c r="A724" s="1">
        <v>202650000442</v>
      </c>
      <c r="B724" s="1">
        <v>1004141</v>
      </c>
      <c r="C724" s="2">
        <v>46113</v>
      </c>
      <c r="D724" t="s">
        <v>17</v>
      </c>
      <c r="E724" t="s">
        <v>8</v>
      </c>
      <c r="G724" t="s">
        <v>9</v>
      </c>
      <c r="L724">
        <f t="shared" si="56"/>
        <v>0</v>
      </c>
      <c r="M724">
        <f t="shared" si="57"/>
        <v>0</v>
      </c>
      <c r="N724">
        <f t="shared" si="58"/>
        <v>0</v>
      </c>
      <c r="O724">
        <f t="shared" si="60"/>
        <v>1</v>
      </c>
      <c r="P724" t="str">
        <f t="shared" si="59"/>
        <v/>
      </c>
      <c r="Q724">
        <f>COUNTIF('責任職　企業局→市長部局'!A:A,SQLデータ!B724)</f>
        <v>0</v>
      </c>
      <c r="R724">
        <f>COUNTIF('一般職員　企業局→市長部局'!A:F,SQLデータ!B724)</f>
        <v>0</v>
      </c>
    </row>
    <row r="725" spans="1:18" x14ac:dyDescent="0.4">
      <c r="A725" s="1">
        <v>202650000448</v>
      </c>
      <c r="B725" s="1">
        <v>1014232</v>
      </c>
      <c r="C725" s="2">
        <v>46113</v>
      </c>
      <c r="D725" t="s">
        <v>17</v>
      </c>
      <c r="E725" t="s">
        <v>10</v>
      </c>
      <c r="G725" t="s">
        <v>9</v>
      </c>
      <c r="L725">
        <f t="shared" si="56"/>
        <v>0</v>
      </c>
      <c r="M725">
        <f t="shared" si="57"/>
        <v>0</v>
      </c>
      <c r="N725">
        <f t="shared" si="58"/>
        <v>0</v>
      </c>
      <c r="O725">
        <f t="shared" si="60"/>
        <v>1</v>
      </c>
      <c r="P725" t="str">
        <f t="shared" si="59"/>
        <v/>
      </c>
      <c r="Q725">
        <f>COUNTIF('責任職　企業局→市長部局'!A:A,SQLデータ!B725)</f>
        <v>0</v>
      </c>
      <c r="R725">
        <f>COUNTIF('一般職員　企業局→市長部局'!A:F,SQLデータ!B725)</f>
        <v>0</v>
      </c>
    </row>
    <row r="726" spans="1:18" x14ac:dyDescent="0.4">
      <c r="A726" s="1">
        <v>202650000449</v>
      </c>
      <c r="B726" s="1">
        <v>1172179</v>
      </c>
      <c r="C726" s="2">
        <v>46115</v>
      </c>
      <c r="D726" t="s">
        <v>17</v>
      </c>
      <c r="E726" t="s">
        <v>10</v>
      </c>
      <c r="G726" t="s">
        <v>9</v>
      </c>
      <c r="L726">
        <f t="shared" si="56"/>
        <v>0</v>
      </c>
      <c r="M726">
        <f t="shared" si="57"/>
        <v>0</v>
      </c>
      <c r="N726">
        <f t="shared" si="58"/>
        <v>0</v>
      </c>
      <c r="O726">
        <f t="shared" si="60"/>
        <v>1</v>
      </c>
      <c r="P726" t="str">
        <f t="shared" si="59"/>
        <v/>
      </c>
      <c r="Q726">
        <f>COUNTIF('責任職　企業局→市長部局'!A:A,SQLデータ!B726)</f>
        <v>0</v>
      </c>
      <c r="R726">
        <f>COUNTIF('一般職員　企業局→市長部局'!A:F,SQLデータ!B726)</f>
        <v>0</v>
      </c>
    </row>
    <row r="727" spans="1:18" x14ac:dyDescent="0.4">
      <c r="A727" s="1">
        <v>202650000452</v>
      </c>
      <c r="B727" s="1">
        <v>1226111</v>
      </c>
      <c r="C727" s="2">
        <v>46115</v>
      </c>
      <c r="D727" t="s">
        <v>17</v>
      </c>
      <c r="E727" t="s">
        <v>10</v>
      </c>
      <c r="G727" t="s">
        <v>9</v>
      </c>
      <c r="L727">
        <f t="shared" si="56"/>
        <v>0</v>
      </c>
      <c r="M727">
        <f t="shared" si="57"/>
        <v>0</v>
      </c>
      <c r="N727">
        <f t="shared" si="58"/>
        <v>0</v>
      </c>
      <c r="O727">
        <f t="shared" si="60"/>
        <v>1</v>
      </c>
      <c r="P727" t="str">
        <f t="shared" si="59"/>
        <v/>
      </c>
      <c r="Q727">
        <f>COUNTIF('責任職　企業局→市長部局'!A:A,SQLデータ!B727)</f>
        <v>0</v>
      </c>
      <c r="R727">
        <f>COUNTIF('一般職員　企業局→市長部局'!A:F,SQLデータ!B727)</f>
        <v>0</v>
      </c>
    </row>
    <row r="728" spans="1:18" x14ac:dyDescent="0.4">
      <c r="A728" s="1">
        <v>202650000453</v>
      </c>
      <c r="B728" s="1">
        <v>1011118</v>
      </c>
      <c r="C728" s="2">
        <v>46115</v>
      </c>
      <c r="D728" t="s">
        <v>17</v>
      </c>
      <c r="E728" t="s">
        <v>10</v>
      </c>
      <c r="G728" t="s">
        <v>9</v>
      </c>
      <c r="L728">
        <f t="shared" si="56"/>
        <v>0</v>
      </c>
      <c r="M728">
        <f t="shared" si="57"/>
        <v>0</v>
      </c>
      <c r="N728">
        <f t="shared" si="58"/>
        <v>0</v>
      </c>
      <c r="O728">
        <f t="shared" si="60"/>
        <v>1</v>
      </c>
      <c r="P728" t="str">
        <f t="shared" si="59"/>
        <v/>
      </c>
      <c r="Q728">
        <f>COUNTIF('責任職　企業局→市長部局'!A:A,SQLデータ!B728)</f>
        <v>0</v>
      </c>
      <c r="R728">
        <f>COUNTIF('一般職員　企業局→市長部局'!A:F,SQLデータ!B728)</f>
        <v>0</v>
      </c>
    </row>
    <row r="729" spans="1:18" x14ac:dyDescent="0.4">
      <c r="A729" s="1">
        <v>202650000454</v>
      </c>
      <c r="B729" s="1">
        <v>1201389</v>
      </c>
      <c r="C729" s="2">
        <v>46115</v>
      </c>
      <c r="D729" t="s">
        <v>17</v>
      </c>
      <c r="E729" t="s">
        <v>8</v>
      </c>
      <c r="F729" t="s">
        <v>47</v>
      </c>
      <c r="G729" t="s">
        <v>9</v>
      </c>
      <c r="L729">
        <f t="shared" si="56"/>
        <v>0</v>
      </c>
      <c r="M729">
        <f t="shared" si="57"/>
        <v>0</v>
      </c>
      <c r="N729">
        <f t="shared" si="58"/>
        <v>0</v>
      </c>
      <c r="O729">
        <f t="shared" si="60"/>
        <v>1</v>
      </c>
      <c r="P729" t="str">
        <f t="shared" si="59"/>
        <v/>
      </c>
      <c r="Q729">
        <f>COUNTIF('責任職　企業局→市長部局'!A:A,SQLデータ!B729)</f>
        <v>0</v>
      </c>
      <c r="R729">
        <f>COUNTIF('一般職員　企業局→市長部局'!A:F,SQLデータ!B729)</f>
        <v>0</v>
      </c>
    </row>
    <row r="730" spans="1:18" x14ac:dyDescent="0.4">
      <c r="A730" s="1">
        <v>202650000455</v>
      </c>
      <c r="B730" s="1">
        <v>1206012</v>
      </c>
      <c r="C730" s="2">
        <v>46115</v>
      </c>
      <c r="D730" t="s">
        <v>17</v>
      </c>
      <c r="E730" t="s">
        <v>10</v>
      </c>
      <c r="G730" t="s">
        <v>9</v>
      </c>
      <c r="L730">
        <f t="shared" si="56"/>
        <v>0</v>
      </c>
      <c r="M730">
        <f t="shared" si="57"/>
        <v>0</v>
      </c>
      <c r="N730">
        <f t="shared" si="58"/>
        <v>0</v>
      </c>
      <c r="O730">
        <f t="shared" si="60"/>
        <v>1</v>
      </c>
      <c r="P730" t="str">
        <f t="shared" si="59"/>
        <v/>
      </c>
      <c r="Q730">
        <f>COUNTIF('責任職　企業局→市長部局'!A:A,SQLデータ!B730)</f>
        <v>0</v>
      </c>
      <c r="R730">
        <f>COUNTIF('一般職員　企業局→市長部局'!A:F,SQLデータ!B730)</f>
        <v>0</v>
      </c>
    </row>
    <row r="731" spans="1:18" x14ac:dyDescent="0.4">
      <c r="A731" s="1">
        <v>202650000461</v>
      </c>
      <c r="B731" s="1">
        <v>1216071</v>
      </c>
      <c r="C731" s="2">
        <v>46115</v>
      </c>
      <c r="D731" t="s">
        <v>17</v>
      </c>
      <c r="E731" t="s">
        <v>10</v>
      </c>
      <c r="G731" t="s">
        <v>9</v>
      </c>
      <c r="L731">
        <f t="shared" si="56"/>
        <v>0</v>
      </c>
      <c r="M731">
        <f t="shared" si="57"/>
        <v>0</v>
      </c>
      <c r="N731">
        <f t="shared" si="58"/>
        <v>0</v>
      </c>
      <c r="O731">
        <f t="shared" si="60"/>
        <v>1</v>
      </c>
      <c r="P731" t="str">
        <f t="shared" si="59"/>
        <v/>
      </c>
      <c r="Q731">
        <f>COUNTIF('責任職　企業局→市長部局'!A:A,SQLデータ!B731)</f>
        <v>0</v>
      </c>
      <c r="R731">
        <f>COUNTIF('一般職員　企業局→市長部局'!A:F,SQLデータ!B731)</f>
        <v>0</v>
      </c>
    </row>
    <row r="732" spans="1:18" x14ac:dyDescent="0.4">
      <c r="A732" s="1">
        <v>202650000464</v>
      </c>
      <c r="B732" s="1">
        <v>910792</v>
      </c>
      <c r="C732" s="2">
        <v>46113</v>
      </c>
      <c r="D732" t="s">
        <v>17</v>
      </c>
      <c r="E732" t="s">
        <v>10</v>
      </c>
      <c r="G732" t="s">
        <v>9</v>
      </c>
      <c r="L732">
        <f t="shared" si="56"/>
        <v>0</v>
      </c>
      <c r="M732">
        <f t="shared" si="57"/>
        <v>0</v>
      </c>
      <c r="N732">
        <f t="shared" si="58"/>
        <v>0</v>
      </c>
      <c r="O732">
        <f t="shared" si="60"/>
        <v>1</v>
      </c>
      <c r="P732" t="str">
        <f t="shared" si="59"/>
        <v/>
      </c>
      <c r="Q732">
        <f>COUNTIF('責任職　企業局→市長部局'!A:A,SQLデータ!B732)</f>
        <v>0</v>
      </c>
      <c r="R732">
        <f>COUNTIF('一般職員　企業局→市長部局'!A:F,SQLデータ!B732)</f>
        <v>0</v>
      </c>
    </row>
    <row r="733" spans="1:18" x14ac:dyDescent="0.4">
      <c r="A733" s="1">
        <v>202650000466</v>
      </c>
      <c r="B733" s="1">
        <v>880423</v>
      </c>
      <c r="C733" s="2">
        <v>46115</v>
      </c>
      <c r="D733" t="s">
        <v>17</v>
      </c>
      <c r="E733" t="s">
        <v>8</v>
      </c>
      <c r="G733" t="s">
        <v>9</v>
      </c>
      <c r="L733">
        <f t="shared" si="56"/>
        <v>0</v>
      </c>
      <c r="M733">
        <f t="shared" si="57"/>
        <v>0</v>
      </c>
      <c r="N733">
        <f t="shared" si="58"/>
        <v>0</v>
      </c>
      <c r="O733">
        <f t="shared" si="60"/>
        <v>1</v>
      </c>
      <c r="P733" t="str">
        <f t="shared" si="59"/>
        <v/>
      </c>
      <c r="Q733">
        <f>COUNTIF('責任職　企業局→市長部局'!A:A,SQLデータ!B733)</f>
        <v>0</v>
      </c>
      <c r="R733">
        <f>COUNTIF('一般職員　企業局→市長部局'!A:F,SQLデータ!B733)</f>
        <v>0</v>
      </c>
    </row>
    <row r="734" spans="1:18" x14ac:dyDescent="0.4">
      <c r="A734" s="1">
        <v>202650000467</v>
      </c>
      <c r="B734" s="1">
        <v>991198</v>
      </c>
      <c r="C734" s="2">
        <v>46115</v>
      </c>
      <c r="D734" t="s">
        <v>17</v>
      </c>
      <c r="E734" t="s">
        <v>11</v>
      </c>
      <c r="G734" t="s">
        <v>9</v>
      </c>
      <c r="L734">
        <f t="shared" si="56"/>
        <v>0</v>
      </c>
      <c r="M734">
        <f t="shared" si="57"/>
        <v>0</v>
      </c>
      <c r="N734">
        <f t="shared" si="58"/>
        <v>0</v>
      </c>
      <c r="O734">
        <f t="shared" si="60"/>
        <v>1</v>
      </c>
      <c r="P734" t="str">
        <f t="shared" si="59"/>
        <v/>
      </c>
      <c r="Q734">
        <f>COUNTIF('責任職　企業局→市長部局'!A:A,SQLデータ!B734)</f>
        <v>0</v>
      </c>
      <c r="R734">
        <f>COUNTIF('一般職員　企業局→市長部局'!A:F,SQLデータ!B734)</f>
        <v>0</v>
      </c>
    </row>
    <row r="735" spans="1:18" x14ac:dyDescent="0.4">
      <c r="A735" s="1">
        <v>202650000469</v>
      </c>
      <c r="B735" s="1">
        <v>1086030</v>
      </c>
      <c r="C735" s="2">
        <v>46115</v>
      </c>
      <c r="D735" t="s">
        <v>17</v>
      </c>
      <c r="E735" t="s">
        <v>8</v>
      </c>
      <c r="F735" t="s">
        <v>47</v>
      </c>
      <c r="G735" t="s">
        <v>9</v>
      </c>
      <c r="L735">
        <f t="shared" si="56"/>
        <v>0</v>
      </c>
      <c r="M735">
        <f t="shared" si="57"/>
        <v>0</v>
      </c>
      <c r="N735">
        <f t="shared" si="58"/>
        <v>0</v>
      </c>
      <c r="O735">
        <f t="shared" si="60"/>
        <v>1</v>
      </c>
      <c r="P735" t="str">
        <f t="shared" si="59"/>
        <v/>
      </c>
      <c r="Q735">
        <f>COUNTIF('責任職　企業局→市長部局'!A:A,SQLデータ!B735)</f>
        <v>0</v>
      </c>
      <c r="R735">
        <f>COUNTIF('一般職員　企業局→市長部局'!A:F,SQLデータ!B735)</f>
        <v>0</v>
      </c>
    </row>
    <row r="736" spans="1:18" x14ac:dyDescent="0.4">
      <c r="A736" s="1">
        <v>202650000471</v>
      </c>
      <c r="B736" s="1">
        <v>1071004</v>
      </c>
      <c r="C736" s="2">
        <v>46115</v>
      </c>
      <c r="D736" t="s">
        <v>17</v>
      </c>
      <c r="E736" t="s">
        <v>11</v>
      </c>
      <c r="F736" t="s">
        <v>48</v>
      </c>
      <c r="G736" t="s">
        <v>9</v>
      </c>
      <c r="L736">
        <f t="shared" si="56"/>
        <v>0</v>
      </c>
      <c r="M736">
        <f t="shared" si="57"/>
        <v>0</v>
      </c>
      <c r="N736">
        <f t="shared" si="58"/>
        <v>0</v>
      </c>
      <c r="O736">
        <f t="shared" si="60"/>
        <v>1</v>
      </c>
      <c r="P736" t="str">
        <f t="shared" si="59"/>
        <v/>
      </c>
      <c r="Q736">
        <f>COUNTIF('責任職　企業局→市長部局'!A:A,SQLデータ!B736)</f>
        <v>0</v>
      </c>
      <c r="R736">
        <f>COUNTIF('一般職員　企業局→市長部局'!A:F,SQLデータ!B736)</f>
        <v>0</v>
      </c>
    </row>
    <row r="737" spans="1:18" x14ac:dyDescent="0.4">
      <c r="A737" s="1">
        <v>202650000472</v>
      </c>
      <c r="B737" s="1">
        <v>1156059</v>
      </c>
      <c r="C737" s="2">
        <v>46115</v>
      </c>
      <c r="D737" t="s">
        <v>17</v>
      </c>
      <c r="E737" t="s">
        <v>10</v>
      </c>
      <c r="G737" t="s">
        <v>9</v>
      </c>
      <c r="L737">
        <f t="shared" si="56"/>
        <v>0</v>
      </c>
      <c r="M737">
        <f t="shared" si="57"/>
        <v>0</v>
      </c>
      <c r="N737">
        <f t="shared" si="58"/>
        <v>0</v>
      </c>
      <c r="O737">
        <f t="shared" si="60"/>
        <v>1</v>
      </c>
      <c r="P737" t="str">
        <f t="shared" si="59"/>
        <v/>
      </c>
      <c r="Q737">
        <f>COUNTIF('責任職　企業局→市長部局'!A:A,SQLデータ!B737)</f>
        <v>0</v>
      </c>
      <c r="R737">
        <f>COUNTIF('一般職員　企業局→市長部局'!A:F,SQLデータ!B737)</f>
        <v>0</v>
      </c>
    </row>
    <row r="738" spans="1:18" x14ac:dyDescent="0.4">
      <c r="A738" s="1">
        <v>202650000478</v>
      </c>
      <c r="B738" s="1">
        <v>1146055</v>
      </c>
      <c r="C738" s="2">
        <v>46115</v>
      </c>
      <c r="D738" t="s">
        <v>17</v>
      </c>
      <c r="E738" t="s">
        <v>10</v>
      </c>
      <c r="G738" t="s">
        <v>9</v>
      </c>
      <c r="L738">
        <f t="shared" si="56"/>
        <v>0</v>
      </c>
      <c r="M738">
        <f t="shared" si="57"/>
        <v>0</v>
      </c>
      <c r="N738">
        <f t="shared" si="58"/>
        <v>0</v>
      </c>
      <c r="O738">
        <f t="shared" si="60"/>
        <v>1</v>
      </c>
      <c r="P738" t="str">
        <f t="shared" si="59"/>
        <v/>
      </c>
      <c r="Q738">
        <f>COUNTIF('責任職　企業局→市長部局'!A:A,SQLデータ!B738)</f>
        <v>0</v>
      </c>
      <c r="R738">
        <f>COUNTIF('一般職員　企業局→市長部局'!A:F,SQLデータ!B738)</f>
        <v>0</v>
      </c>
    </row>
    <row r="739" spans="1:18" x14ac:dyDescent="0.4">
      <c r="A739" s="1">
        <v>202650000481</v>
      </c>
      <c r="B739" s="1">
        <v>1081019</v>
      </c>
      <c r="C739" s="2">
        <v>46115</v>
      </c>
      <c r="D739" t="s">
        <v>17</v>
      </c>
      <c r="E739" t="s">
        <v>10</v>
      </c>
      <c r="G739" t="s">
        <v>9</v>
      </c>
      <c r="L739">
        <f t="shared" si="56"/>
        <v>0</v>
      </c>
      <c r="M739">
        <f t="shared" si="57"/>
        <v>0</v>
      </c>
      <c r="N739">
        <f t="shared" si="58"/>
        <v>0</v>
      </c>
      <c r="O739">
        <f t="shared" si="60"/>
        <v>1</v>
      </c>
      <c r="P739" t="str">
        <f t="shared" si="59"/>
        <v/>
      </c>
      <c r="Q739">
        <f>COUNTIF('責任職　企業局→市長部局'!A:A,SQLデータ!B739)</f>
        <v>0</v>
      </c>
      <c r="R739">
        <f>COUNTIF('一般職員　企業局→市長部局'!A:F,SQLデータ!B739)</f>
        <v>0</v>
      </c>
    </row>
    <row r="740" spans="1:18" x14ac:dyDescent="0.4">
      <c r="A740" s="1">
        <v>202650000483</v>
      </c>
      <c r="B740" s="1">
        <v>5198229</v>
      </c>
      <c r="C740" s="2">
        <v>46118</v>
      </c>
      <c r="D740" t="s">
        <v>17</v>
      </c>
      <c r="E740" t="s">
        <v>10</v>
      </c>
      <c r="F740" t="s">
        <v>54</v>
      </c>
      <c r="G740" t="s">
        <v>9</v>
      </c>
      <c r="L740">
        <f t="shared" si="56"/>
        <v>0</v>
      </c>
      <c r="M740">
        <f t="shared" si="57"/>
        <v>0</v>
      </c>
      <c r="N740">
        <f t="shared" si="58"/>
        <v>0</v>
      </c>
      <c r="O740">
        <f t="shared" si="60"/>
        <v>1</v>
      </c>
      <c r="P740" t="str">
        <f t="shared" si="59"/>
        <v/>
      </c>
      <c r="Q740">
        <f>COUNTIF('責任職　企業局→市長部局'!A:A,SQLデータ!B740)</f>
        <v>0</v>
      </c>
      <c r="R740">
        <f>COUNTIF('一般職員　企業局→市長部局'!A:F,SQLデータ!B740)</f>
        <v>0</v>
      </c>
    </row>
    <row r="741" spans="1:18" x14ac:dyDescent="0.4">
      <c r="A741" s="1">
        <v>202650000487</v>
      </c>
      <c r="B741" s="1">
        <v>940190</v>
      </c>
      <c r="C741" s="2">
        <v>46115</v>
      </c>
      <c r="D741" t="s">
        <v>17</v>
      </c>
      <c r="E741" t="s">
        <v>10</v>
      </c>
      <c r="G741" t="s">
        <v>9</v>
      </c>
      <c r="L741">
        <f t="shared" si="56"/>
        <v>0</v>
      </c>
      <c r="M741">
        <f t="shared" si="57"/>
        <v>0</v>
      </c>
      <c r="N741">
        <f t="shared" si="58"/>
        <v>0</v>
      </c>
      <c r="O741">
        <f t="shared" si="60"/>
        <v>1</v>
      </c>
      <c r="P741" t="str">
        <f t="shared" si="59"/>
        <v/>
      </c>
      <c r="Q741">
        <f>COUNTIF('責任職　企業局→市長部局'!A:A,SQLデータ!B741)</f>
        <v>0</v>
      </c>
      <c r="R741">
        <f>COUNTIF('一般職員　企業局→市長部局'!A:F,SQLデータ!B741)</f>
        <v>0</v>
      </c>
    </row>
    <row r="742" spans="1:18" x14ac:dyDescent="0.4">
      <c r="A742" s="1">
        <v>202650000491</v>
      </c>
      <c r="B742" s="1">
        <v>1042069</v>
      </c>
      <c r="C742" s="2">
        <v>46115</v>
      </c>
      <c r="D742" t="s">
        <v>17</v>
      </c>
      <c r="E742" t="s">
        <v>10</v>
      </c>
      <c r="G742" t="s">
        <v>9</v>
      </c>
      <c r="L742">
        <f t="shared" si="56"/>
        <v>0</v>
      </c>
      <c r="M742">
        <f t="shared" si="57"/>
        <v>0</v>
      </c>
      <c r="N742">
        <f t="shared" si="58"/>
        <v>0</v>
      </c>
      <c r="O742">
        <f t="shared" si="60"/>
        <v>1</v>
      </c>
      <c r="P742" t="str">
        <f t="shared" si="59"/>
        <v/>
      </c>
      <c r="Q742">
        <f>COUNTIF('責任職　企業局→市長部局'!A:A,SQLデータ!B742)</f>
        <v>0</v>
      </c>
      <c r="R742">
        <f>COUNTIF('一般職員　企業局→市長部局'!A:F,SQLデータ!B742)</f>
        <v>0</v>
      </c>
    </row>
    <row r="743" spans="1:18" x14ac:dyDescent="0.4">
      <c r="A743" s="1">
        <v>202650000493</v>
      </c>
      <c r="B743" s="1">
        <v>1201536</v>
      </c>
      <c r="C743" s="2">
        <v>46115</v>
      </c>
      <c r="D743" t="s">
        <v>17</v>
      </c>
      <c r="E743" t="s">
        <v>8</v>
      </c>
      <c r="F743" t="s">
        <v>47</v>
      </c>
      <c r="G743" t="s">
        <v>9</v>
      </c>
      <c r="L743">
        <f t="shared" si="56"/>
        <v>0</v>
      </c>
      <c r="M743">
        <f t="shared" si="57"/>
        <v>0</v>
      </c>
      <c r="N743">
        <f t="shared" si="58"/>
        <v>0</v>
      </c>
      <c r="O743">
        <f t="shared" si="60"/>
        <v>1</v>
      </c>
      <c r="P743" t="str">
        <f t="shared" si="59"/>
        <v/>
      </c>
      <c r="Q743">
        <f>COUNTIF('責任職　企業局→市長部局'!A:A,SQLデータ!B743)</f>
        <v>0</v>
      </c>
      <c r="R743">
        <f>COUNTIF('一般職員　企業局→市長部局'!A:F,SQLデータ!B743)</f>
        <v>0</v>
      </c>
    </row>
    <row r="744" spans="1:18" x14ac:dyDescent="0.4">
      <c r="A744" s="1">
        <v>202650000495</v>
      </c>
      <c r="B744" s="1">
        <v>1146086</v>
      </c>
      <c r="C744" s="2">
        <v>46115</v>
      </c>
      <c r="D744" t="s">
        <v>17</v>
      </c>
      <c r="E744" t="s">
        <v>10</v>
      </c>
      <c r="G744" t="s">
        <v>9</v>
      </c>
      <c r="L744">
        <f t="shared" si="56"/>
        <v>0</v>
      </c>
      <c r="M744">
        <f t="shared" si="57"/>
        <v>0</v>
      </c>
      <c r="N744">
        <f t="shared" si="58"/>
        <v>0</v>
      </c>
      <c r="O744">
        <f t="shared" si="60"/>
        <v>1</v>
      </c>
      <c r="P744" t="str">
        <f t="shared" si="59"/>
        <v/>
      </c>
      <c r="Q744">
        <f>COUNTIF('責任職　企業局→市長部局'!A:A,SQLデータ!B744)</f>
        <v>0</v>
      </c>
      <c r="R744">
        <f>COUNTIF('一般職員　企業局→市長部局'!A:F,SQLデータ!B744)</f>
        <v>0</v>
      </c>
    </row>
    <row r="745" spans="1:18" x14ac:dyDescent="0.4">
      <c r="A745" s="1">
        <v>202650000497</v>
      </c>
      <c r="B745" s="1">
        <v>920049</v>
      </c>
      <c r="C745" s="2">
        <v>46115</v>
      </c>
      <c r="D745" t="s">
        <v>17</v>
      </c>
      <c r="E745" t="s">
        <v>10</v>
      </c>
      <c r="G745" t="s">
        <v>9</v>
      </c>
      <c r="L745">
        <f t="shared" si="56"/>
        <v>0</v>
      </c>
      <c r="M745">
        <f t="shared" si="57"/>
        <v>0</v>
      </c>
      <c r="N745">
        <f t="shared" si="58"/>
        <v>0</v>
      </c>
      <c r="O745">
        <f t="shared" si="60"/>
        <v>1</v>
      </c>
      <c r="P745" t="str">
        <f t="shared" si="59"/>
        <v/>
      </c>
      <c r="Q745">
        <f>COUNTIF('責任職　企業局→市長部局'!A:A,SQLデータ!B745)</f>
        <v>0</v>
      </c>
      <c r="R745">
        <f>COUNTIF('一般職員　企業局→市長部局'!A:F,SQLデータ!B745)</f>
        <v>0</v>
      </c>
    </row>
    <row r="746" spans="1:18" x14ac:dyDescent="0.4">
      <c r="A746" s="1">
        <v>202650000501</v>
      </c>
      <c r="B746" s="1">
        <v>1061117</v>
      </c>
      <c r="C746" s="2">
        <v>46115</v>
      </c>
      <c r="D746" t="s">
        <v>17</v>
      </c>
      <c r="E746" t="s">
        <v>10</v>
      </c>
      <c r="G746" t="s">
        <v>9</v>
      </c>
      <c r="L746">
        <f t="shared" si="56"/>
        <v>0</v>
      </c>
      <c r="M746">
        <f t="shared" si="57"/>
        <v>0</v>
      </c>
      <c r="N746">
        <f t="shared" si="58"/>
        <v>0</v>
      </c>
      <c r="O746">
        <f t="shared" si="60"/>
        <v>1</v>
      </c>
      <c r="P746" t="str">
        <f t="shared" si="59"/>
        <v/>
      </c>
      <c r="Q746">
        <f>COUNTIF('責任職　企業局→市長部局'!A:A,SQLデータ!B746)</f>
        <v>0</v>
      </c>
      <c r="R746">
        <f>COUNTIF('一般職員　企業局→市長部局'!A:F,SQLデータ!B746)</f>
        <v>0</v>
      </c>
    </row>
    <row r="747" spans="1:18" x14ac:dyDescent="0.4">
      <c r="A747" s="1">
        <v>202650000504</v>
      </c>
      <c r="B747" s="1">
        <v>1166124</v>
      </c>
      <c r="C747" s="2">
        <v>46115</v>
      </c>
      <c r="D747" t="s">
        <v>17</v>
      </c>
      <c r="E747" t="s">
        <v>10</v>
      </c>
      <c r="G747" t="s">
        <v>9</v>
      </c>
      <c r="L747">
        <f t="shared" si="56"/>
        <v>0</v>
      </c>
      <c r="M747">
        <f t="shared" si="57"/>
        <v>0</v>
      </c>
      <c r="N747">
        <f t="shared" si="58"/>
        <v>0</v>
      </c>
      <c r="O747">
        <f t="shared" si="60"/>
        <v>1</v>
      </c>
      <c r="P747" t="str">
        <f t="shared" si="59"/>
        <v/>
      </c>
      <c r="Q747">
        <f>COUNTIF('責任職　企業局→市長部局'!A:A,SQLデータ!B747)</f>
        <v>0</v>
      </c>
      <c r="R747">
        <f>COUNTIF('一般職員　企業局→市長部局'!A:F,SQLデータ!B747)</f>
        <v>0</v>
      </c>
    </row>
    <row r="748" spans="1:18" x14ac:dyDescent="0.4">
      <c r="A748" s="1">
        <v>202650000514</v>
      </c>
      <c r="B748" s="1">
        <v>1016053</v>
      </c>
      <c r="C748" s="2">
        <v>46115</v>
      </c>
      <c r="D748" t="s">
        <v>17</v>
      </c>
      <c r="E748" t="s">
        <v>8</v>
      </c>
      <c r="F748" t="s">
        <v>47</v>
      </c>
      <c r="G748" t="s">
        <v>9</v>
      </c>
      <c r="L748">
        <f t="shared" si="56"/>
        <v>0</v>
      </c>
      <c r="M748">
        <f t="shared" si="57"/>
        <v>0</v>
      </c>
      <c r="N748">
        <f t="shared" si="58"/>
        <v>0</v>
      </c>
      <c r="O748">
        <f t="shared" si="60"/>
        <v>1</v>
      </c>
      <c r="P748" t="str">
        <f t="shared" si="59"/>
        <v/>
      </c>
      <c r="Q748">
        <f>COUNTIF('責任職　企業局→市長部局'!A:A,SQLデータ!B748)</f>
        <v>0</v>
      </c>
      <c r="R748">
        <f>COUNTIF('一般職員　企業局→市長部局'!A:F,SQLデータ!B748)</f>
        <v>0</v>
      </c>
    </row>
    <row r="749" spans="1:18" x14ac:dyDescent="0.4">
      <c r="A749" s="1">
        <v>202650000520</v>
      </c>
      <c r="B749" s="1">
        <v>1021082</v>
      </c>
      <c r="C749" s="2">
        <v>46115</v>
      </c>
      <c r="D749" t="s">
        <v>17</v>
      </c>
      <c r="E749" t="s">
        <v>11</v>
      </c>
      <c r="G749" t="s">
        <v>9</v>
      </c>
      <c r="L749">
        <f t="shared" si="56"/>
        <v>0</v>
      </c>
      <c r="M749">
        <f t="shared" si="57"/>
        <v>0</v>
      </c>
      <c r="N749">
        <f t="shared" si="58"/>
        <v>0</v>
      </c>
      <c r="O749">
        <f t="shared" si="60"/>
        <v>1</v>
      </c>
      <c r="P749" t="str">
        <f t="shared" si="59"/>
        <v/>
      </c>
      <c r="Q749">
        <f>COUNTIF('責任職　企業局→市長部局'!A:A,SQLデータ!B749)</f>
        <v>0</v>
      </c>
      <c r="R749">
        <f>COUNTIF('一般職員　企業局→市長部局'!A:F,SQLデータ!B749)</f>
        <v>0</v>
      </c>
    </row>
    <row r="750" spans="1:18" x14ac:dyDescent="0.4">
      <c r="A750" s="1">
        <v>202650000521</v>
      </c>
      <c r="B750" s="1">
        <v>920700</v>
      </c>
      <c r="C750" s="2">
        <v>46115</v>
      </c>
      <c r="D750" t="s">
        <v>17</v>
      </c>
      <c r="E750" t="s">
        <v>11</v>
      </c>
      <c r="G750" t="s">
        <v>9</v>
      </c>
      <c r="L750">
        <f t="shared" si="56"/>
        <v>0</v>
      </c>
      <c r="M750">
        <f t="shared" si="57"/>
        <v>0</v>
      </c>
      <c r="N750">
        <f t="shared" si="58"/>
        <v>0</v>
      </c>
      <c r="O750">
        <f t="shared" si="60"/>
        <v>1</v>
      </c>
      <c r="P750" t="str">
        <f t="shared" si="59"/>
        <v/>
      </c>
      <c r="Q750">
        <f>COUNTIF('責任職　企業局→市長部局'!A:A,SQLデータ!B750)</f>
        <v>0</v>
      </c>
      <c r="R750">
        <f>COUNTIF('一般職員　企業局→市長部局'!A:F,SQLデータ!B750)</f>
        <v>0</v>
      </c>
    </row>
    <row r="751" spans="1:18" x14ac:dyDescent="0.4">
      <c r="A751" s="1">
        <v>202650000524</v>
      </c>
      <c r="B751" s="1">
        <v>1204110</v>
      </c>
      <c r="C751" s="2">
        <v>46113</v>
      </c>
      <c r="D751" t="s">
        <v>17</v>
      </c>
      <c r="E751" t="s">
        <v>10</v>
      </c>
      <c r="G751" t="s">
        <v>9</v>
      </c>
      <c r="L751">
        <f t="shared" si="56"/>
        <v>0</v>
      </c>
      <c r="M751">
        <f t="shared" si="57"/>
        <v>0</v>
      </c>
      <c r="N751">
        <f t="shared" si="58"/>
        <v>0</v>
      </c>
      <c r="O751">
        <f t="shared" si="60"/>
        <v>1</v>
      </c>
      <c r="P751" t="str">
        <f t="shared" si="59"/>
        <v/>
      </c>
      <c r="Q751">
        <f>COUNTIF('責任職　企業局→市長部局'!A:A,SQLデータ!B751)</f>
        <v>0</v>
      </c>
      <c r="R751">
        <f>COUNTIF('一般職員　企業局→市長部局'!A:F,SQLデータ!B751)</f>
        <v>0</v>
      </c>
    </row>
    <row r="752" spans="1:18" x14ac:dyDescent="0.4">
      <c r="A752" s="1">
        <v>202650000529</v>
      </c>
      <c r="B752" s="1">
        <v>978934</v>
      </c>
      <c r="C752" s="2">
        <v>46115</v>
      </c>
      <c r="D752" t="s">
        <v>17</v>
      </c>
      <c r="E752" t="s">
        <v>8</v>
      </c>
      <c r="G752" t="s">
        <v>9</v>
      </c>
      <c r="L752">
        <f t="shared" si="56"/>
        <v>0</v>
      </c>
      <c r="M752">
        <f t="shared" si="57"/>
        <v>0</v>
      </c>
      <c r="N752">
        <f t="shared" si="58"/>
        <v>0</v>
      </c>
      <c r="O752">
        <f t="shared" si="60"/>
        <v>1</v>
      </c>
      <c r="P752" t="str">
        <f t="shared" si="59"/>
        <v/>
      </c>
      <c r="Q752">
        <f>COUNTIF('責任職　企業局→市長部局'!A:A,SQLデータ!B752)</f>
        <v>0</v>
      </c>
      <c r="R752">
        <f>COUNTIF('一般職員　企業局→市長部局'!A:F,SQLデータ!B752)</f>
        <v>0</v>
      </c>
    </row>
    <row r="753" spans="1:18" x14ac:dyDescent="0.4">
      <c r="A753" s="1">
        <v>202650000531</v>
      </c>
      <c r="B753" s="1">
        <v>1254070</v>
      </c>
      <c r="C753" s="2">
        <v>46113</v>
      </c>
      <c r="D753" t="s">
        <v>17</v>
      </c>
      <c r="E753" t="s">
        <v>10</v>
      </c>
      <c r="G753" t="s">
        <v>9</v>
      </c>
      <c r="L753">
        <f t="shared" si="56"/>
        <v>0</v>
      </c>
      <c r="M753">
        <f t="shared" si="57"/>
        <v>0</v>
      </c>
      <c r="N753">
        <f t="shared" si="58"/>
        <v>0</v>
      </c>
      <c r="O753">
        <f t="shared" si="60"/>
        <v>1</v>
      </c>
      <c r="P753" t="str">
        <f t="shared" si="59"/>
        <v/>
      </c>
      <c r="Q753">
        <f>COUNTIF('責任職　企業局→市長部局'!A:A,SQLデータ!B753)</f>
        <v>0</v>
      </c>
      <c r="R753">
        <f>COUNTIF('一般職員　企業局→市長部局'!A:F,SQLデータ!B753)</f>
        <v>0</v>
      </c>
    </row>
    <row r="754" spans="1:18" x14ac:dyDescent="0.4">
      <c r="A754" s="1">
        <v>202650000533</v>
      </c>
      <c r="B754" s="1">
        <v>1212101</v>
      </c>
      <c r="C754" s="2">
        <v>46127</v>
      </c>
      <c r="D754" t="s">
        <v>17</v>
      </c>
      <c r="E754" t="s">
        <v>11</v>
      </c>
      <c r="G754" t="s">
        <v>9</v>
      </c>
      <c r="L754">
        <f t="shared" si="56"/>
        <v>0</v>
      </c>
      <c r="M754">
        <f t="shared" si="57"/>
        <v>0</v>
      </c>
      <c r="N754">
        <f t="shared" si="58"/>
        <v>0</v>
      </c>
      <c r="O754">
        <f t="shared" si="60"/>
        <v>1</v>
      </c>
      <c r="P754" t="str">
        <f t="shared" si="59"/>
        <v/>
      </c>
      <c r="Q754">
        <f>COUNTIF('責任職　企業局→市長部局'!A:A,SQLデータ!B754)</f>
        <v>0</v>
      </c>
      <c r="R754">
        <f>COUNTIF('一般職員　企業局→市長部局'!A:F,SQLデータ!B754)</f>
        <v>0</v>
      </c>
    </row>
    <row r="755" spans="1:18" x14ac:dyDescent="0.4">
      <c r="A755" s="1">
        <v>202650000534</v>
      </c>
      <c r="B755" s="1">
        <v>1242039</v>
      </c>
      <c r="C755" s="2">
        <v>46115</v>
      </c>
      <c r="D755" t="s">
        <v>17</v>
      </c>
      <c r="E755" t="s">
        <v>10</v>
      </c>
      <c r="G755" t="s">
        <v>9</v>
      </c>
      <c r="L755">
        <f t="shared" si="56"/>
        <v>0</v>
      </c>
      <c r="M755">
        <f t="shared" si="57"/>
        <v>0</v>
      </c>
      <c r="N755">
        <f t="shared" si="58"/>
        <v>0</v>
      </c>
      <c r="O755">
        <f t="shared" si="60"/>
        <v>1</v>
      </c>
      <c r="P755" t="str">
        <f t="shared" si="59"/>
        <v/>
      </c>
      <c r="Q755">
        <f>COUNTIF('責任職　企業局→市長部局'!A:A,SQLデータ!B755)</f>
        <v>0</v>
      </c>
      <c r="R755">
        <f>COUNTIF('一般職員　企業局→市長部局'!A:F,SQLデータ!B755)</f>
        <v>0</v>
      </c>
    </row>
    <row r="756" spans="1:18" x14ac:dyDescent="0.4">
      <c r="A756" s="1">
        <v>202650000536</v>
      </c>
      <c r="B756" s="1">
        <v>950789</v>
      </c>
      <c r="C756" s="2">
        <v>46115</v>
      </c>
      <c r="D756" t="s">
        <v>17</v>
      </c>
      <c r="E756" t="s">
        <v>11</v>
      </c>
      <c r="G756" t="s">
        <v>9</v>
      </c>
      <c r="L756">
        <f t="shared" si="56"/>
        <v>0</v>
      </c>
      <c r="M756">
        <f t="shared" si="57"/>
        <v>0</v>
      </c>
      <c r="N756">
        <f t="shared" si="58"/>
        <v>0</v>
      </c>
      <c r="O756">
        <f t="shared" si="60"/>
        <v>1</v>
      </c>
      <c r="P756" t="str">
        <f t="shared" si="59"/>
        <v/>
      </c>
      <c r="Q756">
        <f>COUNTIF('責任職　企業局→市長部局'!A:A,SQLデータ!B756)</f>
        <v>0</v>
      </c>
      <c r="R756">
        <f>COUNTIF('一般職員　企業局→市長部局'!A:F,SQLデータ!B756)</f>
        <v>0</v>
      </c>
    </row>
    <row r="757" spans="1:18" x14ac:dyDescent="0.4">
      <c r="A757" s="1">
        <v>202650000538</v>
      </c>
      <c r="B757" s="1">
        <v>1216098</v>
      </c>
      <c r="C757" s="2">
        <v>46115</v>
      </c>
      <c r="D757" t="s">
        <v>17</v>
      </c>
      <c r="E757" t="s">
        <v>11</v>
      </c>
      <c r="G757" t="s">
        <v>9</v>
      </c>
      <c r="L757">
        <f t="shared" si="56"/>
        <v>0</v>
      </c>
      <c r="M757">
        <f t="shared" si="57"/>
        <v>0</v>
      </c>
      <c r="N757">
        <f t="shared" si="58"/>
        <v>0</v>
      </c>
      <c r="O757">
        <f t="shared" si="60"/>
        <v>1</v>
      </c>
      <c r="P757" t="str">
        <f t="shared" si="59"/>
        <v/>
      </c>
      <c r="Q757">
        <f>COUNTIF('責任職　企業局→市長部局'!A:A,SQLデータ!B757)</f>
        <v>0</v>
      </c>
      <c r="R757">
        <f>COUNTIF('一般職員　企業局→市長部局'!A:F,SQLデータ!B757)</f>
        <v>0</v>
      </c>
    </row>
    <row r="758" spans="1:18" x14ac:dyDescent="0.4">
      <c r="A758" s="1">
        <v>202650000539</v>
      </c>
      <c r="B758" s="1">
        <v>1186089</v>
      </c>
      <c r="C758" s="2">
        <v>46115</v>
      </c>
      <c r="D758" t="s">
        <v>17</v>
      </c>
      <c r="E758" t="s">
        <v>11</v>
      </c>
      <c r="G758" t="s">
        <v>9</v>
      </c>
      <c r="L758">
        <f t="shared" si="56"/>
        <v>0</v>
      </c>
      <c r="M758">
        <f t="shared" si="57"/>
        <v>0</v>
      </c>
      <c r="N758">
        <f t="shared" si="58"/>
        <v>0</v>
      </c>
      <c r="O758">
        <f t="shared" si="60"/>
        <v>1</v>
      </c>
      <c r="P758" t="str">
        <f t="shared" si="59"/>
        <v/>
      </c>
      <c r="Q758">
        <f>COUNTIF('責任職　企業局→市長部局'!A:A,SQLデータ!B758)</f>
        <v>0</v>
      </c>
      <c r="R758">
        <f>COUNTIF('一般職員　企業局→市長部局'!A:F,SQLデータ!B758)</f>
        <v>0</v>
      </c>
    </row>
    <row r="759" spans="1:18" x14ac:dyDescent="0.4">
      <c r="A759" s="1">
        <v>202650000540</v>
      </c>
      <c r="B759" s="1">
        <v>1008064</v>
      </c>
      <c r="C759" s="2">
        <v>46115</v>
      </c>
      <c r="D759" t="s">
        <v>17</v>
      </c>
      <c r="E759" t="s">
        <v>10</v>
      </c>
      <c r="G759" t="s">
        <v>9</v>
      </c>
      <c r="L759">
        <f t="shared" si="56"/>
        <v>0</v>
      </c>
      <c r="M759">
        <f t="shared" si="57"/>
        <v>0</v>
      </c>
      <c r="N759">
        <f t="shared" si="58"/>
        <v>0</v>
      </c>
      <c r="O759">
        <f t="shared" si="60"/>
        <v>1</v>
      </c>
      <c r="P759" t="str">
        <f t="shared" si="59"/>
        <v/>
      </c>
      <c r="Q759">
        <f>COUNTIF('責任職　企業局→市長部局'!A:A,SQLデータ!B759)</f>
        <v>0</v>
      </c>
      <c r="R759">
        <f>COUNTIF('一般職員　企業局→市長部局'!A:F,SQLデータ!B759)</f>
        <v>0</v>
      </c>
    </row>
    <row r="760" spans="1:18" x14ac:dyDescent="0.4">
      <c r="A760" s="1">
        <v>202650000544</v>
      </c>
      <c r="B760" s="1">
        <v>850142</v>
      </c>
      <c r="C760" s="2">
        <v>46115</v>
      </c>
      <c r="D760" t="s">
        <v>17</v>
      </c>
      <c r="E760" t="s">
        <v>10</v>
      </c>
      <c r="G760" t="s">
        <v>9</v>
      </c>
      <c r="L760">
        <f t="shared" si="56"/>
        <v>0</v>
      </c>
      <c r="M760">
        <f t="shared" si="57"/>
        <v>0</v>
      </c>
      <c r="N760">
        <f t="shared" si="58"/>
        <v>0</v>
      </c>
      <c r="O760">
        <f t="shared" si="60"/>
        <v>1</v>
      </c>
      <c r="P760" t="str">
        <f t="shared" si="59"/>
        <v/>
      </c>
      <c r="Q760">
        <f>COUNTIF('責任職　企業局→市長部局'!A:A,SQLデータ!B760)</f>
        <v>0</v>
      </c>
      <c r="R760">
        <f>COUNTIF('一般職員　企業局→市長部局'!A:F,SQLデータ!B760)</f>
        <v>0</v>
      </c>
    </row>
    <row r="761" spans="1:18" x14ac:dyDescent="0.4">
      <c r="A761" s="1">
        <v>202650000545</v>
      </c>
      <c r="B761" s="1">
        <v>1014158</v>
      </c>
      <c r="C761" s="2">
        <v>46115</v>
      </c>
      <c r="D761" t="s">
        <v>17</v>
      </c>
      <c r="E761" t="s">
        <v>11</v>
      </c>
      <c r="G761" t="s">
        <v>9</v>
      </c>
      <c r="L761">
        <f t="shared" si="56"/>
        <v>0</v>
      </c>
      <c r="M761">
        <f t="shared" si="57"/>
        <v>0</v>
      </c>
      <c r="N761">
        <f t="shared" si="58"/>
        <v>0</v>
      </c>
      <c r="O761">
        <f t="shared" si="60"/>
        <v>1</v>
      </c>
      <c r="P761" t="str">
        <f t="shared" si="59"/>
        <v/>
      </c>
      <c r="Q761">
        <f>COUNTIF('責任職　企業局→市長部局'!A:A,SQLデータ!B761)</f>
        <v>0</v>
      </c>
      <c r="R761">
        <f>COUNTIF('一般職員　企業局→市長部局'!A:F,SQLデータ!B761)</f>
        <v>0</v>
      </c>
    </row>
    <row r="762" spans="1:18" x14ac:dyDescent="0.4">
      <c r="A762" s="1">
        <v>202650000547</v>
      </c>
      <c r="B762" s="1">
        <v>940348</v>
      </c>
      <c r="C762" s="2">
        <v>46115</v>
      </c>
      <c r="D762" t="s">
        <v>17</v>
      </c>
      <c r="E762" t="s">
        <v>8</v>
      </c>
      <c r="G762" t="s">
        <v>9</v>
      </c>
      <c r="L762">
        <f t="shared" si="56"/>
        <v>0</v>
      </c>
      <c r="M762">
        <f t="shared" si="57"/>
        <v>0</v>
      </c>
      <c r="N762">
        <f t="shared" si="58"/>
        <v>0</v>
      </c>
      <c r="O762">
        <f t="shared" si="60"/>
        <v>1</v>
      </c>
      <c r="P762" t="str">
        <f t="shared" si="59"/>
        <v/>
      </c>
      <c r="Q762">
        <f>COUNTIF('責任職　企業局→市長部局'!A:A,SQLデータ!B762)</f>
        <v>0</v>
      </c>
      <c r="R762">
        <f>COUNTIF('一般職員　企業局→市長部局'!A:F,SQLデータ!B762)</f>
        <v>0</v>
      </c>
    </row>
    <row r="763" spans="1:18" x14ac:dyDescent="0.4">
      <c r="A763" s="1">
        <v>202650000548</v>
      </c>
      <c r="B763" s="1">
        <v>900241</v>
      </c>
      <c r="C763" s="2">
        <v>46115</v>
      </c>
      <c r="D763" t="s">
        <v>17</v>
      </c>
      <c r="E763" t="s">
        <v>11</v>
      </c>
      <c r="G763" t="s">
        <v>9</v>
      </c>
      <c r="L763">
        <f t="shared" si="56"/>
        <v>0</v>
      </c>
      <c r="M763">
        <f t="shared" si="57"/>
        <v>0</v>
      </c>
      <c r="N763">
        <f t="shared" si="58"/>
        <v>0</v>
      </c>
      <c r="O763">
        <f t="shared" si="60"/>
        <v>1</v>
      </c>
      <c r="P763" t="str">
        <f t="shared" si="59"/>
        <v/>
      </c>
      <c r="Q763">
        <f>COUNTIF('責任職　企業局→市長部局'!A:A,SQLデータ!B763)</f>
        <v>0</v>
      </c>
      <c r="R763">
        <f>COUNTIF('一般職員　企業局→市長部局'!A:F,SQLデータ!B763)</f>
        <v>0</v>
      </c>
    </row>
    <row r="764" spans="1:18" x14ac:dyDescent="0.4">
      <c r="A764" s="1">
        <v>202650000549</v>
      </c>
      <c r="B764" s="1">
        <v>880131</v>
      </c>
      <c r="C764" s="2">
        <v>46115</v>
      </c>
      <c r="D764" t="s">
        <v>17</v>
      </c>
      <c r="E764" t="s">
        <v>11</v>
      </c>
      <c r="G764" t="s">
        <v>9</v>
      </c>
      <c r="L764">
        <f t="shared" si="56"/>
        <v>0</v>
      </c>
      <c r="M764">
        <f t="shared" si="57"/>
        <v>0</v>
      </c>
      <c r="N764">
        <f t="shared" si="58"/>
        <v>0</v>
      </c>
      <c r="O764">
        <f t="shared" si="60"/>
        <v>1</v>
      </c>
      <c r="P764" t="str">
        <f t="shared" si="59"/>
        <v/>
      </c>
      <c r="Q764">
        <f>COUNTIF('責任職　企業局→市長部局'!A:A,SQLデータ!B764)</f>
        <v>0</v>
      </c>
      <c r="R764">
        <f>COUNTIF('一般職員　企業局→市長部局'!A:F,SQLデータ!B764)</f>
        <v>0</v>
      </c>
    </row>
    <row r="765" spans="1:18" x14ac:dyDescent="0.4">
      <c r="A765" s="1">
        <v>202650000550</v>
      </c>
      <c r="B765" s="1">
        <v>1176117</v>
      </c>
      <c r="C765" s="2">
        <v>46115</v>
      </c>
      <c r="D765" t="s">
        <v>17</v>
      </c>
      <c r="E765" t="s">
        <v>10</v>
      </c>
      <c r="G765" t="s">
        <v>9</v>
      </c>
      <c r="L765">
        <f t="shared" si="56"/>
        <v>0</v>
      </c>
      <c r="M765">
        <f t="shared" si="57"/>
        <v>0</v>
      </c>
      <c r="N765">
        <f t="shared" si="58"/>
        <v>0</v>
      </c>
      <c r="O765">
        <f t="shared" si="60"/>
        <v>1</v>
      </c>
      <c r="P765" t="str">
        <f t="shared" si="59"/>
        <v/>
      </c>
      <c r="Q765">
        <f>COUNTIF('責任職　企業局→市長部局'!A:A,SQLデータ!B765)</f>
        <v>0</v>
      </c>
      <c r="R765">
        <f>COUNTIF('一般職員　企業局→市長部局'!A:F,SQLデータ!B765)</f>
        <v>0</v>
      </c>
    </row>
    <row r="766" spans="1:18" x14ac:dyDescent="0.4">
      <c r="A766" s="1">
        <v>202650000551</v>
      </c>
      <c r="B766" s="1">
        <v>971132</v>
      </c>
      <c r="C766" s="2">
        <v>46115</v>
      </c>
      <c r="D766" t="s">
        <v>17</v>
      </c>
      <c r="E766" t="s">
        <v>8</v>
      </c>
      <c r="G766" t="s">
        <v>9</v>
      </c>
      <c r="L766">
        <f t="shared" si="56"/>
        <v>0</v>
      </c>
      <c r="M766">
        <f t="shared" si="57"/>
        <v>0</v>
      </c>
      <c r="N766">
        <f t="shared" si="58"/>
        <v>0</v>
      </c>
      <c r="O766">
        <f t="shared" si="60"/>
        <v>1</v>
      </c>
      <c r="P766" t="str">
        <f t="shared" si="59"/>
        <v/>
      </c>
      <c r="Q766">
        <f>COUNTIF('責任職　企業局→市長部局'!A:A,SQLデータ!B766)</f>
        <v>0</v>
      </c>
      <c r="R766">
        <f>COUNTIF('一般職員　企業局→市長部局'!A:F,SQLデータ!B766)</f>
        <v>0</v>
      </c>
    </row>
    <row r="767" spans="1:18" x14ac:dyDescent="0.4">
      <c r="A767" s="1">
        <v>202650000552</v>
      </c>
      <c r="B767" s="1">
        <v>940221</v>
      </c>
      <c r="C767" s="2">
        <v>46115</v>
      </c>
      <c r="D767" t="s">
        <v>17</v>
      </c>
      <c r="E767" t="s">
        <v>11</v>
      </c>
      <c r="G767" t="s">
        <v>9</v>
      </c>
      <c r="L767">
        <f t="shared" si="56"/>
        <v>0</v>
      </c>
      <c r="M767">
        <f t="shared" si="57"/>
        <v>0</v>
      </c>
      <c r="N767">
        <f t="shared" si="58"/>
        <v>0</v>
      </c>
      <c r="O767">
        <f t="shared" si="60"/>
        <v>1</v>
      </c>
      <c r="P767" t="str">
        <f t="shared" si="59"/>
        <v/>
      </c>
      <c r="Q767">
        <f>COUNTIF('責任職　企業局→市長部局'!A:A,SQLデータ!B767)</f>
        <v>0</v>
      </c>
      <c r="R767">
        <f>COUNTIF('一般職員　企業局→市長部局'!A:F,SQLデータ!B767)</f>
        <v>0</v>
      </c>
    </row>
    <row r="768" spans="1:18" x14ac:dyDescent="0.4">
      <c r="A768" s="1">
        <v>202650000553</v>
      </c>
      <c r="B768" s="1">
        <v>1014189</v>
      </c>
      <c r="C768" s="2">
        <v>46115</v>
      </c>
      <c r="D768" t="s">
        <v>17</v>
      </c>
      <c r="E768" t="s">
        <v>11</v>
      </c>
      <c r="G768" t="s">
        <v>9</v>
      </c>
      <c r="L768">
        <f t="shared" si="56"/>
        <v>0</v>
      </c>
      <c r="M768">
        <f t="shared" si="57"/>
        <v>0</v>
      </c>
      <c r="N768">
        <f t="shared" si="58"/>
        <v>0</v>
      </c>
      <c r="O768">
        <f t="shared" si="60"/>
        <v>1</v>
      </c>
      <c r="P768" t="str">
        <f t="shared" si="59"/>
        <v/>
      </c>
      <c r="Q768">
        <f>COUNTIF('責任職　企業局→市長部局'!A:A,SQLデータ!B768)</f>
        <v>0</v>
      </c>
      <c r="R768">
        <f>COUNTIF('一般職員　企業局→市長部局'!A:F,SQLデータ!B768)</f>
        <v>0</v>
      </c>
    </row>
    <row r="769" spans="1:18" x14ac:dyDescent="0.4">
      <c r="A769" s="1">
        <v>202650000554</v>
      </c>
      <c r="B769" s="1">
        <v>1101148</v>
      </c>
      <c r="C769" s="2">
        <v>46115</v>
      </c>
      <c r="D769" t="s">
        <v>17</v>
      </c>
      <c r="E769" t="s">
        <v>11</v>
      </c>
      <c r="G769" t="s">
        <v>9</v>
      </c>
      <c r="L769">
        <f t="shared" si="56"/>
        <v>0</v>
      </c>
      <c r="M769">
        <f t="shared" si="57"/>
        <v>0</v>
      </c>
      <c r="N769">
        <f t="shared" si="58"/>
        <v>0</v>
      </c>
      <c r="O769">
        <f t="shared" si="60"/>
        <v>1</v>
      </c>
      <c r="P769" t="str">
        <f t="shared" si="59"/>
        <v/>
      </c>
      <c r="Q769">
        <f>COUNTIF('責任職　企業局→市長部局'!A:A,SQLデータ!B769)</f>
        <v>0</v>
      </c>
      <c r="R769">
        <f>COUNTIF('一般職員　企業局→市長部局'!A:F,SQLデータ!B769)</f>
        <v>0</v>
      </c>
    </row>
    <row r="770" spans="1:18" x14ac:dyDescent="0.4">
      <c r="A770" s="1">
        <v>202650000556</v>
      </c>
      <c r="B770" s="1">
        <v>1166051</v>
      </c>
      <c r="C770" s="2">
        <v>46115</v>
      </c>
      <c r="D770" t="s">
        <v>17</v>
      </c>
      <c r="E770" t="s">
        <v>11</v>
      </c>
      <c r="G770" t="s">
        <v>9</v>
      </c>
      <c r="L770">
        <f t="shared" ref="L770:L833" si="61">IF(ISBLANK(J770),0,1)</f>
        <v>0</v>
      </c>
      <c r="M770">
        <f t="shared" ref="M770:M833" si="62">IF(AND(L770=0,I770&lt;&gt;""),1,0)</f>
        <v>0</v>
      </c>
      <c r="N770">
        <f t="shared" ref="N770:N833" si="63">IF(AND(L770=0,M770=0,K770&lt;&gt;""),1,0)</f>
        <v>0</v>
      </c>
      <c r="O770">
        <f t="shared" si="60"/>
        <v>1</v>
      </c>
      <c r="P770" t="str">
        <f t="shared" ref="P770:P833" si="64">IF(D770&lt;&gt;"扶養","",IF(E770&lt;&gt;"確認待ち",1,IF(OR(AND(G770="本人の結婚",O770=1),AND(H770="減",OR(N770=1,O770=1))),1,0)))</f>
        <v/>
      </c>
      <c r="Q770">
        <f>COUNTIF('責任職　企業局→市長部局'!A:A,SQLデータ!B770)</f>
        <v>0</v>
      </c>
      <c r="R770">
        <f>COUNTIF('一般職員　企業局→市長部局'!A:F,SQLデータ!B770)</f>
        <v>0</v>
      </c>
    </row>
    <row r="771" spans="1:18" x14ac:dyDescent="0.4">
      <c r="A771" s="1">
        <v>202650000557</v>
      </c>
      <c r="B771" s="1">
        <v>1066076</v>
      </c>
      <c r="C771" s="2">
        <v>46115</v>
      </c>
      <c r="D771" t="s">
        <v>17</v>
      </c>
      <c r="E771" t="s">
        <v>11</v>
      </c>
      <c r="G771" t="s">
        <v>9</v>
      </c>
      <c r="L771">
        <f t="shared" si="61"/>
        <v>0</v>
      </c>
      <c r="M771">
        <f t="shared" si="62"/>
        <v>0</v>
      </c>
      <c r="N771">
        <f t="shared" si="63"/>
        <v>0</v>
      </c>
      <c r="O771">
        <f t="shared" si="60"/>
        <v>1</v>
      </c>
      <c r="P771" t="str">
        <f t="shared" si="64"/>
        <v/>
      </c>
      <c r="Q771">
        <f>COUNTIF('責任職　企業局→市長部局'!A:A,SQLデータ!B771)</f>
        <v>0</v>
      </c>
      <c r="R771">
        <f>COUNTIF('一般職員　企業局→市長部局'!A:F,SQLデータ!B771)</f>
        <v>0</v>
      </c>
    </row>
    <row r="772" spans="1:18" x14ac:dyDescent="0.4">
      <c r="A772" s="1">
        <v>202650000558</v>
      </c>
      <c r="B772" s="1">
        <v>1131395</v>
      </c>
      <c r="C772" s="2">
        <v>46115</v>
      </c>
      <c r="D772" t="s">
        <v>17</v>
      </c>
      <c r="E772" t="s">
        <v>11</v>
      </c>
      <c r="G772" t="s">
        <v>9</v>
      </c>
      <c r="L772">
        <f t="shared" si="61"/>
        <v>0</v>
      </c>
      <c r="M772">
        <f t="shared" si="62"/>
        <v>0</v>
      </c>
      <c r="N772">
        <f t="shared" si="63"/>
        <v>0</v>
      </c>
      <c r="O772">
        <f t="shared" si="60"/>
        <v>1</v>
      </c>
      <c r="P772" t="str">
        <f t="shared" si="64"/>
        <v/>
      </c>
      <c r="Q772">
        <f>COUNTIF('責任職　企業局→市長部局'!A:A,SQLデータ!B772)</f>
        <v>0</v>
      </c>
      <c r="R772">
        <f>COUNTIF('一般職員　企業局→市長部局'!A:F,SQLデータ!B772)</f>
        <v>0</v>
      </c>
    </row>
    <row r="773" spans="1:18" x14ac:dyDescent="0.4">
      <c r="A773" s="1">
        <v>202650000559</v>
      </c>
      <c r="B773" s="1">
        <v>1241233</v>
      </c>
      <c r="C773" s="2">
        <v>46115</v>
      </c>
      <c r="D773" t="s">
        <v>17</v>
      </c>
      <c r="E773" t="s">
        <v>11</v>
      </c>
      <c r="G773" t="s">
        <v>9</v>
      </c>
      <c r="L773">
        <f t="shared" si="61"/>
        <v>0</v>
      </c>
      <c r="M773">
        <f t="shared" si="62"/>
        <v>0</v>
      </c>
      <c r="N773">
        <f t="shared" si="63"/>
        <v>0</v>
      </c>
      <c r="O773">
        <f t="shared" si="60"/>
        <v>1</v>
      </c>
      <c r="P773" t="str">
        <f t="shared" si="64"/>
        <v/>
      </c>
      <c r="Q773">
        <f>COUNTIF('責任職　企業局→市長部局'!A:A,SQLデータ!B773)</f>
        <v>0</v>
      </c>
      <c r="R773">
        <f>COUNTIF('一般職員　企業局→市長部局'!A:F,SQLデータ!B773)</f>
        <v>0</v>
      </c>
    </row>
    <row r="774" spans="1:18" x14ac:dyDescent="0.4">
      <c r="A774" s="1">
        <v>202650000560</v>
      </c>
      <c r="B774" s="1">
        <v>1131444</v>
      </c>
      <c r="C774" s="2">
        <v>46115</v>
      </c>
      <c r="D774" t="s">
        <v>17</v>
      </c>
      <c r="E774" t="s">
        <v>11</v>
      </c>
      <c r="G774" t="s">
        <v>9</v>
      </c>
      <c r="L774">
        <f t="shared" si="61"/>
        <v>0</v>
      </c>
      <c r="M774">
        <f t="shared" si="62"/>
        <v>0</v>
      </c>
      <c r="N774">
        <f t="shared" si="63"/>
        <v>0</v>
      </c>
      <c r="O774">
        <f t="shared" si="60"/>
        <v>1</v>
      </c>
      <c r="P774" t="str">
        <f t="shared" si="64"/>
        <v/>
      </c>
      <c r="Q774">
        <f>COUNTIF('責任職　企業局→市長部局'!A:A,SQLデータ!B774)</f>
        <v>0</v>
      </c>
      <c r="R774">
        <f>COUNTIF('一般職員　企業局→市長部局'!A:F,SQLデータ!B774)</f>
        <v>0</v>
      </c>
    </row>
    <row r="775" spans="1:18" x14ac:dyDescent="0.4">
      <c r="A775" s="1">
        <v>202650000561</v>
      </c>
      <c r="B775" s="1">
        <v>1232023</v>
      </c>
      <c r="C775" s="2">
        <v>46115</v>
      </c>
      <c r="D775" t="s">
        <v>17</v>
      </c>
      <c r="E775" t="s">
        <v>10</v>
      </c>
      <c r="G775" t="s">
        <v>9</v>
      </c>
      <c r="L775">
        <f t="shared" si="61"/>
        <v>0</v>
      </c>
      <c r="M775">
        <f t="shared" si="62"/>
        <v>0</v>
      </c>
      <c r="N775">
        <f t="shared" si="63"/>
        <v>0</v>
      </c>
      <c r="O775">
        <f t="shared" si="60"/>
        <v>1</v>
      </c>
      <c r="P775" t="str">
        <f t="shared" si="64"/>
        <v/>
      </c>
      <c r="Q775">
        <f>COUNTIF('責任職　企業局→市長部局'!A:A,SQLデータ!B775)</f>
        <v>0</v>
      </c>
      <c r="R775">
        <f>COUNTIF('一般職員　企業局→市長部局'!A:F,SQLデータ!B775)</f>
        <v>0</v>
      </c>
    </row>
    <row r="776" spans="1:18" x14ac:dyDescent="0.4">
      <c r="A776" s="1">
        <v>202650000562</v>
      </c>
      <c r="B776" s="1">
        <v>1151487</v>
      </c>
      <c r="C776" s="2">
        <v>46115</v>
      </c>
      <c r="D776" t="s">
        <v>17</v>
      </c>
      <c r="E776" t="s">
        <v>11</v>
      </c>
      <c r="G776" t="s">
        <v>9</v>
      </c>
      <c r="L776">
        <f t="shared" si="61"/>
        <v>0</v>
      </c>
      <c r="M776">
        <f t="shared" si="62"/>
        <v>0</v>
      </c>
      <c r="N776">
        <f t="shared" si="63"/>
        <v>0</v>
      </c>
      <c r="O776">
        <f t="shared" si="60"/>
        <v>1</v>
      </c>
      <c r="P776" t="str">
        <f t="shared" si="64"/>
        <v/>
      </c>
      <c r="Q776">
        <f>COUNTIF('責任職　企業局→市長部局'!A:A,SQLデータ!B776)</f>
        <v>0</v>
      </c>
      <c r="R776">
        <f>COUNTIF('一般職員　企業局→市長部局'!A:F,SQLデータ!B776)</f>
        <v>0</v>
      </c>
    </row>
    <row r="777" spans="1:18" x14ac:dyDescent="0.4">
      <c r="A777" s="1">
        <v>202650000563</v>
      </c>
      <c r="B777" s="1">
        <v>1092089</v>
      </c>
      <c r="C777" s="2">
        <v>46115</v>
      </c>
      <c r="D777" t="s">
        <v>17</v>
      </c>
      <c r="E777" t="s">
        <v>11</v>
      </c>
      <c r="G777" t="s">
        <v>9</v>
      </c>
      <c r="L777">
        <f t="shared" si="61"/>
        <v>0</v>
      </c>
      <c r="M777">
        <f t="shared" si="62"/>
        <v>0</v>
      </c>
      <c r="N777">
        <f t="shared" si="63"/>
        <v>0</v>
      </c>
      <c r="O777">
        <f t="shared" ref="O777:O840" si="65">IF(COUNTIF(L777:N777,0)=3,1,0)</f>
        <v>1</v>
      </c>
      <c r="P777" t="str">
        <f t="shared" si="64"/>
        <v/>
      </c>
      <c r="Q777">
        <f>COUNTIF('責任職　企業局→市長部局'!A:A,SQLデータ!B777)</f>
        <v>0</v>
      </c>
      <c r="R777">
        <f>COUNTIF('一般職員　企業局→市長部局'!A:F,SQLデータ!B777)</f>
        <v>0</v>
      </c>
    </row>
    <row r="778" spans="1:18" x14ac:dyDescent="0.4">
      <c r="A778" s="1">
        <v>202650000564</v>
      </c>
      <c r="B778" s="1">
        <v>1146019</v>
      </c>
      <c r="C778" s="2">
        <v>46115</v>
      </c>
      <c r="D778" t="s">
        <v>17</v>
      </c>
      <c r="E778" t="s">
        <v>10</v>
      </c>
      <c r="F778" t="s">
        <v>47</v>
      </c>
      <c r="G778" t="s">
        <v>9</v>
      </c>
      <c r="L778">
        <f t="shared" si="61"/>
        <v>0</v>
      </c>
      <c r="M778">
        <f t="shared" si="62"/>
        <v>0</v>
      </c>
      <c r="N778">
        <f t="shared" si="63"/>
        <v>0</v>
      </c>
      <c r="O778">
        <f t="shared" si="65"/>
        <v>1</v>
      </c>
      <c r="P778" t="str">
        <f t="shared" si="64"/>
        <v/>
      </c>
      <c r="Q778">
        <f>COUNTIF('責任職　企業局→市長部局'!A:A,SQLデータ!B778)</f>
        <v>0</v>
      </c>
      <c r="R778">
        <f>COUNTIF('一般職員　企業局→市長部局'!A:F,SQLデータ!B778)</f>
        <v>0</v>
      </c>
    </row>
    <row r="779" spans="1:18" x14ac:dyDescent="0.4">
      <c r="A779" s="1">
        <v>202650000565</v>
      </c>
      <c r="B779" s="1">
        <v>1071035</v>
      </c>
      <c r="C779" s="2">
        <v>46115</v>
      </c>
      <c r="D779" t="s">
        <v>17</v>
      </c>
      <c r="E779" t="s">
        <v>11</v>
      </c>
      <c r="G779" t="s">
        <v>9</v>
      </c>
      <c r="L779">
        <f t="shared" si="61"/>
        <v>0</v>
      </c>
      <c r="M779">
        <f t="shared" si="62"/>
        <v>0</v>
      </c>
      <c r="N779">
        <f t="shared" si="63"/>
        <v>0</v>
      </c>
      <c r="O779">
        <f t="shared" si="65"/>
        <v>1</v>
      </c>
      <c r="P779" t="str">
        <f t="shared" si="64"/>
        <v/>
      </c>
      <c r="Q779">
        <f>COUNTIF('責任職　企業局→市長部局'!A:A,SQLデータ!B779)</f>
        <v>0</v>
      </c>
      <c r="R779">
        <f>COUNTIF('一般職員　企業局→市長部局'!A:F,SQLデータ!B779)</f>
        <v>0</v>
      </c>
    </row>
    <row r="780" spans="1:18" x14ac:dyDescent="0.4">
      <c r="A780" s="1">
        <v>202650000566</v>
      </c>
      <c r="B780" s="1">
        <v>1221361</v>
      </c>
      <c r="C780" s="2">
        <v>46115</v>
      </c>
      <c r="D780" t="s">
        <v>17</v>
      </c>
      <c r="E780" t="s">
        <v>11</v>
      </c>
      <c r="G780" t="s">
        <v>9</v>
      </c>
      <c r="L780">
        <f t="shared" si="61"/>
        <v>0</v>
      </c>
      <c r="M780">
        <f t="shared" si="62"/>
        <v>0</v>
      </c>
      <c r="N780">
        <f t="shared" si="63"/>
        <v>0</v>
      </c>
      <c r="O780">
        <f t="shared" si="65"/>
        <v>1</v>
      </c>
      <c r="P780" t="str">
        <f t="shared" si="64"/>
        <v/>
      </c>
      <c r="Q780">
        <f>COUNTIF('責任職　企業局→市長部局'!A:A,SQLデータ!B780)</f>
        <v>0</v>
      </c>
      <c r="R780">
        <f>COUNTIF('一般職員　企業局→市長部局'!A:F,SQLデータ!B780)</f>
        <v>0</v>
      </c>
    </row>
    <row r="781" spans="1:18" x14ac:dyDescent="0.4">
      <c r="A781" s="1">
        <v>202650000567</v>
      </c>
      <c r="B781" s="1">
        <v>940069</v>
      </c>
      <c r="C781" s="2">
        <v>46115</v>
      </c>
      <c r="D781" t="s">
        <v>17</v>
      </c>
      <c r="E781" t="s">
        <v>10</v>
      </c>
      <c r="G781" t="s">
        <v>9</v>
      </c>
      <c r="L781">
        <f t="shared" si="61"/>
        <v>0</v>
      </c>
      <c r="M781">
        <f t="shared" si="62"/>
        <v>0</v>
      </c>
      <c r="N781">
        <f t="shared" si="63"/>
        <v>0</v>
      </c>
      <c r="O781">
        <f t="shared" si="65"/>
        <v>1</v>
      </c>
      <c r="P781" t="str">
        <f t="shared" si="64"/>
        <v/>
      </c>
      <c r="Q781">
        <f>COUNTIF('責任職　企業局→市長部局'!A:A,SQLデータ!B781)</f>
        <v>0</v>
      </c>
      <c r="R781">
        <f>COUNTIF('一般職員　企業局→市長部局'!A:F,SQLデータ!B781)</f>
        <v>0</v>
      </c>
    </row>
    <row r="782" spans="1:18" x14ac:dyDescent="0.4">
      <c r="A782" s="1">
        <v>202650000568</v>
      </c>
      <c r="B782" s="1">
        <v>1252080</v>
      </c>
      <c r="C782" s="2">
        <v>46115</v>
      </c>
      <c r="D782" t="s">
        <v>17</v>
      </c>
      <c r="E782" t="s">
        <v>10</v>
      </c>
      <c r="G782" t="s">
        <v>9</v>
      </c>
      <c r="L782">
        <f t="shared" si="61"/>
        <v>0</v>
      </c>
      <c r="M782">
        <f t="shared" si="62"/>
        <v>0</v>
      </c>
      <c r="N782">
        <f t="shared" si="63"/>
        <v>0</v>
      </c>
      <c r="O782">
        <f t="shared" si="65"/>
        <v>1</v>
      </c>
      <c r="P782" t="str">
        <f t="shared" si="64"/>
        <v/>
      </c>
      <c r="Q782">
        <f>COUNTIF('責任職　企業局→市長部局'!A:A,SQLデータ!B782)</f>
        <v>0</v>
      </c>
      <c r="R782">
        <f>COUNTIF('一般職員　企業局→市長部局'!A:F,SQLデータ!B782)</f>
        <v>0</v>
      </c>
    </row>
    <row r="783" spans="1:18" x14ac:dyDescent="0.4">
      <c r="A783" s="1">
        <v>202650000569</v>
      </c>
      <c r="B783" s="1">
        <v>1071369</v>
      </c>
      <c r="C783" s="2">
        <v>46115</v>
      </c>
      <c r="D783" t="s">
        <v>17</v>
      </c>
      <c r="E783" t="s">
        <v>11</v>
      </c>
      <c r="G783" t="s">
        <v>9</v>
      </c>
      <c r="L783">
        <f t="shared" si="61"/>
        <v>0</v>
      </c>
      <c r="M783">
        <f t="shared" si="62"/>
        <v>0</v>
      </c>
      <c r="N783">
        <f t="shared" si="63"/>
        <v>0</v>
      </c>
      <c r="O783">
        <f t="shared" si="65"/>
        <v>1</v>
      </c>
      <c r="P783" t="str">
        <f t="shared" si="64"/>
        <v/>
      </c>
      <c r="Q783">
        <f>COUNTIF('責任職　企業局→市長部局'!A:A,SQLデータ!B783)</f>
        <v>0</v>
      </c>
      <c r="R783">
        <f>COUNTIF('一般職員　企業局→市長部局'!A:F,SQLデータ!B783)</f>
        <v>0</v>
      </c>
    </row>
    <row r="784" spans="1:18" x14ac:dyDescent="0.4">
      <c r="A784" s="1">
        <v>202650000571</v>
      </c>
      <c r="B784" s="1">
        <v>920247</v>
      </c>
      <c r="C784" s="2">
        <v>46115</v>
      </c>
      <c r="D784" t="s">
        <v>17</v>
      </c>
      <c r="E784" t="s">
        <v>11</v>
      </c>
      <c r="G784" t="s">
        <v>9</v>
      </c>
      <c r="L784">
        <f t="shared" si="61"/>
        <v>0</v>
      </c>
      <c r="M784">
        <f t="shared" si="62"/>
        <v>0</v>
      </c>
      <c r="N784">
        <f t="shared" si="63"/>
        <v>0</v>
      </c>
      <c r="O784">
        <f t="shared" si="65"/>
        <v>1</v>
      </c>
      <c r="P784" t="str">
        <f t="shared" si="64"/>
        <v/>
      </c>
      <c r="Q784">
        <f>COUNTIF('責任職　企業局→市長部局'!A:A,SQLデータ!B784)</f>
        <v>0</v>
      </c>
      <c r="R784">
        <f>COUNTIF('一般職員　企業局→市長部局'!A:F,SQLデータ!B784)</f>
        <v>0</v>
      </c>
    </row>
    <row r="785" spans="1:18" x14ac:dyDescent="0.4">
      <c r="A785" s="1">
        <v>202650000572</v>
      </c>
      <c r="B785" s="1">
        <v>1136009</v>
      </c>
      <c r="C785" s="2">
        <v>46115</v>
      </c>
      <c r="D785" t="s">
        <v>17</v>
      </c>
      <c r="E785" t="s">
        <v>11</v>
      </c>
      <c r="G785" t="s">
        <v>9</v>
      </c>
      <c r="L785">
        <f t="shared" si="61"/>
        <v>0</v>
      </c>
      <c r="M785">
        <f t="shared" si="62"/>
        <v>0</v>
      </c>
      <c r="N785">
        <f t="shared" si="63"/>
        <v>0</v>
      </c>
      <c r="O785">
        <f t="shared" si="65"/>
        <v>1</v>
      </c>
      <c r="P785" t="str">
        <f t="shared" si="64"/>
        <v/>
      </c>
      <c r="Q785">
        <f>COUNTIF('責任職　企業局→市長部局'!A:A,SQLデータ!B785)</f>
        <v>0</v>
      </c>
      <c r="R785">
        <f>COUNTIF('一般職員　企業局→市長部局'!A:F,SQLデータ!B785)</f>
        <v>0</v>
      </c>
    </row>
    <row r="786" spans="1:18" x14ac:dyDescent="0.4">
      <c r="A786" s="1">
        <v>202650000573</v>
      </c>
      <c r="B786" s="1">
        <v>1256015</v>
      </c>
      <c r="C786" s="2">
        <v>46115</v>
      </c>
      <c r="D786" t="s">
        <v>17</v>
      </c>
      <c r="E786" t="s">
        <v>10</v>
      </c>
      <c r="G786" t="s">
        <v>9</v>
      </c>
      <c r="L786">
        <f t="shared" si="61"/>
        <v>0</v>
      </c>
      <c r="M786">
        <f t="shared" si="62"/>
        <v>0</v>
      </c>
      <c r="N786">
        <f t="shared" si="63"/>
        <v>0</v>
      </c>
      <c r="O786">
        <f t="shared" si="65"/>
        <v>1</v>
      </c>
      <c r="P786" t="str">
        <f t="shared" si="64"/>
        <v/>
      </c>
      <c r="Q786">
        <f>COUNTIF('責任職　企業局→市長部局'!A:A,SQLデータ!B786)</f>
        <v>0</v>
      </c>
      <c r="R786">
        <f>COUNTIF('一般職員　企業局→市長部局'!A:F,SQLデータ!B786)</f>
        <v>0</v>
      </c>
    </row>
    <row r="787" spans="1:18" x14ac:dyDescent="0.4">
      <c r="A787" s="1">
        <v>202650000574</v>
      </c>
      <c r="B787" s="1">
        <v>1026059</v>
      </c>
      <c r="C787" s="2">
        <v>46115</v>
      </c>
      <c r="D787" t="s">
        <v>17</v>
      </c>
      <c r="E787" t="s">
        <v>11</v>
      </c>
      <c r="G787" t="s">
        <v>9</v>
      </c>
      <c r="L787">
        <f t="shared" si="61"/>
        <v>0</v>
      </c>
      <c r="M787">
        <f t="shared" si="62"/>
        <v>0</v>
      </c>
      <c r="N787">
        <f t="shared" si="63"/>
        <v>0</v>
      </c>
      <c r="O787">
        <f t="shared" si="65"/>
        <v>1</v>
      </c>
      <c r="P787" t="str">
        <f t="shared" si="64"/>
        <v/>
      </c>
      <c r="Q787">
        <f>COUNTIF('責任職　企業局→市長部局'!A:A,SQLデータ!B787)</f>
        <v>0</v>
      </c>
      <c r="R787">
        <f>COUNTIF('一般職員　企業局→市長部局'!A:F,SQLデータ!B787)</f>
        <v>0</v>
      </c>
    </row>
    <row r="788" spans="1:18" x14ac:dyDescent="0.4">
      <c r="A788" s="1">
        <v>202650000575</v>
      </c>
      <c r="B788" s="1">
        <v>950376</v>
      </c>
      <c r="C788" s="2">
        <v>46115</v>
      </c>
      <c r="D788" t="s">
        <v>17</v>
      </c>
      <c r="E788" t="s">
        <v>10</v>
      </c>
      <c r="F788" t="s">
        <v>48</v>
      </c>
      <c r="G788" t="s">
        <v>9</v>
      </c>
      <c r="L788">
        <f t="shared" si="61"/>
        <v>0</v>
      </c>
      <c r="M788">
        <f t="shared" si="62"/>
        <v>0</v>
      </c>
      <c r="N788">
        <f t="shared" si="63"/>
        <v>0</v>
      </c>
      <c r="O788">
        <f t="shared" si="65"/>
        <v>1</v>
      </c>
      <c r="P788" t="str">
        <f t="shared" si="64"/>
        <v/>
      </c>
      <c r="Q788">
        <f>COUNTIF('責任職　企業局→市長部局'!A:A,SQLデータ!B788)</f>
        <v>0</v>
      </c>
      <c r="R788">
        <f>COUNTIF('一般職員　企業局→市長部局'!A:F,SQLデータ!B788)</f>
        <v>0</v>
      </c>
    </row>
    <row r="789" spans="1:18" x14ac:dyDescent="0.4">
      <c r="A789" s="1">
        <v>202650000576</v>
      </c>
      <c r="B789" s="1">
        <v>1206031</v>
      </c>
      <c r="C789" s="2">
        <v>46115</v>
      </c>
      <c r="D789" t="s">
        <v>17</v>
      </c>
      <c r="E789" t="s">
        <v>11</v>
      </c>
      <c r="G789" t="s">
        <v>9</v>
      </c>
      <c r="L789">
        <f t="shared" si="61"/>
        <v>0</v>
      </c>
      <c r="M789">
        <f t="shared" si="62"/>
        <v>0</v>
      </c>
      <c r="N789">
        <f t="shared" si="63"/>
        <v>0</v>
      </c>
      <c r="O789">
        <f t="shared" si="65"/>
        <v>1</v>
      </c>
      <c r="P789" t="str">
        <f t="shared" si="64"/>
        <v/>
      </c>
      <c r="Q789">
        <f>COUNTIF('責任職　企業局→市長部局'!A:A,SQLデータ!B789)</f>
        <v>0</v>
      </c>
      <c r="R789">
        <f>COUNTIF('一般職員　企業局→市長部局'!A:F,SQLデータ!B789)</f>
        <v>0</v>
      </c>
    </row>
    <row r="790" spans="1:18" x14ac:dyDescent="0.4">
      <c r="A790" s="1">
        <v>202650000578</v>
      </c>
      <c r="B790" s="1">
        <v>910432</v>
      </c>
      <c r="C790" s="2">
        <v>46115</v>
      </c>
      <c r="D790" t="s">
        <v>17</v>
      </c>
      <c r="E790" t="s">
        <v>11</v>
      </c>
      <c r="G790" t="s">
        <v>9</v>
      </c>
      <c r="L790">
        <f t="shared" si="61"/>
        <v>0</v>
      </c>
      <c r="M790">
        <f t="shared" si="62"/>
        <v>0</v>
      </c>
      <c r="N790">
        <f t="shared" si="63"/>
        <v>0</v>
      </c>
      <c r="O790">
        <f t="shared" si="65"/>
        <v>1</v>
      </c>
      <c r="P790" t="str">
        <f t="shared" si="64"/>
        <v/>
      </c>
      <c r="Q790">
        <f>COUNTIF('責任職　企業局→市長部局'!A:A,SQLデータ!B790)</f>
        <v>0</v>
      </c>
      <c r="R790">
        <f>COUNTIF('一般職員　企業局→市長部局'!A:F,SQLデータ!B790)</f>
        <v>0</v>
      </c>
    </row>
    <row r="791" spans="1:18" x14ac:dyDescent="0.4">
      <c r="A791" s="1">
        <v>202650000579</v>
      </c>
      <c r="B791" s="1">
        <v>1102100</v>
      </c>
      <c r="C791" s="2">
        <v>46115</v>
      </c>
      <c r="D791" t="s">
        <v>17</v>
      </c>
      <c r="E791" t="s">
        <v>11</v>
      </c>
      <c r="G791" t="s">
        <v>9</v>
      </c>
      <c r="L791">
        <f t="shared" si="61"/>
        <v>0</v>
      </c>
      <c r="M791">
        <f t="shared" si="62"/>
        <v>0</v>
      </c>
      <c r="N791">
        <f t="shared" si="63"/>
        <v>0</v>
      </c>
      <c r="O791">
        <f t="shared" si="65"/>
        <v>1</v>
      </c>
      <c r="P791" t="str">
        <f t="shared" si="64"/>
        <v/>
      </c>
      <c r="Q791">
        <f>COUNTIF('責任職　企業局→市長部局'!A:A,SQLデータ!B791)</f>
        <v>0</v>
      </c>
      <c r="R791">
        <f>COUNTIF('一般職員　企業局→市長部局'!A:F,SQLデータ!B791)</f>
        <v>0</v>
      </c>
    </row>
    <row r="792" spans="1:18" x14ac:dyDescent="0.4">
      <c r="A792" s="1">
        <v>202650000580</v>
      </c>
      <c r="B792" s="1">
        <v>1001160</v>
      </c>
      <c r="C792" s="2">
        <v>46115</v>
      </c>
      <c r="D792" t="s">
        <v>17</v>
      </c>
      <c r="E792" t="s">
        <v>11</v>
      </c>
      <c r="G792" t="s">
        <v>9</v>
      </c>
      <c r="L792">
        <f t="shared" si="61"/>
        <v>0</v>
      </c>
      <c r="M792">
        <f t="shared" si="62"/>
        <v>0</v>
      </c>
      <c r="N792">
        <f t="shared" si="63"/>
        <v>0</v>
      </c>
      <c r="O792">
        <f t="shared" si="65"/>
        <v>1</v>
      </c>
      <c r="P792" t="str">
        <f t="shared" si="64"/>
        <v/>
      </c>
      <c r="Q792">
        <f>COUNTIF('責任職　企業局→市長部局'!A:A,SQLデータ!B792)</f>
        <v>0</v>
      </c>
      <c r="R792">
        <f>COUNTIF('一般職員　企業局→市長部局'!A:F,SQLデータ!B792)</f>
        <v>0</v>
      </c>
    </row>
    <row r="793" spans="1:18" x14ac:dyDescent="0.4">
      <c r="A793" s="1">
        <v>202650000581</v>
      </c>
      <c r="B793" s="1">
        <v>898074</v>
      </c>
      <c r="C793" s="2">
        <v>46115</v>
      </c>
      <c r="D793" t="s">
        <v>17</v>
      </c>
      <c r="E793" t="s">
        <v>11</v>
      </c>
      <c r="G793" t="s">
        <v>9</v>
      </c>
      <c r="L793">
        <f t="shared" si="61"/>
        <v>0</v>
      </c>
      <c r="M793">
        <f t="shared" si="62"/>
        <v>0</v>
      </c>
      <c r="N793">
        <f t="shared" si="63"/>
        <v>0</v>
      </c>
      <c r="O793">
        <f t="shared" si="65"/>
        <v>1</v>
      </c>
      <c r="P793" t="str">
        <f t="shared" si="64"/>
        <v/>
      </c>
      <c r="Q793">
        <f>COUNTIF('責任職　企業局→市長部局'!A:A,SQLデータ!B793)</f>
        <v>0</v>
      </c>
      <c r="R793">
        <f>COUNTIF('一般職員　企業局→市長部局'!A:F,SQLデータ!B793)</f>
        <v>0</v>
      </c>
    </row>
    <row r="794" spans="1:18" x14ac:dyDescent="0.4">
      <c r="A794" s="1">
        <v>202650000582</v>
      </c>
      <c r="B794" s="1">
        <v>1081425</v>
      </c>
      <c r="C794" s="2">
        <v>46115</v>
      </c>
      <c r="D794" t="s">
        <v>17</v>
      </c>
      <c r="E794" t="s">
        <v>11</v>
      </c>
      <c r="G794" t="s">
        <v>9</v>
      </c>
      <c r="L794">
        <f t="shared" si="61"/>
        <v>0</v>
      </c>
      <c r="M794">
        <f t="shared" si="62"/>
        <v>0</v>
      </c>
      <c r="N794">
        <f t="shared" si="63"/>
        <v>0</v>
      </c>
      <c r="O794">
        <f t="shared" si="65"/>
        <v>1</v>
      </c>
      <c r="P794" t="str">
        <f t="shared" si="64"/>
        <v/>
      </c>
      <c r="Q794">
        <f>COUNTIF('責任職　企業局→市長部局'!A:A,SQLデータ!B794)</f>
        <v>0</v>
      </c>
      <c r="R794">
        <f>COUNTIF('一般職員　企業局→市長部局'!A:F,SQLデータ!B794)</f>
        <v>0</v>
      </c>
    </row>
    <row r="795" spans="1:18" x14ac:dyDescent="0.4">
      <c r="A795" s="1">
        <v>202650000583</v>
      </c>
      <c r="B795" s="1">
        <v>1016058</v>
      </c>
      <c r="C795" s="2">
        <v>46115</v>
      </c>
      <c r="D795" t="s">
        <v>17</v>
      </c>
      <c r="E795" t="s">
        <v>11</v>
      </c>
      <c r="G795" t="s">
        <v>9</v>
      </c>
      <c r="L795">
        <f t="shared" si="61"/>
        <v>0</v>
      </c>
      <c r="M795">
        <f t="shared" si="62"/>
        <v>0</v>
      </c>
      <c r="N795">
        <f t="shared" si="63"/>
        <v>0</v>
      </c>
      <c r="O795">
        <f t="shared" si="65"/>
        <v>1</v>
      </c>
      <c r="P795" t="str">
        <f t="shared" si="64"/>
        <v/>
      </c>
      <c r="Q795">
        <f>COUNTIF('責任職　企業局→市長部局'!A:A,SQLデータ!B795)</f>
        <v>0</v>
      </c>
      <c r="R795">
        <f>COUNTIF('一般職員　企業局→市長部局'!A:F,SQLデータ!B795)</f>
        <v>0</v>
      </c>
    </row>
    <row r="796" spans="1:18" x14ac:dyDescent="0.4">
      <c r="A796" s="1">
        <v>202650000584</v>
      </c>
      <c r="B796" s="1">
        <v>1096015</v>
      </c>
      <c r="C796" s="2">
        <v>46115</v>
      </c>
      <c r="D796" t="s">
        <v>17</v>
      </c>
      <c r="E796" t="s">
        <v>10</v>
      </c>
      <c r="F796" t="s">
        <v>48</v>
      </c>
      <c r="G796" t="s">
        <v>9</v>
      </c>
      <c r="L796">
        <f t="shared" si="61"/>
        <v>0</v>
      </c>
      <c r="M796">
        <f t="shared" si="62"/>
        <v>0</v>
      </c>
      <c r="N796">
        <f t="shared" si="63"/>
        <v>0</v>
      </c>
      <c r="O796">
        <f t="shared" si="65"/>
        <v>1</v>
      </c>
      <c r="P796" t="str">
        <f t="shared" si="64"/>
        <v/>
      </c>
      <c r="Q796">
        <f>COUNTIF('責任職　企業局→市長部局'!A:A,SQLデータ!B796)</f>
        <v>0</v>
      </c>
      <c r="R796">
        <f>COUNTIF('一般職員　企業局→市長部局'!A:F,SQLデータ!B796)</f>
        <v>0</v>
      </c>
    </row>
    <row r="797" spans="1:18" x14ac:dyDescent="0.4">
      <c r="A797" s="1">
        <v>202650000585</v>
      </c>
      <c r="B797" s="1">
        <v>1026012</v>
      </c>
      <c r="C797" s="2">
        <v>46115</v>
      </c>
      <c r="D797" t="s">
        <v>17</v>
      </c>
      <c r="E797" t="s">
        <v>11</v>
      </c>
      <c r="G797" t="s">
        <v>9</v>
      </c>
      <c r="L797">
        <f t="shared" si="61"/>
        <v>0</v>
      </c>
      <c r="M797">
        <f t="shared" si="62"/>
        <v>0</v>
      </c>
      <c r="N797">
        <f t="shared" si="63"/>
        <v>0</v>
      </c>
      <c r="O797">
        <f t="shared" si="65"/>
        <v>1</v>
      </c>
      <c r="P797" t="str">
        <f t="shared" si="64"/>
        <v/>
      </c>
      <c r="Q797">
        <f>COUNTIF('責任職　企業局→市長部局'!A:A,SQLデータ!B797)</f>
        <v>0</v>
      </c>
      <c r="R797">
        <f>COUNTIF('一般職員　企業局→市長部局'!A:F,SQLデータ!B797)</f>
        <v>0</v>
      </c>
    </row>
    <row r="798" spans="1:18" x14ac:dyDescent="0.4">
      <c r="A798" s="1">
        <v>202650000586</v>
      </c>
      <c r="B798" s="1">
        <v>1166118</v>
      </c>
      <c r="C798" s="2">
        <v>46115</v>
      </c>
      <c r="D798" t="s">
        <v>17</v>
      </c>
      <c r="E798" t="s">
        <v>11</v>
      </c>
      <c r="G798" t="s">
        <v>9</v>
      </c>
      <c r="L798">
        <f t="shared" si="61"/>
        <v>0</v>
      </c>
      <c r="M798">
        <f t="shared" si="62"/>
        <v>0</v>
      </c>
      <c r="N798">
        <f t="shared" si="63"/>
        <v>0</v>
      </c>
      <c r="O798">
        <f t="shared" si="65"/>
        <v>1</v>
      </c>
      <c r="P798" t="str">
        <f t="shared" si="64"/>
        <v/>
      </c>
      <c r="Q798">
        <f>COUNTIF('責任職　企業局→市長部局'!A:A,SQLデータ!B798)</f>
        <v>0</v>
      </c>
      <c r="R798">
        <f>COUNTIF('一般職員　企業局→市長部局'!A:F,SQLデータ!B798)</f>
        <v>0</v>
      </c>
    </row>
    <row r="799" spans="1:18" x14ac:dyDescent="0.4">
      <c r="A799" s="1">
        <v>202650000587</v>
      </c>
      <c r="B799" s="1">
        <v>1122104</v>
      </c>
      <c r="C799" s="2">
        <v>46115</v>
      </c>
      <c r="D799" t="s">
        <v>17</v>
      </c>
      <c r="E799" t="s">
        <v>8</v>
      </c>
      <c r="G799" t="s">
        <v>9</v>
      </c>
      <c r="L799">
        <f t="shared" si="61"/>
        <v>0</v>
      </c>
      <c r="M799">
        <f t="shared" si="62"/>
        <v>0</v>
      </c>
      <c r="N799">
        <f t="shared" si="63"/>
        <v>0</v>
      </c>
      <c r="O799">
        <f t="shared" si="65"/>
        <v>1</v>
      </c>
      <c r="P799" t="str">
        <f t="shared" si="64"/>
        <v/>
      </c>
      <c r="Q799">
        <f>COUNTIF('責任職　企業局→市長部局'!A:A,SQLデータ!B799)</f>
        <v>0</v>
      </c>
      <c r="R799">
        <f>COUNTIF('一般職員　企業局→市長部局'!A:F,SQLデータ!B799)</f>
        <v>0</v>
      </c>
    </row>
    <row r="800" spans="1:18" x14ac:dyDescent="0.4">
      <c r="A800" s="1">
        <v>202650000588</v>
      </c>
      <c r="B800" s="1">
        <v>910810</v>
      </c>
      <c r="C800" s="2">
        <v>46115</v>
      </c>
      <c r="D800" t="s">
        <v>17</v>
      </c>
      <c r="E800" t="s">
        <v>11</v>
      </c>
      <c r="G800" t="s">
        <v>9</v>
      </c>
      <c r="L800">
        <f t="shared" si="61"/>
        <v>0</v>
      </c>
      <c r="M800">
        <f t="shared" si="62"/>
        <v>0</v>
      </c>
      <c r="N800">
        <f t="shared" si="63"/>
        <v>0</v>
      </c>
      <c r="O800">
        <f t="shared" si="65"/>
        <v>1</v>
      </c>
      <c r="P800" t="str">
        <f t="shared" si="64"/>
        <v/>
      </c>
      <c r="Q800">
        <f>COUNTIF('責任職　企業局→市長部局'!A:A,SQLデータ!B800)</f>
        <v>0</v>
      </c>
      <c r="R800">
        <f>COUNTIF('一般職員　企業局→市長部局'!A:F,SQLデータ!B800)</f>
        <v>0</v>
      </c>
    </row>
    <row r="801" spans="1:18" x14ac:dyDescent="0.4">
      <c r="A801" s="1">
        <v>202650000589</v>
      </c>
      <c r="B801" s="1">
        <v>5158422</v>
      </c>
      <c r="C801" s="2">
        <v>46115</v>
      </c>
      <c r="D801" t="s">
        <v>17</v>
      </c>
      <c r="E801" t="s">
        <v>10</v>
      </c>
      <c r="F801" t="s">
        <v>54</v>
      </c>
      <c r="G801" t="s">
        <v>9</v>
      </c>
      <c r="L801">
        <f t="shared" si="61"/>
        <v>0</v>
      </c>
      <c r="M801">
        <f t="shared" si="62"/>
        <v>0</v>
      </c>
      <c r="N801">
        <f t="shared" si="63"/>
        <v>0</v>
      </c>
      <c r="O801">
        <f t="shared" si="65"/>
        <v>1</v>
      </c>
      <c r="P801" t="str">
        <f t="shared" si="64"/>
        <v/>
      </c>
      <c r="Q801">
        <f>COUNTIF('責任職　企業局→市長部局'!A:A,SQLデータ!B801)</f>
        <v>0</v>
      </c>
      <c r="R801">
        <f>COUNTIF('一般職員　企業局→市長部局'!A:F,SQLデータ!B801)</f>
        <v>0</v>
      </c>
    </row>
    <row r="802" spans="1:18" x14ac:dyDescent="0.4">
      <c r="A802" s="1">
        <v>202650000590</v>
      </c>
      <c r="B802" s="1">
        <v>930651</v>
      </c>
      <c r="C802" s="2">
        <v>46115</v>
      </c>
      <c r="D802" t="s">
        <v>17</v>
      </c>
      <c r="E802" t="s">
        <v>10</v>
      </c>
      <c r="G802" t="s">
        <v>9</v>
      </c>
      <c r="L802">
        <f t="shared" si="61"/>
        <v>0</v>
      </c>
      <c r="M802">
        <f t="shared" si="62"/>
        <v>0</v>
      </c>
      <c r="N802">
        <f t="shared" si="63"/>
        <v>0</v>
      </c>
      <c r="O802">
        <f t="shared" si="65"/>
        <v>1</v>
      </c>
      <c r="P802" t="str">
        <f t="shared" si="64"/>
        <v/>
      </c>
      <c r="Q802">
        <f>COUNTIF('責任職　企業局→市長部局'!A:A,SQLデータ!B802)</f>
        <v>0</v>
      </c>
      <c r="R802">
        <f>COUNTIF('一般職員　企業局→市長部局'!A:F,SQLデータ!B802)</f>
        <v>0</v>
      </c>
    </row>
    <row r="803" spans="1:18" x14ac:dyDescent="0.4">
      <c r="A803" s="1">
        <v>202650000591</v>
      </c>
      <c r="B803" s="1">
        <v>1186101</v>
      </c>
      <c r="C803" s="2">
        <v>46115</v>
      </c>
      <c r="D803" t="s">
        <v>17</v>
      </c>
      <c r="E803" t="s">
        <v>11</v>
      </c>
      <c r="G803" t="s">
        <v>9</v>
      </c>
      <c r="L803">
        <f t="shared" si="61"/>
        <v>0</v>
      </c>
      <c r="M803">
        <f t="shared" si="62"/>
        <v>0</v>
      </c>
      <c r="N803">
        <f t="shared" si="63"/>
        <v>0</v>
      </c>
      <c r="O803">
        <f t="shared" si="65"/>
        <v>1</v>
      </c>
      <c r="P803" t="str">
        <f t="shared" si="64"/>
        <v/>
      </c>
      <c r="Q803">
        <f>COUNTIF('責任職　企業局→市長部局'!A:A,SQLデータ!B803)</f>
        <v>0</v>
      </c>
      <c r="R803">
        <f>COUNTIF('一般職員　企業局→市長部局'!A:F,SQLデータ!B803)</f>
        <v>0</v>
      </c>
    </row>
    <row r="804" spans="1:18" x14ac:dyDescent="0.4">
      <c r="A804" s="1">
        <v>202650000592</v>
      </c>
      <c r="B804" s="1">
        <v>976014</v>
      </c>
      <c r="C804" s="2">
        <v>46115</v>
      </c>
      <c r="D804" t="s">
        <v>17</v>
      </c>
      <c r="E804" t="s">
        <v>11</v>
      </c>
      <c r="G804" t="s">
        <v>9</v>
      </c>
      <c r="L804">
        <f t="shared" si="61"/>
        <v>0</v>
      </c>
      <c r="M804">
        <f t="shared" si="62"/>
        <v>0</v>
      </c>
      <c r="N804">
        <f t="shared" si="63"/>
        <v>0</v>
      </c>
      <c r="O804">
        <f t="shared" si="65"/>
        <v>1</v>
      </c>
      <c r="P804" t="str">
        <f t="shared" si="64"/>
        <v/>
      </c>
      <c r="Q804">
        <f>COUNTIF('責任職　企業局→市長部局'!A:A,SQLデータ!B804)</f>
        <v>0</v>
      </c>
      <c r="R804">
        <f>COUNTIF('一般職員　企業局→市長部局'!A:F,SQLデータ!B804)</f>
        <v>0</v>
      </c>
    </row>
    <row r="805" spans="1:18" x14ac:dyDescent="0.4">
      <c r="A805" s="1">
        <v>202650000593</v>
      </c>
      <c r="B805" s="1">
        <v>1171260</v>
      </c>
      <c r="C805" s="2">
        <v>46115</v>
      </c>
      <c r="D805" t="s">
        <v>17</v>
      </c>
      <c r="E805" t="s">
        <v>11</v>
      </c>
      <c r="G805" t="s">
        <v>9</v>
      </c>
      <c r="L805">
        <f t="shared" si="61"/>
        <v>0</v>
      </c>
      <c r="M805">
        <f t="shared" si="62"/>
        <v>0</v>
      </c>
      <c r="N805">
        <f t="shared" si="63"/>
        <v>0</v>
      </c>
      <c r="O805">
        <f t="shared" si="65"/>
        <v>1</v>
      </c>
      <c r="P805" t="str">
        <f t="shared" si="64"/>
        <v/>
      </c>
      <c r="Q805">
        <f>COUNTIF('責任職　企業局→市長部局'!A:A,SQLデータ!B805)</f>
        <v>0</v>
      </c>
      <c r="R805">
        <f>COUNTIF('一般職員　企業局→市長部局'!A:F,SQLデータ!B805)</f>
        <v>0</v>
      </c>
    </row>
    <row r="806" spans="1:18" x14ac:dyDescent="0.4">
      <c r="A806" s="1">
        <v>202650000594</v>
      </c>
      <c r="B806" s="1">
        <v>1196015</v>
      </c>
      <c r="C806" s="2">
        <v>46115</v>
      </c>
      <c r="D806" t="s">
        <v>17</v>
      </c>
      <c r="E806" t="s">
        <v>10</v>
      </c>
      <c r="G806" t="s">
        <v>9</v>
      </c>
      <c r="L806">
        <f t="shared" si="61"/>
        <v>0</v>
      </c>
      <c r="M806">
        <f t="shared" si="62"/>
        <v>0</v>
      </c>
      <c r="N806">
        <f t="shared" si="63"/>
        <v>0</v>
      </c>
      <c r="O806">
        <f t="shared" si="65"/>
        <v>1</v>
      </c>
      <c r="P806" t="str">
        <f t="shared" si="64"/>
        <v/>
      </c>
      <c r="Q806">
        <f>COUNTIF('責任職　企業局→市長部局'!A:A,SQLデータ!B806)</f>
        <v>0</v>
      </c>
      <c r="R806">
        <f>COUNTIF('一般職員　企業局→市長部局'!A:F,SQLデータ!B806)</f>
        <v>0</v>
      </c>
    </row>
    <row r="807" spans="1:18" x14ac:dyDescent="0.4">
      <c r="A807" s="1">
        <v>202650000595</v>
      </c>
      <c r="B807" s="1">
        <v>1126097</v>
      </c>
      <c r="C807" s="2">
        <v>46115</v>
      </c>
      <c r="D807" t="s">
        <v>17</v>
      </c>
      <c r="E807" t="s">
        <v>11</v>
      </c>
      <c r="G807" t="s">
        <v>9</v>
      </c>
      <c r="L807">
        <f t="shared" si="61"/>
        <v>0</v>
      </c>
      <c r="M807">
        <f t="shared" si="62"/>
        <v>0</v>
      </c>
      <c r="N807">
        <f t="shared" si="63"/>
        <v>0</v>
      </c>
      <c r="O807">
        <f t="shared" si="65"/>
        <v>1</v>
      </c>
      <c r="P807" t="str">
        <f t="shared" si="64"/>
        <v/>
      </c>
      <c r="Q807">
        <f>COUNTIF('責任職　企業局→市長部局'!A:A,SQLデータ!B807)</f>
        <v>0</v>
      </c>
      <c r="R807">
        <f>COUNTIF('一般職員　企業局→市長部局'!A:F,SQLデータ!B807)</f>
        <v>0</v>
      </c>
    </row>
    <row r="808" spans="1:18" x14ac:dyDescent="0.4">
      <c r="A808" s="1">
        <v>202650000596</v>
      </c>
      <c r="B808" s="1">
        <v>930157</v>
      </c>
      <c r="C808" s="2">
        <v>46115</v>
      </c>
      <c r="D808" t="s">
        <v>17</v>
      </c>
      <c r="E808" t="s">
        <v>11</v>
      </c>
      <c r="F808" t="s">
        <v>48</v>
      </c>
      <c r="G808" t="s">
        <v>9</v>
      </c>
      <c r="L808">
        <f t="shared" si="61"/>
        <v>0</v>
      </c>
      <c r="M808">
        <f t="shared" si="62"/>
        <v>0</v>
      </c>
      <c r="N808">
        <f t="shared" si="63"/>
        <v>0</v>
      </c>
      <c r="O808">
        <f t="shared" si="65"/>
        <v>1</v>
      </c>
      <c r="P808" t="str">
        <f t="shared" si="64"/>
        <v/>
      </c>
      <c r="Q808">
        <f>COUNTIF('責任職　企業局→市長部局'!A:A,SQLデータ!B808)</f>
        <v>0</v>
      </c>
      <c r="R808">
        <f>COUNTIF('一般職員　企業局→市長部局'!A:F,SQLデータ!B808)</f>
        <v>0</v>
      </c>
    </row>
    <row r="809" spans="1:18" x14ac:dyDescent="0.4">
      <c r="A809" s="1">
        <v>202650000598</v>
      </c>
      <c r="B809" s="1">
        <v>1206070</v>
      </c>
      <c r="C809" s="2">
        <v>46115</v>
      </c>
      <c r="D809" t="s">
        <v>17</v>
      </c>
      <c r="E809" t="s">
        <v>8</v>
      </c>
      <c r="F809" t="s">
        <v>47</v>
      </c>
      <c r="G809" t="s">
        <v>9</v>
      </c>
      <c r="L809">
        <f t="shared" si="61"/>
        <v>0</v>
      </c>
      <c r="M809">
        <f t="shared" si="62"/>
        <v>0</v>
      </c>
      <c r="N809">
        <f t="shared" si="63"/>
        <v>0</v>
      </c>
      <c r="O809">
        <f t="shared" si="65"/>
        <v>1</v>
      </c>
      <c r="P809" t="str">
        <f t="shared" si="64"/>
        <v/>
      </c>
      <c r="Q809">
        <f>COUNTIF('責任職　企業局→市長部局'!A:A,SQLデータ!B809)</f>
        <v>0</v>
      </c>
      <c r="R809">
        <f>COUNTIF('一般職員　企業局→市長部局'!A:F,SQLデータ!B809)</f>
        <v>0</v>
      </c>
    </row>
    <row r="810" spans="1:18" x14ac:dyDescent="0.4">
      <c r="A810" s="1">
        <v>202650000599</v>
      </c>
      <c r="B810" s="1">
        <v>991279</v>
      </c>
      <c r="C810" s="2">
        <v>46115</v>
      </c>
      <c r="D810" t="s">
        <v>17</v>
      </c>
      <c r="E810" t="s">
        <v>11</v>
      </c>
      <c r="G810" t="s">
        <v>9</v>
      </c>
      <c r="L810">
        <f t="shared" si="61"/>
        <v>0</v>
      </c>
      <c r="M810">
        <f t="shared" si="62"/>
        <v>0</v>
      </c>
      <c r="N810">
        <f t="shared" si="63"/>
        <v>0</v>
      </c>
      <c r="O810">
        <f t="shared" si="65"/>
        <v>1</v>
      </c>
      <c r="P810" t="str">
        <f t="shared" si="64"/>
        <v/>
      </c>
      <c r="Q810">
        <f>COUNTIF('責任職　企業局→市長部局'!A:A,SQLデータ!B810)</f>
        <v>0</v>
      </c>
      <c r="R810">
        <f>COUNTIF('一般職員　企業局→市長部局'!A:F,SQLデータ!B810)</f>
        <v>0</v>
      </c>
    </row>
    <row r="811" spans="1:18" x14ac:dyDescent="0.4">
      <c r="A811" s="1">
        <v>202650000601</v>
      </c>
      <c r="B811" s="1">
        <v>1236034</v>
      </c>
      <c r="C811" s="2">
        <v>46115</v>
      </c>
      <c r="D811" t="s">
        <v>17</v>
      </c>
      <c r="E811" t="s">
        <v>11</v>
      </c>
      <c r="G811" t="s">
        <v>9</v>
      </c>
      <c r="L811">
        <f t="shared" si="61"/>
        <v>0</v>
      </c>
      <c r="M811">
        <f t="shared" si="62"/>
        <v>0</v>
      </c>
      <c r="N811">
        <f t="shared" si="63"/>
        <v>0</v>
      </c>
      <c r="O811">
        <f t="shared" si="65"/>
        <v>1</v>
      </c>
      <c r="P811" t="str">
        <f t="shared" si="64"/>
        <v/>
      </c>
      <c r="Q811">
        <f>COUNTIF('責任職　企業局→市長部局'!A:A,SQLデータ!B811)</f>
        <v>0</v>
      </c>
      <c r="R811">
        <f>COUNTIF('一般職員　企業局→市長部局'!A:F,SQLデータ!B811)</f>
        <v>0</v>
      </c>
    </row>
    <row r="812" spans="1:18" x14ac:dyDescent="0.4">
      <c r="A812" s="1">
        <v>202650000602</v>
      </c>
      <c r="B812" s="1">
        <v>1086070</v>
      </c>
      <c r="C812" s="2">
        <v>46118</v>
      </c>
      <c r="D812" t="s">
        <v>17</v>
      </c>
      <c r="E812" t="s">
        <v>10</v>
      </c>
      <c r="G812" t="s">
        <v>9</v>
      </c>
      <c r="L812">
        <f t="shared" si="61"/>
        <v>0</v>
      </c>
      <c r="M812">
        <f t="shared" si="62"/>
        <v>0</v>
      </c>
      <c r="N812">
        <f t="shared" si="63"/>
        <v>0</v>
      </c>
      <c r="O812">
        <f t="shared" si="65"/>
        <v>1</v>
      </c>
      <c r="P812" t="str">
        <f t="shared" si="64"/>
        <v/>
      </c>
      <c r="Q812">
        <f>COUNTIF('責任職　企業局→市長部局'!A:A,SQLデータ!B812)</f>
        <v>0</v>
      </c>
      <c r="R812">
        <f>COUNTIF('一般職員　企業局→市長部局'!A:F,SQLデータ!B812)</f>
        <v>0</v>
      </c>
    </row>
    <row r="813" spans="1:18" x14ac:dyDescent="0.4">
      <c r="A813" s="1">
        <v>202650000603</v>
      </c>
      <c r="B813" s="1">
        <v>1086055</v>
      </c>
      <c r="C813" s="2">
        <v>46115</v>
      </c>
      <c r="D813" t="s">
        <v>17</v>
      </c>
      <c r="E813" t="s">
        <v>10</v>
      </c>
      <c r="G813" t="s">
        <v>9</v>
      </c>
      <c r="L813">
        <f t="shared" si="61"/>
        <v>0</v>
      </c>
      <c r="M813">
        <f t="shared" si="62"/>
        <v>0</v>
      </c>
      <c r="N813">
        <f t="shared" si="63"/>
        <v>0</v>
      </c>
      <c r="O813">
        <f t="shared" si="65"/>
        <v>1</v>
      </c>
      <c r="P813" t="str">
        <f t="shared" si="64"/>
        <v/>
      </c>
      <c r="Q813">
        <f>COUNTIF('責任職　企業局→市長部局'!A:A,SQLデータ!B813)</f>
        <v>0</v>
      </c>
      <c r="R813">
        <f>COUNTIF('一般職員　企業局→市長部局'!A:F,SQLデータ!B813)</f>
        <v>0</v>
      </c>
    </row>
    <row r="814" spans="1:18" x14ac:dyDescent="0.4">
      <c r="A814" s="1">
        <v>202650000604</v>
      </c>
      <c r="B814" s="1">
        <v>930520</v>
      </c>
      <c r="C814" s="2">
        <v>46115</v>
      </c>
      <c r="D814" t="s">
        <v>17</v>
      </c>
      <c r="E814" t="s">
        <v>11</v>
      </c>
      <c r="G814" t="s">
        <v>9</v>
      </c>
      <c r="L814">
        <f t="shared" si="61"/>
        <v>0</v>
      </c>
      <c r="M814">
        <f t="shared" si="62"/>
        <v>0</v>
      </c>
      <c r="N814">
        <f t="shared" si="63"/>
        <v>0</v>
      </c>
      <c r="O814">
        <f t="shared" si="65"/>
        <v>1</v>
      </c>
      <c r="P814" t="str">
        <f t="shared" si="64"/>
        <v/>
      </c>
      <c r="Q814">
        <f>COUNTIF('責任職　企業局→市長部局'!A:A,SQLデータ!B814)</f>
        <v>0</v>
      </c>
      <c r="R814">
        <f>COUNTIF('一般職員　企業局→市長部局'!A:F,SQLデータ!B814)</f>
        <v>0</v>
      </c>
    </row>
    <row r="815" spans="1:18" x14ac:dyDescent="0.4">
      <c r="A815" s="1">
        <v>202650000605</v>
      </c>
      <c r="B815" s="1">
        <v>940316</v>
      </c>
      <c r="C815" s="2">
        <v>46115</v>
      </c>
      <c r="D815" t="s">
        <v>17</v>
      </c>
      <c r="E815" t="s">
        <v>11</v>
      </c>
      <c r="G815" t="s">
        <v>9</v>
      </c>
      <c r="L815">
        <f t="shared" si="61"/>
        <v>0</v>
      </c>
      <c r="M815">
        <f t="shared" si="62"/>
        <v>0</v>
      </c>
      <c r="N815">
        <f t="shared" si="63"/>
        <v>0</v>
      </c>
      <c r="O815">
        <f t="shared" si="65"/>
        <v>1</v>
      </c>
      <c r="P815" t="str">
        <f t="shared" si="64"/>
        <v/>
      </c>
      <c r="Q815">
        <f>COUNTIF('責任職　企業局→市長部局'!A:A,SQLデータ!B815)</f>
        <v>0</v>
      </c>
      <c r="R815">
        <f>COUNTIF('一般職員　企業局→市長部局'!A:F,SQLデータ!B815)</f>
        <v>0</v>
      </c>
    </row>
    <row r="816" spans="1:18" x14ac:dyDescent="0.4">
      <c r="A816" s="1">
        <v>202650000606</v>
      </c>
      <c r="B816" s="1">
        <v>1146006</v>
      </c>
      <c r="C816" s="2">
        <v>46115</v>
      </c>
      <c r="D816" t="s">
        <v>17</v>
      </c>
      <c r="E816" t="s">
        <v>11</v>
      </c>
      <c r="G816" t="s">
        <v>9</v>
      </c>
      <c r="L816">
        <f t="shared" si="61"/>
        <v>0</v>
      </c>
      <c r="M816">
        <f t="shared" si="62"/>
        <v>0</v>
      </c>
      <c r="N816">
        <f t="shared" si="63"/>
        <v>0</v>
      </c>
      <c r="O816">
        <f t="shared" si="65"/>
        <v>1</v>
      </c>
      <c r="P816" t="str">
        <f t="shared" si="64"/>
        <v/>
      </c>
      <c r="Q816">
        <f>COUNTIF('責任職　企業局→市長部局'!A:A,SQLデータ!B816)</f>
        <v>0</v>
      </c>
      <c r="R816">
        <f>COUNTIF('一般職員　企業局→市長部局'!A:F,SQLデータ!B816)</f>
        <v>0</v>
      </c>
    </row>
    <row r="817" spans="1:18" x14ac:dyDescent="0.4">
      <c r="A817" s="1">
        <v>202650000607</v>
      </c>
      <c r="B817" s="1">
        <v>920919</v>
      </c>
      <c r="C817" s="2">
        <v>46115</v>
      </c>
      <c r="D817" t="s">
        <v>17</v>
      </c>
      <c r="E817" t="s">
        <v>11</v>
      </c>
      <c r="G817" t="s">
        <v>9</v>
      </c>
      <c r="L817">
        <f t="shared" si="61"/>
        <v>0</v>
      </c>
      <c r="M817">
        <f t="shared" si="62"/>
        <v>0</v>
      </c>
      <c r="N817">
        <f t="shared" si="63"/>
        <v>0</v>
      </c>
      <c r="O817">
        <f t="shared" si="65"/>
        <v>1</v>
      </c>
      <c r="P817" t="str">
        <f t="shared" si="64"/>
        <v/>
      </c>
      <c r="Q817">
        <f>COUNTIF('責任職　企業局→市長部局'!A:A,SQLデータ!B817)</f>
        <v>0</v>
      </c>
      <c r="R817">
        <f>COUNTIF('一般職員　企業局→市長部局'!A:F,SQLデータ!B817)</f>
        <v>0</v>
      </c>
    </row>
    <row r="818" spans="1:18" x14ac:dyDescent="0.4">
      <c r="A818" s="1">
        <v>202650000608</v>
      </c>
      <c r="B818" s="1">
        <v>5077898</v>
      </c>
      <c r="C818" s="2">
        <v>46115</v>
      </c>
      <c r="D818" t="s">
        <v>17</v>
      </c>
      <c r="E818" t="s">
        <v>10</v>
      </c>
      <c r="F818" t="s">
        <v>54</v>
      </c>
      <c r="G818" t="s">
        <v>9</v>
      </c>
      <c r="L818">
        <f t="shared" si="61"/>
        <v>0</v>
      </c>
      <c r="M818">
        <f t="shared" si="62"/>
        <v>0</v>
      </c>
      <c r="N818">
        <f t="shared" si="63"/>
        <v>0</v>
      </c>
      <c r="O818">
        <f t="shared" si="65"/>
        <v>1</v>
      </c>
      <c r="P818" t="str">
        <f t="shared" si="64"/>
        <v/>
      </c>
      <c r="Q818">
        <f>COUNTIF('責任職　企業局→市長部局'!A:A,SQLデータ!B818)</f>
        <v>0</v>
      </c>
      <c r="R818">
        <f>COUNTIF('一般職員　企業局→市長部局'!A:F,SQLデータ!B818)</f>
        <v>0</v>
      </c>
    </row>
    <row r="819" spans="1:18" x14ac:dyDescent="0.4">
      <c r="A819" s="1">
        <v>202650000609</v>
      </c>
      <c r="B819" s="1">
        <v>1016070</v>
      </c>
      <c r="C819" s="2">
        <v>46115</v>
      </c>
      <c r="D819" t="s">
        <v>17</v>
      </c>
      <c r="E819" t="s">
        <v>11</v>
      </c>
      <c r="G819" t="s">
        <v>9</v>
      </c>
      <c r="L819">
        <f t="shared" si="61"/>
        <v>0</v>
      </c>
      <c r="M819">
        <f t="shared" si="62"/>
        <v>0</v>
      </c>
      <c r="N819">
        <f t="shared" si="63"/>
        <v>0</v>
      </c>
      <c r="O819">
        <f t="shared" si="65"/>
        <v>1</v>
      </c>
      <c r="P819" t="str">
        <f t="shared" si="64"/>
        <v/>
      </c>
      <c r="Q819">
        <f>COUNTIF('責任職　企業局→市長部局'!A:A,SQLデータ!B819)</f>
        <v>0</v>
      </c>
      <c r="R819">
        <f>COUNTIF('一般職員　企業局→市長部局'!A:F,SQLデータ!B819)</f>
        <v>0</v>
      </c>
    </row>
    <row r="820" spans="1:18" x14ac:dyDescent="0.4">
      <c r="A820" s="1">
        <v>202650000610</v>
      </c>
      <c r="B820" s="1">
        <v>920561</v>
      </c>
      <c r="C820" s="2">
        <v>46115</v>
      </c>
      <c r="D820" t="s">
        <v>17</v>
      </c>
      <c r="E820" t="s">
        <v>11</v>
      </c>
      <c r="G820" t="s">
        <v>9</v>
      </c>
      <c r="L820">
        <f t="shared" si="61"/>
        <v>0</v>
      </c>
      <c r="M820">
        <f t="shared" si="62"/>
        <v>0</v>
      </c>
      <c r="N820">
        <f t="shared" si="63"/>
        <v>0</v>
      </c>
      <c r="O820">
        <f t="shared" si="65"/>
        <v>1</v>
      </c>
      <c r="P820" t="str">
        <f t="shared" si="64"/>
        <v/>
      </c>
      <c r="Q820">
        <f>COUNTIF('責任職　企業局→市長部局'!A:A,SQLデータ!B820)</f>
        <v>0</v>
      </c>
      <c r="R820">
        <f>COUNTIF('一般職員　企業局→市長部局'!A:F,SQLデータ!B820)</f>
        <v>0</v>
      </c>
    </row>
    <row r="821" spans="1:18" x14ac:dyDescent="0.4">
      <c r="A821" s="1">
        <v>202650000611</v>
      </c>
      <c r="B821" s="1">
        <v>1181109</v>
      </c>
      <c r="C821" s="2">
        <v>46115</v>
      </c>
      <c r="D821" t="s">
        <v>17</v>
      </c>
      <c r="E821" t="s">
        <v>11</v>
      </c>
      <c r="G821" t="s">
        <v>9</v>
      </c>
      <c r="L821">
        <f t="shared" si="61"/>
        <v>0</v>
      </c>
      <c r="M821">
        <f t="shared" si="62"/>
        <v>0</v>
      </c>
      <c r="N821">
        <f t="shared" si="63"/>
        <v>0</v>
      </c>
      <c r="O821">
        <f t="shared" si="65"/>
        <v>1</v>
      </c>
      <c r="P821" t="str">
        <f t="shared" si="64"/>
        <v/>
      </c>
      <c r="Q821">
        <f>COUNTIF('責任職　企業局→市長部局'!A:A,SQLデータ!B821)</f>
        <v>0</v>
      </c>
      <c r="R821">
        <f>COUNTIF('一般職員　企業局→市長部局'!A:F,SQLデータ!B821)</f>
        <v>0</v>
      </c>
    </row>
    <row r="822" spans="1:18" x14ac:dyDescent="0.4">
      <c r="A822" s="1">
        <v>202650000612</v>
      </c>
      <c r="B822" s="1">
        <v>960934</v>
      </c>
      <c r="C822" s="2">
        <v>46115</v>
      </c>
      <c r="D822" t="s">
        <v>17</v>
      </c>
      <c r="E822" t="s">
        <v>10</v>
      </c>
      <c r="F822" t="s">
        <v>48</v>
      </c>
      <c r="G822" t="s">
        <v>9</v>
      </c>
      <c r="L822">
        <f t="shared" si="61"/>
        <v>0</v>
      </c>
      <c r="M822">
        <f t="shared" si="62"/>
        <v>0</v>
      </c>
      <c r="N822">
        <f t="shared" si="63"/>
        <v>0</v>
      </c>
      <c r="O822">
        <f t="shared" si="65"/>
        <v>1</v>
      </c>
      <c r="P822" t="str">
        <f t="shared" si="64"/>
        <v/>
      </c>
      <c r="Q822">
        <f>COUNTIF('責任職　企業局→市長部局'!A:A,SQLデータ!B822)</f>
        <v>0</v>
      </c>
      <c r="R822">
        <f>COUNTIF('一般職員　企業局→市長部局'!A:F,SQLデータ!B822)</f>
        <v>0</v>
      </c>
    </row>
    <row r="823" spans="1:18" x14ac:dyDescent="0.4">
      <c r="A823" s="1">
        <v>202650000613</v>
      </c>
      <c r="B823" s="1">
        <v>1206017</v>
      </c>
      <c r="C823" s="2">
        <v>46115</v>
      </c>
      <c r="D823" t="s">
        <v>17</v>
      </c>
      <c r="E823" t="s">
        <v>8</v>
      </c>
      <c r="F823" t="s">
        <v>47</v>
      </c>
      <c r="G823" t="s">
        <v>9</v>
      </c>
      <c r="L823">
        <f t="shared" si="61"/>
        <v>0</v>
      </c>
      <c r="M823">
        <f t="shared" si="62"/>
        <v>0</v>
      </c>
      <c r="N823">
        <f t="shared" si="63"/>
        <v>0</v>
      </c>
      <c r="O823">
        <f t="shared" si="65"/>
        <v>1</v>
      </c>
      <c r="P823" t="str">
        <f t="shared" si="64"/>
        <v/>
      </c>
      <c r="Q823">
        <f>COUNTIF('責任職　企業局→市長部局'!A:A,SQLデータ!B823)</f>
        <v>0</v>
      </c>
      <c r="R823">
        <f>COUNTIF('一般職員　企業局→市長部局'!A:F,SQLデータ!B823)</f>
        <v>0</v>
      </c>
    </row>
    <row r="824" spans="1:18" x14ac:dyDescent="0.4">
      <c r="A824" s="1">
        <v>202650000614</v>
      </c>
      <c r="B824" s="1">
        <v>1071311</v>
      </c>
      <c r="C824" s="2">
        <v>46115</v>
      </c>
      <c r="D824" t="s">
        <v>17</v>
      </c>
      <c r="E824" t="s">
        <v>10</v>
      </c>
      <c r="G824" t="s">
        <v>9</v>
      </c>
      <c r="L824">
        <f t="shared" si="61"/>
        <v>0</v>
      </c>
      <c r="M824">
        <f t="shared" si="62"/>
        <v>0</v>
      </c>
      <c r="N824">
        <f t="shared" si="63"/>
        <v>0</v>
      </c>
      <c r="O824">
        <f t="shared" si="65"/>
        <v>1</v>
      </c>
      <c r="P824" t="str">
        <f t="shared" si="64"/>
        <v/>
      </c>
      <c r="Q824">
        <f>COUNTIF('責任職　企業局→市長部局'!A:A,SQLデータ!B824)</f>
        <v>0</v>
      </c>
      <c r="R824">
        <f>COUNTIF('一般職員　企業局→市長部局'!A:F,SQLデータ!B824)</f>
        <v>0</v>
      </c>
    </row>
    <row r="825" spans="1:18" x14ac:dyDescent="0.4">
      <c r="A825" s="1">
        <v>202650000615</v>
      </c>
      <c r="B825" s="1">
        <v>1006030</v>
      </c>
      <c r="C825" s="2">
        <v>46115</v>
      </c>
      <c r="D825" t="s">
        <v>17</v>
      </c>
      <c r="E825" t="s">
        <v>11</v>
      </c>
      <c r="G825" t="s">
        <v>9</v>
      </c>
      <c r="L825">
        <f t="shared" si="61"/>
        <v>0</v>
      </c>
      <c r="M825">
        <f t="shared" si="62"/>
        <v>0</v>
      </c>
      <c r="N825">
        <f t="shared" si="63"/>
        <v>0</v>
      </c>
      <c r="O825">
        <f t="shared" si="65"/>
        <v>1</v>
      </c>
      <c r="P825" t="str">
        <f t="shared" si="64"/>
        <v/>
      </c>
      <c r="Q825">
        <f>COUNTIF('責任職　企業局→市長部局'!A:A,SQLデータ!B825)</f>
        <v>0</v>
      </c>
      <c r="R825">
        <f>COUNTIF('一般職員　企業局→市長部局'!A:F,SQLデータ!B825)</f>
        <v>0</v>
      </c>
    </row>
    <row r="826" spans="1:18" x14ac:dyDescent="0.4">
      <c r="A826" s="1">
        <v>202650000616</v>
      </c>
      <c r="B826" s="1">
        <v>1226040</v>
      </c>
      <c r="C826" s="2">
        <v>46115</v>
      </c>
      <c r="D826" t="s">
        <v>17</v>
      </c>
      <c r="E826" t="s">
        <v>11</v>
      </c>
      <c r="G826" t="s">
        <v>9</v>
      </c>
      <c r="L826">
        <f t="shared" si="61"/>
        <v>0</v>
      </c>
      <c r="M826">
        <f t="shared" si="62"/>
        <v>0</v>
      </c>
      <c r="N826">
        <f t="shared" si="63"/>
        <v>0</v>
      </c>
      <c r="O826">
        <f t="shared" si="65"/>
        <v>1</v>
      </c>
      <c r="P826" t="str">
        <f t="shared" si="64"/>
        <v/>
      </c>
      <c r="Q826">
        <f>COUNTIF('責任職　企業局→市長部局'!A:A,SQLデータ!B826)</f>
        <v>0</v>
      </c>
      <c r="R826">
        <f>COUNTIF('一般職員　企業局→市長部局'!A:F,SQLデータ!B826)</f>
        <v>0</v>
      </c>
    </row>
    <row r="827" spans="1:18" x14ac:dyDescent="0.4">
      <c r="A827" s="1">
        <v>202650000617</v>
      </c>
      <c r="B827" s="1">
        <v>1011172</v>
      </c>
      <c r="C827" s="2">
        <v>46115</v>
      </c>
      <c r="D827" t="s">
        <v>17</v>
      </c>
      <c r="E827" t="s">
        <v>11</v>
      </c>
      <c r="G827" t="s">
        <v>9</v>
      </c>
      <c r="L827">
        <f t="shared" si="61"/>
        <v>0</v>
      </c>
      <c r="M827">
        <f t="shared" si="62"/>
        <v>0</v>
      </c>
      <c r="N827">
        <f t="shared" si="63"/>
        <v>0</v>
      </c>
      <c r="O827">
        <f t="shared" si="65"/>
        <v>1</v>
      </c>
      <c r="P827" t="str">
        <f t="shared" si="64"/>
        <v/>
      </c>
      <c r="Q827">
        <f>COUNTIF('責任職　企業局→市長部局'!A:A,SQLデータ!B827)</f>
        <v>0</v>
      </c>
      <c r="R827">
        <f>COUNTIF('一般職員　企業局→市長部局'!A:F,SQLデータ!B827)</f>
        <v>0</v>
      </c>
    </row>
    <row r="828" spans="1:18" x14ac:dyDescent="0.4">
      <c r="A828" s="1">
        <v>202650000618</v>
      </c>
      <c r="B828" s="1">
        <v>960366</v>
      </c>
      <c r="C828" s="2">
        <v>46115</v>
      </c>
      <c r="D828" t="s">
        <v>17</v>
      </c>
      <c r="E828" t="s">
        <v>11</v>
      </c>
      <c r="G828" t="s">
        <v>9</v>
      </c>
      <c r="L828">
        <f t="shared" si="61"/>
        <v>0</v>
      </c>
      <c r="M828">
        <f t="shared" si="62"/>
        <v>0</v>
      </c>
      <c r="N828">
        <f t="shared" si="63"/>
        <v>0</v>
      </c>
      <c r="O828">
        <f t="shared" si="65"/>
        <v>1</v>
      </c>
      <c r="P828" t="str">
        <f t="shared" si="64"/>
        <v/>
      </c>
      <c r="Q828">
        <f>COUNTIF('責任職　企業局→市長部局'!A:A,SQLデータ!B828)</f>
        <v>0</v>
      </c>
      <c r="R828">
        <f>COUNTIF('一般職員　企業局→市長部局'!A:F,SQLデータ!B828)</f>
        <v>0</v>
      </c>
    </row>
    <row r="829" spans="1:18" x14ac:dyDescent="0.4">
      <c r="A829" s="1">
        <v>202650000619</v>
      </c>
      <c r="B829" s="1">
        <v>910409</v>
      </c>
      <c r="C829" s="2">
        <v>46115</v>
      </c>
      <c r="D829" t="s">
        <v>17</v>
      </c>
      <c r="E829" t="s">
        <v>11</v>
      </c>
      <c r="G829" t="s">
        <v>9</v>
      </c>
      <c r="L829">
        <f t="shared" si="61"/>
        <v>0</v>
      </c>
      <c r="M829">
        <f t="shared" si="62"/>
        <v>0</v>
      </c>
      <c r="N829">
        <f t="shared" si="63"/>
        <v>0</v>
      </c>
      <c r="O829">
        <f t="shared" si="65"/>
        <v>1</v>
      </c>
      <c r="P829" t="str">
        <f t="shared" si="64"/>
        <v/>
      </c>
      <c r="Q829">
        <f>COUNTIF('責任職　企業局→市長部局'!A:A,SQLデータ!B829)</f>
        <v>0</v>
      </c>
      <c r="R829">
        <f>COUNTIF('一般職員　企業局→市長部局'!A:F,SQLデータ!B829)</f>
        <v>0</v>
      </c>
    </row>
    <row r="830" spans="1:18" x14ac:dyDescent="0.4">
      <c r="A830" s="1">
        <v>202650000621</v>
      </c>
      <c r="B830" s="1">
        <v>1211463</v>
      </c>
      <c r="C830" s="2">
        <v>46115</v>
      </c>
      <c r="D830" t="s">
        <v>17</v>
      </c>
      <c r="E830" t="s">
        <v>11</v>
      </c>
      <c r="G830" t="s">
        <v>9</v>
      </c>
      <c r="L830">
        <f t="shared" si="61"/>
        <v>0</v>
      </c>
      <c r="M830">
        <f t="shared" si="62"/>
        <v>0</v>
      </c>
      <c r="N830">
        <f t="shared" si="63"/>
        <v>0</v>
      </c>
      <c r="O830">
        <f t="shared" si="65"/>
        <v>1</v>
      </c>
      <c r="P830" t="str">
        <f t="shared" si="64"/>
        <v/>
      </c>
      <c r="Q830">
        <f>COUNTIF('責任職　企業局→市長部局'!A:A,SQLデータ!B830)</f>
        <v>0</v>
      </c>
      <c r="R830">
        <f>COUNTIF('一般職員　企業局→市長部局'!A:F,SQLデータ!B830)</f>
        <v>0</v>
      </c>
    </row>
    <row r="831" spans="1:18" x14ac:dyDescent="0.4">
      <c r="A831" s="1">
        <v>202650000622</v>
      </c>
      <c r="B831" s="1">
        <v>930448</v>
      </c>
      <c r="C831" s="2">
        <v>46115</v>
      </c>
      <c r="D831" t="s">
        <v>17</v>
      </c>
      <c r="E831" t="s">
        <v>11</v>
      </c>
      <c r="G831" t="s">
        <v>9</v>
      </c>
      <c r="L831">
        <f t="shared" si="61"/>
        <v>0</v>
      </c>
      <c r="M831">
        <f t="shared" si="62"/>
        <v>0</v>
      </c>
      <c r="N831">
        <f t="shared" si="63"/>
        <v>0</v>
      </c>
      <c r="O831">
        <f t="shared" si="65"/>
        <v>1</v>
      </c>
      <c r="P831" t="str">
        <f t="shared" si="64"/>
        <v/>
      </c>
      <c r="Q831">
        <f>COUNTIF('責任職　企業局→市長部局'!A:A,SQLデータ!B831)</f>
        <v>0</v>
      </c>
      <c r="R831">
        <f>COUNTIF('一般職員　企業局→市長部局'!A:F,SQLデータ!B831)</f>
        <v>0</v>
      </c>
    </row>
    <row r="832" spans="1:18" x14ac:dyDescent="0.4">
      <c r="A832" s="1">
        <v>202650000623</v>
      </c>
      <c r="B832" s="1">
        <v>1241076</v>
      </c>
      <c r="C832" s="2">
        <v>46115</v>
      </c>
      <c r="D832" t="s">
        <v>17</v>
      </c>
      <c r="E832" t="s">
        <v>11</v>
      </c>
      <c r="G832" t="s">
        <v>9</v>
      </c>
      <c r="L832">
        <f t="shared" si="61"/>
        <v>0</v>
      </c>
      <c r="M832">
        <f t="shared" si="62"/>
        <v>0</v>
      </c>
      <c r="N832">
        <f t="shared" si="63"/>
        <v>0</v>
      </c>
      <c r="O832">
        <f t="shared" si="65"/>
        <v>1</v>
      </c>
      <c r="P832" t="str">
        <f t="shared" si="64"/>
        <v/>
      </c>
      <c r="Q832">
        <f>COUNTIF('責任職　企業局→市長部局'!A:A,SQLデータ!B832)</f>
        <v>0</v>
      </c>
      <c r="R832">
        <f>COUNTIF('一般職員　企業局→市長部局'!A:F,SQLデータ!B832)</f>
        <v>0</v>
      </c>
    </row>
    <row r="833" spans="1:18" x14ac:dyDescent="0.4">
      <c r="A833" s="1">
        <v>202650000624</v>
      </c>
      <c r="B833" s="1">
        <v>840428</v>
      </c>
      <c r="C833" s="2">
        <v>46115</v>
      </c>
      <c r="D833" t="s">
        <v>17</v>
      </c>
      <c r="E833" t="s">
        <v>11</v>
      </c>
      <c r="G833" t="s">
        <v>9</v>
      </c>
      <c r="L833">
        <f t="shared" si="61"/>
        <v>0</v>
      </c>
      <c r="M833">
        <f t="shared" si="62"/>
        <v>0</v>
      </c>
      <c r="N833">
        <f t="shared" si="63"/>
        <v>0</v>
      </c>
      <c r="O833">
        <f t="shared" si="65"/>
        <v>1</v>
      </c>
      <c r="P833" t="str">
        <f t="shared" si="64"/>
        <v/>
      </c>
      <c r="Q833">
        <f>COUNTIF('責任職　企業局→市長部局'!A:A,SQLデータ!B833)</f>
        <v>0</v>
      </c>
      <c r="R833">
        <f>COUNTIF('一般職員　企業局→市長部局'!A:F,SQLデータ!B833)</f>
        <v>0</v>
      </c>
    </row>
    <row r="834" spans="1:18" x14ac:dyDescent="0.4">
      <c r="A834" s="1">
        <v>202650000625</v>
      </c>
      <c r="B834" s="1">
        <v>1251205</v>
      </c>
      <c r="C834" s="2">
        <v>46115</v>
      </c>
      <c r="D834" t="s">
        <v>17</v>
      </c>
      <c r="E834" t="s">
        <v>11</v>
      </c>
      <c r="G834" t="s">
        <v>9</v>
      </c>
      <c r="L834">
        <f t="shared" ref="L834:L897" si="66">IF(ISBLANK(J834),0,1)</f>
        <v>0</v>
      </c>
      <c r="M834">
        <f t="shared" ref="M834:M897" si="67">IF(AND(L834=0,I834&lt;&gt;""),1,0)</f>
        <v>0</v>
      </c>
      <c r="N834">
        <f t="shared" ref="N834:N897" si="68">IF(AND(L834=0,M834=0,K834&lt;&gt;""),1,0)</f>
        <v>0</v>
      </c>
      <c r="O834">
        <f t="shared" si="65"/>
        <v>1</v>
      </c>
      <c r="P834" t="str">
        <f t="shared" ref="P834:P897" si="69">IF(D834&lt;&gt;"扶養","",IF(E834&lt;&gt;"確認待ち",1,IF(OR(AND(G834="本人の結婚",O834=1),AND(H834="減",OR(N834=1,O834=1))),1,0)))</f>
        <v/>
      </c>
      <c r="Q834">
        <f>COUNTIF('責任職　企業局→市長部局'!A:A,SQLデータ!B834)</f>
        <v>0</v>
      </c>
      <c r="R834">
        <f>COUNTIF('一般職員　企業局→市長部局'!A:F,SQLデータ!B834)</f>
        <v>0</v>
      </c>
    </row>
    <row r="835" spans="1:18" x14ac:dyDescent="0.4">
      <c r="A835" s="1">
        <v>202650000626</v>
      </c>
      <c r="B835" s="1">
        <v>1186040</v>
      </c>
      <c r="C835" s="2">
        <v>46115</v>
      </c>
      <c r="D835" t="s">
        <v>17</v>
      </c>
      <c r="E835" t="s">
        <v>10</v>
      </c>
      <c r="G835" t="s">
        <v>9</v>
      </c>
      <c r="L835">
        <f t="shared" si="66"/>
        <v>0</v>
      </c>
      <c r="M835">
        <f t="shared" si="67"/>
        <v>0</v>
      </c>
      <c r="N835">
        <f t="shared" si="68"/>
        <v>0</v>
      </c>
      <c r="O835">
        <f t="shared" si="65"/>
        <v>1</v>
      </c>
      <c r="P835" t="str">
        <f t="shared" si="69"/>
        <v/>
      </c>
      <c r="Q835">
        <f>COUNTIF('責任職　企業局→市長部局'!A:A,SQLデータ!B835)</f>
        <v>0</v>
      </c>
      <c r="R835">
        <f>COUNTIF('一般職員　企業局→市長部局'!A:F,SQLデータ!B835)</f>
        <v>0</v>
      </c>
    </row>
    <row r="836" spans="1:18" x14ac:dyDescent="0.4">
      <c r="A836" s="1">
        <v>202650000627</v>
      </c>
      <c r="B836" s="1">
        <v>890300</v>
      </c>
      <c r="C836" s="2">
        <v>46115</v>
      </c>
      <c r="D836" t="s">
        <v>17</v>
      </c>
      <c r="E836" t="s">
        <v>11</v>
      </c>
      <c r="G836" t="s">
        <v>9</v>
      </c>
      <c r="L836">
        <f t="shared" si="66"/>
        <v>0</v>
      </c>
      <c r="M836">
        <f t="shared" si="67"/>
        <v>0</v>
      </c>
      <c r="N836">
        <f t="shared" si="68"/>
        <v>0</v>
      </c>
      <c r="O836">
        <f t="shared" si="65"/>
        <v>1</v>
      </c>
      <c r="P836" t="str">
        <f t="shared" si="69"/>
        <v/>
      </c>
      <c r="Q836">
        <f>COUNTIF('責任職　企業局→市長部局'!A:A,SQLデータ!B836)</f>
        <v>0</v>
      </c>
      <c r="R836">
        <f>COUNTIF('一般職員　企業局→市長部局'!A:F,SQLデータ!B836)</f>
        <v>0</v>
      </c>
    </row>
    <row r="837" spans="1:18" x14ac:dyDescent="0.4">
      <c r="A837" s="1">
        <v>202650000628</v>
      </c>
      <c r="B837" s="1">
        <v>1206107</v>
      </c>
      <c r="C837" s="2">
        <v>46115</v>
      </c>
      <c r="D837" t="s">
        <v>17</v>
      </c>
      <c r="E837" t="s">
        <v>11</v>
      </c>
      <c r="G837" t="s">
        <v>9</v>
      </c>
      <c r="L837">
        <f t="shared" si="66"/>
        <v>0</v>
      </c>
      <c r="M837">
        <f t="shared" si="67"/>
        <v>0</v>
      </c>
      <c r="N837">
        <f t="shared" si="68"/>
        <v>0</v>
      </c>
      <c r="O837">
        <f t="shared" si="65"/>
        <v>1</v>
      </c>
      <c r="P837" t="str">
        <f t="shared" si="69"/>
        <v/>
      </c>
      <c r="Q837">
        <f>COUNTIF('責任職　企業局→市長部局'!A:A,SQLデータ!B837)</f>
        <v>0</v>
      </c>
      <c r="R837">
        <f>COUNTIF('一般職員　企業局→市長部局'!A:F,SQLデータ!B837)</f>
        <v>0</v>
      </c>
    </row>
    <row r="838" spans="1:18" x14ac:dyDescent="0.4">
      <c r="A838" s="1">
        <v>202650000629</v>
      </c>
      <c r="B838" s="1">
        <v>1111475</v>
      </c>
      <c r="C838" s="2">
        <v>46115</v>
      </c>
      <c r="D838" t="s">
        <v>17</v>
      </c>
      <c r="E838" t="s">
        <v>10</v>
      </c>
      <c r="G838" t="s">
        <v>9</v>
      </c>
      <c r="L838">
        <f t="shared" si="66"/>
        <v>0</v>
      </c>
      <c r="M838">
        <f t="shared" si="67"/>
        <v>0</v>
      </c>
      <c r="N838">
        <f t="shared" si="68"/>
        <v>0</v>
      </c>
      <c r="O838">
        <f t="shared" si="65"/>
        <v>1</v>
      </c>
      <c r="P838" t="str">
        <f t="shared" si="69"/>
        <v/>
      </c>
      <c r="Q838">
        <f>COUNTIF('責任職　企業局→市長部局'!A:A,SQLデータ!B838)</f>
        <v>0</v>
      </c>
      <c r="R838">
        <f>COUNTIF('一般職員　企業局→市長部局'!A:F,SQLデータ!B838)</f>
        <v>0</v>
      </c>
    </row>
    <row r="839" spans="1:18" x14ac:dyDescent="0.4">
      <c r="A839" s="1">
        <v>202650000630</v>
      </c>
      <c r="B839" s="1">
        <v>1006041</v>
      </c>
      <c r="C839" s="2">
        <v>46115</v>
      </c>
      <c r="D839" t="s">
        <v>17</v>
      </c>
      <c r="E839" t="s">
        <v>11</v>
      </c>
      <c r="G839" t="s">
        <v>9</v>
      </c>
      <c r="L839">
        <f t="shared" si="66"/>
        <v>0</v>
      </c>
      <c r="M839">
        <f t="shared" si="67"/>
        <v>0</v>
      </c>
      <c r="N839">
        <f t="shared" si="68"/>
        <v>0</v>
      </c>
      <c r="O839">
        <f t="shared" si="65"/>
        <v>1</v>
      </c>
      <c r="P839" t="str">
        <f t="shared" si="69"/>
        <v/>
      </c>
      <c r="Q839">
        <f>COUNTIF('責任職　企業局→市長部局'!A:A,SQLデータ!B839)</f>
        <v>0</v>
      </c>
      <c r="R839">
        <f>COUNTIF('一般職員　企業局→市長部局'!A:F,SQLデータ!B839)</f>
        <v>0</v>
      </c>
    </row>
    <row r="840" spans="1:18" x14ac:dyDescent="0.4">
      <c r="A840" s="1">
        <v>202650000631</v>
      </c>
      <c r="B840" s="1">
        <v>1021064</v>
      </c>
      <c r="C840" s="2">
        <v>46115</v>
      </c>
      <c r="D840" t="s">
        <v>17</v>
      </c>
      <c r="E840" t="s">
        <v>11</v>
      </c>
      <c r="G840" t="s">
        <v>9</v>
      </c>
      <c r="L840">
        <f t="shared" si="66"/>
        <v>0</v>
      </c>
      <c r="M840">
        <f t="shared" si="67"/>
        <v>0</v>
      </c>
      <c r="N840">
        <f t="shared" si="68"/>
        <v>0</v>
      </c>
      <c r="O840">
        <f t="shared" si="65"/>
        <v>1</v>
      </c>
      <c r="P840" t="str">
        <f t="shared" si="69"/>
        <v/>
      </c>
      <c r="Q840">
        <f>COUNTIF('責任職　企業局→市長部局'!A:A,SQLデータ!B840)</f>
        <v>0</v>
      </c>
      <c r="R840">
        <f>COUNTIF('一般職員　企業局→市長部局'!A:F,SQLデータ!B840)</f>
        <v>0</v>
      </c>
    </row>
    <row r="841" spans="1:18" x14ac:dyDescent="0.4">
      <c r="A841" s="1">
        <v>202650000632</v>
      </c>
      <c r="B841" s="1">
        <v>930641</v>
      </c>
      <c r="C841" s="2">
        <v>46115</v>
      </c>
      <c r="D841" t="s">
        <v>17</v>
      </c>
      <c r="E841" t="s">
        <v>8</v>
      </c>
      <c r="G841" t="s">
        <v>9</v>
      </c>
      <c r="L841">
        <f t="shared" si="66"/>
        <v>0</v>
      </c>
      <c r="M841">
        <f t="shared" si="67"/>
        <v>0</v>
      </c>
      <c r="N841">
        <f t="shared" si="68"/>
        <v>0</v>
      </c>
      <c r="O841">
        <f t="shared" ref="O841:O904" si="70">IF(COUNTIF(L841:N841,0)=3,1,0)</f>
        <v>1</v>
      </c>
      <c r="P841" t="str">
        <f t="shared" si="69"/>
        <v/>
      </c>
      <c r="Q841">
        <f>COUNTIF('責任職　企業局→市長部局'!A:A,SQLデータ!B841)</f>
        <v>0</v>
      </c>
      <c r="R841">
        <f>COUNTIF('一般職員　企業局→市長部局'!A:F,SQLデータ!B841)</f>
        <v>0</v>
      </c>
    </row>
    <row r="842" spans="1:18" x14ac:dyDescent="0.4">
      <c r="A842" s="1">
        <v>202650000633</v>
      </c>
      <c r="B842" s="1">
        <v>910353</v>
      </c>
      <c r="C842" s="2">
        <v>46115</v>
      </c>
      <c r="D842" t="s">
        <v>17</v>
      </c>
      <c r="E842" t="s">
        <v>11</v>
      </c>
      <c r="G842" t="s">
        <v>9</v>
      </c>
      <c r="L842">
        <f t="shared" si="66"/>
        <v>0</v>
      </c>
      <c r="M842">
        <f t="shared" si="67"/>
        <v>0</v>
      </c>
      <c r="N842">
        <f t="shared" si="68"/>
        <v>0</v>
      </c>
      <c r="O842">
        <f t="shared" si="70"/>
        <v>1</v>
      </c>
      <c r="P842" t="str">
        <f t="shared" si="69"/>
        <v/>
      </c>
      <c r="Q842">
        <f>COUNTIF('責任職　企業局→市長部局'!A:A,SQLデータ!B842)</f>
        <v>0</v>
      </c>
      <c r="R842">
        <f>COUNTIF('一般職員　企業局→市長部局'!A:F,SQLデータ!B842)</f>
        <v>0</v>
      </c>
    </row>
    <row r="843" spans="1:18" x14ac:dyDescent="0.4">
      <c r="A843" s="1">
        <v>202650000634</v>
      </c>
      <c r="B843" s="1">
        <v>1116055</v>
      </c>
      <c r="C843" s="2">
        <v>46115</v>
      </c>
      <c r="D843" t="s">
        <v>17</v>
      </c>
      <c r="E843" t="s">
        <v>11</v>
      </c>
      <c r="F843" t="s">
        <v>48</v>
      </c>
      <c r="G843" t="s">
        <v>9</v>
      </c>
      <c r="L843">
        <f t="shared" si="66"/>
        <v>0</v>
      </c>
      <c r="M843">
        <f t="shared" si="67"/>
        <v>0</v>
      </c>
      <c r="N843">
        <f t="shared" si="68"/>
        <v>0</v>
      </c>
      <c r="O843">
        <f t="shared" si="70"/>
        <v>1</v>
      </c>
      <c r="P843" t="str">
        <f t="shared" si="69"/>
        <v/>
      </c>
      <c r="Q843">
        <f>COUNTIF('責任職　企業局→市長部局'!A:A,SQLデータ!B843)</f>
        <v>0</v>
      </c>
      <c r="R843">
        <f>COUNTIF('一般職員　企業局→市長部局'!A:F,SQLデータ!B843)</f>
        <v>0</v>
      </c>
    </row>
    <row r="844" spans="1:18" x14ac:dyDescent="0.4">
      <c r="A844" s="1">
        <v>202650000635</v>
      </c>
      <c r="B844" s="1">
        <v>1231320</v>
      </c>
      <c r="C844" s="2">
        <v>46115</v>
      </c>
      <c r="D844" t="s">
        <v>17</v>
      </c>
      <c r="E844" t="s">
        <v>11</v>
      </c>
      <c r="G844" t="s">
        <v>9</v>
      </c>
      <c r="L844">
        <f t="shared" si="66"/>
        <v>0</v>
      </c>
      <c r="M844">
        <f t="shared" si="67"/>
        <v>0</v>
      </c>
      <c r="N844">
        <f t="shared" si="68"/>
        <v>0</v>
      </c>
      <c r="O844">
        <f t="shared" si="70"/>
        <v>1</v>
      </c>
      <c r="P844" t="str">
        <f t="shared" si="69"/>
        <v/>
      </c>
      <c r="Q844">
        <f>COUNTIF('責任職　企業局→市長部局'!A:A,SQLデータ!B844)</f>
        <v>0</v>
      </c>
      <c r="R844">
        <f>COUNTIF('一般職員　企業局→市長部局'!A:F,SQLデータ!B844)</f>
        <v>0</v>
      </c>
    </row>
    <row r="845" spans="1:18" x14ac:dyDescent="0.4">
      <c r="A845" s="1">
        <v>202650000636</v>
      </c>
      <c r="B845" s="1">
        <v>1201395</v>
      </c>
      <c r="C845" s="2">
        <v>46115</v>
      </c>
      <c r="D845" t="s">
        <v>17</v>
      </c>
      <c r="E845" t="s">
        <v>11</v>
      </c>
      <c r="G845" t="s">
        <v>9</v>
      </c>
      <c r="L845">
        <f t="shared" si="66"/>
        <v>0</v>
      </c>
      <c r="M845">
        <f t="shared" si="67"/>
        <v>0</v>
      </c>
      <c r="N845">
        <f t="shared" si="68"/>
        <v>0</v>
      </c>
      <c r="O845">
        <f t="shared" si="70"/>
        <v>1</v>
      </c>
      <c r="P845" t="str">
        <f t="shared" si="69"/>
        <v/>
      </c>
      <c r="Q845">
        <f>COUNTIF('責任職　企業局→市長部局'!A:A,SQLデータ!B845)</f>
        <v>0</v>
      </c>
      <c r="R845">
        <f>COUNTIF('一般職員　企業局→市長部局'!A:F,SQLデータ!B845)</f>
        <v>0</v>
      </c>
    </row>
    <row r="846" spans="1:18" x14ac:dyDescent="0.4">
      <c r="A846" s="1">
        <v>202650000637</v>
      </c>
      <c r="B846" s="1">
        <v>1256095</v>
      </c>
      <c r="C846" s="2">
        <v>46115</v>
      </c>
      <c r="D846" t="s">
        <v>17</v>
      </c>
      <c r="E846" t="s">
        <v>11</v>
      </c>
      <c r="G846" t="s">
        <v>9</v>
      </c>
      <c r="L846">
        <f t="shared" si="66"/>
        <v>0</v>
      </c>
      <c r="M846">
        <f t="shared" si="67"/>
        <v>0</v>
      </c>
      <c r="N846">
        <f t="shared" si="68"/>
        <v>0</v>
      </c>
      <c r="O846">
        <f t="shared" si="70"/>
        <v>1</v>
      </c>
      <c r="P846" t="str">
        <f t="shared" si="69"/>
        <v/>
      </c>
      <c r="Q846">
        <f>COUNTIF('責任職　企業局→市長部局'!A:A,SQLデータ!B846)</f>
        <v>0</v>
      </c>
      <c r="R846">
        <f>COUNTIF('一般職員　企業局→市長部局'!A:F,SQLデータ!B846)</f>
        <v>0</v>
      </c>
    </row>
    <row r="847" spans="1:18" x14ac:dyDescent="0.4">
      <c r="A847" s="1">
        <v>202650000638</v>
      </c>
      <c r="B847" s="1">
        <v>1081379</v>
      </c>
      <c r="C847" s="2">
        <v>46115</v>
      </c>
      <c r="D847" t="s">
        <v>17</v>
      </c>
      <c r="E847" t="s">
        <v>11</v>
      </c>
      <c r="G847" t="s">
        <v>9</v>
      </c>
      <c r="L847">
        <f t="shared" si="66"/>
        <v>0</v>
      </c>
      <c r="M847">
        <f t="shared" si="67"/>
        <v>0</v>
      </c>
      <c r="N847">
        <f t="shared" si="68"/>
        <v>0</v>
      </c>
      <c r="O847">
        <f t="shared" si="70"/>
        <v>1</v>
      </c>
      <c r="P847" t="str">
        <f t="shared" si="69"/>
        <v/>
      </c>
      <c r="Q847">
        <f>COUNTIF('責任職　企業局→市長部局'!A:A,SQLデータ!B847)</f>
        <v>0</v>
      </c>
      <c r="R847">
        <f>COUNTIF('一般職員　企業局→市長部局'!A:F,SQLデータ!B847)</f>
        <v>0</v>
      </c>
    </row>
    <row r="848" spans="1:18" x14ac:dyDescent="0.4">
      <c r="A848" s="1">
        <v>202650000639</v>
      </c>
      <c r="B848" s="1">
        <v>1026008</v>
      </c>
      <c r="C848" s="2">
        <v>46115</v>
      </c>
      <c r="D848" t="s">
        <v>17</v>
      </c>
      <c r="E848" t="s">
        <v>10</v>
      </c>
      <c r="G848" t="s">
        <v>9</v>
      </c>
      <c r="L848">
        <f t="shared" si="66"/>
        <v>0</v>
      </c>
      <c r="M848">
        <f t="shared" si="67"/>
        <v>0</v>
      </c>
      <c r="N848">
        <f t="shared" si="68"/>
        <v>0</v>
      </c>
      <c r="O848">
        <f t="shared" si="70"/>
        <v>1</v>
      </c>
      <c r="P848" t="str">
        <f t="shared" si="69"/>
        <v/>
      </c>
      <c r="Q848">
        <f>COUNTIF('責任職　企業局→市長部局'!A:A,SQLデータ!B848)</f>
        <v>0</v>
      </c>
      <c r="R848">
        <f>COUNTIF('一般職員　企業局→市長部局'!A:F,SQLデータ!B848)</f>
        <v>0</v>
      </c>
    </row>
    <row r="849" spans="1:18" x14ac:dyDescent="0.4">
      <c r="A849" s="1">
        <v>202650000640</v>
      </c>
      <c r="B849" s="1">
        <v>1051076</v>
      </c>
      <c r="C849" s="2">
        <v>46115</v>
      </c>
      <c r="D849" t="s">
        <v>17</v>
      </c>
      <c r="E849" t="s">
        <v>11</v>
      </c>
      <c r="G849" t="s">
        <v>9</v>
      </c>
      <c r="L849">
        <f t="shared" si="66"/>
        <v>0</v>
      </c>
      <c r="M849">
        <f t="shared" si="67"/>
        <v>0</v>
      </c>
      <c r="N849">
        <f t="shared" si="68"/>
        <v>0</v>
      </c>
      <c r="O849">
        <f t="shared" si="70"/>
        <v>1</v>
      </c>
      <c r="P849" t="str">
        <f t="shared" si="69"/>
        <v/>
      </c>
      <c r="Q849">
        <f>COUNTIF('責任職　企業局→市長部局'!A:A,SQLデータ!B849)</f>
        <v>0</v>
      </c>
      <c r="R849">
        <f>COUNTIF('一般職員　企業局→市長部局'!A:F,SQLデータ!B849)</f>
        <v>0</v>
      </c>
    </row>
    <row r="850" spans="1:18" x14ac:dyDescent="0.4">
      <c r="A850" s="1">
        <v>202650000641</v>
      </c>
      <c r="B850" s="1">
        <v>1236048</v>
      </c>
      <c r="C850" s="2">
        <v>46115</v>
      </c>
      <c r="D850" t="s">
        <v>17</v>
      </c>
      <c r="E850" t="s">
        <v>10</v>
      </c>
      <c r="G850" t="s">
        <v>9</v>
      </c>
      <c r="L850">
        <f t="shared" si="66"/>
        <v>0</v>
      </c>
      <c r="M850">
        <f t="shared" si="67"/>
        <v>0</v>
      </c>
      <c r="N850">
        <f t="shared" si="68"/>
        <v>0</v>
      </c>
      <c r="O850">
        <f t="shared" si="70"/>
        <v>1</v>
      </c>
      <c r="P850" t="str">
        <f t="shared" si="69"/>
        <v/>
      </c>
      <c r="Q850">
        <f>COUNTIF('責任職　企業局→市長部局'!A:A,SQLデータ!B850)</f>
        <v>0</v>
      </c>
      <c r="R850">
        <f>COUNTIF('一般職員　企業局→市長部局'!A:F,SQLデータ!B850)</f>
        <v>0</v>
      </c>
    </row>
    <row r="851" spans="1:18" x14ac:dyDescent="0.4">
      <c r="A851" s="1">
        <v>202650000642</v>
      </c>
      <c r="B851" s="1">
        <v>1221360</v>
      </c>
      <c r="C851" s="2">
        <v>46115</v>
      </c>
      <c r="D851" t="s">
        <v>17</v>
      </c>
      <c r="E851" t="s">
        <v>11</v>
      </c>
      <c r="G851" t="s">
        <v>9</v>
      </c>
      <c r="L851">
        <f t="shared" si="66"/>
        <v>0</v>
      </c>
      <c r="M851">
        <f t="shared" si="67"/>
        <v>0</v>
      </c>
      <c r="N851">
        <f t="shared" si="68"/>
        <v>0</v>
      </c>
      <c r="O851">
        <f t="shared" si="70"/>
        <v>1</v>
      </c>
      <c r="P851" t="str">
        <f t="shared" si="69"/>
        <v/>
      </c>
      <c r="Q851">
        <f>COUNTIF('責任職　企業局→市長部局'!A:A,SQLデータ!B851)</f>
        <v>0</v>
      </c>
      <c r="R851">
        <f>COUNTIF('一般職員　企業局→市長部局'!A:F,SQLデータ!B851)</f>
        <v>0</v>
      </c>
    </row>
    <row r="852" spans="1:18" x14ac:dyDescent="0.4">
      <c r="A852" s="1">
        <v>202650000644</v>
      </c>
      <c r="B852" s="1">
        <v>880845</v>
      </c>
      <c r="C852" s="2">
        <v>46115</v>
      </c>
      <c r="D852" t="s">
        <v>17</v>
      </c>
      <c r="E852" t="s">
        <v>11</v>
      </c>
      <c r="G852" t="s">
        <v>9</v>
      </c>
      <c r="L852">
        <f t="shared" si="66"/>
        <v>0</v>
      </c>
      <c r="M852">
        <f t="shared" si="67"/>
        <v>0</v>
      </c>
      <c r="N852">
        <f t="shared" si="68"/>
        <v>0</v>
      </c>
      <c r="O852">
        <f t="shared" si="70"/>
        <v>1</v>
      </c>
      <c r="P852" t="str">
        <f t="shared" si="69"/>
        <v/>
      </c>
      <c r="Q852">
        <f>COUNTIF('責任職　企業局→市長部局'!A:A,SQLデータ!B852)</f>
        <v>0</v>
      </c>
      <c r="R852">
        <f>COUNTIF('一般職員　企業局→市長部局'!A:F,SQLデータ!B852)</f>
        <v>0</v>
      </c>
    </row>
    <row r="853" spans="1:18" x14ac:dyDescent="0.4">
      <c r="A853" s="1">
        <v>202650000645</v>
      </c>
      <c r="B853" s="1">
        <v>1176062</v>
      </c>
      <c r="C853" s="2">
        <v>46115</v>
      </c>
      <c r="D853" t="s">
        <v>17</v>
      </c>
      <c r="E853" t="s">
        <v>11</v>
      </c>
      <c r="G853" t="s">
        <v>9</v>
      </c>
      <c r="L853">
        <f t="shared" si="66"/>
        <v>0</v>
      </c>
      <c r="M853">
        <f t="shared" si="67"/>
        <v>0</v>
      </c>
      <c r="N853">
        <f t="shared" si="68"/>
        <v>0</v>
      </c>
      <c r="O853">
        <f t="shared" si="70"/>
        <v>1</v>
      </c>
      <c r="P853" t="str">
        <f t="shared" si="69"/>
        <v/>
      </c>
      <c r="Q853">
        <f>COUNTIF('責任職　企業局→市長部局'!A:A,SQLデータ!B853)</f>
        <v>0</v>
      </c>
      <c r="R853">
        <f>COUNTIF('一般職員　企業局→市長部局'!A:F,SQLデータ!B853)</f>
        <v>0</v>
      </c>
    </row>
    <row r="854" spans="1:18" x14ac:dyDescent="0.4">
      <c r="A854" s="1">
        <v>202650000646</v>
      </c>
      <c r="B854" s="1">
        <v>1061058</v>
      </c>
      <c r="C854" s="2">
        <v>46115</v>
      </c>
      <c r="D854" t="s">
        <v>17</v>
      </c>
      <c r="E854" t="s">
        <v>11</v>
      </c>
      <c r="G854" t="s">
        <v>9</v>
      </c>
      <c r="L854">
        <f t="shared" si="66"/>
        <v>0</v>
      </c>
      <c r="M854">
        <f t="shared" si="67"/>
        <v>0</v>
      </c>
      <c r="N854">
        <f t="shared" si="68"/>
        <v>0</v>
      </c>
      <c r="O854">
        <f t="shared" si="70"/>
        <v>1</v>
      </c>
      <c r="P854" t="str">
        <f t="shared" si="69"/>
        <v/>
      </c>
      <c r="Q854">
        <f>COUNTIF('責任職　企業局→市長部局'!A:A,SQLデータ!B854)</f>
        <v>0</v>
      </c>
      <c r="R854">
        <f>COUNTIF('一般職員　企業局→市長部局'!A:F,SQLデータ!B854)</f>
        <v>0</v>
      </c>
    </row>
    <row r="855" spans="1:18" x14ac:dyDescent="0.4">
      <c r="A855" s="1">
        <v>202650000647</v>
      </c>
      <c r="B855" s="1">
        <v>1226132</v>
      </c>
      <c r="C855" s="2">
        <v>46115</v>
      </c>
      <c r="D855" t="s">
        <v>17</v>
      </c>
      <c r="E855" t="s">
        <v>11</v>
      </c>
      <c r="G855" t="s">
        <v>9</v>
      </c>
      <c r="L855">
        <f t="shared" si="66"/>
        <v>0</v>
      </c>
      <c r="M855">
        <f t="shared" si="67"/>
        <v>0</v>
      </c>
      <c r="N855">
        <f t="shared" si="68"/>
        <v>0</v>
      </c>
      <c r="O855">
        <f t="shared" si="70"/>
        <v>1</v>
      </c>
      <c r="P855" t="str">
        <f t="shared" si="69"/>
        <v/>
      </c>
      <c r="Q855">
        <f>COUNTIF('責任職　企業局→市長部局'!A:A,SQLデータ!B855)</f>
        <v>0</v>
      </c>
      <c r="R855">
        <f>COUNTIF('一般職員　企業局→市長部局'!A:F,SQLデータ!B855)</f>
        <v>0</v>
      </c>
    </row>
    <row r="856" spans="1:18" x14ac:dyDescent="0.4">
      <c r="A856" s="1">
        <v>202650000648</v>
      </c>
      <c r="B856" s="1">
        <v>830490</v>
      </c>
      <c r="C856" s="2">
        <v>46115</v>
      </c>
      <c r="D856" t="s">
        <v>17</v>
      </c>
      <c r="E856" t="s">
        <v>11</v>
      </c>
      <c r="G856" t="s">
        <v>9</v>
      </c>
      <c r="L856">
        <f t="shared" si="66"/>
        <v>0</v>
      </c>
      <c r="M856">
        <f t="shared" si="67"/>
        <v>0</v>
      </c>
      <c r="N856">
        <f t="shared" si="68"/>
        <v>0</v>
      </c>
      <c r="O856">
        <f t="shared" si="70"/>
        <v>1</v>
      </c>
      <c r="P856" t="str">
        <f t="shared" si="69"/>
        <v/>
      </c>
      <c r="Q856">
        <f>COUNTIF('責任職　企業局→市長部局'!A:A,SQLデータ!B856)</f>
        <v>0</v>
      </c>
      <c r="R856">
        <f>COUNTIF('一般職員　企業局→市長部局'!A:F,SQLデータ!B856)</f>
        <v>0</v>
      </c>
    </row>
    <row r="857" spans="1:18" x14ac:dyDescent="0.4">
      <c r="A857" s="1">
        <v>202650000649</v>
      </c>
      <c r="B857" s="1">
        <v>1211077</v>
      </c>
      <c r="C857" s="2">
        <v>46115</v>
      </c>
      <c r="D857" t="s">
        <v>17</v>
      </c>
      <c r="E857" t="s">
        <v>11</v>
      </c>
      <c r="G857" t="s">
        <v>9</v>
      </c>
      <c r="L857">
        <f t="shared" si="66"/>
        <v>0</v>
      </c>
      <c r="M857">
        <f t="shared" si="67"/>
        <v>0</v>
      </c>
      <c r="N857">
        <f t="shared" si="68"/>
        <v>0</v>
      </c>
      <c r="O857">
        <f t="shared" si="70"/>
        <v>1</v>
      </c>
      <c r="P857" t="str">
        <f t="shared" si="69"/>
        <v/>
      </c>
      <c r="Q857">
        <f>COUNTIF('責任職　企業局→市長部局'!A:A,SQLデータ!B857)</f>
        <v>0</v>
      </c>
      <c r="R857">
        <f>COUNTIF('一般職員　企業局→市長部局'!A:F,SQLデータ!B857)</f>
        <v>0</v>
      </c>
    </row>
    <row r="858" spans="1:18" x14ac:dyDescent="0.4">
      <c r="A858" s="1">
        <v>202650000650</v>
      </c>
      <c r="B858" s="1">
        <v>5057718</v>
      </c>
      <c r="C858" s="2">
        <v>46115</v>
      </c>
      <c r="D858" t="s">
        <v>17</v>
      </c>
      <c r="E858" t="s">
        <v>10</v>
      </c>
      <c r="F858" t="s">
        <v>54</v>
      </c>
      <c r="G858" t="s">
        <v>9</v>
      </c>
      <c r="L858">
        <f t="shared" si="66"/>
        <v>0</v>
      </c>
      <c r="M858">
        <f t="shared" si="67"/>
        <v>0</v>
      </c>
      <c r="N858">
        <f t="shared" si="68"/>
        <v>0</v>
      </c>
      <c r="O858">
        <f t="shared" si="70"/>
        <v>1</v>
      </c>
      <c r="P858" t="str">
        <f t="shared" si="69"/>
        <v/>
      </c>
      <c r="Q858">
        <f>COUNTIF('責任職　企業局→市長部局'!A:A,SQLデータ!B858)</f>
        <v>0</v>
      </c>
      <c r="R858">
        <f>COUNTIF('一般職員　企業局→市長部局'!A:F,SQLデータ!B858)</f>
        <v>0</v>
      </c>
    </row>
    <row r="859" spans="1:18" x14ac:dyDescent="0.4">
      <c r="A859" s="1">
        <v>202650000651</v>
      </c>
      <c r="B859" s="1">
        <v>1076096</v>
      </c>
      <c r="C859" s="2">
        <v>46115</v>
      </c>
      <c r="D859" t="s">
        <v>17</v>
      </c>
      <c r="E859" t="s">
        <v>8</v>
      </c>
      <c r="G859" t="s">
        <v>9</v>
      </c>
      <c r="L859">
        <f t="shared" si="66"/>
        <v>0</v>
      </c>
      <c r="M859">
        <f t="shared" si="67"/>
        <v>0</v>
      </c>
      <c r="N859">
        <f t="shared" si="68"/>
        <v>0</v>
      </c>
      <c r="O859">
        <f t="shared" si="70"/>
        <v>1</v>
      </c>
      <c r="P859" t="str">
        <f t="shared" si="69"/>
        <v/>
      </c>
      <c r="Q859">
        <f>COUNTIF('責任職　企業局→市長部局'!A:A,SQLデータ!B859)</f>
        <v>0</v>
      </c>
      <c r="R859">
        <f>COUNTIF('一般職員　企業局→市長部局'!A:F,SQLデータ!B859)</f>
        <v>0</v>
      </c>
    </row>
    <row r="860" spans="1:18" x14ac:dyDescent="0.4">
      <c r="A860" s="1">
        <v>202650000652</v>
      </c>
      <c r="B860" s="1">
        <v>870091</v>
      </c>
      <c r="C860" s="2">
        <v>46115</v>
      </c>
      <c r="D860" t="s">
        <v>17</v>
      </c>
      <c r="E860" t="s">
        <v>11</v>
      </c>
      <c r="G860" t="s">
        <v>9</v>
      </c>
      <c r="L860">
        <f t="shared" si="66"/>
        <v>0</v>
      </c>
      <c r="M860">
        <f t="shared" si="67"/>
        <v>0</v>
      </c>
      <c r="N860">
        <f t="shared" si="68"/>
        <v>0</v>
      </c>
      <c r="O860">
        <f t="shared" si="70"/>
        <v>1</v>
      </c>
      <c r="P860" t="str">
        <f t="shared" si="69"/>
        <v/>
      </c>
      <c r="Q860">
        <f>COUNTIF('責任職　企業局→市長部局'!A:A,SQLデータ!B860)</f>
        <v>0</v>
      </c>
      <c r="R860">
        <f>COUNTIF('一般職員　企業局→市長部局'!A:F,SQLデータ!B860)</f>
        <v>0</v>
      </c>
    </row>
    <row r="861" spans="1:18" x14ac:dyDescent="0.4">
      <c r="A861" s="1">
        <v>202650000653</v>
      </c>
      <c r="B861" s="1">
        <v>1211505</v>
      </c>
      <c r="C861" s="2">
        <v>46115</v>
      </c>
      <c r="D861" t="s">
        <v>17</v>
      </c>
      <c r="E861" t="s">
        <v>10</v>
      </c>
      <c r="F861" t="s">
        <v>48</v>
      </c>
      <c r="G861" t="s">
        <v>9</v>
      </c>
      <c r="L861">
        <f t="shared" si="66"/>
        <v>0</v>
      </c>
      <c r="M861">
        <f t="shared" si="67"/>
        <v>0</v>
      </c>
      <c r="N861">
        <f t="shared" si="68"/>
        <v>0</v>
      </c>
      <c r="O861">
        <f t="shared" si="70"/>
        <v>1</v>
      </c>
      <c r="P861" t="str">
        <f t="shared" si="69"/>
        <v/>
      </c>
      <c r="Q861">
        <f>COUNTIF('責任職　企業局→市長部局'!A:A,SQLデータ!B861)</f>
        <v>0</v>
      </c>
      <c r="R861">
        <f>COUNTIF('一般職員　企業局→市長部局'!A:F,SQLデータ!B861)</f>
        <v>0</v>
      </c>
    </row>
    <row r="862" spans="1:18" x14ac:dyDescent="0.4">
      <c r="A862" s="1">
        <v>202650000654</v>
      </c>
      <c r="B862" s="1">
        <v>1021083</v>
      </c>
      <c r="C862" s="2">
        <v>46115</v>
      </c>
      <c r="D862" t="s">
        <v>17</v>
      </c>
      <c r="E862" t="s">
        <v>11</v>
      </c>
      <c r="G862" t="s">
        <v>9</v>
      </c>
      <c r="L862">
        <f t="shared" si="66"/>
        <v>0</v>
      </c>
      <c r="M862">
        <f t="shared" si="67"/>
        <v>0</v>
      </c>
      <c r="N862">
        <f t="shared" si="68"/>
        <v>0</v>
      </c>
      <c r="O862">
        <f t="shared" si="70"/>
        <v>1</v>
      </c>
      <c r="P862" t="str">
        <f t="shared" si="69"/>
        <v/>
      </c>
      <c r="Q862">
        <f>COUNTIF('責任職　企業局→市長部局'!A:A,SQLデータ!B862)</f>
        <v>0</v>
      </c>
      <c r="R862">
        <f>COUNTIF('一般職員　企業局→市長部局'!A:F,SQLデータ!B862)</f>
        <v>0</v>
      </c>
    </row>
    <row r="863" spans="1:18" x14ac:dyDescent="0.4">
      <c r="A863" s="1">
        <v>202650000655</v>
      </c>
      <c r="B863" s="1">
        <v>1206059</v>
      </c>
      <c r="C863" s="2">
        <v>46115</v>
      </c>
      <c r="D863" t="s">
        <v>17</v>
      </c>
      <c r="E863" t="s">
        <v>11</v>
      </c>
      <c r="G863" t="s">
        <v>9</v>
      </c>
      <c r="L863">
        <f t="shared" si="66"/>
        <v>0</v>
      </c>
      <c r="M863">
        <f t="shared" si="67"/>
        <v>0</v>
      </c>
      <c r="N863">
        <f t="shared" si="68"/>
        <v>0</v>
      </c>
      <c r="O863">
        <f t="shared" si="70"/>
        <v>1</v>
      </c>
      <c r="P863" t="str">
        <f t="shared" si="69"/>
        <v/>
      </c>
      <c r="Q863">
        <f>COUNTIF('責任職　企業局→市長部局'!A:A,SQLデータ!B863)</f>
        <v>0</v>
      </c>
      <c r="R863">
        <f>COUNTIF('一般職員　企業局→市長部局'!A:F,SQLデータ!B863)</f>
        <v>0</v>
      </c>
    </row>
    <row r="864" spans="1:18" x14ac:dyDescent="0.4">
      <c r="A864" s="1">
        <v>202650000656</v>
      </c>
      <c r="B864" s="1">
        <v>910252</v>
      </c>
      <c r="C864" s="2">
        <v>46115</v>
      </c>
      <c r="D864" t="s">
        <v>17</v>
      </c>
      <c r="E864" t="s">
        <v>11</v>
      </c>
      <c r="G864" t="s">
        <v>9</v>
      </c>
      <c r="L864">
        <f t="shared" si="66"/>
        <v>0</v>
      </c>
      <c r="M864">
        <f t="shared" si="67"/>
        <v>0</v>
      </c>
      <c r="N864">
        <f t="shared" si="68"/>
        <v>0</v>
      </c>
      <c r="O864">
        <f t="shared" si="70"/>
        <v>1</v>
      </c>
      <c r="P864" t="str">
        <f t="shared" si="69"/>
        <v/>
      </c>
      <c r="Q864">
        <f>COUNTIF('責任職　企業局→市長部局'!A:A,SQLデータ!B864)</f>
        <v>0</v>
      </c>
      <c r="R864">
        <f>COUNTIF('一般職員　企業局→市長部局'!A:F,SQLデータ!B864)</f>
        <v>0</v>
      </c>
    </row>
    <row r="865" spans="1:18" x14ac:dyDescent="0.4">
      <c r="A865" s="1">
        <v>202650000657</v>
      </c>
      <c r="B865" s="1">
        <v>1092125</v>
      </c>
      <c r="C865" s="2">
        <v>46115</v>
      </c>
      <c r="D865" t="s">
        <v>17</v>
      </c>
      <c r="E865" t="s">
        <v>11</v>
      </c>
      <c r="G865" t="s">
        <v>9</v>
      </c>
      <c r="L865">
        <f t="shared" si="66"/>
        <v>0</v>
      </c>
      <c r="M865">
        <f t="shared" si="67"/>
        <v>0</v>
      </c>
      <c r="N865">
        <f t="shared" si="68"/>
        <v>0</v>
      </c>
      <c r="O865">
        <f t="shared" si="70"/>
        <v>1</v>
      </c>
      <c r="P865" t="str">
        <f t="shared" si="69"/>
        <v/>
      </c>
      <c r="Q865">
        <f>COUNTIF('責任職　企業局→市長部局'!A:A,SQLデータ!B865)</f>
        <v>0</v>
      </c>
      <c r="R865">
        <f>COUNTIF('一般職員　企業局→市長部局'!A:F,SQLデータ!B865)</f>
        <v>0</v>
      </c>
    </row>
    <row r="866" spans="1:18" x14ac:dyDescent="0.4">
      <c r="A866" s="1">
        <v>202650000658</v>
      </c>
      <c r="B866" s="1">
        <v>1036073</v>
      </c>
      <c r="C866" s="2">
        <v>46115</v>
      </c>
      <c r="D866" t="s">
        <v>17</v>
      </c>
      <c r="E866" t="s">
        <v>11</v>
      </c>
      <c r="G866" t="s">
        <v>9</v>
      </c>
      <c r="L866">
        <f t="shared" si="66"/>
        <v>0</v>
      </c>
      <c r="M866">
        <f t="shared" si="67"/>
        <v>0</v>
      </c>
      <c r="N866">
        <f t="shared" si="68"/>
        <v>0</v>
      </c>
      <c r="O866">
        <f t="shared" si="70"/>
        <v>1</v>
      </c>
      <c r="P866" t="str">
        <f t="shared" si="69"/>
        <v/>
      </c>
      <c r="Q866">
        <f>COUNTIF('責任職　企業局→市長部局'!A:A,SQLデータ!B866)</f>
        <v>0</v>
      </c>
      <c r="R866">
        <f>COUNTIF('一般職員　企業局→市長部局'!A:F,SQLデータ!B866)</f>
        <v>0</v>
      </c>
    </row>
    <row r="867" spans="1:18" x14ac:dyDescent="0.4">
      <c r="A867" s="1">
        <v>202650000659</v>
      </c>
      <c r="B867" s="1">
        <v>1044001</v>
      </c>
      <c r="C867" s="2">
        <v>46115</v>
      </c>
      <c r="D867" t="s">
        <v>17</v>
      </c>
      <c r="E867" t="s">
        <v>11</v>
      </c>
      <c r="G867" t="s">
        <v>9</v>
      </c>
      <c r="L867">
        <f t="shared" si="66"/>
        <v>0</v>
      </c>
      <c r="M867">
        <f t="shared" si="67"/>
        <v>0</v>
      </c>
      <c r="N867">
        <f t="shared" si="68"/>
        <v>0</v>
      </c>
      <c r="O867">
        <f t="shared" si="70"/>
        <v>1</v>
      </c>
      <c r="P867" t="str">
        <f t="shared" si="69"/>
        <v/>
      </c>
      <c r="Q867">
        <f>COUNTIF('責任職　企業局→市長部局'!A:A,SQLデータ!B867)</f>
        <v>0</v>
      </c>
      <c r="R867">
        <f>COUNTIF('一般職員　企業局→市長部局'!A:F,SQLデータ!B867)</f>
        <v>0</v>
      </c>
    </row>
    <row r="868" spans="1:18" x14ac:dyDescent="0.4">
      <c r="A868" s="1">
        <v>202650000660</v>
      </c>
      <c r="B868" s="1">
        <v>996003</v>
      </c>
      <c r="C868" s="2">
        <v>46115</v>
      </c>
      <c r="D868" t="s">
        <v>17</v>
      </c>
      <c r="E868" t="s">
        <v>11</v>
      </c>
      <c r="G868" t="s">
        <v>9</v>
      </c>
      <c r="L868">
        <f t="shared" si="66"/>
        <v>0</v>
      </c>
      <c r="M868">
        <f t="shared" si="67"/>
        <v>0</v>
      </c>
      <c r="N868">
        <f t="shared" si="68"/>
        <v>0</v>
      </c>
      <c r="O868">
        <f t="shared" si="70"/>
        <v>1</v>
      </c>
      <c r="P868" t="str">
        <f t="shared" si="69"/>
        <v/>
      </c>
      <c r="Q868">
        <f>COUNTIF('責任職　企業局→市長部局'!A:A,SQLデータ!B868)</f>
        <v>0</v>
      </c>
      <c r="R868">
        <f>COUNTIF('一般職員　企業局→市長部局'!A:F,SQLデータ!B868)</f>
        <v>0</v>
      </c>
    </row>
    <row r="869" spans="1:18" x14ac:dyDescent="0.4">
      <c r="A869" s="1">
        <v>202650000661</v>
      </c>
      <c r="B869" s="1">
        <v>1081248</v>
      </c>
      <c r="C869" s="2">
        <v>46115</v>
      </c>
      <c r="D869" t="s">
        <v>17</v>
      </c>
      <c r="E869" t="s">
        <v>11</v>
      </c>
      <c r="G869" t="s">
        <v>9</v>
      </c>
      <c r="L869">
        <f t="shared" si="66"/>
        <v>0</v>
      </c>
      <c r="M869">
        <f t="shared" si="67"/>
        <v>0</v>
      </c>
      <c r="N869">
        <f t="shared" si="68"/>
        <v>0</v>
      </c>
      <c r="O869">
        <f t="shared" si="70"/>
        <v>1</v>
      </c>
      <c r="P869" t="str">
        <f t="shared" si="69"/>
        <v/>
      </c>
      <c r="Q869">
        <f>COUNTIF('責任職　企業局→市長部局'!A:A,SQLデータ!B869)</f>
        <v>0</v>
      </c>
      <c r="R869">
        <f>COUNTIF('一般職員　企業局→市長部局'!A:F,SQLデータ!B869)</f>
        <v>0</v>
      </c>
    </row>
    <row r="870" spans="1:18" x14ac:dyDescent="0.4">
      <c r="A870" s="1">
        <v>202650000662</v>
      </c>
      <c r="B870" s="1">
        <v>1011216</v>
      </c>
      <c r="C870" s="2">
        <v>46115</v>
      </c>
      <c r="D870" t="s">
        <v>17</v>
      </c>
      <c r="E870" t="s">
        <v>11</v>
      </c>
      <c r="G870" t="s">
        <v>9</v>
      </c>
      <c r="L870">
        <f t="shared" si="66"/>
        <v>0</v>
      </c>
      <c r="M870">
        <f t="shared" si="67"/>
        <v>0</v>
      </c>
      <c r="N870">
        <f t="shared" si="68"/>
        <v>0</v>
      </c>
      <c r="O870">
        <f t="shared" si="70"/>
        <v>1</v>
      </c>
      <c r="P870" t="str">
        <f t="shared" si="69"/>
        <v/>
      </c>
      <c r="Q870">
        <f>COUNTIF('責任職　企業局→市長部局'!A:A,SQLデータ!B870)</f>
        <v>0</v>
      </c>
      <c r="R870">
        <f>COUNTIF('一般職員　企業局→市長部局'!A:F,SQLデータ!B870)</f>
        <v>0</v>
      </c>
    </row>
    <row r="871" spans="1:18" x14ac:dyDescent="0.4">
      <c r="A871" s="1">
        <v>202650000663</v>
      </c>
      <c r="B871" s="1">
        <v>940508</v>
      </c>
      <c r="C871" s="2">
        <v>46115</v>
      </c>
      <c r="D871" t="s">
        <v>17</v>
      </c>
      <c r="E871" t="s">
        <v>11</v>
      </c>
      <c r="G871" t="s">
        <v>9</v>
      </c>
      <c r="L871">
        <f t="shared" si="66"/>
        <v>0</v>
      </c>
      <c r="M871">
        <f t="shared" si="67"/>
        <v>0</v>
      </c>
      <c r="N871">
        <f t="shared" si="68"/>
        <v>0</v>
      </c>
      <c r="O871">
        <f t="shared" si="70"/>
        <v>1</v>
      </c>
      <c r="P871" t="str">
        <f t="shared" si="69"/>
        <v/>
      </c>
      <c r="Q871">
        <f>COUNTIF('責任職　企業局→市長部局'!A:A,SQLデータ!B871)</f>
        <v>0</v>
      </c>
      <c r="R871">
        <f>COUNTIF('一般職員　企業局→市長部局'!A:F,SQLデータ!B871)</f>
        <v>0</v>
      </c>
    </row>
    <row r="872" spans="1:18" x14ac:dyDescent="0.4">
      <c r="A872" s="1">
        <v>202650000664</v>
      </c>
      <c r="B872" s="1">
        <v>920090</v>
      </c>
      <c r="C872" s="2">
        <v>46115</v>
      </c>
      <c r="D872" t="s">
        <v>17</v>
      </c>
      <c r="E872" t="s">
        <v>11</v>
      </c>
      <c r="G872" t="s">
        <v>9</v>
      </c>
      <c r="L872">
        <f t="shared" si="66"/>
        <v>0</v>
      </c>
      <c r="M872">
        <f t="shared" si="67"/>
        <v>0</v>
      </c>
      <c r="N872">
        <f t="shared" si="68"/>
        <v>0</v>
      </c>
      <c r="O872">
        <f t="shared" si="70"/>
        <v>1</v>
      </c>
      <c r="P872" t="str">
        <f t="shared" si="69"/>
        <v/>
      </c>
      <c r="Q872">
        <f>COUNTIF('責任職　企業局→市長部局'!A:A,SQLデータ!B872)</f>
        <v>0</v>
      </c>
      <c r="R872">
        <f>COUNTIF('一般職員　企業局→市長部局'!A:F,SQLデータ!B872)</f>
        <v>0</v>
      </c>
    </row>
    <row r="873" spans="1:18" x14ac:dyDescent="0.4">
      <c r="A873" s="1">
        <v>202650000665</v>
      </c>
      <c r="B873" s="1">
        <v>1036055</v>
      </c>
      <c r="C873" s="2">
        <v>46117</v>
      </c>
      <c r="D873" t="s">
        <v>17</v>
      </c>
      <c r="E873" t="s">
        <v>10</v>
      </c>
      <c r="G873" t="s">
        <v>9</v>
      </c>
      <c r="L873">
        <f t="shared" si="66"/>
        <v>0</v>
      </c>
      <c r="M873">
        <f t="shared" si="67"/>
        <v>0</v>
      </c>
      <c r="N873">
        <f t="shared" si="68"/>
        <v>0</v>
      </c>
      <c r="O873">
        <f t="shared" si="70"/>
        <v>1</v>
      </c>
      <c r="P873" t="str">
        <f t="shared" si="69"/>
        <v/>
      </c>
      <c r="Q873">
        <f>COUNTIF('責任職　企業局→市長部局'!A:A,SQLデータ!B873)</f>
        <v>0</v>
      </c>
      <c r="R873">
        <f>COUNTIF('一般職員　企業局→市長部局'!A:F,SQLデータ!B873)</f>
        <v>0</v>
      </c>
    </row>
    <row r="874" spans="1:18" x14ac:dyDescent="0.4">
      <c r="A874" s="1">
        <v>202650000666</v>
      </c>
      <c r="B874" s="1">
        <v>930394</v>
      </c>
      <c r="C874" s="2">
        <v>46115</v>
      </c>
      <c r="D874" t="s">
        <v>17</v>
      </c>
      <c r="E874" t="s">
        <v>11</v>
      </c>
      <c r="G874" t="s">
        <v>9</v>
      </c>
      <c r="L874">
        <f t="shared" si="66"/>
        <v>0</v>
      </c>
      <c r="M874">
        <f t="shared" si="67"/>
        <v>0</v>
      </c>
      <c r="N874">
        <f t="shared" si="68"/>
        <v>0</v>
      </c>
      <c r="O874">
        <f t="shared" si="70"/>
        <v>1</v>
      </c>
      <c r="P874" t="str">
        <f t="shared" si="69"/>
        <v/>
      </c>
      <c r="Q874">
        <f>COUNTIF('責任職　企業局→市長部局'!A:A,SQLデータ!B874)</f>
        <v>0</v>
      </c>
      <c r="R874">
        <f>COUNTIF('一般職員　企業局→市長部局'!A:F,SQLデータ!B874)</f>
        <v>0</v>
      </c>
    </row>
    <row r="875" spans="1:18" x14ac:dyDescent="0.4">
      <c r="A875" s="1">
        <v>202650000667</v>
      </c>
      <c r="B875" s="1">
        <v>950253</v>
      </c>
      <c r="C875" s="2">
        <v>46115</v>
      </c>
      <c r="D875" t="s">
        <v>17</v>
      </c>
      <c r="E875" t="s">
        <v>11</v>
      </c>
      <c r="G875" t="s">
        <v>9</v>
      </c>
      <c r="L875">
        <f t="shared" si="66"/>
        <v>0</v>
      </c>
      <c r="M875">
        <f t="shared" si="67"/>
        <v>0</v>
      </c>
      <c r="N875">
        <f t="shared" si="68"/>
        <v>0</v>
      </c>
      <c r="O875">
        <f t="shared" si="70"/>
        <v>1</v>
      </c>
      <c r="P875" t="str">
        <f t="shared" si="69"/>
        <v/>
      </c>
      <c r="Q875">
        <f>COUNTIF('責任職　企業局→市長部局'!A:A,SQLデータ!B875)</f>
        <v>0</v>
      </c>
      <c r="R875">
        <f>COUNTIF('一般職員　企業局→市長部局'!A:F,SQLデータ!B875)</f>
        <v>0</v>
      </c>
    </row>
    <row r="876" spans="1:18" x14ac:dyDescent="0.4">
      <c r="A876" s="1">
        <v>202650000668</v>
      </c>
      <c r="B876" s="1">
        <v>1141070</v>
      </c>
      <c r="C876" s="2">
        <v>46115</v>
      </c>
      <c r="D876" t="s">
        <v>17</v>
      </c>
      <c r="E876" t="s">
        <v>11</v>
      </c>
      <c r="G876" t="s">
        <v>9</v>
      </c>
      <c r="L876">
        <f t="shared" si="66"/>
        <v>0</v>
      </c>
      <c r="M876">
        <f t="shared" si="67"/>
        <v>0</v>
      </c>
      <c r="N876">
        <f t="shared" si="68"/>
        <v>0</v>
      </c>
      <c r="O876">
        <f t="shared" si="70"/>
        <v>1</v>
      </c>
      <c r="P876" t="str">
        <f t="shared" si="69"/>
        <v/>
      </c>
      <c r="Q876">
        <f>COUNTIF('責任職　企業局→市長部局'!A:A,SQLデータ!B876)</f>
        <v>0</v>
      </c>
      <c r="R876">
        <f>COUNTIF('一般職員　企業局→市長部局'!A:F,SQLデータ!B876)</f>
        <v>0</v>
      </c>
    </row>
    <row r="877" spans="1:18" x14ac:dyDescent="0.4">
      <c r="A877" s="1">
        <v>202650000670</v>
      </c>
      <c r="B877" s="1">
        <v>1086147</v>
      </c>
      <c r="C877" s="2">
        <v>46115</v>
      </c>
      <c r="D877" t="s">
        <v>17</v>
      </c>
      <c r="E877" t="s">
        <v>10</v>
      </c>
      <c r="G877" t="s">
        <v>9</v>
      </c>
      <c r="L877">
        <f t="shared" si="66"/>
        <v>0</v>
      </c>
      <c r="M877">
        <f t="shared" si="67"/>
        <v>0</v>
      </c>
      <c r="N877">
        <f t="shared" si="68"/>
        <v>0</v>
      </c>
      <c r="O877">
        <f t="shared" si="70"/>
        <v>1</v>
      </c>
      <c r="P877" t="str">
        <f t="shared" si="69"/>
        <v/>
      </c>
      <c r="Q877">
        <f>COUNTIF('責任職　企業局→市長部局'!A:A,SQLデータ!B877)</f>
        <v>0</v>
      </c>
      <c r="R877">
        <f>COUNTIF('一般職員　企業局→市長部局'!A:F,SQLデータ!B877)</f>
        <v>0</v>
      </c>
    </row>
    <row r="878" spans="1:18" x14ac:dyDescent="0.4">
      <c r="A878" s="1">
        <v>202650000671</v>
      </c>
      <c r="B878" s="1">
        <v>1126130</v>
      </c>
      <c r="C878" s="2">
        <v>46115</v>
      </c>
      <c r="D878" t="s">
        <v>17</v>
      </c>
      <c r="E878" t="s">
        <v>11</v>
      </c>
      <c r="G878" t="s">
        <v>9</v>
      </c>
      <c r="L878">
        <f t="shared" si="66"/>
        <v>0</v>
      </c>
      <c r="M878">
        <f t="shared" si="67"/>
        <v>0</v>
      </c>
      <c r="N878">
        <f t="shared" si="68"/>
        <v>0</v>
      </c>
      <c r="O878">
        <f t="shared" si="70"/>
        <v>1</v>
      </c>
      <c r="P878" t="str">
        <f t="shared" si="69"/>
        <v/>
      </c>
      <c r="Q878">
        <f>COUNTIF('責任職　企業局→市長部局'!A:A,SQLデータ!B878)</f>
        <v>0</v>
      </c>
      <c r="R878">
        <f>COUNTIF('一般職員　企業局→市長部局'!A:F,SQLデータ!B878)</f>
        <v>0</v>
      </c>
    </row>
    <row r="879" spans="1:18" x14ac:dyDescent="0.4">
      <c r="A879" s="1">
        <v>202650000672</v>
      </c>
      <c r="B879" s="1">
        <v>890285</v>
      </c>
      <c r="C879" s="2">
        <v>46115</v>
      </c>
      <c r="D879" t="s">
        <v>17</v>
      </c>
      <c r="E879" t="s">
        <v>11</v>
      </c>
      <c r="G879" t="s">
        <v>9</v>
      </c>
      <c r="L879">
        <f t="shared" si="66"/>
        <v>0</v>
      </c>
      <c r="M879">
        <f t="shared" si="67"/>
        <v>0</v>
      </c>
      <c r="N879">
        <f t="shared" si="68"/>
        <v>0</v>
      </c>
      <c r="O879">
        <f t="shared" si="70"/>
        <v>1</v>
      </c>
      <c r="P879" t="str">
        <f t="shared" si="69"/>
        <v/>
      </c>
      <c r="Q879">
        <f>COUNTIF('責任職　企業局→市長部局'!A:A,SQLデータ!B879)</f>
        <v>0</v>
      </c>
      <c r="R879">
        <f>COUNTIF('一般職員　企業局→市長部局'!A:F,SQLデータ!B879)</f>
        <v>0</v>
      </c>
    </row>
    <row r="880" spans="1:18" x14ac:dyDescent="0.4">
      <c r="A880" s="1">
        <v>202650000673</v>
      </c>
      <c r="B880" s="1">
        <v>1256012</v>
      </c>
      <c r="C880" s="2">
        <v>46115</v>
      </c>
      <c r="D880" t="s">
        <v>17</v>
      </c>
      <c r="E880" t="s">
        <v>10</v>
      </c>
      <c r="G880" t="s">
        <v>9</v>
      </c>
      <c r="L880">
        <f t="shared" si="66"/>
        <v>0</v>
      </c>
      <c r="M880">
        <f t="shared" si="67"/>
        <v>0</v>
      </c>
      <c r="N880">
        <f t="shared" si="68"/>
        <v>0</v>
      </c>
      <c r="O880">
        <f t="shared" si="70"/>
        <v>1</v>
      </c>
      <c r="P880" t="str">
        <f t="shared" si="69"/>
        <v/>
      </c>
      <c r="Q880">
        <f>COUNTIF('責任職　企業局→市長部局'!A:A,SQLデータ!B880)</f>
        <v>0</v>
      </c>
      <c r="R880">
        <f>COUNTIF('一般職員　企業局→市長部局'!A:F,SQLデータ!B880)</f>
        <v>0</v>
      </c>
    </row>
    <row r="881" spans="1:18" x14ac:dyDescent="0.4">
      <c r="A881" s="1">
        <v>202650000674</v>
      </c>
      <c r="B881" s="1">
        <v>920105</v>
      </c>
      <c r="C881" s="2">
        <v>46115</v>
      </c>
      <c r="D881" t="s">
        <v>17</v>
      </c>
      <c r="E881" t="s">
        <v>11</v>
      </c>
      <c r="G881" t="s">
        <v>9</v>
      </c>
      <c r="L881">
        <f t="shared" si="66"/>
        <v>0</v>
      </c>
      <c r="M881">
        <f t="shared" si="67"/>
        <v>0</v>
      </c>
      <c r="N881">
        <f t="shared" si="68"/>
        <v>0</v>
      </c>
      <c r="O881">
        <f t="shared" si="70"/>
        <v>1</v>
      </c>
      <c r="P881" t="str">
        <f t="shared" si="69"/>
        <v/>
      </c>
      <c r="Q881">
        <f>COUNTIF('責任職　企業局→市長部局'!A:A,SQLデータ!B881)</f>
        <v>0</v>
      </c>
      <c r="R881">
        <f>COUNTIF('一般職員　企業局→市長部局'!A:F,SQLデータ!B881)</f>
        <v>0</v>
      </c>
    </row>
    <row r="882" spans="1:18" x14ac:dyDescent="0.4">
      <c r="A882" s="1">
        <v>202650000675</v>
      </c>
      <c r="B882" s="1">
        <v>972018</v>
      </c>
      <c r="C882" s="2">
        <v>46115</v>
      </c>
      <c r="D882" t="s">
        <v>17</v>
      </c>
      <c r="E882" t="s">
        <v>8</v>
      </c>
      <c r="G882" t="s">
        <v>9</v>
      </c>
      <c r="L882">
        <f t="shared" si="66"/>
        <v>0</v>
      </c>
      <c r="M882">
        <f t="shared" si="67"/>
        <v>0</v>
      </c>
      <c r="N882">
        <f t="shared" si="68"/>
        <v>0</v>
      </c>
      <c r="O882">
        <f t="shared" si="70"/>
        <v>1</v>
      </c>
      <c r="P882" t="str">
        <f t="shared" si="69"/>
        <v/>
      </c>
      <c r="Q882">
        <f>COUNTIF('責任職　企業局→市長部局'!A:A,SQLデータ!B882)</f>
        <v>0</v>
      </c>
      <c r="R882">
        <f>COUNTIF('一般職員　企業局→市長部局'!A:F,SQLデータ!B882)</f>
        <v>0</v>
      </c>
    </row>
    <row r="883" spans="1:18" x14ac:dyDescent="0.4">
      <c r="A883" s="1">
        <v>202650000676</v>
      </c>
      <c r="B883" s="1">
        <v>908151</v>
      </c>
      <c r="C883" s="2">
        <v>46115</v>
      </c>
      <c r="D883" t="s">
        <v>17</v>
      </c>
      <c r="E883" t="s">
        <v>11</v>
      </c>
      <c r="G883" t="s">
        <v>9</v>
      </c>
      <c r="L883">
        <f t="shared" si="66"/>
        <v>0</v>
      </c>
      <c r="M883">
        <f t="shared" si="67"/>
        <v>0</v>
      </c>
      <c r="N883">
        <f t="shared" si="68"/>
        <v>0</v>
      </c>
      <c r="O883">
        <f t="shared" si="70"/>
        <v>1</v>
      </c>
      <c r="P883" t="str">
        <f t="shared" si="69"/>
        <v/>
      </c>
      <c r="Q883">
        <f>COUNTIF('責任職　企業局→市長部局'!A:A,SQLデータ!B883)</f>
        <v>0</v>
      </c>
      <c r="R883">
        <f>COUNTIF('一般職員　企業局→市長部局'!A:F,SQLデータ!B883)</f>
        <v>0</v>
      </c>
    </row>
    <row r="884" spans="1:18" x14ac:dyDescent="0.4">
      <c r="A884" s="1">
        <v>202650000677</v>
      </c>
      <c r="B884" s="1">
        <v>940439</v>
      </c>
      <c r="C884" s="2">
        <v>46115</v>
      </c>
      <c r="D884" t="s">
        <v>17</v>
      </c>
      <c r="E884" t="s">
        <v>11</v>
      </c>
      <c r="G884" t="s">
        <v>9</v>
      </c>
      <c r="L884">
        <f t="shared" si="66"/>
        <v>0</v>
      </c>
      <c r="M884">
        <f t="shared" si="67"/>
        <v>0</v>
      </c>
      <c r="N884">
        <f t="shared" si="68"/>
        <v>0</v>
      </c>
      <c r="O884">
        <f t="shared" si="70"/>
        <v>1</v>
      </c>
      <c r="P884" t="str">
        <f t="shared" si="69"/>
        <v/>
      </c>
      <c r="Q884">
        <f>COUNTIF('責任職　企業局→市長部局'!A:A,SQLデータ!B884)</f>
        <v>0</v>
      </c>
      <c r="R884">
        <f>COUNTIF('一般職員　企業局→市長部局'!A:F,SQLデータ!B884)</f>
        <v>0</v>
      </c>
    </row>
    <row r="885" spans="1:18" x14ac:dyDescent="0.4">
      <c r="A885" s="1">
        <v>202650000678</v>
      </c>
      <c r="B885" s="1">
        <v>1091211</v>
      </c>
      <c r="C885" s="2">
        <v>46115</v>
      </c>
      <c r="D885" t="s">
        <v>17</v>
      </c>
      <c r="E885" t="s">
        <v>11</v>
      </c>
      <c r="G885" t="s">
        <v>9</v>
      </c>
      <c r="L885">
        <f t="shared" si="66"/>
        <v>0</v>
      </c>
      <c r="M885">
        <f t="shared" si="67"/>
        <v>0</v>
      </c>
      <c r="N885">
        <f t="shared" si="68"/>
        <v>0</v>
      </c>
      <c r="O885">
        <f t="shared" si="70"/>
        <v>1</v>
      </c>
      <c r="P885" t="str">
        <f t="shared" si="69"/>
        <v/>
      </c>
      <c r="Q885">
        <f>COUNTIF('責任職　企業局→市長部局'!A:A,SQLデータ!B885)</f>
        <v>0</v>
      </c>
      <c r="R885">
        <f>COUNTIF('一般職員　企業局→市長部局'!A:F,SQLデータ!B885)</f>
        <v>0</v>
      </c>
    </row>
    <row r="886" spans="1:18" x14ac:dyDescent="0.4">
      <c r="A886" s="1">
        <v>202650000679</v>
      </c>
      <c r="B886" s="1">
        <v>910248</v>
      </c>
      <c r="C886" s="2">
        <v>46115</v>
      </c>
      <c r="D886" t="s">
        <v>17</v>
      </c>
      <c r="E886" t="s">
        <v>11</v>
      </c>
      <c r="G886" t="s">
        <v>9</v>
      </c>
      <c r="L886">
        <f t="shared" si="66"/>
        <v>0</v>
      </c>
      <c r="M886">
        <f t="shared" si="67"/>
        <v>0</v>
      </c>
      <c r="N886">
        <f t="shared" si="68"/>
        <v>0</v>
      </c>
      <c r="O886">
        <f t="shared" si="70"/>
        <v>1</v>
      </c>
      <c r="P886" t="str">
        <f t="shared" si="69"/>
        <v/>
      </c>
      <c r="Q886">
        <f>COUNTIF('責任職　企業局→市長部局'!A:A,SQLデータ!B886)</f>
        <v>0</v>
      </c>
      <c r="R886">
        <f>COUNTIF('一般職員　企業局→市長部局'!A:F,SQLデータ!B886)</f>
        <v>0</v>
      </c>
    </row>
    <row r="887" spans="1:18" x14ac:dyDescent="0.4">
      <c r="A887" s="1">
        <v>202650000680</v>
      </c>
      <c r="B887" s="1">
        <v>1111461</v>
      </c>
      <c r="C887" s="2">
        <v>46115</v>
      </c>
      <c r="D887" t="s">
        <v>17</v>
      </c>
      <c r="E887" t="s">
        <v>10</v>
      </c>
      <c r="G887" t="s">
        <v>9</v>
      </c>
      <c r="L887">
        <f t="shared" si="66"/>
        <v>0</v>
      </c>
      <c r="M887">
        <f t="shared" si="67"/>
        <v>0</v>
      </c>
      <c r="N887">
        <f t="shared" si="68"/>
        <v>0</v>
      </c>
      <c r="O887">
        <f t="shared" si="70"/>
        <v>1</v>
      </c>
      <c r="P887" t="str">
        <f t="shared" si="69"/>
        <v/>
      </c>
      <c r="Q887">
        <f>COUNTIF('責任職　企業局→市長部局'!A:A,SQLデータ!B887)</f>
        <v>0</v>
      </c>
      <c r="R887">
        <f>COUNTIF('一般職員　企業局→市長部局'!A:F,SQLデータ!B887)</f>
        <v>0</v>
      </c>
    </row>
    <row r="888" spans="1:18" x14ac:dyDescent="0.4">
      <c r="A888" s="1">
        <v>202650000681</v>
      </c>
      <c r="B888" s="1">
        <v>1091157</v>
      </c>
      <c r="C888" s="2">
        <v>46115</v>
      </c>
      <c r="D888" t="s">
        <v>17</v>
      </c>
      <c r="E888" t="s">
        <v>11</v>
      </c>
      <c r="G888" t="s">
        <v>9</v>
      </c>
      <c r="L888">
        <f t="shared" si="66"/>
        <v>0</v>
      </c>
      <c r="M888">
        <f t="shared" si="67"/>
        <v>0</v>
      </c>
      <c r="N888">
        <f t="shared" si="68"/>
        <v>0</v>
      </c>
      <c r="O888">
        <f t="shared" si="70"/>
        <v>1</v>
      </c>
      <c r="P888" t="str">
        <f t="shared" si="69"/>
        <v/>
      </c>
      <c r="Q888">
        <f>COUNTIF('責任職　企業局→市長部局'!A:A,SQLデータ!B888)</f>
        <v>0</v>
      </c>
      <c r="R888">
        <f>COUNTIF('一般職員　企業局→市長部局'!A:F,SQLデータ!B888)</f>
        <v>0</v>
      </c>
    </row>
    <row r="889" spans="1:18" x14ac:dyDescent="0.4">
      <c r="A889" s="1">
        <v>202650000682</v>
      </c>
      <c r="B889" s="1">
        <v>1256096</v>
      </c>
      <c r="C889" s="2">
        <v>46115</v>
      </c>
      <c r="D889" t="s">
        <v>17</v>
      </c>
      <c r="E889" t="s">
        <v>11</v>
      </c>
      <c r="F889" t="s">
        <v>48</v>
      </c>
      <c r="G889" t="s">
        <v>9</v>
      </c>
      <c r="L889">
        <f t="shared" si="66"/>
        <v>0</v>
      </c>
      <c r="M889">
        <f t="shared" si="67"/>
        <v>0</v>
      </c>
      <c r="N889">
        <f t="shared" si="68"/>
        <v>0</v>
      </c>
      <c r="O889">
        <f t="shared" si="70"/>
        <v>1</v>
      </c>
      <c r="P889" t="str">
        <f t="shared" si="69"/>
        <v/>
      </c>
      <c r="Q889">
        <f>COUNTIF('責任職　企業局→市長部局'!A:A,SQLデータ!B889)</f>
        <v>0</v>
      </c>
      <c r="R889">
        <f>COUNTIF('一般職員　企業局→市長部局'!A:F,SQLデータ!B889)</f>
        <v>0</v>
      </c>
    </row>
    <row r="890" spans="1:18" x14ac:dyDescent="0.4">
      <c r="A890" s="1">
        <v>202650000683</v>
      </c>
      <c r="B890" s="1">
        <v>1181368</v>
      </c>
      <c r="C890" s="2">
        <v>46115</v>
      </c>
      <c r="D890" t="s">
        <v>17</v>
      </c>
      <c r="E890" t="s">
        <v>11</v>
      </c>
      <c r="G890" t="s">
        <v>9</v>
      </c>
      <c r="L890">
        <f t="shared" si="66"/>
        <v>0</v>
      </c>
      <c r="M890">
        <f t="shared" si="67"/>
        <v>0</v>
      </c>
      <c r="N890">
        <f t="shared" si="68"/>
        <v>0</v>
      </c>
      <c r="O890">
        <f t="shared" si="70"/>
        <v>1</v>
      </c>
      <c r="P890" t="str">
        <f t="shared" si="69"/>
        <v/>
      </c>
      <c r="Q890">
        <f>COUNTIF('責任職　企業局→市長部局'!A:A,SQLデータ!B890)</f>
        <v>0</v>
      </c>
      <c r="R890">
        <f>COUNTIF('一般職員　企業局→市長部局'!A:F,SQLデータ!B890)</f>
        <v>0</v>
      </c>
    </row>
    <row r="891" spans="1:18" x14ac:dyDescent="0.4">
      <c r="A891" s="1">
        <v>202650000684</v>
      </c>
      <c r="B891" s="1">
        <v>1201475</v>
      </c>
      <c r="C891" s="2">
        <v>46115</v>
      </c>
      <c r="D891" t="s">
        <v>17</v>
      </c>
      <c r="E891" t="s">
        <v>11</v>
      </c>
      <c r="G891" t="s">
        <v>9</v>
      </c>
      <c r="L891">
        <f t="shared" si="66"/>
        <v>0</v>
      </c>
      <c r="M891">
        <f t="shared" si="67"/>
        <v>0</v>
      </c>
      <c r="N891">
        <f t="shared" si="68"/>
        <v>0</v>
      </c>
      <c r="O891">
        <f t="shared" si="70"/>
        <v>1</v>
      </c>
      <c r="P891" t="str">
        <f t="shared" si="69"/>
        <v/>
      </c>
      <c r="Q891">
        <f>COUNTIF('責任職　企業局→市長部局'!A:A,SQLデータ!B891)</f>
        <v>0</v>
      </c>
      <c r="R891">
        <f>COUNTIF('一般職員　企業局→市長部局'!A:F,SQLデータ!B891)</f>
        <v>0</v>
      </c>
    </row>
    <row r="892" spans="1:18" x14ac:dyDescent="0.4">
      <c r="A892" s="1">
        <v>202650000685</v>
      </c>
      <c r="B892" s="1">
        <v>1132082</v>
      </c>
      <c r="C892" s="2">
        <v>46115</v>
      </c>
      <c r="D892" t="s">
        <v>17</v>
      </c>
      <c r="E892" t="s">
        <v>11</v>
      </c>
      <c r="G892" t="s">
        <v>9</v>
      </c>
      <c r="L892">
        <f t="shared" si="66"/>
        <v>0</v>
      </c>
      <c r="M892">
        <f t="shared" si="67"/>
        <v>0</v>
      </c>
      <c r="N892">
        <f t="shared" si="68"/>
        <v>0</v>
      </c>
      <c r="O892">
        <f t="shared" si="70"/>
        <v>1</v>
      </c>
      <c r="P892" t="str">
        <f t="shared" si="69"/>
        <v/>
      </c>
      <c r="Q892">
        <f>COUNTIF('責任職　企業局→市長部局'!A:A,SQLデータ!B892)</f>
        <v>0</v>
      </c>
      <c r="R892">
        <f>COUNTIF('一般職員　企業局→市長部局'!A:F,SQLデータ!B892)</f>
        <v>0</v>
      </c>
    </row>
    <row r="893" spans="1:18" x14ac:dyDescent="0.4">
      <c r="A893" s="1">
        <v>202650000686</v>
      </c>
      <c r="B893" s="1">
        <v>920088</v>
      </c>
      <c r="C893" s="2">
        <v>46115</v>
      </c>
      <c r="D893" t="s">
        <v>17</v>
      </c>
      <c r="E893" t="s">
        <v>10</v>
      </c>
      <c r="G893" t="s">
        <v>9</v>
      </c>
      <c r="L893">
        <f t="shared" si="66"/>
        <v>0</v>
      </c>
      <c r="M893">
        <f t="shared" si="67"/>
        <v>0</v>
      </c>
      <c r="N893">
        <f t="shared" si="68"/>
        <v>0</v>
      </c>
      <c r="O893">
        <f t="shared" si="70"/>
        <v>1</v>
      </c>
      <c r="P893" t="str">
        <f t="shared" si="69"/>
        <v/>
      </c>
      <c r="Q893">
        <f>COUNTIF('責任職　企業局→市長部局'!A:A,SQLデータ!B893)</f>
        <v>0</v>
      </c>
      <c r="R893">
        <f>COUNTIF('一般職員　企業局→市長部局'!A:F,SQLデータ!B893)</f>
        <v>0</v>
      </c>
    </row>
    <row r="894" spans="1:18" x14ac:dyDescent="0.4">
      <c r="A894" s="1">
        <v>202650000687</v>
      </c>
      <c r="B894" s="1">
        <v>1131120</v>
      </c>
      <c r="C894" s="2">
        <v>46115</v>
      </c>
      <c r="D894" t="s">
        <v>17</v>
      </c>
      <c r="E894" t="s">
        <v>10</v>
      </c>
      <c r="G894" t="s">
        <v>9</v>
      </c>
      <c r="L894">
        <f t="shared" si="66"/>
        <v>0</v>
      </c>
      <c r="M894">
        <f t="shared" si="67"/>
        <v>0</v>
      </c>
      <c r="N894">
        <f t="shared" si="68"/>
        <v>0</v>
      </c>
      <c r="O894">
        <f t="shared" si="70"/>
        <v>1</v>
      </c>
      <c r="P894" t="str">
        <f t="shared" si="69"/>
        <v/>
      </c>
      <c r="Q894">
        <f>COUNTIF('責任職　企業局→市長部局'!A:A,SQLデータ!B894)</f>
        <v>0</v>
      </c>
      <c r="R894">
        <f>COUNTIF('一般職員　企業局→市長部局'!A:F,SQLデータ!B894)</f>
        <v>0</v>
      </c>
    </row>
    <row r="895" spans="1:18" x14ac:dyDescent="0.4">
      <c r="A895" s="1">
        <v>202650000688</v>
      </c>
      <c r="B895" s="1">
        <v>1206045</v>
      </c>
      <c r="C895" s="2">
        <v>46115</v>
      </c>
      <c r="D895" t="s">
        <v>17</v>
      </c>
      <c r="E895" t="s">
        <v>11</v>
      </c>
      <c r="F895" t="s">
        <v>48</v>
      </c>
      <c r="G895" t="s">
        <v>9</v>
      </c>
      <c r="L895">
        <f t="shared" si="66"/>
        <v>0</v>
      </c>
      <c r="M895">
        <f t="shared" si="67"/>
        <v>0</v>
      </c>
      <c r="N895">
        <f t="shared" si="68"/>
        <v>0</v>
      </c>
      <c r="O895">
        <f t="shared" si="70"/>
        <v>1</v>
      </c>
      <c r="P895" t="str">
        <f t="shared" si="69"/>
        <v/>
      </c>
      <c r="Q895">
        <f>COUNTIF('責任職　企業局→市長部局'!A:A,SQLデータ!B895)</f>
        <v>0</v>
      </c>
      <c r="R895">
        <f>COUNTIF('一般職員　企業局→市長部局'!A:F,SQLデータ!B895)</f>
        <v>0</v>
      </c>
    </row>
    <row r="896" spans="1:18" x14ac:dyDescent="0.4">
      <c r="A896" s="1">
        <v>202650000689</v>
      </c>
      <c r="B896" s="1">
        <v>1051153</v>
      </c>
      <c r="C896" s="2">
        <v>46115</v>
      </c>
      <c r="D896" t="s">
        <v>17</v>
      </c>
      <c r="E896" t="s">
        <v>10</v>
      </c>
      <c r="G896" t="s">
        <v>9</v>
      </c>
      <c r="L896">
        <f t="shared" si="66"/>
        <v>0</v>
      </c>
      <c r="M896">
        <f t="shared" si="67"/>
        <v>0</v>
      </c>
      <c r="N896">
        <f t="shared" si="68"/>
        <v>0</v>
      </c>
      <c r="O896">
        <f t="shared" si="70"/>
        <v>1</v>
      </c>
      <c r="P896" t="str">
        <f t="shared" si="69"/>
        <v/>
      </c>
      <c r="Q896">
        <f>COUNTIF('責任職　企業局→市長部局'!A:A,SQLデータ!B896)</f>
        <v>0</v>
      </c>
      <c r="R896">
        <f>COUNTIF('一般職員　企業局→市長部局'!A:F,SQLデータ!B896)</f>
        <v>0</v>
      </c>
    </row>
    <row r="897" spans="1:18" x14ac:dyDescent="0.4">
      <c r="A897" s="1">
        <v>202650000690</v>
      </c>
      <c r="B897" s="1">
        <v>996044</v>
      </c>
      <c r="C897" s="2">
        <v>46115</v>
      </c>
      <c r="D897" t="s">
        <v>17</v>
      </c>
      <c r="E897" t="s">
        <v>11</v>
      </c>
      <c r="G897" t="s">
        <v>9</v>
      </c>
      <c r="L897">
        <f t="shared" si="66"/>
        <v>0</v>
      </c>
      <c r="M897">
        <f t="shared" si="67"/>
        <v>0</v>
      </c>
      <c r="N897">
        <f t="shared" si="68"/>
        <v>0</v>
      </c>
      <c r="O897">
        <f t="shared" si="70"/>
        <v>1</v>
      </c>
      <c r="P897" t="str">
        <f t="shared" si="69"/>
        <v/>
      </c>
      <c r="Q897">
        <f>COUNTIF('責任職　企業局→市長部局'!A:A,SQLデータ!B897)</f>
        <v>0</v>
      </c>
      <c r="R897">
        <f>COUNTIF('一般職員　企業局→市長部局'!A:F,SQLデータ!B897)</f>
        <v>0</v>
      </c>
    </row>
    <row r="898" spans="1:18" x14ac:dyDescent="0.4">
      <c r="A898" s="1">
        <v>202650000691</v>
      </c>
      <c r="B898" s="1">
        <v>960641</v>
      </c>
      <c r="C898" s="2">
        <v>46115</v>
      </c>
      <c r="D898" t="s">
        <v>17</v>
      </c>
      <c r="E898" t="s">
        <v>10</v>
      </c>
      <c r="G898" t="s">
        <v>9</v>
      </c>
      <c r="L898">
        <f t="shared" ref="L898:L961" si="71">IF(ISBLANK(J898),0,1)</f>
        <v>0</v>
      </c>
      <c r="M898">
        <f t="shared" ref="M898:M961" si="72">IF(AND(L898=0,I898&lt;&gt;""),1,0)</f>
        <v>0</v>
      </c>
      <c r="N898">
        <f t="shared" ref="N898:N961" si="73">IF(AND(L898=0,M898=0,K898&lt;&gt;""),1,0)</f>
        <v>0</v>
      </c>
      <c r="O898">
        <f t="shared" si="70"/>
        <v>1</v>
      </c>
      <c r="P898" t="str">
        <f t="shared" ref="P898:P961" si="74">IF(D898&lt;&gt;"扶養","",IF(E898&lt;&gt;"確認待ち",1,IF(OR(AND(G898="本人の結婚",O898=1),AND(H898="減",OR(N898=1,O898=1))),1,0)))</f>
        <v/>
      </c>
      <c r="Q898">
        <f>COUNTIF('責任職　企業局→市長部局'!A:A,SQLデータ!B898)</f>
        <v>0</v>
      </c>
      <c r="R898">
        <f>COUNTIF('一般職員　企業局→市長部局'!A:F,SQLデータ!B898)</f>
        <v>0</v>
      </c>
    </row>
    <row r="899" spans="1:18" x14ac:dyDescent="0.4">
      <c r="A899" s="1">
        <v>202650000692</v>
      </c>
      <c r="B899" s="1">
        <v>1196088</v>
      </c>
      <c r="C899" s="2">
        <v>46115</v>
      </c>
      <c r="D899" t="s">
        <v>17</v>
      </c>
      <c r="E899" t="s">
        <v>11</v>
      </c>
      <c r="G899" t="s">
        <v>9</v>
      </c>
      <c r="L899">
        <f t="shared" si="71"/>
        <v>0</v>
      </c>
      <c r="M899">
        <f t="shared" si="72"/>
        <v>0</v>
      </c>
      <c r="N899">
        <f t="shared" si="73"/>
        <v>0</v>
      </c>
      <c r="O899">
        <f t="shared" si="70"/>
        <v>1</v>
      </c>
      <c r="P899" t="str">
        <f t="shared" si="74"/>
        <v/>
      </c>
      <c r="Q899">
        <f>COUNTIF('責任職　企業局→市長部局'!A:A,SQLデータ!B899)</f>
        <v>0</v>
      </c>
      <c r="R899">
        <f>COUNTIF('一般職員　企業局→市長部局'!A:F,SQLデータ!B899)</f>
        <v>0</v>
      </c>
    </row>
    <row r="900" spans="1:18" x14ac:dyDescent="0.4">
      <c r="A900" s="1">
        <v>202650000693</v>
      </c>
      <c r="B900" s="1">
        <v>1086072</v>
      </c>
      <c r="C900" s="2">
        <v>46115</v>
      </c>
      <c r="D900" t="s">
        <v>17</v>
      </c>
      <c r="E900" t="s">
        <v>10</v>
      </c>
      <c r="G900" t="s">
        <v>9</v>
      </c>
      <c r="L900">
        <f t="shared" si="71"/>
        <v>0</v>
      </c>
      <c r="M900">
        <f t="shared" si="72"/>
        <v>0</v>
      </c>
      <c r="N900">
        <f t="shared" si="73"/>
        <v>0</v>
      </c>
      <c r="O900">
        <f t="shared" si="70"/>
        <v>1</v>
      </c>
      <c r="P900" t="str">
        <f t="shared" si="74"/>
        <v/>
      </c>
      <c r="Q900">
        <f>COUNTIF('責任職　企業局→市長部局'!A:A,SQLデータ!B900)</f>
        <v>0</v>
      </c>
      <c r="R900">
        <f>COUNTIF('一般職員　企業局→市長部局'!A:F,SQLデータ!B900)</f>
        <v>0</v>
      </c>
    </row>
    <row r="901" spans="1:18" x14ac:dyDescent="0.4">
      <c r="A901" s="1">
        <v>202650000694</v>
      </c>
      <c r="B901" s="1">
        <v>1252097</v>
      </c>
      <c r="C901" s="2">
        <v>46118</v>
      </c>
      <c r="D901" t="s">
        <v>17</v>
      </c>
      <c r="E901" t="s">
        <v>8</v>
      </c>
      <c r="F901" t="s">
        <v>79</v>
      </c>
      <c r="G901" t="s">
        <v>9</v>
      </c>
      <c r="L901">
        <f t="shared" si="71"/>
        <v>0</v>
      </c>
      <c r="M901">
        <f t="shared" si="72"/>
        <v>0</v>
      </c>
      <c r="N901">
        <f t="shared" si="73"/>
        <v>0</v>
      </c>
      <c r="O901">
        <f t="shared" si="70"/>
        <v>1</v>
      </c>
      <c r="P901" t="str">
        <f t="shared" si="74"/>
        <v/>
      </c>
      <c r="Q901">
        <f>COUNTIF('責任職　企業局→市長部局'!A:A,SQLデータ!B901)</f>
        <v>0</v>
      </c>
      <c r="R901">
        <f>COUNTIF('一般職員　企業局→市長部局'!A:F,SQLデータ!B901)</f>
        <v>0</v>
      </c>
    </row>
    <row r="902" spans="1:18" x14ac:dyDescent="0.4">
      <c r="A902" s="1">
        <v>202650000695</v>
      </c>
      <c r="B902" s="1">
        <v>1086118</v>
      </c>
      <c r="C902" s="2">
        <v>46115</v>
      </c>
      <c r="D902" t="s">
        <v>17</v>
      </c>
      <c r="E902" t="s">
        <v>10</v>
      </c>
      <c r="G902" t="s">
        <v>9</v>
      </c>
      <c r="L902">
        <f t="shared" si="71"/>
        <v>0</v>
      </c>
      <c r="M902">
        <f t="shared" si="72"/>
        <v>0</v>
      </c>
      <c r="N902">
        <f t="shared" si="73"/>
        <v>0</v>
      </c>
      <c r="O902">
        <f t="shared" si="70"/>
        <v>1</v>
      </c>
      <c r="P902" t="str">
        <f t="shared" si="74"/>
        <v/>
      </c>
      <c r="Q902">
        <f>COUNTIF('責任職　企業局→市長部局'!A:A,SQLデータ!B902)</f>
        <v>0</v>
      </c>
      <c r="R902">
        <f>COUNTIF('一般職員　企業局→市長部局'!A:F,SQLデータ!B902)</f>
        <v>0</v>
      </c>
    </row>
    <row r="903" spans="1:18" x14ac:dyDescent="0.4">
      <c r="A903" s="1">
        <v>202650000696</v>
      </c>
      <c r="B903" s="1">
        <v>1196021</v>
      </c>
      <c r="C903" s="2">
        <v>46115</v>
      </c>
      <c r="D903" t="s">
        <v>17</v>
      </c>
      <c r="E903" t="s">
        <v>11</v>
      </c>
      <c r="G903" t="s">
        <v>9</v>
      </c>
      <c r="L903">
        <f t="shared" si="71"/>
        <v>0</v>
      </c>
      <c r="M903">
        <f t="shared" si="72"/>
        <v>0</v>
      </c>
      <c r="N903">
        <f t="shared" si="73"/>
        <v>0</v>
      </c>
      <c r="O903">
        <f t="shared" si="70"/>
        <v>1</v>
      </c>
      <c r="P903" t="str">
        <f t="shared" si="74"/>
        <v/>
      </c>
      <c r="Q903">
        <f>COUNTIF('責任職　企業局→市長部局'!A:A,SQLデータ!B903)</f>
        <v>0</v>
      </c>
      <c r="R903">
        <f>COUNTIF('一般職員　企業局→市長部局'!A:F,SQLデータ!B903)</f>
        <v>0</v>
      </c>
    </row>
    <row r="904" spans="1:18" x14ac:dyDescent="0.4">
      <c r="A904" s="1">
        <v>202650000697</v>
      </c>
      <c r="B904" s="1">
        <v>1224009</v>
      </c>
      <c r="C904" s="2">
        <v>46118</v>
      </c>
      <c r="D904" t="s">
        <v>17</v>
      </c>
      <c r="E904" t="s">
        <v>8</v>
      </c>
      <c r="G904" t="s">
        <v>9</v>
      </c>
      <c r="L904">
        <f t="shared" si="71"/>
        <v>0</v>
      </c>
      <c r="M904">
        <f t="shared" si="72"/>
        <v>0</v>
      </c>
      <c r="N904">
        <f t="shared" si="73"/>
        <v>0</v>
      </c>
      <c r="O904">
        <f t="shared" si="70"/>
        <v>1</v>
      </c>
      <c r="P904" t="str">
        <f t="shared" si="74"/>
        <v/>
      </c>
      <c r="Q904">
        <f>COUNTIF('責任職　企業局→市長部局'!A:A,SQLデータ!B904)</f>
        <v>0</v>
      </c>
      <c r="R904">
        <f>COUNTIF('一般職員　企業局→市長部局'!A:F,SQLデータ!B904)</f>
        <v>0</v>
      </c>
    </row>
    <row r="905" spans="1:18" x14ac:dyDescent="0.4">
      <c r="A905" s="1">
        <v>202650000698</v>
      </c>
      <c r="B905" s="1">
        <v>5088179</v>
      </c>
      <c r="C905" s="2">
        <v>46115</v>
      </c>
      <c r="D905" t="s">
        <v>17</v>
      </c>
      <c r="E905" t="s">
        <v>11</v>
      </c>
      <c r="G905" t="s">
        <v>9</v>
      </c>
      <c r="L905">
        <f t="shared" si="71"/>
        <v>0</v>
      </c>
      <c r="M905">
        <f t="shared" si="72"/>
        <v>0</v>
      </c>
      <c r="N905">
        <f t="shared" si="73"/>
        <v>0</v>
      </c>
      <c r="O905">
        <f t="shared" ref="O905:O968" si="75">IF(COUNTIF(L905:N905,0)=3,1,0)</f>
        <v>1</v>
      </c>
      <c r="P905" t="str">
        <f t="shared" si="74"/>
        <v/>
      </c>
      <c r="Q905">
        <f>COUNTIF('責任職　企業局→市長部局'!A:A,SQLデータ!B905)</f>
        <v>0</v>
      </c>
      <c r="R905">
        <f>COUNTIF('一般職員　企業局→市長部局'!A:F,SQLデータ!B905)</f>
        <v>0</v>
      </c>
    </row>
    <row r="906" spans="1:18" x14ac:dyDescent="0.4">
      <c r="A906" s="1">
        <v>202650000699</v>
      </c>
      <c r="B906" s="1">
        <v>1166115</v>
      </c>
      <c r="C906" s="2">
        <v>46115</v>
      </c>
      <c r="D906" t="s">
        <v>17</v>
      </c>
      <c r="E906" t="s">
        <v>11</v>
      </c>
      <c r="G906" t="s">
        <v>9</v>
      </c>
      <c r="L906">
        <f t="shared" si="71"/>
        <v>0</v>
      </c>
      <c r="M906">
        <f t="shared" si="72"/>
        <v>0</v>
      </c>
      <c r="N906">
        <f t="shared" si="73"/>
        <v>0</v>
      </c>
      <c r="O906">
        <f t="shared" si="75"/>
        <v>1</v>
      </c>
      <c r="P906" t="str">
        <f t="shared" si="74"/>
        <v/>
      </c>
      <c r="Q906">
        <f>COUNTIF('責任職　企業局→市長部局'!A:A,SQLデータ!B906)</f>
        <v>0</v>
      </c>
      <c r="R906">
        <f>COUNTIF('一般職員　企業局→市長部局'!A:F,SQLデータ!B906)</f>
        <v>0</v>
      </c>
    </row>
    <row r="907" spans="1:18" x14ac:dyDescent="0.4">
      <c r="A907" s="1">
        <v>202650000700</v>
      </c>
      <c r="B907" s="1">
        <v>1172116</v>
      </c>
      <c r="C907" s="2">
        <v>46115</v>
      </c>
      <c r="D907" t="s">
        <v>17</v>
      </c>
      <c r="E907" t="s">
        <v>11</v>
      </c>
      <c r="G907" t="s">
        <v>9</v>
      </c>
      <c r="L907">
        <f t="shared" si="71"/>
        <v>0</v>
      </c>
      <c r="M907">
        <f t="shared" si="72"/>
        <v>0</v>
      </c>
      <c r="N907">
        <f t="shared" si="73"/>
        <v>0</v>
      </c>
      <c r="O907">
        <f t="shared" si="75"/>
        <v>1</v>
      </c>
      <c r="P907" t="str">
        <f t="shared" si="74"/>
        <v/>
      </c>
      <c r="Q907">
        <f>COUNTIF('責任職　企業局→市長部局'!A:A,SQLデータ!B907)</f>
        <v>0</v>
      </c>
      <c r="R907">
        <f>COUNTIF('一般職員　企業局→市長部局'!A:F,SQLデータ!B907)</f>
        <v>0</v>
      </c>
    </row>
    <row r="908" spans="1:18" x14ac:dyDescent="0.4">
      <c r="A908" s="1">
        <v>202650000701</v>
      </c>
      <c r="B908" s="1">
        <v>1196059</v>
      </c>
      <c r="C908" s="2">
        <v>46115</v>
      </c>
      <c r="D908" t="s">
        <v>17</v>
      </c>
      <c r="E908" t="s">
        <v>11</v>
      </c>
      <c r="G908" t="s">
        <v>9</v>
      </c>
      <c r="L908">
        <f t="shared" si="71"/>
        <v>0</v>
      </c>
      <c r="M908">
        <f t="shared" si="72"/>
        <v>0</v>
      </c>
      <c r="N908">
        <f t="shared" si="73"/>
        <v>0</v>
      </c>
      <c r="O908">
        <f t="shared" si="75"/>
        <v>1</v>
      </c>
      <c r="P908" t="str">
        <f t="shared" si="74"/>
        <v/>
      </c>
      <c r="Q908">
        <f>COUNTIF('責任職　企業局→市長部局'!A:A,SQLデータ!B908)</f>
        <v>0</v>
      </c>
      <c r="R908">
        <f>COUNTIF('一般職員　企業局→市長部局'!A:F,SQLデータ!B908)</f>
        <v>0</v>
      </c>
    </row>
    <row r="909" spans="1:18" x14ac:dyDescent="0.4">
      <c r="A909" s="1">
        <v>202650000702</v>
      </c>
      <c r="B909" s="1">
        <v>1141038</v>
      </c>
      <c r="C909" s="2">
        <v>46115</v>
      </c>
      <c r="D909" t="s">
        <v>17</v>
      </c>
      <c r="E909" t="s">
        <v>11</v>
      </c>
      <c r="G909" t="s">
        <v>9</v>
      </c>
      <c r="L909">
        <f t="shared" si="71"/>
        <v>0</v>
      </c>
      <c r="M909">
        <f t="shared" si="72"/>
        <v>0</v>
      </c>
      <c r="N909">
        <f t="shared" si="73"/>
        <v>0</v>
      </c>
      <c r="O909">
        <f t="shared" si="75"/>
        <v>1</v>
      </c>
      <c r="P909" t="str">
        <f t="shared" si="74"/>
        <v/>
      </c>
      <c r="Q909">
        <f>COUNTIF('責任職　企業局→市長部局'!A:A,SQLデータ!B909)</f>
        <v>0</v>
      </c>
      <c r="R909">
        <f>COUNTIF('一般職員　企業局→市長部局'!A:F,SQLデータ!B909)</f>
        <v>0</v>
      </c>
    </row>
    <row r="910" spans="1:18" x14ac:dyDescent="0.4">
      <c r="A910" s="1">
        <v>202650000703</v>
      </c>
      <c r="B910" s="1">
        <v>1066069</v>
      </c>
      <c r="C910" s="2">
        <v>46115</v>
      </c>
      <c r="D910" t="s">
        <v>17</v>
      </c>
      <c r="E910" t="s">
        <v>11</v>
      </c>
      <c r="G910" t="s">
        <v>9</v>
      </c>
      <c r="L910">
        <f t="shared" si="71"/>
        <v>0</v>
      </c>
      <c r="M910">
        <f t="shared" si="72"/>
        <v>0</v>
      </c>
      <c r="N910">
        <f t="shared" si="73"/>
        <v>0</v>
      </c>
      <c r="O910">
        <f t="shared" si="75"/>
        <v>1</v>
      </c>
      <c r="P910" t="str">
        <f t="shared" si="74"/>
        <v/>
      </c>
      <c r="Q910">
        <f>COUNTIF('責任職　企業局→市長部局'!A:A,SQLデータ!B910)</f>
        <v>0</v>
      </c>
      <c r="R910">
        <f>COUNTIF('一般職員　企業局→市長部局'!A:F,SQLデータ!B910)</f>
        <v>0</v>
      </c>
    </row>
    <row r="911" spans="1:18" x14ac:dyDescent="0.4">
      <c r="A911" s="1">
        <v>202650000704</v>
      </c>
      <c r="B911" s="1">
        <v>1022027</v>
      </c>
      <c r="C911" s="2">
        <v>46115</v>
      </c>
      <c r="D911" t="s">
        <v>17</v>
      </c>
      <c r="E911" t="s">
        <v>11</v>
      </c>
      <c r="G911" t="s">
        <v>9</v>
      </c>
      <c r="L911">
        <f t="shared" si="71"/>
        <v>0</v>
      </c>
      <c r="M911">
        <f t="shared" si="72"/>
        <v>0</v>
      </c>
      <c r="N911">
        <f t="shared" si="73"/>
        <v>0</v>
      </c>
      <c r="O911">
        <f t="shared" si="75"/>
        <v>1</v>
      </c>
      <c r="P911" t="str">
        <f t="shared" si="74"/>
        <v/>
      </c>
      <c r="Q911">
        <f>COUNTIF('責任職　企業局→市長部局'!A:A,SQLデータ!B911)</f>
        <v>0</v>
      </c>
      <c r="R911">
        <f>COUNTIF('一般職員　企業局→市長部局'!A:F,SQLデータ!B911)</f>
        <v>0</v>
      </c>
    </row>
    <row r="912" spans="1:18" x14ac:dyDescent="0.4">
      <c r="A912" s="1">
        <v>202650000705</v>
      </c>
      <c r="B912" s="1">
        <v>1014176</v>
      </c>
      <c r="C912" s="2">
        <v>46115</v>
      </c>
      <c r="D912" t="s">
        <v>17</v>
      </c>
      <c r="E912" t="s">
        <v>11</v>
      </c>
      <c r="G912" t="s">
        <v>9</v>
      </c>
      <c r="L912">
        <f t="shared" si="71"/>
        <v>0</v>
      </c>
      <c r="M912">
        <f t="shared" si="72"/>
        <v>0</v>
      </c>
      <c r="N912">
        <f t="shared" si="73"/>
        <v>0</v>
      </c>
      <c r="O912">
        <f t="shared" si="75"/>
        <v>1</v>
      </c>
      <c r="P912" t="str">
        <f t="shared" si="74"/>
        <v/>
      </c>
      <c r="Q912">
        <f>COUNTIF('責任職　企業局→市長部局'!A:A,SQLデータ!B912)</f>
        <v>0</v>
      </c>
      <c r="R912">
        <f>COUNTIF('一般職員　企業局→市長部局'!A:F,SQLデータ!B912)</f>
        <v>0</v>
      </c>
    </row>
    <row r="913" spans="1:18" x14ac:dyDescent="0.4">
      <c r="A913" s="1">
        <v>202650000706</v>
      </c>
      <c r="B913" s="1">
        <v>840133</v>
      </c>
      <c r="C913" s="2">
        <v>46118</v>
      </c>
      <c r="D913" t="s">
        <v>17</v>
      </c>
      <c r="E913" t="s">
        <v>11</v>
      </c>
      <c r="F913" t="s">
        <v>54</v>
      </c>
      <c r="G913" t="s">
        <v>9</v>
      </c>
      <c r="L913">
        <f t="shared" si="71"/>
        <v>0</v>
      </c>
      <c r="M913">
        <f t="shared" si="72"/>
        <v>0</v>
      </c>
      <c r="N913">
        <f t="shared" si="73"/>
        <v>0</v>
      </c>
      <c r="O913">
        <f t="shared" si="75"/>
        <v>1</v>
      </c>
      <c r="P913" t="str">
        <f t="shared" si="74"/>
        <v/>
      </c>
      <c r="Q913">
        <f>COUNTIF('責任職　企業局→市長部局'!A:A,SQLデータ!B913)</f>
        <v>0</v>
      </c>
      <c r="R913">
        <f>COUNTIF('一般職員　企業局→市長部局'!A:F,SQLデータ!B913)</f>
        <v>0</v>
      </c>
    </row>
    <row r="914" spans="1:18" x14ac:dyDescent="0.4">
      <c r="A914" s="1">
        <v>202650000707</v>
      </c>
      <c r="B914" s="1">
        <v>1034090</v>
      </c>
      <c r="C914" s="2">
        <v>46115</v>
      </c>
      <c r="D914" t="s">
        <v>17</v>
      </c>
      <c r="E914" t="s">
        <v>11</v>
      </c>
      <c r="F914" t="s">
        <v>48</v>
      </c>
      <c r="G914" t="s">
        <v>9</v>
      </c>
      <c r="L914">
        <f t="shared" si="71"/>
        <v>0</v>
      </c>
      <c r="M914">
        <f t="shared" si="72"/>
        <v>0</v>
      </c>
      <c r="N914">
        <f t="shared" si="73"/>
        <v>0</v>
      </c>
      <c r="O914">
        <f t="shared" si="75"/>
        <v>1</v>
      </c>
      <c r="P914" t="str">
        <f t="shared" si="74"/>
        <v/>
      </c>
      <c r="Q914">
        <f>COUNTIF('責任職　企業局→市長部局'!A:A,SQLデータ!B914)</f>
        <v>0</v>
      </c>
      <c r="R914">
        <f>COUNTIF('一般職員　企業局→市長部局'!A:F,SQLデータ!B914)</f>
        <v>0</v>
      </c>
    </row>
    <row r="915" spans="1:18" x14ac:dyDescent="0.4">
      <c r="A915" s="1">
        <v>202650000708</v>
      </c>
      <c r="B915" s="1">
        <v>1150202</v>
      </c>
      <c r="C915" s="2">
        <v>46115</v>
      </c>
      <c r="D915" t="s">
        <v>17</v>
      </c>
      <c r="E915" t="s">
        <v>8</v>
      </c>
      <c r="F915" t="s">
        <v>47</v>
      </c>
      <c r="G915" t="s">
        <v>9</v>
      </c>
      <c r="L915">
        <f t="shared" si="71"/>
        <v>0</v>
      </c>
      <c r="M915">
        <f t="shared" si="72"/>
        <v>0</v>
      </c>
      <c r="N915">
        <f t="shared" si="73"/>
        <v>0</v>
      </c>
      <c r="O915">
        <f t="shared" si="75"/>
        <v>1</v>
      </c>
      <c r="P915" t="str">
        <f t="shared" si="74"/>
        <v/>
      </c>
      <c r="Q915">
        <f>COUNTIF('責任職　企業局→市長部局'!A:A,SQLデータ!B915)</f>
        <v>0</v>
      </c>
      <c r="R915">
        <f>COUNTIF('一般職員　企業局→市長部局'!A:F,SQLデータ!B915)</f>
        <v>0</v>
      </c>
    </row>
    <row r="916" spans="1:18" x14ac:dyDescent="0.4">
      <c r="A916" s="1">
        <v>202650000709</v>
      </c>
      <c r="B916" s="1">
        <v>1041092</v>
      </c>
      <c r="C916" s="2">
        <v>46115</v>
      </c>
      <c r="D916" t="s">
        <v>17</v>
      </c>
      <c r="E916" t="s">
        <v>11</v>
      </c>
      <c r="G916" t="s">
        <v>9</v>
      </c>
      <c r="L916">
        <f t="shared" si="71"/>
        <v>0</v>
      </c>
      <c r="M916">
        <f t="shared" si="72"/>
        <v>0</v>
      </c>
      <c r="N916">
        <f t="shared" si="73"/>
        <v>0</v>
      </c>
      <c r="O916">
        <f t="shared" si="75"/>
        <v>1</v>
      </c>
      <c r="P916" t="str">
        <f t="shared" si="74"/>
        <v/>
      </c>
      <c r="Q916">
        <f>COUNTIF('責任職　企業局→市長部局'!A:A,SQLデータ!B916)</f>
        <v>0</v>
      </c>
      <c r="R916">
        <f>COUNTIF('一般職員　企業局→市長部局'!A:F,SQLデータ!B916)</f>
        <v>0</v>
      </c>
    </row>
    <row r="917" spans="1:18" x14ac:dyDescent="0.4">
      <c r="A917" s="1">
        <v>202650000710</v>
      </c>
      <c r="B917" s="1">
        <v>1146026</v>
      </c>
      <c r="C917" s="2">
        <v>46115</v>
      </c>
      <c r="D917" t="s">
        <v>17</v>
      </c>
      <c r="E917" t="s">
        <v>11</v>
      </c>
      <c r="G917" t="s">
        <v>9</v>
      </c>
      <c r="L917">
        <f t="shared" si="71"/>
        <v>0</v>
      </c>
      <c r="M917">
        <f t="shared" si="72"/>
        <v>0</v>
      </c>
      <c r="N917">
        <f t="shared" si="73"/>
        <v>0</v>
      </c>
      <c r="O917">
        <f t="shared" si="75"/>
        <v>1</v>
      </c>
      <c r="P917" t="str">
        <f t="shared" si="74"/>
        <v/>
      </c>
      <c r="Q917">
        <f>COUNTIF('責任職　企業局→市長部局'!A:A,SQLデータ!B917)</f>
        <v>0</v>
      </c>
      <c r="R917">
        <f>COUNTIF('一般職員　企業局→市長部局'!A:F,SQLデータ!B917)</f>
        <v>0</v>
      </c>
    </row>
    <row r="918" spans="1:18" x14ac:dyDescent="0.4">
      <c r="A918" s="1">
        <v>202650000711</v>
      </c>
      <c r="B918" s="1">
        <v>1141128</v>
      </c>
      <c r="C918" s="2">
        <v>46115</v>
      </c>
      <c r="D918" t="s">
        <v>17</v>
      </c>
      <c r="E918" t="s">
        <v>11</v>
      </c>
      <c r="G918" t="s">
        <v>9</v>
      </c>
      <c r="L918">
        <f t="shared" si="71"/>
        <v>0</v>
      </c>
      <c r="M918">
        <f t="shared" si="72"/>
        <v>0</v>
      </c>
      <c r="N918">
        <f t="shared" si="73"/>
        <v>0</v>
      </c>
      <c r="O918">
        <f t="shared" si="75"/>
        <v>1</v>
      </c>
      <c r="P918" t="str">
        <f t="shared" si="74"/>
        <v/>
      </c>
      <c r="Q918">
        <f>COUNTIF('責任職　企業局→市長部局'!A:A,SQLデータ!B918)</f>
        <v>0</v>
      </c>
      <c r="R918">
        <f>COUNTIF('一般職員　企業局→市長部局'!A:F,SQLデータ!B918)</f>
        <v>0</v>
      </c>
    </row>
    <row r="919" spans="1:18" x14ac:dyDescent="0.4">
      <c r="A919" s="1">
        <v>202650000712</v>
      </c>
      <c r="B919" s="1">
        <v>910100</v>
      </c>
      <c r="C919" s="2">
        <v>46115</v>
      </c>
      <c r="D919" t="s">
        <v>17</v>
      </c>
      <c r="E919" t="s">
        <v>11</v>
      </c>
      <c r="G919" t="s">
        <v>9</v>
      </c>
      <c r="L919">
        <f t="shared" si="71"/>
        <v>0</v>
      </c>
      <c r="M919">
        <f t="shared" si="72"/>
        <v>0</v>
      </c>
      <c r="N919">
        <f t="shared" si="73"/>
        <v>0</v>
      </c>
      <c r="O919">
        <f t="shared" si="75"/>
        <v>1</v>
      </c>
      <c r="P919" t="str">
        <f t="shared" si="74"/>
        <v/>
      </c>
      <c r="Q919">
        <f>COUNTIF('責任職　企業局→市長部局'!A:A,SQLデータ!B919)</f>
        <v>0</v>
      </c>
      <c r="R919">
        <f>COUNTIF('一般職員　企業局→市長部局'!A:F,SQLデータ!B919)</f>
        <v>0</v>
      </c>
    </row>
    <row r="920" spans="1:18" x14ac:dyDescent="0.4">
      <c r="A920" s="1">
        <v>202650000713</v>
      </c>
      <c r="B920" s="1">
        <v>1241112</v>
      </c>
      <c r="C920" s="2">
        <v>46118</v>
      </c>
      <c r="D920" t="s">
        <v>17</v>
      </c>
      <c r="E920" t="s">
        <v>10</v>
      </c>
      <c r="F920" t="s">
        <v>79</v>
      </c>
      <c r="G920" t="s">
        <v>9</v>
      </c>
      <c r="L920">
        <f t="shared" si="71"/>
        <v>0</v>
      </c>
      <c r="M920">
        <f t="shared" si="72"/>
        <v>0</v>
      </c>
      <c r="N920">
        <f t="shared" si="73"/>
        <v>0</v>
      </c>
      <c r="O920">
        <f t="shared" si="75"/>
        <v>1</v>
      </c>
      <c r="P920" t="str">
        <f t="shared" si="74"/>
        <v/>
      </c>
      <c r="Q920">
        <f>COUNTIF('責任職　企業局→市長部局'!A:A,SQLデータ!B920)</f>
        <v>0</v>
      </c>
      <c r="R920">
        <f>COUNTIF('一般職員　企業局→市長部局'!A:F,SQLデータ!B920)</f>
        <v>0</v>
      </c>
    </row>
    <row r="921" spans="1:18" x14ac:dyDescent="0.4">
      <c r="A921" s="1">
        <v>202650000714</v>
      </c>
      <c r="B921" s="1">
        <v>993027</v>
      </c>
      <c r="C921" s="2">
        <v>46115</v>
      </c>
      <c r="D921" t="s">
        <v>17</v>
      </c>
      <c r="E921" t="s">
        <v>11</v>
      </c>
      <c r="G921" t="s">
        <v>9</v>
      </c>
      <c r="L921">
        <f t="shared" si="71"/>
        <v>0</v>
      </c>
      <c r="M921">
        <f t="shared" si="72"/>
        <v>0</v>
      </c>
      <c r="N921">
        <f t="shared" si="73"/>
        <v>0</v>
      </c>
      <c r="O921">
        <f t="shared" si="75"/>
        <v>1</v>
      </c>
      <c r="P921" t="str">
        <f t="shared" si="74"/>
        <v/>
      </c>
      <c r="Q921">
        <f>COUNTIF('責任職　企業局→市長部局'!A:A,SQLデータ!B921)</f>
        <v>0</v>
      </c>
      <c r="R921">
        <f>COUNTIF('一般職員　企業局→市長部局'!A:F,SQLデータ!B921)</f>
        <v>0</v>
      </c>
    </row>
    <row r="922" spans="1:18" x14ac:dyDescent="0.4">
      <c r="A922" s="1">
        <v>202650000715</v>
      </c>
      <c r="B922" s="1">
        <v>1234103</v>
      </c>
      <c r="C922" s="2">
        <v>46115</v>
      </c>
      <c r="D922" t="s">
        <v>17</v>
      </c>
      <c r="E922" t="s">
        <v>10</v>
      </c>
      <c r="G922" t="s">
        <v>9</v>
      </c>
      <c r="L922">
        <f t="shared" si="71"/>
        <v>0</v>
      </c>
      <c r="M922">
        <f t="shared" si="72"/>
        <v>0</v>
      </c>
      <c r="N922">
        <f t="shared" si="73"/>
        <v>0</v>
      </c>
      <c r="O922">
        <f t="shared" si="75"/>
        <v>1</v>
      </c>
      <c r="P922" t="str">
        <f t="shared" si="74"/>
        <v/>
      </c>
      <c r="Q922">
        <f>COUNTIF('責任職　企業局→市長部局'!A:A,SQLデータ!B922)</f>
        <v>0</v>
      </c>
      <c r="R922">
        <f>COUNTIF('一般職員　企業局→市長部局'!A:F,SQLデータ!B922)</f>
        <v>0</v>
      </c>
    </row>
    <row r="923" spans="1:18" x14ac:dyDescent="0.4">
      <c r="A923" s="1">
        <v>202650000716</v>
      </c>
      <c r="B923" s="1">
        <v>5068372</v>
      </c>
      <c r="C923" s="2">
        <v>46115</v>
      </c>
      <c r="D923" t="s">
        <v>17</v>
      </c>
      <c r="E923" t="s">
        <v>10</v>
      </c>
      <c r="F923" t="s">
        <v>54</v>
      </c>
      <c r="G923" t="s">
        <v>9</v>
      </c>
      <c r="L923">
        <f t="shared" si="71"/>
        <v>0</v>
      </c>
      <c r="M923">
        <f t="shared" si="72"/>
        <v>0</v>
      </c>
      <c r="N923">
        <f t="shared" si="73"/>
        <v>0</v>
      </c>
      <c r="O923">
        <f t="shared" si="75"/>
        <v>1</v>
      </c>
      <c r="P923" t="str">
        <f t="shared" si="74"/>
        <v/>
      </c>
      <c r="Q923">
        <f>COUNTIF('責任職　企業局→市長部局'!A:A,SQLデータ!B923)</f>
        <v>0</v>
      </c>
      <c r="R923">
        <f>COUNTIF('一般職員　企業局→市長部局'!A:F,SQLデータ!B923)</f>
        <v>0</v>
      </c>
    </row>
    <row r="924" spans="1:18" x14ac:dyDescent="0.4">
      <c r="A924" s="1">
        <v>202650000717</v>
      </c>
      <c r="B924" s="1">
        <v>1016035</v>
      </c>
      <c r="C924" s="2">
        <v>46118</v>
      </c>
      <c r="D924" t="s">
        <v>17</v>
      </c>
      <c r="E924" t="s">
        <v>10</v>
      </c>
      <c r="G924" t="s">
        <v>9</v>
      </c>
      <c r="L924">
        <f t="shared" si="71"/>
        <v>0</v>
      </c>
      <c r="M924">
        <f t="shared" si="72"/>
        <v>0</v>
      </c>
      <c r="N924">
        <f t="shared" si="73"/>
        <v>0</v>
      </c>
      <c r="O924">
        <f t="shared" si="75"/>
        <v>1</v>
      </c>
      <c r="P924" t="str">
        <f t="shared" si="74"/>
        <v/>
      </c>
      <c r="Q924">
        <f>COUNTIF('責任職　企業局→市長部局'!A:A,SQLデータ!B924)</f>
        <v>0</v>
      </c>
      <c r="R924">
        <f>COUNTIF('一般職員　企業局→市長部局'!A:F,SQLデータ!B924)</f>
        <v>0</v>
      </c>
    </row>
    <row r="925" spans="1:18" x14ac:dyDescent="0.4">
      <c r="A925" s="1">
        <v>202650000718</v>
      </c>
      <c r="B925" s="1">
        <v>5147890</v>
      </c>
      <c r="C925" s="2">
        <v>46115</v>
      </c>
      <c r="D925" t="s">
        <v>17</v>
      </c>
      <c r="E925" t="s">
        <v>10</v>
      </c>
      <c r="F925" t="s">
        <v>54</v>
      </c>
      <c r="G925" t="s">
        <v>9</v>
      </c>
      <c r="L925">
        <f t="shared" si="71"/>
        <v>0</v>
      </c>
      <c r="M925">
        <f t="shared" si="72"/>
        <v>0</v>
      </c>
      <c r="N925">
        <f t="shared" si="73"/>
        <v>0</v>
      </c>
      <c r="O925">
        <f t="shared" si="75"/>
        <v>1</v>
      </c>
      <c r="P925" t="str">
        <f t="shared" si="74"/>
        <v/>
      </c>
      <c r="Q925">
        <f>COUNTIF('責任職　企業局→市長部局'!A:A,SQLデータ!B925)</f>
        <v>0</v>
      </c>
      <c r="R925">
        <f>COUNTIF('一般職員　企業局→市長部局'!A:F,SQLデータ!B925)</f>
        <v>0</v>
      </c>
    </row>
    <row r="926" spans="1:18" x14ac:dyDescent="0.4">
      <c r="A926" s="1">
        <v>202650000719</v>
      </c>
      <c r="B926" s="1">
        <v>1031218</v>
      </c>
      <c r="C926" s="2">
        <v>46115</v>
      </c>
      <c r="D926" t="s">
        <v>17</v>
      </c>
      <c r="E926" t="s">
        <v>11</v>
      </c>
      <c r="G926" t="s">
        <v>9</v>
      </c>
      <c r="L926">
        <f t="shared" si="71"/>
        <v>0</v>
      </c>
      <c r="M926">
        <f t="shared" si="72"/>
        <v>0</v>
      </c>
      <c r="N926">
        <f t="shared" si="73"/>
        <v>0</v>
      </c>
      <c r="O926">
        <f t="shared" si="75"/>
        <v>1</v>
      </c>
      <c r="P926" t="str">
        <f t="shared" si="74"/>
        <v/>
      </c>
      <c r="Q926">
        <f>COUNTIF('責任職　企業局→市長部局'!A:A,SQLデータ!B926)</f>
        <v>0</v>
      </c>
      <c r="R926">
        <f>COUNTIF('一般職員　企業局→市長部局'!A:F,SQLデータ!B926)</f>
        <v>0</v>
      </c>
    </row>
    <row r="927" spans="1:18" x14ac:dyDescent="0.4">
      <c r="A927" s="1">
        <v>202650000720</v>
      </c>
      <c r="B927" s="1">
        <v>1171545</v>
      </c>
      <c r="C927" s="2">
        <v>46115</v>
      </c>
      <c r="D927" t="s">
        <v>17</v>
      </c>
      <c r="E927" t="s">
        <v>11</v>
      </c>
      <c r="G927" t="s">
        <v>9</v>
      </c>
      <c r="L927">
        <f t="shared" si="71"/>
        <v>0</v>
      </c>
      <c r="M927">
        <f t="shared" si="72"/>
        <v>0</v>
      </c>
      <c r="N927">
        <f t="shared" si="73"/>
        <v>0</v>
      </c>
      <c r="O927">
        <f t="shared" si="75"/>
        <v>1</v>
      </c>
      <c r="P927" t="str">
        <f t="shared" si="74"/>
        <v/>
      </c>
      <c r="Q927">
        <f>COUNTIF('責任職　企業局→市長部局'!A:A,SQLデータ!B927)</f>
        <v>0</v>
      </c>
      <c r="R927">
        <f>COUNTIF('一般職員　企業局→市長部局'!A:F,SQLデータ!B927)</f>
        <v>0</v>
      </c>
    </row>
    <row r="928" spans="1:18" x14ac:dyDescent="0.4">
      <c r="A928" s="1">
        <v>202650000721</v>
      </c>
      <c r="B928" s="1">
        <v>1051127</v>
      </c>
      <c r="C928" s="2">
        <v>46115</v>
      </c>
      <c r="D928" t="s">
        <v>17</v>
      </c>
      <c r="E928" t="s">
        <v>11</v>
      </c>
      <c r="G928" t="s">
        <v>9</v>
      </c>
      <c r="L928">
        <f t="shared" si="71"/>
        <v>0</v>
      </c>
      <c r="M928">
        <f t="shared" si="72"/>
        <v>0</v>
      </c>
      <c r="N928">
        <f t="shared" si="73"/>
        <v>0</v>
      </c>
      <c r="O928">
        <f t="shared" si="75"/>
        <v>1</v>
      </c>
      <c r="P928" t="str">
        <f t="shared" si="74"/>
        <v/>
      </c>
      <c r="Q928">
        <f>COUNTIF('責任職　企業局→市長部局'!A:A,SQLデータ!B928)</f>
        <v>0</v>
      </c>
      <c r="R928">
        <f>COUNTIF('一般職員　企業局→市長部局'!A:F,SQLデータ!B928)</f>
        <v>0</v>
      </c>
    </row>
    <row r="929" spans="1:18" x14ac:dyDescent="0.4">
      <c r="A929" s="1">
        <v>202650000722</v>
      </c>
      <c r="B929" s="1">
        <v>1171024</v>
      </c>
      <c r="C929" s="2">
        <v>46115</v>
      </c>
      <c r="D929" t="s">
        <v>17</v>
      </c>
      <c r="E929" t="s">
        <v>8</v>
      </c>
      <c r="F929" t="s">
        <v>47</v>
      </c>
      <c r="G929" t="s">
        <v>9</v>
      </c>
      <c r="L929">
        <f t="shared" si="71"/>
        <v>0</v>
      </c>
      <c r="M929">
        <f t="shared" si="72"/>
        <v>0</v>
      </c>
      <c r="N929">
        <f t="shared" si="73"/>
        <v>0</v>
      </c>
      <c r="O929">
        <f t="shared" si="75"/>
        <v>1</v>
      </c>
      <c r="P929" t="str">
        <f t="shared" si="74"/>
        <v/>
      </c>
      <c r="Q929">
        <f>COUNTIF('責任職　企業局→市長部局'!A:A,SQLデータ!B929)</f>
        <v>0</v>
      </c>
      <c r="R929">
        <f>COUNTIF('一般職員　企業局→市長部局'!A:F,SQLデータ!B929)</f>
        <v>0</v>
      </c>
    </row>
    <row r="930" spans="1:18" x14ac:dyDescent="0.4">
      <c r="A930" s="1">
        <v>202650000723</v>
      </c>
      <c r="B930" s="1">
        <v>1061082</v>
      </c>
      <c r="C930" s="2">
        <v>46115</v>
      </c>
      <c r="D930" t="s">
        <v>17</v>
      </c>
      <c r="E930" t="s">
        <v>11</v>
      </c>
      <c r="G930" t="s">
        <v>9</v>
      </c>
      <c r="L930">
        <f t="shared" si="71"/>
        <v>0</v>
      </c>
      <c r="M930">
        <f t="shared" si="72"/>
        <v>0</v>
      </c>
      <c r="N930">
        <f t="shared" si="73"/>
        <v>0</v>
      </c>
      <c r="O930">
        <f t="shared" si="75"/>
        <v>1</v>
      </c>
      <c r="P930" t="str">
        <f t="shared" si="74"/>
        <v/>
      </c>
      <c r="Q930">
        <f>COUNTIF('責任職　企業局→市長部局'!A:A,SQLデータ!B930)</f>
        <v>0</v>
      </c>
      <c r="R930">
        <f>COUNTIF('一般職員　企業局→市長部局'!A:F,SQLデータ!B930)</f>
        <v>0</v>
      </c>
    </row>
    <row r="931" spans="1:18" x14ac:dyDescent="0.4">
      <c r="A931" s="1">
        <v>202650000724</v>
      </c>
      <c r="B931" s="1">
        <v>1081305</v>
      </c>
      <c r="C931" s="2">
        <v>46115</v>
      </c>
      <c r="D931" t="s">
        <v>17</v>
      </c>
      <c r="E931" t="s">
        <v>10</v>
      </c>
      <c r="G931" t="s">
        <v>9</v>
      </c>
      <c r="L931">
        <f t="shared" si="71"/>
        <v>0</v>
      </c>
      <c r="M931">
        <f t="shared" si="72"/>
        <v>0</v>
      </c>
      <c r="N931">
        <f t="shared" si="73"/>
        <v>0</v>
      </c>
      <c r="O931">
        <f t="shared" si="75"/>
        <v>1</v>
      </c>
      <c r="P931" t="str">
        <f t="shared" si="74"/>
        <v/>
      </c>
      <c r="Q931">
        <f>COUNTIF('責任職　企業局→市長部局'!A:A,SQLデータ!B931)</f>
        <v>0</v>
      </c>
      <c r="R931">
        <f>COUNTIF('一般職員　企業局→市長部局'!A:F,SQLデータ!B931)</f>
        <v>0</v>
      </c>
    </row>
    <row r="932" spans="1:18" x14ac:dyDescent="0.4">
      <c r="A932" s="1">
        <v>202650000725</v>
      </c>
      <c r="B932" s="1">
        <v>1141247</v>
      </c>
      <c r="C932" s="2">
        <v>46115</v>
      </c>
      <c r="D932" t="s">
        <v>17</v>
      </c>
      <c r="E932" t="s">
        <v>11</v>
      </c>
      <c r="G932" t="s">
        <v>9</v>
      </c>
      <c r="L932">
        <f t="shared" si="71"/>
        <v>0</v>
      </c>
      <c r="M932">
        <f t="shared" si="72"/>
        <v>0</v>
      </c>
      <c r="N932">
        <f t="shared" si="73"/>
        <v>0</v>
      </c>
      <c r="O932">
        <f t="shared" si="75"/>
        <v>1</v>
      </c>
      <c r="P932" t="str">
        <f t="shared" si="74"/>
        <v/>
      </c>
      <c r="Q932">
        <f>COUNTIF('責任職　企業局→市長部局'!A:A,SQLデータ!B932)</f>
        <v>0</v>
      </c>
      <c r="R932">
        <f>COUNTIF('一般職員　企業局→市長部局'!A:F,SQLデータ!B932)</f>
        <v>0</v>
      </c>
    </row>
    <row r="933" spans="1:18" x14ac:dyDescent="0.4">
      <c r="A933" s="1">
        <v>202650000726</v>
      </c>
      <c r="B933" s="1">
        <v>1132109</v>
      </c>
      <c r="C933" s="2">
        <v>46115</v>
      </c>
      <c r="D933" t="s">
        <v>17</v>
      </c>
      <c r="E933" t="s">
        <v>11</v>
      </c>
      <c r="G933" t="s">
        <v>9</v>
      </c>
      <c r="L933">
        <f t="shared" si="71"/>
        <v>0</v>
      </c>
      <c r="M933">
        <f t="shared" si="72"/>
        <v>0</v>
      </c>
      <c r="N933">
        <f t="shared" si="73"/>
        <v>0</v>
      </c>
      <c r="O933">
        <f t="shared" si="75"/>
        <v>1</v>
      </c>
      <c r="P933" t="str">
        <f t="shared" si="74"/>
        <v/>
      </c>
      <c r="Q933">
        <f>COUNTIF('責任職　企業局→市長部局'!A:A,SQLデータ!B933)</f>
        <v>0</v>
      </c>
      <c r="R933">
        <f>COUNTIF('一般職員　企業局→市長部局'!A:F,SQLデータ!B933)</f>
        <v>0</v>
      </c>
    </row>
    <row r="934" spans="1:18" x14ac:dyDescent="0.4">
      <c r="A934" s="1">
        <v>202650000727</v>
      </c>
      <c r="B934" s="1">
        <v>1131277</v>
      </c>
      <c r="C934" s="2">
        <v>46115</v>
      </c>
      <c r="D934" t="s">
        <v>17</v>
      </c>
      <c r="E934" t="s">
        <v>10</v>
      </c>
      <c r="G934" t="s">
        <v>9</v>
      </c>
      <c r="L934">
        <f t="shared" si="71"/>
        <v>0</v>
      </c>
      <c r="M934">
        <f t="shared" si="72"/>
        <v>0</v>
      </c>
      <c r="N934">
        <f t="shared" si="73"/>
        <v>0</v>
      </c>
      <c r="O934">
        <f t="shared" si="75"/>
        <v>1</v>
      </c>
      <c r="P934" t="str">
        <f t="shared" si="74"/>
        <v/>
      </c>
      <c r="Q934">
        <f>COUNTIF('責任職　企業局→市長部局'!A:A,SQLデータ!B934)</f>
        <v>0</v>
      </c>
      <c r="R934">
        <f>COUNTIF('一般職員　企業局→市長部局'!A:F,SQLデータ!B934)</f>
        <v>0</v>
      </c>
    </row>
    <row r="935" spans="1:18" x14ac:dyDescent="0.4">
      <c r="A935" s="1">
        <v>202650000728</v>
      </c>
      <c r="B935" s="1">
        <v>1111471</v>
      </c>
      <c r="C935" s="2">
        <v>46115</v>
      </c>
      <c r="D935" t="s">
        <v>17</v>
      </c>
      <c r="E935" t="s">
        <v>11</v>
      </c>
      <c r="G935" t="s">
        <v>9</v>
      </c>
      <c r="L935">
        <f t="shared" si="71"/>
        <v>0</v>
      </c>
      <c r="M935">
        <f t="shared" si="72"/>
        <v>0</v>
      </c>
      <c r="N935">
        <f t="shared" si="73"/>
        <v>0</v>
      </c>
      <c r="O935">
        <f t="shared" si="75"/>
        <v>1</v>
      </c>
      <c r="P935" t="str">
        <f t="shared" si="74"/>
        <v/>
      </c>
      <c r="Q935">
        <f>COUNTIF('責任職　企業局→市長部局'!A:A,SQLデータ!B935)</f>
        <v>0</v>
      </c>
      <c r="R935">
        <f>COUNTIF('一般職員　企業局→市長部局'!A:F,SQLデータ!B935)</f>
        <v>0</v>
      </c>
    </row>
    <row r="936" spans="1:18" x14ac:dyDescent="0.4">
      <c r="A936" s="1">
        <v>202650000729</v>
      </c>
      <c r="B936" s="1">
        <v>1012501</v>
      </c>
      <c r="C936" s="2">
        <v>46115</v>
      </c>
      <c r="D936" t="s">
        <v>17</v>
      </c>
      <c r="E936" t="s">
        <v>11</v>
      </c>
      <c r="G936" t="s">
        <v>9</v>
      </c>
      <c r="L936">
        <f t="shared" si="71"/>
        <v>0</v>
      </c>
      <c r="M936">
        <f t="shared" si="72"/>
        <v>0</v>
      </c>
      <c r="N936">
        <f t="shared" si="73"/>
        <v>0</v>
      </c>
      <c r="O936">
        <f t="shared" si="75"/>
        <v>1</v>
      </c>
      <c r="P936" t="str">
        <f t="shared" si="74"/>
        <v/>
      </c>
      <c r="Q936">
        <f>COUNTIF('責任職　企業局→市長部局'!A:A,SQLデータ!B936)</f>
        <v>0</v>
      </c>
      <c r="R936">
        <f>COUNTIF('一般職員　企業局→市長部局'!A:F,SQLデータ!B936)</f>
        <v>0</v>
      </c>
    </row>
    <row r="937" spans="1:18" x14ac:dyDescent="0.4">
      <c r="A937" s="1">
        <v>202650000732</v>
      </c>
      <c r="B937" s="1">
        <v>930347</v>
      </c>
      <c r="C937" s="2">
        <v>46115</v>
      </c>
      <c r="D937" t="s">
        <v>17</v>
      </c>
      <c r="E937" t="s">
        <v>11</v>
      </c>
      <c r="G937" t="s">
        <v>9</v>
      </c>
      <c r="L937">
        <f t="shared" si="71"/>
        <v>0</v>
      </c>
      <c r="M937">
        <f t="shared" si="72"/>
        <v>0</v>
      </c>
      <c r="N937">
        <f t="shared" si="73"/>
        <v>0</v>
      </c>
      <c r="O937">
        <f t="shared" si="75"/>
        <v>1</v>
      </c>
      <c r="P937" t="str">
        <f t="shared" si="74"/>
        <v/>
      </c>
      <c r="Q937">
        <f>COUNTIF('責任職　企業局→市長部局'!A:A,SQLデータ!B937)</f>
        <v>0</v>
      </c>
      <c r="R937">
        <f>COUNTIF('一般職員　企業局→市長部局'!A:F,SQLデータ!B937)</f>
        <v>0</v>
      </c>
    </row>
    <row r="938" spans="1:18" x14ac:dyDescent="0.4">
      <c r="A938" s="1">
        <v>202650000733</v>
      </c>
      <c r="B938" s="1">
        <v>1072034</v>
      </c>
      <c r="C938" s="2">
        <v>46115</v>
      </c>
      <c r="D938" t="s">
        <v>17</v>
      </c>
      <c r="E938" t="s">
        <v>11</v>
      </c>
      <c r="G938" t="s">
        <v>9</v>
      </c>
      <c r="L938">
        <f t="shared" si="71"/>
        <v>0</v>
      </c>
      <c r="M938">
        <f t="shared" si="72"/>
        <v>0</v>
      </c>
      <c r="N938">
        <f t="shared" si="73"/>
        <v>0</v>
      </c>
      <c r="O938">
        <f t="shared" si="75"/>
        <v>1</v>
      </c>
      <c r="P938" t="str">
        <f t="shared" si="74"/>
        <v/>
      </c>
      <c r="Q938">
        <f>COUNTIF('責任職　企業局→市長部局'!A:A,SQLデータ!B938)</f>
        <v>0</v>
      </c>
      <c r="R938">
        <f>COUNTIF('一般職員　企業局→市長部局'!A:F,SQLデータ!B938)</f>
        <v>0</v>
      </c>
    </row>
    <row r="939" spans="1:18" x14ac:dyDescent="0.4">
      <c r="A939" s="1">
        <v>202650000734</v>
      </c>
      <c r="B939" s="1">
        <v>1191419</v>
      </c>
      <c r="C939" s="2">
        <v>46116</v>
      </c>
      <c r="D939" t="s">
        <v>17</v>
      </c>
      <c r="E939" t="s">
        <v>11</v>
      </c>
      <c r="G939" t="s">
        <v>9</v>
      </c>
      <c r="L939">
        <f t="shared" si="71"/>
        <v>0</v>
      </c>
      <c r="M939">
        <f t="shared" si="72"/>
        <v>0</v>
      </c>
      <c r="N939">
        <f t="shared" si="73"/>
        <v>0</v>
      </c>
      <c r="O939">
        <f t="shared" si="75"/>
        <v>1</v>
      </c>
      <c r="P939" t="str">
        <f t="shared" si="74"/>
        <v/>
      </c>
      <c r="Q939">
        <f>COUNTIF('責任職　企業局→市長部局'!A:A,SQLデータ!B939)</f>
        <v>0</v>
      </c>
      <c r="R939">
        <f>COUNTIF('一般職員　企業局→市長部局'!A:F,SQLデータ!B939)</f>
        <v>0</v>
      </c>
    </row>
    <row r="940" spans="1:18" x14ac:dyDescent="0.4">
      <c r="A940" s="1">
        <v>202650000735</v>
      </c>
      <c r="B940" s="1">
        <v>1146084</v>
      </c>
      <c r="C940" s="2">
        <v>46115</v>
      </c>
      <c r="D940" t="s">
        <v>17</v>
      </c>
      <c r="E940" t="s">
        <v>11</v>
      </c>
      <c r="G940" t="s">
        <v>9</v>
      </c>
      <c r="L940">
        <f t="shared" si="71"/>
        <v>0</v>
      </c>
      <c r="M940">
        <f t="shared" si="72"/>
        <v>0</v>
      </c>
      <c r="N940">
        <f t="shared" si="73"/>
        <v>0</v>
      </c>
      <c r="O940">
        <f t="shared" si="75"/>
        <v>1</v>
      </c>
      <c r="P940" t="str">
        <f t="shared" si="74"/>
        <v/>
      </c>
      <c r="Q940">
        <f>COUNTIF('責任職　企業局→市長部局'!A:A,SQLデータ!B940)</f>
        <v>0</v>
      </c>
      <c r="R940">
        <f>COUNTIF('一般職員　企業局→市長部局'!A:F,SQLデータ!B940)</f>
        <v>0</v>
      </c>
    </row>
    <row r="941" spans="1:18" x14ac:dyDescent="0.4">
      <c r="A941" s="1">
        <v>202650000736</v>
      </c>
      <c r="B941" s="1">
        <v>1192304</v>
      </c>
      <c r="C941" s="2">
        <v>46115</v>
      </c>
      <c r="D941" t="s">
        <v>17</v>
      </c>
      <c r="E941" t="s">
        <v>10</v>
      </c>
      <c r="G941" t="s">
        <v>9</v>
      </c>
      <c r="L941">
        <f t="shared" si="71"/>
        <v>0</v>
      </c>
      <c r="M941">
        <f t="shared" si="72"/>
        <v>0</v>
      </c>
      <c r="N941">
        <f t="shared" si="73"/>
        <v>0</v>
      </c>
      <c r="O941">
        <f t="shared" si="75"/>
        <v>1</v>
      </c>
      <c r="P941" t="str">
        <f t="shared" si="74"/>
        <v/>
      </c>
      <c r="Q941">
        <f>COUNTIF('責任職　企業局→市長部局'!A:A,SQLデータ!B941)</f>
        <v>0</v>
      </c>
      <c r="R941">
        <f>COUNTIF('一般職員　企業局→市長部局'!A:F,SQLデータ!B941)</f>
        <v>0</v>
      </c>
    </row>
    <row r="942" spans="1:18" x14ac:dyDescent="0.4">
      <c r="A942" s="1">
        <v>202650000737</v>
      </c>
      <c r="B942" s="1">
        <v>996137</v>
      </c>
      <c r="C942" s="2">
        <v>46115</v>
      </c>
      <c r="D942" t="s">
        <v>17</v>
      </c>
      <c r="E942" t="s">
        <v>8</v>
      </c>
      <c r="F942" t="s">
        <v>47</v>
      </c>
      <c r="G942" t="s">
        <v>9</v>
      </c>
      <c r="L942">
        <f t="shared" si="71"/>
        <v>0</v>
      </c>
      <c r="M942">
        <f t="shared" si="72"/>
        <v>0</v>
      </c>
      <c r="N942">
        <f t="shared" si="73"/>
        <v>0</v>
      </c>
      <c r="O942">
        <f t="shared" si="75"/>
        <v>1</v>
      </c>
      <c r="P942" t="str">
        <f t="shared" si="74"/>
        <v/>
      </c>
      <c r="Q942">
        <f>COUNTIF('責任職　企業局→市長部局'!A:A,SQLデータ!B942)</f>
        <v>0</v>
      </c>
      <c r="R942">
        <f>COUNTIF('一般職員　企業局→市長部局'!A:F,SQLデータ!B942)</f>
        <v>0</v>
      </c>
    </row>
    <row r="943" spans="1:18" x14ac:dyDescent="0.4">
      <c r="A943" s="1">
        <v>202650000738</v>
      </c>
      <c r="B943" s="1">
        <v>940364</v>
      </c>
      <c r="C943" s="2">
        <v>46115</v>
      </c>
      <c r="D943" t="s">
        <v>17</v>
      </c>
      <c r="E943" t="s">
        <v>11</v>
      </c>
      <c r="G943" t="s">
        <v>9</v>
      </c>
      <c r="L943">
        <f t="shared" si="71"/>
        <v>0</v>
      </c>
      <c r="M943">
        <f t="shared" si="72"/>
        <v>0</v>
      </c>
      <c r="N943">
        <f t="shared" si="73"/>
        <v>0</v>
      </c>
      <c r="O943">
        <f t="shared" si="75"/>
        <v>1</v>
      </c>
      <c r="P943" t="str">
        <f t="shared" si="74"/>
        <v/>
      </c>
      <c r="Q943">
        <f>COUNTIF('責任職　企業局→市長部局'!A:A,SQLデータ!B943)</f>
        <v>0</v>
      </c>
      <c r="R943">
        <f>COUNTIF('一般職員　企業局→市長部局'!A:F,SQLデータ!B943)</f>
        <v>0</v>
      </c>
    </row>
    <row r="944" spans="1:18" x14ac:dyDescent="0.4">
      <c r="A944" s="1">
        <v>202650000739</v>
      </c>
      <c r="B944" s="1">
        <v>1001125</v>
      </c>
      <c r="C944" s="2">
        <v>46115</v>
      </c>
      <c r="D944" t="s">
        <v>17</v>
      </c>
      <c r="E944" t="s">
        <v>10</v>
      </c>
      <c r="G944" t="s">
        <v>9</v>
      </c>
      <c r="L944">
        <f t="shared" si="71"/>
        <v>0</v>
      </c>
      <c r="M944">
        <f t="shared" si="72"/>
        <v>0</v>
      </c>
      <c r="N944">
        <f t="shared" si="73"/>
        <v>0</v>
      </c>
      <c r="O944">
        <f t="shared" si="75"/>
        <v>1</v>
      </c>
      <c r="P944" t="str">
        <f t="shared" si="74"/>
        <v/>
      </c>
      <c r="Q944">
        <f>COUNTIF('責任職　企業局→市長部局'!A:A,SQLデータ!B944)</f>
        <v>0</v>
      </c>
      <c r="R944">
        <f>COUNTIF('一般職員　企業局→市長部局'!A:F,SQLデータ!B944)</f>
        <v>0</v>
      </c>
    </row>
    <row r="945" spans="1:18" x14ac:dyDescent="0.4">
      <c r="A945" s="1">
        <v>202650000740</v>
      </c>
      <c r="B945" s="1">
        <v>920540</v>
      </c>
      <c r="C945" s="2">
        <v>46115</v>
      </c>
      <c r="D945" t="s">
        <v>17</v>
      </c>
      <c r="E945" t="s">
        <v>11</v>
      </c>
      <c r="G945" t="s">
        <v>9</v>
      </c>
      <c r="L945">
        <f t="shared" si="71"/>
        <v>0</v>
      </c>
      <c r="M945">
        <f t="shared" si="72"/>
        <v>0</v>
      </c>
      <c r="N945">
        <f t="shared" si="73"/>
        <v>0</v>
      </c>
      <c r="O945">
        <f t="shared" si="75"/>
        <v>1</v>
      </c>
      <c r="P945" t="str">
        <f t="shared" si="74"/>
        <v/>
      </c>
      <c r="Q945">
        <f>COUNTIF('責任職　企業局→市長部局'!A:A,SQLデータ!B945)</f>
        <v>0</v>
      </c>
      <c r="R945">
        <f>COUNTIF('一般職員　企業局→市長部局'!A:F,SQLデータ!B945)</f>
        <v>0</v>
      </c>
    </row>
    <row r="946" spans="1:18" x14ac:dyDescent="0.4">
      <c r="A946" s="1">
        <v>202650000741</v>
      </c>
      <c r="B946" s="1">
        <v>1036023</v>
      </c>
      <c r="C946" s="2">
        <v>46115</v>
      </c>
      <c r="D946" t="s">
        <v>17</v>
      </c>
      <c r="E946" t="s">
        <v>11</v>
      </c>
      <c r="G946" t="s">
        <v>9</v>
      </c>
      <c r="L946">
        <f t="shared" si="71"/>
        <v>0</v>
      </c>
      <c r="M946">
        <f t="shared" si="72"/>
        <v>0</v>
      </c>
      <c r="N946">
        <f t="shared" si="73"/>
        <v>0</v>
      </c>
      <c r="O946">
        <f t="shared" si="75"/>
        <v>1</v>
      </c>
      <c r="P946" t="str">
        <f t="shared" si="74"/>
        <v/>
      </c>
      <c r="Q946">
        <f>COUNTIF('責任職　企業局→市長部局'!A:A,SQLデータ!B946)</f>
        <v>0</v>
      </c>
      <c r="R946">
        <f>COUNTIF('一般職員　企業局→市長部局'!A:F,SQLデータ!B946)</f>
        <v>0</v>
      </c>
    </row>
    <row r="947" spans="1:18" x14ac:dyDescent="0.4">
      <c r="A947" s="1">
        <v>202650000742</v>
      </c>
      <c r="B947" s="1">
        <v>5077801</v>
      </c>
      <c r="C947" s="2">
        <v>46115</v>
      </c>
      <c r="D947" t="s">
        <v>17</v>
      </c>
      <c r="E947" t="s">
        <v>10</v>
      </c>
      <c r="F947" t="s">
        <v>54</v>
      </c>
      <c r="G947" t="s">
        <v>9</v>
      </c>
      <c r="L947">
        <f t="shared" si="71"/>
        <v>0</v>
      </c>
      <c r="M947">
        <f t="shared" si="72"/>
        <v>0</v>
      </c>
      <c r="N947">
        <f t="shared" si="73"/>
        <v>0</v>
      </c>
      <c r="O947">
        <f t="shared" si="75"/>
        <v>1</v>
      </c>
      <c r="P947" t="str">
        <f t="shared" si="74"/>
        <v/>
      </c>
      <c r="Q947">
        <f>COUNTIF('責任職　企業局→市長部局'!A:A,SQLデータ!B947)</f>
        <v>0</v>
      </c>
      <c r="R947">
        <f>COUNTIF('一般職員　企業局→市長部局'!A:F,SQLデータ!B947)</f>
        <v>0</v>
      </c>
    </row>
    <row r="948" spans="1:18" x14ac:dyDescent="0.4">
      <c r="A948" s="1">
        <v>202650000743</v>
      </c>
      <c r="B948" s="1">
        <v>910520</v>
      </c>
      <c r="C948" s="2">
        <v>46115</v>
      </c>
      <c r="D948" t="s">
        <v>17</v>
      </c>
      <c r="E948" t="s">
        <v>8</v>
      </c>
      <c r="F948" t="s">
        <v>47</v>
      </c>
      <c r="G948" t="s">
        <v>9</v>
      </c>
      <c r="L948">
        <f t="shared" si="71"/>
        <v>0</v>
      </c>
      <c r="M948">
        <f t="shared" si="72"/>
        <v>0</v>
      </c>
      <c r="N948">
        <f t="shared" si="73"/>
        <v>0</v>
      </c>
      <c r="O948">
        <f t="shared" si="75"/>
        <v>1</v>
      </c>
      <c r="P948" t="str">
        <f t="shared" si="74"/>
        <v/>
      </c>
      <c r="Q948">
        <f>COUNTIF('責任職　企業局→市長部局'!A:A,SQLデータ!B948)</f>
        <v>0</v>
      </c>
      <c r="R948">
        <f>COUNTIF('一般職員　企業局→市長部局'!A:F,SQLデータ!B948)</f>
        <v>0</v>
      </c>
    </row>
    <row r="949" spans="1:18" x14ac:dyDescent="0.4">
      <c r="A949" s="1">
        <v>202650000744</v>
      </c>
      <c r="B949" s="1">
        <v>5067850</v>
      </c>
      <c r="C949" s="2">
        <v>46115</v>
      </c>
      <c r="D949" t="s">
        <v>17</v>
      </c>
      <c r="E949" t="s">
        <v>10</v>
      </c>
      <c r="F949" t="s">
        <v>54</v>
      </c>
      <c r="G949" t="s">
        <v>9</v>
      </c>
      <c r="L949">
        <f t="shared" si="71"/>
        <v>0</v>
      </c>
      <c r="M949">
        <f t="shared" si="72"/>
        <v>0</v>
      </c>
      <c r="N949">
        <f t="shared" si="73"/>
        <v>0</v>
      </c>
      <c r="O949">
        <f t="shared" si="75"/>
        <v>1</v>
      </c>
      <c r="P949" t="str">
        <f t="shared" si="74"/>
        <v/>
      </c>
      <c r="Q949">
        <f>COUNTIF('責任職　企業局→市長部局'!A:A,SQLデータ!B949)</f>
        <v>0</v>
      </c>
      <c r="R949">
        <f>COUNTIF('一般職員　企業局→市長部局'!A:F,SQLデータ!B949)</f>
        <v>0</v>
      </c>
    </row>
    <row r="950" spans="1:18" x14ac:dyDescent="0.4">
      <c r="A950" s="1">
        <v>202650000745</v>
      </c>
      <c r="B950" s="1">
        <v>1101413</v>
      </c>
      <c r="C950" s="2">
        <v>46115</v>
      </c>
      <c r="D950" t="s">
        <v>17</v>
      </c>
      <c r="E950" t="s">
        <v>11</v>
      </c>
      <c r="G950" t="s">
        <v>9</v>
      </c>
      <c r="L950">
        <f t="shared" si="71"/>
        <v>0</v>
      </c>
      <c r="M950">
        <f t="shared" si="72"/>
        <v>0</v>
      </c>
      <c r="N950">
        <f t="shared" si="73"/>
        <v>0</v>
      </c>
      <c r="O950">
        <f t="shared" si="75"/>
        <v>1</v>
      </c>
      <c r="P950" t="str">
        <f t="shared" si="74"/>
        <v/>
      </c>
      <c r="Q950">
        <f>COUNTIF('責任職　企業局→市長部局'!A:A,SQLデータ!B950)</f>
        <v>0</v>
      </c>
      <c r="R950">
        <f>COUNTIF('一般職員　企業局→市長部局'!A:F,SQLデータ!B950)</f>
        <v>0</v>
      </c>
    </row>
    <row r="951" spans="1:18" x14ac:dyDescent="0.4">
      <c r="A951" s="1">
        <v>202650000746</v>
      </c>
      <c r="B951" s="1">
        <v>1021073</v>
      </c>
      <c r="C951" s="2">
        <v>46115</v>
      </c>
      <c r="D951" t="s">
        <v>17</v>
      </c>
      <c r="E951" t="s">
        <v>11</v>
      </c>
      <c r="G951" t="s">
        <v>9</v>
      </c>
      <c r="L951">
        <f t="shared" si="71"/>
        <v>0</v>
      </c>
      <c r="M951">
        <f t="shared" si="72"/>
        <v>0</v>
      </c>
      <c r="N951">
        <f t="shared" si="73"/>
        <v>0</v>
      </c>
      <c r="O951">
        <f t="shared" si="75"/>
        <v>1</v>
      </c>
      <c r="P951" t="str">
        <f t="shared" si="74"/>
        <v/>
      </c>
      <c r="Q951">
        <f>COUNTIF('責任職　企業局→市長部局'!A:A,SQLデータ!B951)</f>
        <v>0</v>
      </c>
      <c r="R951">
        <f>COUNTIF('一般職員　企業局→市長部局'!A:F,SQLデータ!B951)</f>
        <v>0</v>
      </c>
    </row>
    <row r="952" spans="1:18" x14ac:dyDescent="0.4">
      <c r="A952" s="1">
        <v>202650000747</v>
      </c>
      <c r="B952" s="1">
        <v>5078037</v>
      </c>
      <c r="C952" s="2">
        <v>46115</v>
      </c>
      <c r="D952" t="s">
        <v>17</v>
      </c>
      <c r="E952" t="s">
        <v>10</v>
      </c>
      <c r="F952" t="s">
        <v>54</v>
      </c>
      <c r="G952" t="s">
        <v>9</v>
      </c>
      <c r="L952">
        <f t="shared" si="71"/>
        <v>0</v>
      </c>
      <c r="M952">
        <f t="shared" si="72"/>
        <v>0</v>
      </c>
      <c r="N952">
        <f t="shared" si="73"/>
        <v>0</v>
      </c>
      <c r="O952">
        <f t="shared" si="75"/>
        <v>1</v>
      </c>
      <c r="P952" t="str">
        <f t="shared" si="74"/>
        <v/>
      </c>
      <c r="Q952">
        <f>COUNTIF('責任職　企業局→市長部局'!A:A,SQLデータ!B952)</f>
        <v>0</v>
      </c>
      <c r="R952">
        <f>COUNTIF('一般職員　企業局→市長部局'!A:F,SQLデータ!B952)</f>
        <v>0</v>
      </c>
    </row>
    <row r="953" spans="1:18" x14ac:dyDescent="0.4">
      <c r="A953" s="1">
        <v>202650000748</v>
      </c>
      <c r="B953" s="1">
        <v>1032022</v>
      </c>
      <c r="C953" s="2">
        <v>46115</v>
      </c>
      <c r="D953" t="s">
        <v>17</v>
      </c>
      <c r="E953" t="s">
        <v>11</v>
      </c>
      <c r="G953" t="s">
        <v>9</v>
      </c>
      <c r="L953">
        <f t="shared" si="71"/>
        <v>0</v>
      </c>
      <c r="M953">
        <f t="shared" si="72"/>
        <v>0</v>
      </c>
      <c r="N953">
        <f t="shared" si="73"/>
        <v>0</v>
      </c>
      <c r="O953">
        <f t="shared" si="75"/>
        <v>1</v>
      </c>
      <c r="P953" t="str">
        <f t="shared" si="74"/>
        <v/>
      </c>
      <c r="Q953">
        <f>COUNTIF('責任職　企業局→市長部局'!A:A,SQLデータ!B953)</f>
        <v>0</v>
      </c>
      <c r="R953">
        <f>COUNTIF('一般職員　企業局→市長部局'!A:F,SQLデータ!B953)</f>
        <v>0</v>
      </c>
    </row>
    <row r="954" spans="1:18" x14ac:dyDescent="0.4">
      <c r="A954" s="1">
        <v>202650000749</v>
      </c>
      <c r="B954" s="1">
        <v>5057789</v>
      </c>
      <c r="C954" s="2">
        <v>46115</v>
      </c>
      <c r="D954" t="s">
        <v>17</v>
      </c>
      <c r="E954" t="s">
        <v>10</v>
      </c>
      <c r="F954" t="s">
        <v>54</v>
      </c>
      <c r="G954" t="s">
        <v>9</v>
      </c>
      <c r="L954">
        <f t="shared" si="71"/>
        <v>0</v>
      </c>
      <c r="M954">
        <f t="shared" si="72"/>
        <v>0</v>
      </c>
      <c r="N954">
        <f t="shared" si="73"/>
        <v>0</v>
      </c>
      <c r="O954">
        <f t="shared" si="75"/>
        <v>1</v>
      </c>
      <c r="P954" t="str">
        <f t="shared" si="74"/>
        <v/>
      </c>
      <c r="Q954">
        <f>COUNTIF('責任職　企業局→市長部局'!A:A,SQLデータ!B954)</f>
        <v>0</v>
      </c>
      <c r="R954">
        <f>COUNTIF('一般職員　企業局→市長部局'!A:F,SQLデータ!B954)</f>
        <v>0</v>
      </c>
    </row>
    <row r="955" spans="1:18" x14ac:dyDescent="0.4">
      <c r="A955" s="1">
        <v>202650000750</v>
      </c>
      <c r="B955" s="1">
        <v>1096018</v>
      </c>
      <c r="C955" s="2">
        <v>46115</v>
      </c>
      <c r="D955" t="s">
        <v>17</v>
      </c>
      <c r="E955" t="s">
        <v>11</v>
      </c>
      <c r="G955" t="s">
        <v>9</v>
      </c>
      <c r="L955">
        <f t="shared" si="71"/>
        <v>0</v>
      </c>
      <c r="M955">
        <f t="shared" si="72"/>
        <v>0</v>
      </c>
      <c r="N955">
        <f t="shared" si="73"/>
        <v>0</v>
      </c>
      <c r="O955">
        <f t="shared" si="75"/>
        <v>1</v>
      </c>
      <c r="P955" t="str">
        <f t="shared" si="74"/>
        <v/>
      </c>
      <c r="Q955">
        <f>COUNTIF('責任職　企業局→市長部局'!A:A,SQLデータ!B955)</f>
        <v>0</v>
      </c>
      <c r="R955">
        <f>COUNTIF('一般職員　企業局→市長部局'!A:F,SQLデータ!B955)</f>
        <v>0</v>
      </c>
    </row>
    <row r="956" spans="1:18" x14ac:dyDescent="0.4">
      <c r="A956" s="1">
        <v>202650000752</v>
      </c>
      <c r="B956" s="1">
        <v>5108448</v>
      </c>
      <c r="C956" s="2">
        <v>46115</v>
      </c>
      <c r="D956" t="s">
        <v>17</v>
      </c>
      <c r="E956" t="s">
        <v>11</v>
      </c>
      <c r="G956" t="s">
        <v>9</v>
      </c>
      <c r="L956">
        <f t="shared" si="71"/>
        <v>0</v>
      </c>
      <c r="M956">
        <f t="shared" si="72"/>
        <v>0</v>
      </c>
      <c r="N956">
        <f t="shared" si="73"/>
        <v>0</v>
      </c>
      <c r="O956">
        <f t="shared" si="75"/>
        <v>1</v>
      </c>
      <c r="P956" t="str">
        <f t="shared" si="74"/>
        <v/>
      </c>
      <c r="Q956">
        <f>COUNTIF('責任職　企業局→市長部局'!A:A,SQLデータ!B956)</f>
        <v>0</v>
      </c>
      <c r="R956">
        <f>COUNTIF('一般職員　企業局→市長部局'!A:F,SQLデータ!B956)</f>
        <v>0</v>
      </c>
    </row>
    <row r="957" spans="1:18" x14ac:dyDescent="0.4">
      <c r="A957" s="1">
        <v>202650000753</v>
      </c>
      <c r="B957" s="1">
        <v>910851</v>
      </c>
      <c r="C957" s="2">
        <v>46115</v>
      </c>
      <c r="D957" t="s">
        <v>17</v>
      </c>
      <c r="E957" t="s">
        <v>11</v>
      </c>
      <c r="G957" t="s">
        <v>9</v>
      </c>
      <c r="L957">
        <f t="shared" si="71"/>
        <v>0</v>
      </c>
      <c r="M957">
        <f t="shared" si="72"/>
        <v>0</v>
      </c>
      <c r="N957">
        <f t="shared" si="73"/>
        <v>0</v>
      </c>
      <c r="O957">
        <f t="shared" si="75"/>
        <v>1</v>
      </c>
      <c r="P957" t="str">
        <f t="shared" si="74"/>
        <v/>
      </c>
      <c r="Q957">
        <f>COUNTIF('責任職　企業局→市長部局'!A:A,SQLデータ!B957)</f>
        <v>0</v>
      </c>
      <c r="R957">
        <f>COUNTIF('一般職員　企業局→市長部局'!A:F,SQLデータ!B957)</f>
        <v>0</v>
      </c>
    </row>
    <row r="958" spans="1:18" x14ac:dyDescent="0.4">
      <c r="A958" s="1">
        <v>202650000754</v>
      </c>
      <c r="B958" s="1">
        <v>1076066</v>
      </c>
      <c r="C958" s="2">
        <v>46115</v>
      </c>
      <c r="D958" t="s">
        <v>17</v>
      </c>
      <c r="E958" t="s">
        <v>8</v>
      </c>
      <c r="G958" t="s">
        <v>9</v>
      </c>
      <c r="L958">
        <f t="shared" si="71"/>
        <v>0</v>
      </c>
      <c r="M958">
        <f t="shared" si="72"/>
        <v>0</v>
      </c>
      <c r="N958">
        <f t="shared" si="73"/>
        <v>0</v>
      </c>
      <c r="O958">
        <f t="shared" si="75"/>
        <v>1</v>
      </c>
      <c r="P958" t="str">
        <f t="shared" si="74"/>
        <v/>
      </c>
      <c r="Q958">
        <f>COUNTIF('責任職　企業局→市長部局'!A:A,SQLデータ!B958)</f>
        <v>0</v>
      </c>
      <c r="R958">
        <f>COUNTIF('一般職員　企業局→市長部局'!A:F,SQLデータ!B958)</f>
        <v>0</v>
      </c>
    </row>
    <row r="959" spans="1:18" x14ac:dyDescent="0.4">
      <c r="A959" s="1">
        <v>202650000755</v>
      </c>
      <c r="B959" s="1">
        <v>974299</v>
      </c>
      <c r="C959" s="2">
        <v>46115</v>
      </c>
      <c r="D959" t="s">
        <v>17</v>
      </c>
      <c r="E959" t="s">
        <v>11</v>
      </c>
      <c r="F959" t="s">
        <v>48</v>
      </c>
      <c r="G959" t="s">
        <v>9</v>
      </c>
      <c r="L959">
        <f t="shared" si="71"/>
        <v>0</v>
      </c>
      <c r="M959">
        <f t="shared" si="72"/>
        <v>0</v>
      </c>
      <c r="N959">
        <f t="shared" si="73"/>
        <v>0</v>
      </c>
      <c r="O959">
        <f t="shared" si="75"/>
        <v>1</v>
      </c>
      <c r="P959" t="str">
        <f t="shared" si="74"/>
        <v/>
      </c>
      <c r="Q959">
        <f>COUNTIF('責任職　企業局→市長部局'!A:A,SQLデータ!B959)</f>
        <v>0</v>
      </c>
      <c r="R959">
        <f>COUNTIF('一般職員　企業局→市長部局'!A:F,SQLデータ!B959)</f>
        <v>0</v>
      </c>
    </row>
    <row r="960" spans="1:18" x14ac:dyDescent="0.4">
      <c r="A960" s="1">
        <v>202650000756</v>
      </c>
      <c r="B960" s="1">
        <v>1081229</v>
      </c>
      <c r="C960" s="2">
        <v>46115</v>
      </c>
      <c r="D960" t="s">
        <v>17</v>
      </c>
      <c r="E960" t="s">
        <v>10</v>
      </c>
      <c r="G960" t="s">
        <v>9</v>
      </c>
      <c r="L960">
        <f t="shared" si="71"/>
        <v>0</v>
      </c>
      <c r="M960">
        <f t="shared" si="72"/>
        <v>0</v>
      </c>
      <c r="N960">
        <f t="shared" si="73"/>
        <v>0</v>
      </c>
      <c r="O960">
        <f t="shared" si="75"/>
        <v>1</v>
      </c>
      <c r="P960" t="str">
        <f t="shared" si="74"/>
        <v/>
      </c>
      <c r="Q960">
        <f>COUNTIF('責任職　企業局→市長部局'!A:A,SQLデータ!B960)</f>
        <v>0</v>
      </c>
      <c r="R960">
        <f>COUNTIF('一般職員　企業局→市長部局'!A:F,SQLデータ!B960)</f>
        <v>0</v>
      </c>
    </row>
    <row r="961" spans="1:18" x14ac:dyDescent="0.4">
      <c r="A961" s="1">
        <v>202650000757</v>
      </c>
      <c r="B961" s="1">
        <v>1161529</v>
      </c>
      <c r="C961" s="2">
        <v>46115</v>
      </c>
      <c r="D961" t="s">
        <v>17</v>
      </c>
      <c r="E961" t="s">
        <v>11</v>
      </c>
      <c r="G961" t="s">
        <v>9</v>
      </c>
      <c r="L961">
        <f t="shared" si="71"/>
        <v>0</v>
      </c>
      <c r="M961">
        <f t="shared" si="72"/>
        <v>0</v>
      </c>
      <c r="N961">
        <f t="shared" si="73"/>
        <v>0</v>
      </c>
      <c r="O961">
        <f t="shared" si="75"/>
        <v>1</v>
      </c>
      <c r="P961" t="str">
        <f t="shared" si="74"/>
        <v/>
      </c>
      <c r="Q961">
        <f>COUNTIF('責任職　企業局→市長部局'!A:A,SQLデータ!B961)</f>
        <v>0</v>
      </c>
      <c r="R961">
        <f>COUNTIF('一般職員　企業局→市長部局'!A:F,SQLデータ!B961)</f>
        <v>0</v>
      </c>
    </row>
    <row r="962" spans="1:18" x14ac:dyDescent="0.4">
      <c r="A962" s="1">
        <v>202650000758</v>
      </c>
      <c r="B962" s="1">
        <v>1256056</v>
      </c>
      <c r="C962" s="2">
        <v>46115</v>
      </c>
      <c r="D962" t="s">
        <v>17</v>
      </c>
      <c r="E962" t="s">
        <v>11</v>
      </c>
      <c r="G962" t="s">
        <v>9</v>
      </c>
      <c r="L962">
        <f t="shared" ref="L962:L1025" si="76">IF(ISBLANK(J962),0,1)</f>
        <v>0</v>
      </c>
      <c r="M962">
        <f t="shared" ref="M962:M1025" si="77">IF(AND(L962=0,I962&lt;&gt;""),1,0)</f>
        <v>0</v>
      </c>
      <c r="N962">
        <f t="shared" ref="N962:N1025" si="78">IF(AND(L962=0,M962=0,K962&lt;&gt;""),1,0)</f>
        <v>0</v>
      </c>
      <c r="O962">
        <f t="shared" si="75"/>
        <v>1</v>
      </c>
      <c r="P962" t="str">
        <f t="shared" ref="P962:P1025" si="79">IF(D962&lt;&gt;"扶養","",IF(E962&lt;&gt;"確認待ち",1,IF(OR(AND(G962="本人の結婚",O962=1),AND(H962="減",OR(N962=1,O962=1))),1,0)))</f>
        <v/>
      </c>
      <c r="Q962">
        <f>COUNTIF('責任職　企業局→市長部局'!A:A,SQLデータ!B962)</f>
        <v>0</v>
      </c>
      <c r="R962">
        <f>COUNTIF('一般職員　企業局→市長部局'!A:F,SQLデータ!B962)</f>
        <v>0</v>
      </c>
    </row>
    <row r="963" spans="1:18" x14ac:dyDescent="0.4">
      <c r="A963" s="1">
        <v>202650000759</v>
      </c>
      <c r="B963" s="1">
        <v>1150026</v>
      </c>
      <c r="C963" s="2">
        <v>46115</v>
      </c>
      <c r="D963" t="s">
        <v>17</v>
      </c>
      <c r="E963" t="s">
        <v>11</v>
      </c>
      <c r="G963" t="s">
        <v>9</v>
      </c>
      <c r="L963">
        <f t="shared" si="76"/>
        <v>0</v>
      </c>
      <c r="M963">
        <f t="shared" si="77"/>
        <v>0</v>
      </c>
      <c r="N963">
        <f t="shared" si="78"/>
        <v>0</v>
      </c>
      <c r="O963">
        <f t="shared" si="75"/>
        <v>1</v>
      </c>
      <c r="P963" t="str">
        <f t="shared" si="79"/>
        <v/>
      </c>
      <c r="Q963">
        <f>COUNTIF('責任職　企業局→市長部局'!A:A,SQLデータ!B963)</f>
        <v>0</v>
      </c>
      <c r="R963">
        <f>COUNTIF('一般職員　企業局→市長部局'!A:F,SQLデータ!B963)</f>
        <v>0</v>
      </c>
    </row>
    <row r="964" spans="1:18" x14ac:dyDescent="0.4">
      <c r="A964" s="1">
        <v>202650000760</v>
      </c>
      <c r="B964" s="1">
        <v>1246040</v>
      </c>
      <c r="C964" s="2">
        <v>46115</v>
      </c>
      <c r="D964" t="s">
        <v>17</v>
      </c>
      <c r="E964" t="s">
        <v>11</v>
      </c>
      <c r="G964" t="s">
        <v>9</v>
      </c>
      <c r="L964">
        <f t="shared" si="76"/>
        <v>0</v>
      </c>
      <c r="M964">
        <f t="shared" si="77"/>
        <v>0</v>
      </c>
      <c r="N964">
        <f t="shared" si="78"/>
        <v>0</v>
      </c>
      <c r="O964">
        <f t="shared" si="75"/>
        <v>1</v>
      </c>
      <c r="P964" t="str">
        <f t="shared" si="79"/>
        <v/>
      </c>
      <c r="Q964">
        <f>COUNTIF('責任職　企業局→市長部局'!A:A,SQLデータ!B964)</f>
        <v>0</v>
      </c>
      <c r="R964">
        <f>COUNTIF('一般職員　企業局→市長部局'!A:F,SQLデータ!B964)</f>
        <v>0</v>
      </c>
    </row>
    <row r="965" spans="1:18" x14ac:dyDescent="0.4">
      <c r="A965" s="1">
        <v>202650000761</v>
      </c>
      <c r="B965" s="1">
        <v>960188</v>
      </c>
      <c r="C965" s="2">
        <v>46115</v>
      </c>
      <c r="D965" t="s">
        <v>17</v>
      </c>
      <c r="E965" t="s">
        <v>10</v>
      </c>
      <c r="G965" t="s">
        <v>9</v>
      </c>
      <c r="L965">
        <f t="shared" si="76"/>
        <v>0</v>
      </c>
      <c r="M965">
        <f t="shared" si="77"/>
        <v>0</v>
      </c>
      <c r="N965">
        <f t="shared" si="78"/>
        <v>0</v>
      </c>
      <c r="O965">
        <f t="shared" si="75"/>
        <v>1</v>
      </c>
      <c r="P965" t="str">
        <f t="shared" si="79"/>
        <v/>
      </c>
      <c r="Q965">
        <f>COUNTIF('責任職　企業局→市長部局'!A:A,SQLデータ!B965)</f>
        <v>0</v>
      </c>
      <c r="R965">
        <f>COUNTIF('一般職員　企業局→市長部局'!A:F,SQLデータ!B965)</f>
        <v>0</v>
      </c>
    </row>
    <row r="966" spans="1:18" x14ac:dyDescent="0.4">
      <c r="A966" s="1">
        <v>202650000762</v>
      </c>
      <c r="B966" s="1">
        <v>1061024</v>
      </c>
      <c r="C966" s="2">
        <v>46115</v>
      </c>
      <c r="D966" t="s">
        <v>17</v>
      </c>
      <c r="E966" t="s">
        <v>11</v>
      </c>
      <c r="G966" t="s">
        <v>9</v>
      </c>
      <c r="L966">
        <f t="shared" si="76"/>
        <v>0</v>
      </c>
      <c r="M966">
        <f t="shared" si="77"/>
        <v>0</v>
      </c>
      <c r="N966">
        <f t="shared" si="78"/>
        <v>0</v>
      </c>
      <c r="O966">
        <f t="shared" si="75"/>
        <v>1</v>
      </c>
      <c r="P966" t="str">
        <f t="shared" si="79"/>
        <v/>
      </c>
      <c r="Q966">
        <f>COUNTIF('責任職　企業局→市長部局'!A:A,SQLデータ!B966)</f>
        <v>0</v>
      </c>
      <c r="R966">
        <f>COUNTIF('一般職員　企業局→市長部局'!A:F,SQLデータ!B966)</f>
        <v>0</v>
      </c>
    </row>
    <row r="967" spans="1:18" x14ac:dyDescent="0.4">
      <c r="A967" s="1">
        <v>202650000763</v>
      </c>
      <c r="B967" s="1">
        <v>910374</v>
      </c>
      <c r="C967" s="2">
        <v>46115</v>
      </c>
      <c r="D967" t="s">
        <v>17</v>
      </c>
      <c r="E967" t="s">
        <v>10</v>
      </c>
      <c r="G967" t="s">
        <v>9</v>
      </c>
      <c r="L967">
        <f t="shared" si="76"/>
        <v>0</v>
      </c>
      <c r="M967">
        <f t="shared" si="77"/>
        <v>0</v>
      </c>
      <c r="N967">
        <f t="shared" si="78"/>
        <v>0</v>
      </c>
      <c r="O967">
        <f t="shared" si="75"/>
        <v>1</v>
      </c>
      <c r="P967" t="str">
        <f t="shared" si="79"/>
        <v/>
      </c>
      <c r="Q967">
        <f>COUNTIF('責任職　企業局→市長部局'!A:A,SQLデータ!B967)</f>
        <v>0</v>
      </c>
      <c r="R967">
        <f>COUNTIF('一般職員　企業局→市長部局'!A:F,SQLデータ!B967)</f>
        <v>0</v>
      </c>
    </row>
    <row r="968" spans="1:18" x14ac:dyDescent="0.4">
      <c r="A968" s="1">
        <v>202650000764</v>
      </c>
      <c r="B968" s="1">
        <v>1181499</v>
      </c>
      <c r="C968" s="2">
        <v>46115</v>
      </c>
      <c r="D968" t="s">
        <v>17</v>
      </c>
      <c r="E968" t="s">
        <v>11</v>
      </c>
      <c r="G968" t="s">
        <v>9</v>
      </c>
      <c r="L968">
        <f t="shared" si="76"/>
        <v>0</v>
      </c>
      <c r="M968">
        <f t="shared" si="77"/>
        <v>0</v>
      </c>
      <c r="N968">
        <f t="shared" si="78"/>
        <v>0</v>
      </c>
      <c r="O968">
        <f t="shared" si="75"/>
        <v>1</v>
      </c>
      <c r="P968" t="str">
        <f t="shared" si="79"/>
        <v/>
      </c>
      <c r="Q968">
        <f>COUNTIF('責任職　企業局→市長部局'!A:A,SQLデータ!B968)</f>
        <v>0</v>
      </c>
      <c r="R968">
        <f>COUNTIF('一般職員　企業局→市長部局'!A:F,SQLデータ!B968)</f>
        <v>0</v>
      </c>
    </row>
    <row r="969" spans="1:18" x14ac:dyDescent="0.4">
      <c r="A969" s="1">
        <v>202650000765</v>
      </c>
      <c r="B969" s="1">
        <v>920459</v>
      </c>
      <c r="C969" s="2">
        <v>46115</v>
      </c>
      <c r="D969" t="s">
        <v>17</v>
      </c>
      <c r="E969" t="s">
        <v>10</v>
      </c>
      <c r="G969" t="s">
        <v>9</v>
      </c>
      <c r="L969">
        <f t="shared" si="76"/>
        <v>0</v>
      </c>
      <c r="M969">
        <f t="shared" si="77"/>
        <v>0</v>
      </c>
      <c r="N969">
        <f t="shared" si="78"/>
        <v>0</v>
      </c>
      <c r="O969">
        <f t="shared" ref="O969:O1032" si="80">IF(COUNTIF(L969:N969,0)=3,1,0)</f>
        <v>1</v>
      </c>
      <c r="P969" t="str">
        <f t="shared" si="79"/>
        <v/>
      </c>
      <c r="Q969">
        <f>COUNTIF('責任職　企業局→市長部局'!A:A,SQLデータ!B969)</f>
        <v>0</v>
      </c>
      <c r="R969">
        <f>COUNTIF('一般職員　企業局→市長部局'!A:F,SQLデータ!B969)</f>
        <v>0</v>
      </c>
    </row>
    <row r="970" spans="1:18" x14ac:dyDescent="0.4">
      <c r="A970" s="1">
        <v>202650000766</v>
      </c>
      <c r="B970" s="1">
        <v>880363</v>
      </c>
      <c r="C970" s="2">
        <v>46115</v>
      </c>
      <c r="D970" t="s">
        <v>17</v>
      </c>
      <c r="E970" t="s">
        <v>10</v>
      </c>
      <c r="G970" t="s">
        <v>9</v>
      </c>
      <c r="L970">
        <f t="shared" si="76"/>
        <v>0</v>
      </c>
      <c r="M970">
        <f t="shared" si="77"/>
        <v>0</v>
      </c>
      <c r="N970">
        <f t="shared" si="78"/>
        <v>0</v>
      </c>
      <c r="O970">
        <f t="shared" si="80"/>
        <v>1</v>
      </c>
      <c r="P970" t="str">
        <f t="shared" si="79"/>
        <v/>
      </c>
      <c r="Q970">
        <f>COUNTIF('責任職　企業局→市長部局'!A:A,SQLデータ!B970)</f>
        <v>0</v>
      </c>
      <c r="R970">
        <f>COUNTIF('一般職員　企業局→市長部局'!A:F,SQLデータ!B970)</f>
        <v>0</v>
      </c>
    </row>
    <row r="971" spans="1:18" x14ac:dyDescent="0.4">
      <c r="A971" s="1">
        <v>202650000767</v>
      </c>
      <c r="B971" s="1">
        <v>1061135</v>
      </c>
      <c r="C971" s="2">
        <v>46115</v>
      </c>
      <c r="D971" t="s">
        <v>17</v>
      </c>
      <c r="E971" t="s">
        <v>11</v>
      </c>
      <c r="G971" t="s">
        <v>9</v>
      </c>
      <c r="L971">
        <f t="shared" si="76"/>
        <v>0</v>
      </c>
      <c r="M971">
        <f t="shared" si="77"/>
        <v>0</v>
      </c>
      <c r="N971">
        <f t="shared" si="78"/>
        <v>0</v>
      </c>
      <c r="O971">
        <f t="shared" si="80"/>
        <v>1</v>
      </c>
      <c r="P971" t="str">
        <f t="shared" si="79"/>
        <v/>
      </c>
      <c r="Q971">
        <f>COUNTIF('責任職　企業局→市長部局'!A:A,SQLデータ!B971)</f>
        <v>0</v>
      </c>
      <c r="R971">
        <f>COUNTIF('一般職員　企業局→市長部局'!A:F,SQLデータ!B971)</f>
        <v>0</v>
      </c>
    </row>
    <row r="972" spans="1:18" x14ac:dyDescent="0.4">
      <c r="A972" s="1">
        <v>202650000768</v>
      </c>
      <c r="B972" s="1">
        <v>986012</v>
      </c>
      <c r="C972" s="2">
        <v>46115</v>
      </c>
      <c r="D972" t="s">
        <v>17</v>
      </c>
      <c r="E972" t="s">
        <v>11</v>
      </c>
      <c r="G972" t="s">
        <v>9</v>
      </c>
      <c r="L972">
        <f t="shared" si="76"/>
        <v>0</v>
      </c>
      <c r="M972">
        <f t="shared" si="77"/>
        <v>0</v>
      </c>
      <c r="N972">
        <f t="shared" si="78"/>
        <v>0</v>
      </c>
      <c r="O972">
        <f t="shared" si="80"/>
        <v>1</v>
      </c>
      <c r="P972" t="str">
        <f t="shared" si="79"/>
        <v/>
      </c>
      <c r="Q972">
        <f>COUNTIF('責任職　企業局→市長部局'!A:A,SQLデータ!B972)</f>
        <v>0</v>
      </c>
      <c r="R972">
        <f>COUNTIF('一般職員　企業局→市長部局'!A:F,SQLデータ!B972)</f>
        <v>0</v>
      </c>
    </row>
    <row r="973" spans="1:18" x14ac:dyDescent="0.4">
      <c r="A973" s="1">
        <v>202650000769</v>
      </c>
      <c r="B973" s="1">
        <v>1004048</v>
      </c>
      <c r="C973" s="2">
        <v>46115</v>
      </c>
      <c r="D973" t="s">
        <v>17</v>
      </c>
      <c r="E973" t="s">
        <v>11</v>
      </c>
      <c r="G973" t="s">
        <v>9</v>
      </c>
      <c r="L973">
        <f t="shared" si="76"/>
        <v>0</v>
      </c>
      <c r="M973">
        <f t="shared" si="77"/>
        <v>0</v>
      </c>
      <c r="N973">
        <f t="shared" si="78"/>
        <v>0</v>
      </c>
      <c r="O973">
        <f t="shared" si="80"/>
        <v>1</v>
      </c>
      <c r="P973" t="str">
        <f t="shared" si="79"/>
        <v/>
      </c>
      <c r="Q973">
        <f>COUNTIF('責任職　企業局→市長部局'!A:A,SQLデータ!B973)</f>
        <v>0</v>
      </c>
      <c r="R973">
        <f>COUNTIF('一般職員　企業局→市長部局'!A:F,SQLデータ!B973)</f>
        <v>0</v>
      </c>
    </row>
    <row r="974" spans="1:18" x14ac:dyDescent="0.4">
      <c r="A974" s="1">
        <v>202650000770</v>
      </c>
      <c r="B974" s="1">
        <v>1221227</v>
      </c>
      <c r="C974" s="2">
        <v>46115</v>
      </c>
      <c r="D974" t="s">
        <v>17</v>
      </c>
      <c r="E974" t="s">
        <v>11</v>
      </c>
      <c r="G974" t="s">
        <v>9</v>
      </c>
      <c r="L974">
        <f t="shared" si="76"/>
        <v>0</v>
      </c>
      <c r="M974">
        <f t="shared" si="77"/>
        <v>0</v>
      </c>
      <c r="N974">
        <f t="shared" si="78"/>
        <v>0</v>
      </c>
      <c r="O974">
        <f t="shared" si="80"/>
        <v>1</v>
      </c>
      <c r="P974" t="str">
        <f t="shared" si="79"/>
        <v/>
      </c>
      <c r="Q974">
        <f>COUNTIF('責任職　企業局→市長部局'!A:A,SQLデータ!B974)</f>
        <v>0</v>
      </c>
      <c r="R974">
        <f>COUNTIF('一般職員　企業局→市長部局'!A:F,SQLデータ!B974)</f>
        <v>0</v>
      </c>
    </row>
    <row r="975" spans="1:18" x14ac:dyDescent="0.4">
      <c r="A975" s="1">
        <v>202650000771</v>
      </c>
      <c r="B975" s="1">
        <v>920453</v>
      </c>
      <c r="C975" s="2">
        <v>46115</v>
      </c>
      <c r="D975" t="s">
        <v>17</v>
      </c>
      <c r="E975" t="s">
        <v>10</v>
      </c>
      <c r="G975" t="s">
        <v>9</v>
      </c>
      <c r="L975">
        <f t="shared" si="76"/>
        <v>0</v>
      </c>
      <c r="M975">
        <f t="shared" si="77"/>
        <v>0</v>
      </c>
      <c r="N975">
        <f t="shared" si="78"/>
        <v>0</v>
      </c>
      <c r="O975">
        <f t="shared" si="80"/>
        <v>1</v>
      </c>
      <c r="P975" t="str">
        <f t="shared" si="79"/>
        <v/>
      </c>
      <c r="Q975">
        <f>COUNTIF('責任職　企業局→市長部局'!A:A,SQLデータ!B975)</f>
        <v>0</v>
      </c>
      <c r="R975">
        <f>COUNTIF('一般職員　企業局→市長部局'!A:F,SQLデータ!B975)</f>
        <v>0</v>
      </c>
    </row>
    <row r="976" spans="1:18" x14ac:dyDescent="0.4">
      <c r="A976" s="1">
        <v>202650000772</v>
      </c>
      <c r="B976" s="1">
        <v>1184024</v>
      </c>
      <c r="C976" s="2">
        <v>46115</v>
      </c>
      <c r="D976" t="s">
        <v>17</v>
      </c>
      <c r="E976" t="s">
        <v>8</v>
      </c>
      <c r="G976" t="s">
        <v>9</v>
      </c>
      <c r="L976">
        <f t="shared" si="76"/>
        <v>0</v>
      </c>
      <c r="M976">
        <f t="shared" si="77"/>
        <v>0</v>
      </c>
      <c r="N976">
        <f t="shared" si="78"/>
        <v>0</v>
      </c>
      <c r="O976">
        <f t="shared" si="80"/>
        <v>1</v>
      </c>
      <c r="P976" t="str">
        <f t="shared" si="79"/>
        <v/>
      </c>
      <c r="Q976">
        <f>COUNTIF('責任職　企業局→市長部局'!A:A,SQLデータ!B976)</f>
        <v>0</v>
      </c>
      <c r="R976">
        <f>COUNTIF('一般職員　企業局→市長部局'!A:F,SQLデータ!B976)</f>
        <v>0</v>
      </c>
    </row>
    <row r="977" spans="1:18" x14ac:dyDescent="0.4">
      <c r="A977" s="1">
        <v>202650000773</v>
      </c>
      <c r="B977" s="1">
        <v>996008</v>
      </c>
      <c r="C977" s="2">
        <v>46115</v>
      </c>
      <c r="D977" t="s">
        <v>17</v>
      </c>
      <c r="E977" t="s">
        <v>10</v>
      </c>
      <c r="G977" t="s">
        <v>9</v>
      </c>
      <c r="L977">
        <f t="shared" si="76"/>
        <v>0</v>
      </c>
      <c r="M977">
        <f t="shared" si="77"/>
        <v>0</v>
      </c>
      <c r="N977">
        <f t="shared" si="78"/>
        <v>0</v>
      </c>
      <c r="O977">
        <f t="shared" si="80"/>
        <v>1</v>
      </c>
      <c r="P977" t="str">
        <f t="shared" si="79"/>
        <v/>
      </c>
      <c r="Q977">
        <f>COUNTIF('責任職　企業局→市長部局'!A:A,SQLデータ!B977)</f>
        <v>0</v>
      </c>
      <c r="R977">
        <f>COUNTIF('一般職員　企業局→市長部局'!A:F,SQLデータ!B977)</f>
        <v>0</v>
      </c>
    </row>
    <row r="978" spans="1:18" x14ac:dyDescent="0.4">
      <c r="A978" s="1">
        <v>202650000774</v>
      </c>
      <c r="B978" s="1">
        <v>1152226</v>
      </c>
      <c r="C978" s="2">
        <v>46115</v>
      </c>
      <c r="D978" t="s">
        <v>17</v>
      </c>
      <c r="E978" t="s">
        <v>8</v>
      </c>
      <c r="F978" t="s">
        <v>47</v>
      </c>
      <c r="G978" t="s">
        <v>9</v>
      </c>
      <c r="L978">
        <f t="shared" si="76"/>
        <v>0</v>
      </c>
      <c r="M978">
        <f t="shared" si="77"/>
        <v>0</v>
      </c>
      <c r="N978">
        <f t="shared" si="78"/>
        <v>0</v>
      </c>
      <c r="O978">
        <f t="shared" si="80"/>
        <v>1</v>
      </c>
      <c r="P978" t="str">
        <f t="shared" si="79"/>
        <v/>
      </c>
      <c r="Q978">
        <f>COUNTIF('責任職　企業局→市長部局'!A:A,SQLデータ!B978)</f>
        <v>0</v>
      </c>
      <c r="R978">
        <f>COUNTIF('一般職員　企業局→市長部局'!A:F,SQLデータ!B978)</f>
        <v>0</v>
      </c>
    </row>
    <row r="979" spans="1:18" x14ac:dyDescent="0.4">
      <c r="A979" s="1">
        <v>202650000775</v>
      </c>
      <c r="B979" s="1">
        <v>1006044</v>
      </c>
      <c r="C979" s="2">
        <v>46115</v>
      </c>
      <c r="D979" t="s">
        <v>17</v>
      </c>
      <c r="E979" t="s">
        <v>8</v>
      </c>
      <c r="G979" t="s">
        <v>9</v>
      </c>
      <c r="L979">
        <f t="shared" si="76"/>
        <v>0</v>
      </c>
      <c r="M979">
        <f t="shared" si="77"/>
        <v>0</v>
      </c>
      <c r="N979">
        <f t="shared" si="78"/>
        <v>0</v>
      </c>
      <c r="O979">
        <f t="shared" si="80"/>
        <v>1</v>
      </c>
      <c r="P979" t="str">
        <f t="shared" si="79"/>
        <v/>
      </c>
      <c r="Q979">
        <f>COUNTIF('責任職　企業局→市長部局'!A:A,SQLデータ!B979)</f>
        <v>0</v>
      </c>
      <c r="R979">
        <f>COUNTIF('一般職員　企業局→市長部局'!A:F,SQLデータ!B979)</f>
        <v>0</v>
      </c>
    </row>
    <row r="980" spans="1:18" x14ac:dyDescent="0.4">
      <c r="A980" s="1">
        <v>202650000776</v>
      </c>
      <c r="B980" s="1">
        <v>1036013</v>
      </c>
      <c r="C980" s="2">
        <v>46115</v>
      </c>
      <c r="D980" t="s">
        <v>17</v>
      </c>
      <c r="E980" t="s">
        <v>11</v>
      </c>
      <c r="G980" t="s">
        <v>9</v>
      </c>
      <c r="L980">
        <f t="shared" si="76"/>
        <v>0</v>
      </c>
      <c r="M980">
        <f t="shared" si="77"/>
        <v>0</v>
      </c>
      <c r="N980">
        <f t="shared" si="78"/>
        <v>0</v>
      </c>
      <c r="O980">
        <f t="shared" si="80"/>
        <v>1</v>
      </c>
      <c r="P980" t="str">
        <f t="shared" si="79"/>
        <v/>
      </c>
      <c r="Q980">
        <f>COUNTIF('責任職　企業局→市長部局'!A:A,SQLデータ!B980)</f>
        <v>0</v>
      </c>
      <c r="R980">
        <f>COUNTIF('一般職員　企業局→市長部局'!A:F,SQLデータ!B980)</f>
        <v>0</v>
      </c>
    </row>
    <row r="981" spans="1:18" x14ac:dyDescent="0.4">
      <c r="A981" s="1">
        <v>202650000777</v>
      </c>
      <c r="B981" s="1">
        <v>1096074</v>
      </c>
      <c r="C981" s="2">
        <v>46115</v>
      </c>
      <c r="D981" t="s">
        <v>17</v>
      </c>
      <c r="E981" t="s">
        <v>11</v>
      </c>
      <c r="F981" t="s">
        <v>48</v>
      </c>
      <c r="G981" t="s">
        <v>9</v>
      </c>
      <c r="L981">
        <f t="shared" si="76"/>
        <v>0</v>
      </c>
      <c r="M981">
        <f t="shared" si="77"/>
        <v>0</v>
      </c>
      <c r="N981">
        <f t="shared" si="78"/>
        <v>0</v>
      </c>
      <c r="O981">
        <f t="shared" si="80"/>
        <v>1</v>
      </c>
      <c r="P981" t="str">
        <f t="shared" si="79"/>
        <v/>
      </c>
      <c r="Q981">
        <f>COUNTIF('責任職　企業局→市長部局'!A:A,SQLデータ!B981)</f>
        <v>0</v>
      </c>
      <c r="R981">
        <f>COUNTIF('一般職員　企業局→市長部局'!A:F,SQLデータ!B981)</f>
        <v>0</v>
      </c>
    </row>
    <row r="982" spans="1:18" x14ac:dyDescent="0.4">
      <c r="A982" s="1">
        <v>202650000778</v>
      </c>
      <c r="B982" s="1">
        <v>920498</v>
      </c>
      <c r="C982" s="2">
        <v>46115</v>
      </c>
      <c r="D982" t="s">
        <v>17</v>
      </c>
      <c r="E982" t="s">
        <v>11</v>
      </c>
      <c r="G982" t="s">
        <v>9</v>
      </c>
      <c r="L982">
        <f t="shared" si="76"/>
        <v>0</v>
      </c>
      <c r="M982">
        <f t="shared" si="77"/>
        <v>0</v>
      </c>
      <c r="N982">
        <f t="shared" si="78"/>
        <v>0</v>
      </c>
      <c r="O982">
        <f t="shared" si="80"/>
        <v>1</v>
      </c>
      <c r="P982" t="str">
        <f t="shared" si="79"/>
        <v/>
      </c>
      <c r="Q982">
        <f>COUNTIF('責任職　企業局→市長部局'!A:A,SQLデータ!B982)</f>
        <v>0</v>
      </c>
      <c r="R982">
        <f>COUNTIF('一般職員　企業局→市長部局'!A:F,SQLデータ!B982)</f>
        <v>0</v>
      </c>
    </row>
    <row r="983" spans="1:18" x14ac:dyDescent="0.4">
      <c r="A983" s="1">
        <v>202650000779</v>
      </c>
      <c r="B983" s="1">
        <v>5047601</v>
      </c>
      <c r="C983" s="2">
        <v>46115</v>
      </c>
      <c r="D983" t="s">
        <v>17</v>
      </c>
      <c r="E983" t="s">
        <v>10</v>
      </c>
      <c r="F983" t="s">
        <v>54</v>
      </c>
      <c r="G983" t="s">
        <v>9</v>
      </c>
      <c r="L983">
        <f t="shared" si="76"/>
        <v>0</v>
      </c>
      <c r="M983">
        <f t="shared" si="77"/>
        <v>0</v>
      </c>
      <c r="N983">
        <f t="shared" si="78"/>
        <v>0</v>
      </c>
      <c r="O983">
        <f t="shared" si="80"/>
        <v>1</v>
      </c>
      <c r="P983" t="str">
        <f t="shared" si="79"/>
        <v/>
      </c>
      <c r="Q983">
        <f>COUNTIF('責任職　企業局→市長部局'!A:A,SQLデータ!B983)</f>
        <v>0</v>
      </c>
      <c r="R983">
        <f>COUNTIF('一般職員　企業局→市長部局'!A:F,SQLデータ!B983)</f>
        <v>0</v>
      </c>
    </row>
    <row r="984" spans="1:18" x14ac:dyDescent="0.4">
      <c r="A984" s="1">
        <v>202650000780</v>
      </c>
      <c r="B984" s="1">
        <v>1131472</v>
      </c>
      <c r="C984" s="2">
        <v>46115</v>
      </c>
      <c r="D984" t="s">
        <v>17</v>
      </c>
      <c r="E984" t="s">
        <v>11</v>
      </c>
      <c r="G984" t="s">
        <v>9</v>
      </c>
      <c r="L984">
        <f t="shared" si="76"/>
        <v>0</v>
      </c>
      <c r="M984">
        <f t="shared" si="77"/>
        <v>0</v>
      </c>
      <c r="N984">
        <f t="shared" si="78"/>
        <v>0</v>
      </c>
      <c r="O984">
        <f t="shared" si="80"/>
        <v>1</v>
      </c>
      <c r="P984" t="str">
        <f t="shared" si="79"/>
        <v/>
      </c>
      <c r="Q984">
        <f>COUNTIF('責任職　企業局→市長部局'!A:A,SQLデータ!B984)</f>
        <v>0</v>
      </c>
      <c r="R984">
        <f>COUNTIF('一般職員　企業局→市長部局'!A:F,SQLデータ!B984)</f>
        <v>0</v>
      </c>
    </row>
    <row r="985" spans="1:18" x14ac:dyDescent="0.4">
      <c r="A985" s="1">
        <v>202650000781</v>
      </c>
      <c r="B985" s="1">
        <v>1260024</v>
      </c>
      <c r="C985" s="2">
        <v>46115</v>
      </c>
      <c r="D985" t="s">
        <v>17</v>
      </c>
      <c r="E985" t="s">
        <v>10</v>
      </c>
      <c r="F985" t="s">
        <v>54</v>
      </c>
      <c r="G985" t="s">
        <v>9</v>
      </c>
      <c r="L985">
        <f t="shared" si="76"/>
        <v>0</v>
      </c>
      <c r="M985">
        <f t="shared" si="77"/>
        <v>0</v>
      </c>
      <c r="N985">
        <f t="shared" si="78"/>
        <v>0</v>
      </c>
      <c r="O985">
        <f t="shared" si="80"/>
        <v>1</v>
      </c>
      <c r="P985" t="str">
        <f t="shared" si="79"/>
        <v/>
      </c>
      <c r="Q985">
        <f>COUNTIF('責任職　企業局→市長部局'!A:A,SQLデータ!B985)</f>
        <v>0</v>
      </c>
      <c r="R985">
        <f>COUNTIF('一般職員　企業局→市長部局'!A:F,SQLデータ!B985)</f>
        <v>0</v>
      </c>
    </row>
    <row r="986" spans="1:18" x14ac:dyDescent="0.4">
      <c r="A986" s="1">
        <v>202650000782</v>
      </c>
      <c r="B986" s="1">
        <v>1111221</v>
      </c>
      <c r="C986" s="2">
        <v>46115</v>
      </c>
      <c r="D986" t="s">
        <v>17</v>
      </c>
      <c r="E986" t="s">
        <v>10</v>
      </c>
      <c r="G986" t="s">
        <v>9</v>
      </c>
      <c r="L986">
        <f t="shared" si="76"/>
        <v>0</v>
      </c>
      <c r="M986">
        <f t="shared" si="77"/>
        <v>0</v>
      </c>
      <c r="N986">
        <f t="shared" si="78"/>
        <v>0</v>
      </c>
      <c r="O986">
        <f t="shared" si="80"/>
        <v>1</v>
      </c>
      <c r="P986" t="str">
        <f t="shared" si="79"/>
        <v/>
      </c>
      <c r="Q986">
        <f>COUNTIF('責任職　企業局→市長部局'!A:A,SQLデータ!B986)</f>
        <v>0</v>
      </c>
      <c r="R986">
        <f>COUNTIF('一般職員　企業局→市長部局'!A:F,SQLデータ!B986)</f>
        <v>0</v>
      </c>
    </row>
    <row r="987" spans="1:18" x14ac:dyDescent="0.4">
      <c r="A987" s="1">
        <v>202650000783</v>
      </c>
      <c r="B987" s="1">
        <v>1136054</v>
      </c>
      <c r="C987" s="2">
        <v>46115</v>
      </c>
      <c r="D987" t="s">
        <v>17</v>
      </c>
      <c r="E987" t="s">
        <v>11</v>
      </c>
      <c r="G987" t="s">
        <v>9</v>
      </c>
      <c r="L987">
        <f t="shared" si="76"/>
        <v>0</v>
      </c>
      <c r="M987">
        <f t="shared" si="77"/>
        <v>0</v>
      </c>
      <c r="N987">
        <f t="shared" si="78"/>
        <v>0</v>
      </c>
      <c r="O987">
        <f t="shared" si="80"/>
        <v>1</v>
      </c>
      <c r="P987" t="str">
        <f t="shared" si="79"/>
        <v/>
      </c>
      <c r="Q987">
        <f>COUNTIF('責任職　企業局→市長部局'!A:A,SQLデータ!B987)</f>
        <v>0</v>
      </c>
      <c r="R987">
        <f>COUNTIF('一般職員　企業局→市長部局'!A:F,SQLデータ!B987)</f>
        <v>0</v>
      </c>
    </row>
    <row r="988" spans="1:18" x14ac:dyDescent="0.4">
      <c r="A988" s="1">
        <v>202650000784</v>
      </c>
      <c r="B988" s="1">
        <v>1081337</v>
      </c>
      <c r="C988" s="2">
        <v>46115</v>
      </c>
      <c r="D988" t="s">
        <v>17</v>
      </c>
      <c r="E988" t="s">
        <v>10</v>
      </c>
      <c r="G988" t="s">
        <v>9</v>
      </c>
      <c r="L988">
        <f t="shared" si="76"/>
        <v>0</v>
      </c>
      <c r="M988">
        <f t="shared" si="77"/>
        <v>0</v>
      </c>
      <c r="N988">
        <f t="shared" si="78"/>
        <v>0</v>
      </c>
      <c r="O988">
        <f t="shared" si="80"/>
        <v>1</v>
      </c>
      <c r="P988" t="str">
        <f t="shared" si="79"/>
        <v/>
      </c>
      <c r="Q988">
        <f>COUNTIF('責任職　企業局→市長部局'!A:A,SQLデータ!B988)</f>
        <v>0</v>
      </c>
      <c r="R988">
        <f>COUNTIF('一般職員　企業局→市長部局'!A:F,SQLデータ!B988)</f>
        <v>0</v>
      </c>
    </row>
    <row r="989" spans="1:18" x14ac:dyDescent="0.4">
      <c r="A989" s="1">
        <v>202650000785</v>
      </c>
      <c r="B989" s="1">
        <v>1236098</v>
      </c>
      <c r="C989" s="2">
        <v>46115</v>
      </c>
      <c r="D989" t="s">
        <v>17</v>
      </c>
      <c r="E989" t="s">
        <v>11</v>
      </c>
      <c r="G989" t="s">
        <v>9</v>
      </c>
      <c r="L989">
        <f t="shared" si="76"/>
        <v>0</v>
      </c>
      <c r="M989">
        <f t="shared" si="77"/>
        <v>0</v>
      </c>
      <c r="N989">
        <f t="shared" si="78"/>
        <v>0</v>
      </c>
      <c r="O989">
        <f t="shared" si="80"/>
        <v>1</v>
      </c>
      <c r="P989" t="str">
        <f t="shared" si="79"/>
        <v/>
      </c>
      <c r="Q989">
        <f>COUNTIF('責任職　企業局→市長部局'!A:A,SQLデータ!B989)</f>
        <v>0</v>
      </c>
      <c r="R989">
        <f>COUNTIF('一般職員　企業局→市長部局'!A:F,SQLデータ!B989)</f>
        <v>0</v>
      </c>
    </row>
    <row r="990" spans="1:18" x14ac:dyDescent="0.4">
      <c r="A990" s="1">
        <v>202650000786</v>
      </c>
      <c r="B990" s="1">
        <v>1106039</v>
      </c>
      <c r="C990" s="2">
        <v>46115</v>
      </c>
      <c r="D990" t="s">
        <v>17</v>
      </c>
      <c r="E990" t="s">
        <v>11</v>
      </c>
      <c r="G990" t="s">
        <v>9</v>
      </c>
      <c r="L990">
        <f t="shared" si="76"/>
        <v>0</v>
      </c>
      <c r="M990">
        <f t="shared" si="77"/>
        <v>0</v>
      </c>
      <c r="N990">
        <f t="shared" si="78"/>
        <v>0</v>
      </c>
      <c r="O990">
        <f t="shared" si="80"/>
        <v>1</v>
      </c>
      <c r="P990" t="str">
        <f t="shared" si="79"/>
        <v/>
      </c>
      <c r="Q990">
        <f>COUNTIF('責任職　企業局→市長部局'!A:A,SQLデータ!B990)</f>
        <v>0</v>
      </c>
      <c r="R990">
        <f>COUNTIF('一般職員　企業局→市長部局'!A:F,SQLデータ!B990)</f>
        <v>0</v>
      </c>
    </row>
    <row r="991" spans="1:18" x14ac:dyDescent="0.4">
      <c r="A991" s="1">
        <v>202650000787</v>
      </c>
      <c r="B991" s="1">
        <v>1191487</v>
      </c>
      <c r="C991" s="2">
        <v>46115</v>
      </c>
      <c r="D991" t="s">
        <v>17</v>
      </c>
      <c r="E991" t="s">
        <v>11</v>
      </c>
      <c r="G991" t="s">
        <v>9</v>
      </c>
      <c r="L991">
        <f t="shared" si="76"/>
        <v>0</v>
      </c>
      <c r="M991">
        <f t="shared" si="77"/>
        <v>0</v>
      </c>
      <c r="N991">
        <f t="shared" si="78"/>
        <v>0</v>
      </c>
      <c r="O991">
        <f t="shared" si="80"/>
        <v>1</v>
      </c>
      <c r="P991" t="str">
        <f t="shared" si="79"/>
        <v/>
      </c>
      <c r="Q991">
        <f>COUNTIF('責任職　企業局→市長部局'!A:A,SQLデータ!B991)</f>
        <v>0</v>
      </c>
      <c r="R991">
        <f>COUNTIF('一般職員　企業局→市長部局'!A:F,SQLデータ!B991)</f>
        <v>0</v>
      </c>
    </row>
    <row r="992" spans="1:18" x14ac:dyDescent="0.4">
      <c r="A992" s="1">
        <v>202650000788</v>
      </c>
      <c r="B992" s="1">
        <v>910567</v>
      </c>
      <c r="C992" s="2">
        <v>46115</v>
      </c>
      <c r="D992" t="s">
        <v>17</v>
      </c>
      <c r="E992" t="s">
        <v>11</v>
      </c>
      <c r="G992" t="s">
        <v>9</v>
      </c>
      <c r="L992">
        <f t="shared" si="76"/>
        <v>0</v>
      </c>
      <c r="M992">
        <f t="shared" si="77"/>
        <v>0</v>
      </c>
      <c r="N992">
        <f t="shared" si="78"/>
        <v>0</v>
      </c>
      <c r="O992">
        <f t="shared" si="80"/>
        <v>1</v>
      </c>
      <c r="P992" t="str">
        <f t="shared" si="79"/>
        <v/>
      </c>
      <c r="Q992">
        <f>COUNTIF('責任職　企業局→市長部局'!A:A,SQLデータ!B992)</f>
        <v>0</v>
      </c>
      <c r="R992">
        <f>COUNTIF('一般職員　企業局→市長部局'!A:F,SQLデータ!B992)</f>
        <v>0</v>
      </c>
    </row>
    <row r="993" spans="1:18" x14ac:dyDescent="0.4">
      <c r="A993" s="1">
        <v>202650000789</v>
      </c>
      <c r="B993" s="1">
        <v>1226130</v>
      </c>
      <c r="C993" s="2">
        <v>46115</v>
      </c>
      <c r="D993" t="s">
        <v>17</v>
      </c>
      <c r="E993" t="s">
        <v>8</v>
      </c>
      <c r="F993" t="s">
        <v>47</v>
      </c>
      <c r="G993" t="s">
        <v>9</v>
      </c>
      <c r="L993">
        <f t="shared" si="76"/>
        <v>0</v>
      </c>
      <c r="M993">
        <f t="shared" si="77"/>
        <v>0</v>
      </c>
      <c r="N993">
        <f t="shared" si="78"/>
        <v>0</v>
      </c>
      <c r="O993">
        <f t="shared" si="80"/>
        <v>1</v>
      </c>
      <c r="P993" t="str">
        <f t="shared" si="79"/>
        <v/>
      </c>
      <c r="Q993">
        <f>COUNTIF('責任職　企業局→市長部局'!A:A,SQLデータ!B993)</f>
        <v>0</v>
      </c>
      <c r="R993">
        <f>COUNTIF('一般職員　企業局→市長部局'!A:F,SQLデータ!B993)</f>
        <v>0</v>
      </c>
    </row>
    <row r="994" spans="1:18" x14ac:dyDescent="0.4">
      <c r="A994" s="1">
        <v>202650000790</v>
      </c>
      <c r="B994" s="1">
        <v>920029</v>
      </c>
      <c r="C994" s="2">
        <v>46115</v>
      </c>
      <c r="D994" t="s">
        <v>17</v>
      </c>
      <c r="E994" t="s">
        <v>10</v>
      </c>
      <c r="F994" t="s">
        <v>54</v>
      </c>
      <c r="G994" t="s">
        <v>9</v>
      </c>
      <c r="L994">
        <f t="shared" si="76"/>
        <v>0</v>
      </c>
      <c r="M994">
        <f t="shared" si="77"/>
        <v>0</v>
      </c>
      <c r="N994">
        <f t="shared" si="78"/>
        <v>0</v>
      </c>
      <c r="O994">
        <f t="shared" si="80"/>
        <v>1</v>
      </c>
      <c r="P994" t="str">
        <f t="shared" si="79"/>
        <v/>
      </c>
      <c r="Q994">
        <f>COUNTIF('責任職　企業局→市長部局'!A:A,SQLデータ!B994)</f>
        <v>0</v>
      </c>
      <c r="R994">
        <f>COUNTIF('一般職員　企業局→市長部局'!A:F,SQLデータ!B994)</f>
        <v>0</v>
      </c>
    </row>
    <row r="995" spans="1:18" x14ac:dyDescent="0.4">
      <c r="A995" s="1">
        <v>202650000791</v>
      </c>
      <c r="B995" s="1">
        <v>890674</v>
      </c>
      <c r="C995" s="2">
        <v>46115</v>
      </c>
      <c r="D995" t="s">
        <v>17</v>
      </c>
      <c r="E995" t="s">
        <v>10</v>
      </c>
      <c r="G995" t="s">
        <v>9</v>
      </c>
      <c r="L995">
        <f t="shared" si="76"/>
        <v>0</v>
      </c>
      <c r="M995">
        <f t="shared" si="77"/>
        <v>0</v>
      </c>
      <c r="N995">
        <f t="shared" si="78"/>
        <v>0</v>
      </c>
      <c r="O995">
        <f t="shared" si="80"/>
        <v>1</v>
      </c>
      <c r="P995" t="str">
        <f t="shared" si="79"/>
        <v/>
      </c>
      <c r="Q995">
        <f>COUNTIF('責任職　企業局→市長部局'!A:A,SQLデータ!B995)</f>
        <v>0</v>
      </c>
      <c r="R995">
        <f>COUNTIF('一般職員　企業局→市長部局'!A:F,SQLデータ!B995)</f>
        <v>0</v>
      </c>
    </row>
    <row r="996" spans="1:18" x14ac:dyDescent="0.4">
      <c r="A996" s="1">
        <v>202650000792</v>
      </c>
      <c r="B996" s="1">
        <v>1191496</v>
      </c>
      <c r="C996" s="2">
        <v>46115</v>
      </c>
      <c r="D996" t="s">
        <v>17</v>
      </c>
      <c r="E996" t="s">
        <v>10</v>
      </c>
      <c r="G996" t="s">
        <v>9</v>
      </c>
      <c r="L996">
        <f t="shared" si="76"/>
        <v>0</v>
      </c>
      <c r="M996">
        <f t="shared" si="77"/>
        <v>0</v>
      </c>
      <c r="N996">
        <f t="shared" si="78"/>
        <v>0</v>
      </c>
      <c r="O996">
        <f t="shared" si="80"/>
        <v>1</v>
      </c>
      <c r="P996" t="str">
        <f t="shared" si="79"/>
        <v/>
      </c>
      <c r="Q996">
        <f>COUNTIF('責任職　企業局→市長部局'!A:A,SQLデータ!B996)</f>
        <v>0</v>
      </c>
      <c r="R996">
        <f>COUNTIF('一般職員　企業局→市長部局'!A:F,SQLデータ!B996)</f>
        <v>0</v>
      </c>
    </row>
    <row r="997" spans="1:18" x14ac:dyDescent="0.4">
      <c r="A997" s="1">
        <v>202650000793</v>
      </c>
      <c r="B997" s="1">
        <v>1116066</v>
      </c>
      <c r="C997" s="2">
        <v>46115</v>
      </c>
      <c r="D997" t="s">
        <v>17</v>
      </c>
      <c r="E997" t="s">
        <v>11</v>
      </c>
      <c r="G997" t="s">
        <v>9</v>
      </c>
      <c r="L997">
        <f t="shared" si="76"/>
        <v>0</v>
      </c>
      <c r="M997">
        <f t="shared" si="77"/>
        <v>0</v>
      </c>
      <c r="N997">
        <f t="shared" si="78"/>
        <v>0</v>
      </c>
      <c r="O997">
        <f t="shared" si="80"/>
        <v>1</v>
      </c>
      <c r="P997" t="str">
        <f t="shared" si="79"/>
        <v/>
      </c>
      <c r="Q997">
        <f>COUNTIF('責任職　企業局→市長部局'!A:A,SQLデータ!B997)</f>
        <v>0</v>
      </c>
      <c r="R997">
        <f>COUNTIF('一般職員　企業局→市長部局'!A:F,SQLデータ!B997)</f>
        <v>0</v>
      </c>
    </row>
    <row r="998" spans="1:18" x14ac:dyDescent="0.4">
      <c r="A998" s="1">
        <v>202650000794</v>
      </c>
      <c r="B998" s="1">
        <v>1206062</v>
      </c>
      <c r="C998" s="2">
        <v>46115</v>
      </c>
      <c r="D998" t="s">
        <v>17</v>
      </c>
      <c r="E998" t="s">
        <v>11</v>
      </c>
      <c r="G998" t="s">
        <v>9</v>
      </c>
      <c r="L998">
        <f t="shared" si="76"/>
        <v>0</v>
      </c>
      <c r="M998">
        <f t="shared" si="77"/>
        <v>0</v>
      </c>
      <c r="N998">
        <f t="shared" si="78"/>
        <v>0</v>
      </c>
      <c r="O998">
        <f t="shared" si="80"/>
        <v>1</v>
      </c>
      <c r="P998" t="str">
        <f t="shared" si="79"/>
        <v/>
      </c>
      <c r="Q998">
        <f>COUNTIF('責任職　企業局→市長部局'!A:A,SQLデータ!B998)</f>
        <v>0</v>
      </c>
      <c r="R998">
        <f>COUNTIF('一般職員　企業局→市長部局'!A:F,SQLデータ!B998)</f>
        <v>0</v>
      </c>
    </row>
    <row r="999" spans="1:18" x14ac:dyDescent="0.4">
      <c r="A999" s="1">
        <v>202650000795</v>
      </c>
      <c r="B999" s="1">
        <v>1111074</v>
      </c>
      <c r="C999" s="2">
        <v>46115</v>
      </c>
      <c r="D999" t="s">
        <v>17</v>
      </c>
      <c r="E999" t="s">
        <v>11</v>
      </c>
      <c r="G999" t="s">
        <v>9</v>
      </c>
      <c r="L999">
        <f t="shared" si="76"/>
        <v>0</v>
      </c>
      <c r="M999">
        <f t="shared" si="77"/>
        <v>0</v>
      </c>
      <c r="N999">
        <f t="shared" si="78"/>
        <v>0</v>
      </c>
      <c r="O999">
        <f t="shared" si="80"/>
        <v>1</v>
      </c>
      <c r="P999" t="str">
        <f t="shared" si="79"/>
        <v/>
      </c>
      <c r="Q999">
        <f>COUNTIF('責任職　企業局→市長部局'!A:A,SQLデータ!B999)</f>
        <v>0</v>
      </c>
      <c r="R999">
        <f>COUNTIF('一般職員　企業局→市長部局'!A:F,SQLデータ!B999)</f>
        <v>0</v>
      </c>
    </row>
    <row r="1000" spans="1:18" x14ac:dyDescent="0.4">
      <c r="A1000" s="1">
        <v>202650000796</v>
      </c>
      <c r="B1000" s="1">
        <v>1081350</v>
      </c>
      <c r="C1000" s="2">
        <v>46115</v>
      </c>
      <c r="D1000" t="s">
        <v>17</v>
      </c>
      <c r="E1000" t="s">
        <v>11</v>
      </c>
      <c r="G1000" t="s">
        <v>9</v>
      </c>
      <c r="L1000">
        <f t="shared" si="76"/>
        <v>0</v>
      </c>
      <c r="M1000">
        <f t="shared" si="77"/>
        <v>0</v>
      </c>
      <c r="N1000">
        <f t="shared" si="78"/>
        <v>0</v>
      </c>
      <c r="O1000">
        <f t="shared" si="80"/>
        <v>1</v>
      </c>
      <c r="P1000" t="str">
        <f t="shared" si="79"/>
        <v/>
      </c>
      <c r="Q1000">
        <f>COUNTIF('責任職　企業局→市長部局'!A:A,SQLデータ!B1000)</f>
        <v>0</v>
      </c>
      <c r="R1000">
        <f>COUNTIF('一般職員　企業局→市長部局'!A:F,SQLデータ!B1000)</f>
        <v>0</v>
      </c>
    </row>
    <row r="1001" spans="1:18" x14ac:dyDescent="0.4">
      <c r="A1001" s="1">
        <v>202650000797</v>
      </c>
      <c r="B1001" s="1">
        <v>1011012</v>
      </c>
      <c r="C1001" s="2">
        <v>46115</v>
      </c>
      <c r="D1001" t="s">
        <v>17</v>
      </c>
      <c r="E1001" t="s">
        <v>11</v>
      </c>
      <c r="G1001" t="s">
        <v>9</v>
      </c>
      <c r="L1001">
        <f t="shared" si="76"/>
        <v>0</v>
      </c>
      <c r="M1001">
        <f t="shared" si="77"/>
        <v>0</v>
      </c>
      <c r="N1001">
        <f t="shared" si="78"/>
        <v>0</v>
      </c>
      <c r="O1001">
        <f t="shared" si="80"/>
        <v>1</v>
      </c>
      <c r="P1001" t="str">
        <f t="shared" si="79"/>
        <v/>
      </c>
      <c r="Q1001">
        <f>COUNTIF('責任職　企業局→市長部局'!A:A,SQLデータ!B1001)</f>
        <v>0</v>
      </c>
      <c r="R1001">
        <f>COUNTIF('一般職員　企業局→市長部局'!A:F,SQLデータ!B1001)</f>
        <v>0</v>
      </c>
    </row>
    <row r="1002" spans="1:18" x14ac:dyDescent="0.4">
      <c r="A1002" s="1">
        <v>202650000798</v>
      </c>
      <c r="B1002" s="1">
        <v>1076056</v>
      </c>
      <c r="C1002" s="2">
        <v>46115</v>
      </c>
      <c r="D1002" t="s">
        <v>17</v>
      </c>
      <c r="E1002" t="s">
        <v>11</v>
      </c>
      <c r="G1002" t="s">
        <v>9</v>
      </c>
      <c r="L1002">
        <f t="shared" si="76"/>
        <v>0</v>
      </c>
      <c r="M1002">
        <f t="shared" si="77"/>
        <v>0</v>
      </c>
      <c r="N1002">
        <f t="shared" si="78"/>
        <v>0</v>
      </c>
      <c r="O1002">
        <f t="shared" si="80"/>
        <v>1</v>
      </c>
      <c r="P1002" t="str">
        <f t="shared" si="79"/>
        <v/>
      </c>
      <c r="Q1002">
        <f>COUNTIF('責任職　企業局→市長部局'!A:A,SQLデータ!B1002)</f>
        <v>0</v>
      </c>
      <c r="R1002">
        <f>COUNTIF('一般職員　企業局→市長部局'!A:F,SQLデータ!B1002)</f>
        <v>0</v>
      </c>
    </row>
    <row r="1003" spans="1:18" x14ac:dyDescent="0.4">
      <c r="A1003" s="1">
        <v>202650000799</v>
      </c>
      <c r="B1003" s="1">
        <v>1046057</v>
      </c>
      <c r="C1003" s="2">
        <v>46115</v>
      </c>
      <c r="D1003" t="s">
        <v>17</v>
      </c>
      <c r="E1003" t="s">
        <v>11</v>
      </c>
      <c r="G1003" t="s">
        <v>9</v>
      </c>
      <c r="L1003">
        <f t="shared" si="76"/>
        <v>0</v>
      </c>
      <c r="M1003">
        <f t="shared" si="77"/>
        <v>0</v>
      </c>
      <c r="N1003">
        <f t="shared" si="78"/>
        <v>0</v>
      </c>
      <c r="O1003">
        <f t="shared" si="80"/>
        <v>1</v>
      </c>
      <c r="P1003" t="str">
        <f t="shared" si="79"/>
        <v/>
      </c>
      <c r="Q1003">
        <f>COUNTIF('責任職　企業局→市長部局'!A:A,SQLデータ!B1003)</f>
        <v>0</v>
      </c>
      <c r="R1003">
        <f>COUNTIF('一般職員　企業局→市長部局'!A:F,SQLデータ!B1003)</f>
        <v>0</v>
      </c>
    </row>
    <row r="1004" spans="1:18" x14ac:dyDescent="0.4">
      <c r="A1004" s="1">
        <v>202650000800</v>
      </c>
      <c r="B1004" s="1">
        <v>1121305</v>
      </c>
      <c r="C1004" s="2">
        <v>46115</v>
      </c>
      <c r="D1004" t="s">
        <v>17</v>
      </c>
      <c r="E1004" t="s">
        <v>11</v>
      </c>
      <c r="G1004" t="s">
        <v>9</v>
      </c>
      <c r="L1004">
        <f t="shared" si="76"/>
        <v>0</v>
      </c>
      <c r="M1004">
        <f t="shared" si="77"/>
        <v>0</v>
      </c>
      <c r="N1004">
        <f t="shared" si="78"/>
        <v>0</v>
      </c>
      <c r="O1004">
        <f t="shared" si="80"/>
        <v>1</v>
      </c>
      <c r="P1004" t="str">
        <f t="shared" si="79"/>
        <v/>
      </c>
      <c r="Q1004">
        <f>COUNTIF('責任職　企業局→市長部局'!A:A,SQLデータ!B1004)</f>
        <v>0</v>
      </c>
      <c r="R1004">
        <f>COUNTIF('一般職員　企業局→市長部局'!A:F,SQLデータ!B1004)</f>
        <v>0</v>
      </c>
    </row>
    <row r="1005" spans="1:18" x14ac:dyDescent="0.4">
      <c r="A1005" s="1">
        <v>202650000801</v>
      </c>
      <c r="B1005" s="1">
        <v>1082018</v>
      </c>
      <c r="C1005" s="2">
        <v>46115</v>
      </c>
      <c r="D1005" t="s">
        <v>17</v>
      </c>
      <c r="E1005" t="s">
        <v>10</v>
      </c>
      <c r="G1005" t="s">
        <v>9</v>
      </c>
      <c r="L1005">
        <f t="shared" si="76"/>
        <v>0</v>
      </c>
      <c r="M1005">
        <f t="shared" si="77"/>
        <v>0</v>
      </c>
      <c r="N1005">
        <f t="shared" si="78"/>
        <v>0</v>
      </c>
      <c r="O1005">
        <f t="shared" si="80"/>
        <v>1</v>
      </c>
      <c r="P1005" t="str">
        <f t="shared" si="79"/>
        <v/>
      </c>
      <c r="Q1005">
        <f>COUNTIF('責任職　企業局→市長部局'!A:A,SQLデータ!B1005)</f>
        <v>0</v>
      </c>
      <c r="R1005">
        <f>COUNTIF('一般職員　企業局→市長部局'!A:F,SQLデータ!B1005)</f>
        <v>0</v>
      </c>
    </row>
    <row r="1006" spans="1:18" x14ac:dyDescent="0.4">
      <c r="A1006" s="1">
        <v>202650000802</v>
      </c>
      <c r="B1006" s="1">
        <v>930898</v>
      </c>
      <c r="C1006" s="2">
        <v>46115</v>
      </c>
      <c r="D1006" t="s">
        <v>17</v>
      </c>
      <c r="E1006" t="s">
        <v>11</v>
      </c>
      <c r="G1006" t="s">
        <v>9</v>
      </c>
      <c r="L1006">
        <f t="shared" si="76"/>
        <v>0</v>
      </c>
      <c r="M1006">
        <f t="shared" si="77"/>
        <v>0</v>
      </c>
      <c r="N1006">
        <f t="shared" si="78"/>
        <v>0</v>
      </c>
      <c r="O1006">
        <f t="shared" si="80"/>
        <v>1</v>
      </c>
      <c r="P1006" t="str">
        <f t="shared" si="79"/>
        <v/>
      </c>
      <c r="Q1006">
        <f>COUNTIF('責任職　企業局→市長部局'!A:A,SQLデータ!B1006)</f>
        <v>0</v>
      </c>
      <c r="R1006">
        <f>COUNTIF('一般職員　企業局→市長部局'!A:F,SQLデータ!B1006)</f>
        <v>0</v>
      </c>
    </row>
    <row r="1007" spans="1:18" x14ac:dyDescent="0.4">
      <c r="A1007" s="1">
        <v>202650000803</v>
      </c>
      <c r="B1007" s="1">
        <v>1226047</v>
      </c>
      <c r="C1007" s="2">
        <v>46115</v>
      </c>
      <c r="D1007" t="s">
        <v>17</v>
      </c>
      <c r="E1007" t="s">
        <v>11</v>
      </c>
      <c r="G1007" t="s">
        <v>9</v>
      </c>
      <c r="L1007">
        <f t="shared" si="76"/>
        <v>0</v>
      </c>
      <c r="M1007">
        <f t="shared" si="77"/>
        <v>0</v>
      </c>
      <c r="N1007">
        <f t="shared" si="78"/>
        <v>0</v>
      </c>
      <c r="O1007">
        <f t="shared" si="80"/>
        <v>1</v>
      </c>
      <c r="P1007" t="str">
        <f t="shared" si="79"/>
        <v/>
      </c>
      <c r="Q1007">
        <f>COUNTIF('責任職　企業局→市長部局'!A:A,SQLデータ!B1007)</f>
        <v>0</v>
      </c>
      <c r="R1007">
        <f>COUNTIF('一般職員　企業局→市長部局'!A:F,SQLデータ!B1007)</f>
        <v>0</v>
      </c>
    </row>
    <row r="1008" spans="1:18" x14ac:dyDescent="0.4">
      <c r="A1008" s="1">
        <v>202650000804</v>
      </c>
      <c r="B1008" s="1">
        <v>1206014</v>
      </c>
      <c r="C1008" s="2">
        <v>46115</v>
      </c>
      <c r="D1008" t="s">
        <v>17</v>
      </c>
      <c r="E1008" t="s">
        <v>11</v>
      </c>
      <c r="G1008" t="s">
        <v>9</v>
      </c>
      <c r="L1008">
        <f t="shared" si="76"/>
        <v>0</v>
      </c>
      <c r="M1008">
        <f t="shared" si="77"/>
        <v>0</v>
      </c>
      <c r="N1008">
        <f t="shared" si="78"/>
        <v>0</v>
      </c>
      <c r="O1008">
        <f t="shared" si="80"/>
        <v>1</v>
      </c>
      <c r="P1008" t="str">
        <f t="shared" si="79"/>
        <v/>
      </c>
      <c r="Q1008">
        <f>COUNTIF('責任職　企業局→市長部局'!A:A,SQLデータ!B1008)</f>
        <v>0</v>
      </c>
      <c r="R1008">
        <f>COUNTIF('一般職員　企業局→市長部局'!A:F,SQLデータ!B1008)</f>
        <v>0</v>
      </c>
    </row>
    <row r="1009" spans="1:18" x14ac:dyDescent="0.4">
      <c r="A1009" s="1">
        <v>202650000805</v>
      </c>
      <c r="B1009" s="1">
        <v>910069</v>
      </c>
      <c r="C1009" s="2">
        <v>46115</v>
      </c>
      <c r="D1009" t="s">
        <v>17</v>
      </c>
      <c r="E1009" t="s">
        <v>11</v>
      </c>
      <c r="G1009" t="s">
        <v>9</v>
      </c>
      <c r="L1009">
        <f t="shared" si="76"/>
        <v>0</v>
      </c>
      <c r="M1009">
        <f t="shared" si="77"/>
        <v>0</v>
      </c>
      <c r="N1009">
        <f t="shared" si="78"/>
        <v>0</v>
      </c>
      <c r="O1009">
        <f t="shared" si="80"/>
        <v>1</v>
      </c>
      <c r="P1009" t="str">
        <f t="shared" si="79"/>
        <v/>
      </c>
      <c r="Q1009">
        <f>COUNTIF('責任職　企業局→市長部局'!A:A,SQLデータ!B1009)</f>
        <v>0</v>
      </c>
      <c r="R1009">
        <f>COUNTIF('一般職員　企業局→市長部局'!A:F,SQLデータ!B1009)</f>
        <v>0</v>
      </c>
    </row>
    <row r="1010" spans="1:18" x14ac:dyDescent="0.4">
      <c r="A1010" s="1">
        <v>202650000806</v>
      </c>
      <c r="B1010" s="1">
        <v>1151269</v>
      </c>
      <c r="C1010" s="2">
        <v>46115</v>
      </c>
      <c r="D1010" t="s">
        <v>17</v>
      </c>
      <c r="E1010" t="s">
        <v>10</v>
      </c>
      <c r="G1010" t="s">
        <v>9</v>
      </c>
      <c r="L1010">
        <f t="shared" si="76"/>
        <v>0</v>
      </c>
      <c r="M1010">
        <f t="shared" si="77"/>
        <v>0</v>
      </c>
      <c r="N1010">
        <f t="shared" si="78"/>
        <v>0</v>
      </c>
      <c r="O1010">
        <f t="shared" si="80"/>
        <v>1</v>
      </c>
      <c r="P1010" t="str">
        <f t="shared" si="79"/>
        <v/>
      </c>
      <c r="Q1010">
        <f>COUNTIF('責任職　企業局→市長部局'!A:A,SQLデータ!B1010)</f>
        <v>0</v>
      </c>
      <c r="R1010">
        <f>COUNTIF('一般職員　企業局→市長部局'!A:F,SQLデータ!B1010)</f>
        <v>0</v>
      </c>
    </row>
    <row r="1011" spans="1:18" x14ac:dyDescent="0.4">
      <c r="A1011" s="1">
        <v>202650000807</v>
      </c>
      <c r="B1011" s="1">
        <v>1101018</v>
      </c>
      <c r="C1011" s="2">
        <v>46115</v>
      </c>
      <c r="D1011" t="s">
        <v>17</v>
      </c>
      <c r="E1011" t="s">
        <v>10</v>
      </c>
      <c r="G1011" t="s">
        <v>9</v>
      </c>
      <c r="L1011">
        <f t="shared" si="76"/>
        <v>0</v>
      </c>
      <c r="M1011">
        <f t="shared" si="77"/>
        <v>0</v>
      </c>
      <c r="N1011">
        <f t="shared" si="78"/>
        <v>0</v>
      </c>
      <c r="O1011">
        <f t="shared" si="80"/>
        <v>1</v>
      </c>
      <c r="P1011" t="str">
        <f t="shared" si="79"/>
        <v/>
      </c>
      <c r="Q1011">
        <f>COUNTIF('責任職　企業局→市長部局'!A:A,SQLデータ!B1011)</f>
        <v>0</v>
      </c>
      <c r="R1011">
        <f>COUNTIF('一般職員　企業局→市長部局'!A:F,SQLデータ!B1011)</f>
        <v>0</v>
      </c>
    </row>
    <row r="1012" spans="1:18" x14ac:dyDescent="0.4">
      <c r="A1012" s="1">
        <v>202650000808</v>
      </c>
      <c r="B1012" s="1">
        <v>1092068</v>
      </c>
      <c r="C1012" s="2">
        <v>46115</v>
      </c>
      <c r="D1012" t="s">
        <v>17</v>
      </c>
      <c r="E1012" t="s">
        <v>11</v>
      </c>
      <c r="G1012" t="s">
        <v>9</v>
      </c>
      <c r="L1012">
        <f t="shared" si="76"/>
        <v>0</v>
      </c>
      <c r="M1012">
        <f t="shared" si="77"/>
        <v>0</v>
      </c>
      <c r="N1012">
        <f t="shared" si="78"/>
        <v>0</v>
      </c>
      <c r="O1012">
        <f t="shared" si="80"/>
        <v>1</v>
      </c>
      <c r="P1012" t="str">
        <f t="shared" si="79"/>
        <v/>
      </c>
      <c r="Q1012">
        <f>COUNTIF('責任職　企業局→市長部局'!A:A,SQLデータ!B1012)</f>
        <v>0</v>
      </c>
      <c r="R1012">
        <f>COUNTIF('一般職員　企業局→市長部局'!A:F,SQLデータ!B1012)</f>
        <v>0</v>
      </c>
    </row>
    <row r="1013" spans="1:18" x14ac:dyDescent="0.4">
      <c r="A1013" s="1">
        <v>202650000809</v>
      </c>
      <c r="B1013" s="1">
        <v>994294</v>
      </c>
      <c r="C1013" s="2">
        <v>46118</v>
      </c>
      <c r="D1013" t="s">
        <v>17</v>
      </c>
      <c r="E1013" t="s">
        <v>10</v>
      </c>
      <c r="G1013" t="s">
        <v>9</v>
      </c>
      <c r="L1013">
        <f t="shared" si="76"/>
        <v>0</v>
      </c>
      <c r="M1013">
        <f t="shared" si="77"/>
        <v>0</v>
      </c>
      <c r="N1013">
        <f t="shared" si="78"/>
        <v>0</v>
      </c>
      <c r="O1013">
        <f t="shared" si="80"/>
        <v>1</v>
      </c>
      <c r="P1013" t="str">
        <f t="shared" si="79"/>
        <v/>
      </c>
      <c r="Q1013">
        <f>COUNTIF('責任職　企業局→市長部局'!A:A,SQLデータ!B1013)</f>
        <v>0</v>
      </c>
      <c r="R1013">
        <f>COUNTIF('一般職員　企業局→市長部局'!A:F,SQLデータ!B1013)</f>
        <v>0</v>
      </c>
    </row>
    <row r="1014" spans="1:18" x14ac:dyDescent="0.4">
      <c r="A1014" s="1">
        <v>202650000810</v>
      </c>
      <c r="B1014" s="1">
        <v>900091</v>
      </c>
      <c r="C1014" s="2">
        <v>46115</v>
      </c>
      <c r="D1014" t="s">
        <v>17</v>
      </c>
      <c r="E1014" t="s">
        <v>10</v>
      </c>
      <c r="G1014" t="s">
        <v>9</v>
      </c>
      <c r="L1014">
        <f t="shared" si="76"/>
        <v>0</v>
      </c>
      <c r="M1014">
        <f t="shared" si="77"/>
        <v>0</v>
      </c>
      <c r="N1014">
        <f t="shared" si="78"/>
        <v>0</v>
      </c>
      <c r="O1014">
        <f t="shared" si="80"/>
        <v>1</v>
      </c>
      <c r="P1014" t="str">
        <f t="shared" si="79"/>
        <v/>
      </c>
      <c r="Q1014">
        <f>COUNTIF('責任職　企業局→市長部局'!A:A,SQLデータ!B1014)</f>
        <v>0</v>
      </c>
      <c r="R1014">
        <f>COUNTIF('一般職員　企業局→市長部局'!A:F,SQLデータ!B1014)</f>
        <v>0</v>
      </c>
    </row>
    <row r="1015" spans="1:18" x14ac:dyDescent="0.4">
      <c r="A1015" s="1">
        <v>202650000811</v>
      </c>
      <c r="B1015" s="1">
        <v>992031</v>
      </c>
      <c r="C1015" s="2">
        <v>46115</v>
      </c>
      <c r="D1015" t="s">
        <v>17</v>
      </c>
      <c r="E1015" t="s">
        <v>8</v>
      </c>
      <c r="G1015" t="s">
        <v>9</v>
      </c>
      <c r="L1015">
        <f t="shared" si="76"/>
        <v>0</v>
      </c>
      <c r="M1015">
        <f t="shared" si="77"/>
        <v>0</v>
      </c>
      <c r="N1015">
        <f t="shared" si="78"/>
        <v>0</v>
      </c>
      <c r="O1015">
        <f t="shared" si="80"/>
        <v>1</v>
      </c>
      <c r="P1015" t="str">
        <f t="shared" si="79"/>
        <v/>
      </c>
      <c r="Q1015">
        <f>COUNTIF('責任職　企業局→市長部局'!A:A,SQLデータ!B1015)</f>
        <v>0</v>
      </c>
      <c r="R1015">
        <f>COUNTIF('一般職員　企業局→市長部局'!A:F,SQLデータ!B1015)</f>
        <v>0</v>
      </c>
    </row>
    <row r="1016" spans="1:18" x14ac:dyDescent="0.4">
      <c r="A1016" s="1">
        <v>202650000812</v>
      </c>
      <c r="B1016" s="1">
        <v>1026037</v>
      </c>
      <c r="C1016" s="2">
        <v>46115</v>
      </c>
      <c r="D1016" t="s">
        <v>17</v>
      </c>
      <c r="E1016" t="s">
        <v>11</v>
      </c>
      <c r="G1016" t="s">
        <v>9</v>
      </c>
      <c r="L1016">
        <f t="shared" si="76"/>
        <v>0</v>
      </c>
      <c r="M1016">
        <f t="shared" si="77"/>
        <v>0</v>
      </c>
      <c r="N1016">
        <f t="shared" si="78"/>
        <v>0</v>
      </c>
      <c r="O1016">
        <f t="shared" si="80"/>
        <v>1</v>
      </c>
      <c r="P1016" t="str">
        <f t="shared" si="79"/>
        <v/>
      </c>
      <c r="Q1016">
        <f>COUNTIF('責任職　企業局→市長部局'!A:A,SQLデータ!B1016)</f>
        <v>0</v>
      </c>
      <c r="R1016">
        <f>COUNTIF('一般職員　企業局→市長部局'!A:F,SQLデータ!B1016)</f>
        <v>0</v>
      </c>
    </row>
    <row r="1017" spans="1:18" x14ac:dyDescent="0.4">
      <c r="A1017" s="1">
        <v>202650000813</v>
      </c>
      <c r="B1017" s="1">
        <v>986019</v>
      </c>
      <c r="C1017" s="2">
        <v>46115</v>
      </c>
      <c r="D1017" t="s">
        <v>17</v>
      </c>
      <c r="E1017" t="s">
        <v>11</v>
      </c>
      <c r="G1017" t="s">
        <v>9</v>
      </c>
      <c r="L1017">
        <f t="shared" si="76"/>
        <v>0</v>
      </c>
      <c r="M1017">
        <f t="shared" si="77"/>
        <v>0</v>
      </c>
      <c r="N1017">
        <f t="shared" si="78"/>
        <v>0</v>
      </c>
      <c r="O1017">
        <f t="shared" si="80"/>
        <v>1</v>
      </c>
      <c r="P1017" t="str">
        <f t="shared" si="79"/>
        <v/>
      </c>
      <c r="Q1017">
        <f>COUNTIF('責任職　企業局→市長部局'!A:A,SQLデータ!B1017)</f>
        <v>0</v>
      </c>
      <c r="R1017">
        <f>COUNTIF('一般職員　企業局→市長部局'!A:F,SQLデータ!B1017)</f>
        <v>0</v>
      </c>
    </row>
    <row r="1018" spans="1:18" x14ac:dyDescent="0.4">
      <c r="A1018" s="1">
        <v>202650000814</v>
      </c>
      <c r="B1018" s="1">
        <v>1126026</v>
      </c>
      <c r="C1018" s="2">
        <v>46115</v>
      </c>
      <c r="D1018" t="s">
        <v>17</v>
      </c>
      <c r="E1018" t="s">
        <v>11</v>
      </c>
      <c r="G1018" t="s">
        <v>9</v>
      </c>
      <c r="L1018">
        <f t="shared" si="76"/>
        <v>0</v>
      </c>
      <c r="M1018">
        <f t="shared" si="77"/>
        <v>0</v>
      </c>
      <c r="N1018">
        <f t="shared" si="78"/>
        <v>0</v>
      </c>
      <c r="O1018">
        <f t="shared" si="80"/>
        <v>1</v>
      </c>
      <c r="P1018" t="str">
        <f t="shared" si="79"/>
        <v/>
      </c>
      <c r="Q1018">
        <f>COUNTIF('責任職　企業局→市長部局'!A:A,SQLデータ!B1018)</f>
        <v>0</v>
      </c>
      <c r="R1018">
        <f>COUNTIF('一般職員　企業局→市長部局'!A:F,SQLデータ!B1018)</f>
        <v>0</v>
      </c>
    </row>
    <row r="1019" spans="1:18" x14ac:dyDescent="0.4">
      <c r="A1019" s="1">
        <v>202650000815</v>
      </c>
      <c r="B1019" s="1">
        <v>1146088</v>
      </c>
      <c r="C1019" s="2">
        <v>46115</v>
      </c>
      <c r="D1019" t="s">
        <v>17</v>
      </c>
      <c r="E1019" t="s">
        <v>10</v>
      </c>
      <c r="G1019" t="s">
        <v>9</v>
      </c>
      <c r="L1019">
        <f t="shared" si="76"/>
        <v>0</v>
      </c>
      <c r="M1019">
        <f t="shared" si="77"/>
        <v>0</v>
      </c>
      <c r="N1019">
        <f t="shared" si="78"/>
        <v>0</v>
      </c>
      <c r="O1019">
        <f t="shared" si="80"/>
        <v>1</v>
      </c>
      <c r="P1019" t="str">
        <f t="shared" si="79"/>
        <v/>
      </c>
      <c r="Q1019">
        <f>COUNTIF('責任職　企業局→市長部局'!A:A,SQLデータ!B1019)</f>
        <v>0</v>
      </c>
      <c r="R1019">
        <f>COUNTIF('一般職員　企業局→市長部局'!A:F,SQLデータ!B1019)</f>
        <v>0</v>
      </c>
    </row>
    <row r="1020" spans="1:18" x14ac:dyDescent="0.4">
      <c r="A1020" s="1">
        <v>202650000816</v>
      </c>
      <c r="B1020" s="1">
        <v>1131375</v>
      </c>
      <c r="C1020" s="2">
        <v>46115</v>
      </c>
      <c r="D1020" t="s">
        <v>17</v>
      </c>
      <c r="E1020" t="s">
        <v>10</v>
      </c>
      <c r="G1020" t="s">
        <v>9</v>
      </c>
      <c r="L1020">
        <f t="shared" si="76"/>
        <v>0</v>
      </c>
      <c r="M1020">
        <f t="shared" si="77"/>
        <v>0</v>
      </c>
      <c r="N1020">
        <f t="shared" si="78"/>
        <v>0</v>
      </c>
      <c r="O1020">
        <f t="shared" si="80"/>
        <v>1</v>
      </c>
      <c r="P1020" t="str">
        <f t="shared" si="79"/>
        <v/>
      </c>
      <c r="Q1020">
        <f>COUNTIF('責任職　企業局→市長部局'!A:A,SQLデータ!B1020)</f>
        <v>0</v>
      </c>
      <c r="R1020">
        <f>COUNTIF('一般職員　企業局→市長部局'!A:F,SQLデータ!B1020)</f>
        <v>0</v>
      </c>
    </row>
    <row r="1021" spans="1:18" x14ac:dyDescent="0.4">
      <c r="A1021" s="1">
        <v>202650000817</v>
      </c>
      <c r="B1021" s="1">
        <v>1214018</v>
      </c>
      <c r="C1021" s="2">
        <v>46115</v>
      </c>
      <c r="D1021" t="s">
        <v>17</v>
      </c>
      <c r="E1021" t="s">
        <v>10</v>
      </c>
      <c r="G1021" t="s">
        <v>9</v>
      </c>
      <c r="L1021">
        <f t="shared" si="76"/>
        <v>0</v>
      </c>
      <c r="M1021">
        <f t="shared" si="77"/>
        <v>0</v>
      </c>
      <c r="N1021">
        <f t="shared" si="78"/>
        <v>0</v>
      </c>
      <c r="O1021">
        <f t="shared" si="80"/>
        <v>1</v>
      </c>
      <c r="P1021" t="str">
        <f t="shared" si="79"/>
        <v/>
      </c>
      <c r="Q1021">
        <f>COUNTIF('責任職　企業局→市長部局'!A:A,SQLデータ!B1021)</f>
        <v>0</v>
      </c>
      <c r="R1021">
        <f>COUNTIF('一般職員　企業局→市長部局'!A:F,SQLデータ!B1021)</f>
        <v>0</v>
      </c>
    </row>
    <row r="1022" spans="1:18" x14ac:dyDescent="0.4">
      <c r="A1022" s="1">
        <v>202650000818</v>
      </c>
      <c r="B1022" s="1">
        <v>910341</v>
      </c>
      <c r="C1022" s="2">
        <v>46115</v>
      </c>
      <c r="D1022" t="s">
        <v>17</v>
      </c>
      <c r="E1022" t="s">
        <v>11</v>
      </c>
      <c r="G1022" t="s">
        <v>9</v>
      </c>
      <c r="L1022">
        <f t="shared" si="76"/>
        <v>0</v>
      </c>
      <c r="M1022">
        <f t="shared" si="77"/>
        <v>0</v>
      </c>
      <c r="N1022">
        <f t="shared" si="78"/>
        <v>0</v>
      </c>
      <c r="O1022">
        <f t="shared" si="80"/>
        <v>1</v>
      </c>
      <c r="P1022" t="str">
        <f t="shared" si="79"/>
        <v/>
      </c>
      <c r="Q1022">
        <f>COUNTIF('責任職　企業局→市長部局'!A:A,SQLデータ!B1022)</f>
        <v>0</v>
      </c>
      <c r="R1022">
        <f>COUNTIF('一般職員　企業局→市長部局'!A:F,SQLデータ!B1022)</f>
        <v>0</v>
      </c>
    </row>
    <row r="1023" spans="1:18" x14ac:dyDescent="0.4">
      <c r="A1023" s="1">
        <v>202650000820</v>
      </c>
      <c r="B1023" s="1">
        <v>991247</v>
      </c>
      <c r="C1023" s="2">
        <v>46115</v>
      </c>
      <c r="D1023" t="s">
        <v>17</v>
      </c>
      <c r="E1023" t="s">
        <v>10</v>
      </c>
      <c r="G1023" t="s">
        <v>9</v>
      </c>
      <c r="L1023">
        <f t="shared" si="76"/>
        <v>0</v>
      </c>
      <c r="M1023">
        <f t="shared" si="77"/>
        <v>0</v>
      </c>
      <c r="N1023">
        <f t="shared" si="78"/>
        <v>0</v>
      </c>
      <c r="O1023">
        <f t="shared" si="80"/>
        <v>1</v>
      </c>
      <c r="P1023" t="str">
        <f t="shared" si="79"/>
        <v/>
      </c>
      <c r="Q1023">
        <f>COUNTIF('責任職　企業局→市長部局'!A:A,SQLデータ!B1023)</f>
        <v>0</v>
      </c>
      <c r="R1023">
        <f>COUNTIF('一般職員　企業局→市長部局'!A:F,SQLデータ!B1023)</f>
        <v>0</v>
      </c>
    </row>
    <row r="1024" spans="1:18" x14ac:dyDescent="0.4">
      <c r="A1024" s="1">
        <v>202650000821</v>
      </c>
      <c r="B1024" s="1">
        <v>1226019</v>
      </c>
      <c r="C1024" s="2">
        <v>46118</v>
      </c>
      <c r="D1024" t="s">
        <v>17</v>
      </c>
      <c r="E1024" t="s">
        <v>11</v>
      </c>
      <c r="G1024" t="s">
        <v>9</v>
      </c>
      <c r="L1024">
        <f t="shared" si="76"/>
        <v>0</v>
      </c>
      <c r="M1024">
        <f t="shared" si="77"/>
        <v>0</v>
      </c>
      <c r="N1024">
        <f t="shared" si="78"/>
        <v>0</v>
      </c>
      <c r="O1024">
        <f t="shared" si="80"/>
        <v>1</v>
      </c>
      <c r="P1024" t="str">
        <f t="shared" si="79"/>
        <v/>
      </c>
      <c r="Q1024">
        <f>COUNTIF('責任職　企業局→市長部局'!A:A,SQLデータ!B1024)</f>
        <v>0</v>
      </c>
      <c r="R1024">
        <f>COUNTIF('一般職員　企業局→市長部局'!A:F,SQLデータ!B1024)</f>
        <v>0</v>
      </c>
    </row>
    <row r="1025" spans="1:18" x14ac:dyDescent="0.4">
      <c r="A1025" s="1">
        <v>202650000822</v>
      </c>
      <c r="B1025" s="1">
        <v>1021050</v>
      </c>
      <c r="C1025" s="2">
        <v>46115</v>
      </c>
      <c r="D1025" t="s">
        <v>17</v>
      </c>
      <c r="E1025" t="s">
        <v>10</v>
      </c>
      <c r="G1025" t="s">
        <v>9</v>
      </c>
      <c r="L1025">
        <f t="shared" si="76"/>
        <v>0</v>
      </c>
      <c r="M1025">
        <f t="shared" si="77"/>
        <v>0</v>
      </c>
      <c r="N1025">
        <f t="shared" si="78"/>
        <v>0</v>
      </c>
      <c r="O1025">
        <f t="shared" si="80"/>
        <v>1</v>
      </c>
      <c r="P1025" t="str">
        <f t="shared" si="79"/>
        <v/>
      </c>
      <c r="Q1025">
        <f>COUNTIF('責任職　企業局→市長部局'!A:A,SQLデータ!B1025)</f>
        <v>0</v>
      </c>
      <c r="R1025">
        <f>COUNTIF('一般職員　企業局→市長部局'!A:F,SQLデータ!B1025)</f>
        <v>0</v>
      </c>
    </row>
    <row r="1026" spans="1:18" x14ac:dyDescent="0.4">
      <c r="A1026" s="1">
        <v>202650000823</v>
      </c>
      <c r="B1026" s="1">
        <v>1092014</v>
      </c>
      <c r="C1026" s="2">
        <v>46115</v>
      </c>
      <c r="D1026" t="s">
        <v>17</v>
      </c>
      <c r="E1026" t="s">
        <v>11</v>
      </c>
      <c r="F1026" t="s">
        <v>48</v>
      </c>
      <c r="G1026" t="s">
        <v>9</v>
      </c>
      <c r="L1026">
        <f t="shared" ref="L1026:L1089" si="81">IF(ISBLANK(J1026),0,1)</f>
        <v>0</v>
      </c>
      <c r="M1026">
        <f t="shared" ref="M1026:M1089" si="82">IF(AND(L1026=0,I1026&lt;&gt;""),1,0)</f>
        <v>0</v>
      </c>
      <c r="N1026">
        <f t="shared" ref="N1026:N1089" si="83">IF(AND(L1026=0,M1026=0,K1026&lt;&gt;""),1,0)</f>
        <v>0</v>
      </c>
      <c r="O1026">
        <f t="shared" si="80"/>
        <v>1</v>
      </c>
      <c r="P1026" t="str">
        <f t="shared" ref="P1026:P1089" si="84">IF(D1026&lt;&gt;"扶養","",IF(E1026&lt;&gt;"確認待ち",1,IF(OR(AND(G1026="本人の結婚",O1026=1),AND(H1026="減",OR(N1026=1,O1026=1))),1,0)))</f>
        <v/>
      </c>
      <c r="Q1026">
        <f>COUNTIF('責任職　企業局→市長部局'!A:A,SQLデータ!B1026)</f>
        <v>0</v>
      </c>
      <c r="R1026">
        <f>COUNTIF('一般職員　企業局→市長部局'!A:F,SQLデータ!B1026)</f>
        <v>0</v>
      </c>
    </row>
    <row r="1027" spans="1:18" x14ac:dyDescent="0.4">
      <c r="A1027" s="1">
        <v>202650000824</v>
      </c>
      <c r="B1027" s="1">
        <v>1141290</v>
      </c>
      <c r="C1027" s="2">
        <v>46115</v>
      </c>
      <c r="D1027" t="s">
        <v>17</v>
      </c>
      <c r="E1027" t="s">
        <v>11</v>
      </c>
      <c r="G1027" t="s">
        <v>9</v>
      </c>
      <c r="L1027">
        <f t="shared" si="81"/>
        <v>0</v>
      </c>
      <c r="M1027">
        <f t="shared" si="82"/>
        <v>0</v>
      </c>
      <c r="N1027">
        <f t="shared" si="83"/>
        <v>0</v>
      </c>
      <c r="O1027">
        <f t="shared" si="80"/>
        <v>1</v>
      </c>
      <c r="P1027" t="str">
        <f t="shared" si="84"/>
        <v/>
      </c>
      <c r="Q1027">
        <f>COUNTIF('責任職　企業局→市長部局'!A:A,SQLデータ!B1027)</f>
        <v>0</v>
      </c>
      <c r="R1027">
        <f>COUNTIF('一般職員　企業局→市長部局'!A:F,SQLデータ!B1027)</f>
        <v>0</v>
      </c>
    </row>
    <row r="1028" spans="1:18" x14ac:dyDescent="0.4">
      <c r="A1028" s="1">
        <v>202650000825</v>
      </c>
      <c r="B1028" s="1">
        <v>1141049</v>
      </c>
      <c r="C1028" s="2">
        <v>46115</v>
      </c>
      <c r="D1028" t="s">
        <v>17</v>
      </c>
      <c r="E1028" t="s">
        <v>11</v>
      </c>
      <c r="F1028" t="s">
        <v>48</v>
      </c>
      <c r="G1028" t="s">
        <v>9</v>
      </c>
      <c r="L1028">
        <f t="shared" si="81"/>
        <v>0</v>
      </c>
      <c r="M1028">
        <f t="shared" si="82"/>
        <v>0</v>
      </c>
      <c r="N1028">
        <f t="shared" si="83"/>
        <v>0</v>
      </c>
      <c r="O1028">
        <f t="shared" si="80"/>
        <v>1</v>
      </c>
      <c r="P1028" t="str">
        <f t="shared" si="84"/>
        <v/>
      </c>
      <c r="Q1028">
        <f>COUNTIF('責任職　企業局→市長部局'!A:A,SQLデータ!B1028)</f>
        <v>0</v>
      </c>
      <c r="R1028">
        <f>COUNTIF('一般職員　企業局→市長部局'!A:F,SQLデータ!B1028)</f>
        <v>0</v>
      </c>
    </row>
    <row r="1029" spans="1:18" x14ac:dyDescent="0.4">
      <c r="A1029" s="1">
        <v>202650000826</v>
      </c>
      <c r="B1029" s="1">
        <v>1246045</v>
      </c>
      <c r="C1029" s="2">
        <v>46115</v>
      </c>
      <c r="D1029" t="s">
        <v>17</v>
      </c>
      <c r="E1029" t="s">
        <v>11</v>
      </c>
      <c r="G1029" t="s">
        <v>9</v>
      </c>
      <c r="L1029">
        <f t="shared" si="81"/>
        <v>0</v>
      </c>
      <c r="M1029">
        <f t="shared" si="82"/>
        <v>0</v>
      </c>
      <c r="N1029">
        <f t="shared" si="83"/>
        <v>0</v>
      </c>
      <c r="O1029">
        <f t="shared" si="80"/>
        <v>1</v>
      </c>
      <c r="P1029" t="str">
        <f t="shared" si="84"/>
        <v/>
      </c>
      <c r="Q1029">
        <f>COUNTIF('責任職　企業局→市長部局'!A:A,SQLデータ!B1029)</f>
        <v>0</v>
      </c>
      <c r="R1029">
        <f>COUNTIF('一般職員　企業局→市長部局'!A:F,SQLデータ!B1029)</f>
        <v>0</v>
      </c>
    </row>
    <row r="1030" spans="1:18" x14ac:dyDescent="0.4">
      <c r="A1030" s="1">
        <v>202650000828</v>
      </c>
      <c r="B1030" s="1">
        <v>1251343</v>
      </c>
      <c r="C1030" s="2">
        <v>46115</v>
      </c>
      <c r="D1030" t="s">
        <v>17</v>
      </c>
      <c r="E1030" t="s">
        <v>11</v>
      </c>
      <c r="G1030" t="s">
        <v>9</v>
      </c>
      <c r="L1030">
        <f t="shared" si="81"/>
        <v>0</v>
      </c>
      <c r="M1030">
        <f t="shared" si="82"/>
        <v>0</v>
      </c>
      <c r="N1030">
        <f t="shared" si="83"/>
        <v>0</v>
      </c>
      <c r="O1030">
        <f t="shared" si="80"/>
        <v>1</v>
      </c>
      <c r="P1030" t="str">
        <f t="shared" si="84"/>
        <v/>
      </c>
      <c r="Q1030">
        <f>COUNTIF('責任職　企業局→市長部局'!A:A,SQLデータ!B1030)</f>
        <v>0</v>
      </c>
      <c r="R1030">
        <f>COUNTIF('一般職員　企業局→市長部局'!A:F,SQLデータ!B1030)</f>
        <v>0</v>
      </c>
    </row>
    <row r="1031" spans="1:18" x14ac:dyDescent="0.4">
      <c r="A1031" s="1">
        <v>202650000829</v>
      </c>
      <c r="B1031" s="1">
        <v>1141243</v>
      </c>
      <c r="C1031" s="2">
        <v>46115</v>
      </c>
      <c r="D1031" t="s">
        <v>17</v>
      </c>
      <c r="E1031" t="s">
        <v>11</v>
      </c>
      <c r="G1031" t="s">
        <v>9</v>
      </c>
      <c r="L1031">
        <f t="shared" si="81"/>
        <v>0</v>
      </c>
      <c r="M1031">
        <f t="shared" si="82"/>
        <v>0</v>
      </c>
      <c r="N1031">
        <f t="shared" si="83"/>
        <v>0</v>
      </c>
      <c r="O1031">
        <f t="shared" si="80"/>
        <v>1</v>
      </c>
      <c r="P1031" t="str">
        <f t="shared" si="84"/>
        <v/>
      </c>
      <c r="Q1031">
        <f>COUNTIF('責任職　企業局→市長部局'!A:A,SQLデータ!B1031)</f>
        <v>0</v>
      </c>
      <c r="R1031">
        <f>COUNTIF('一般職員　企業局→市長部局'!A:F,SQLデータ!B1031)</f>
        <v>0</v>
      </c>
    </row>
    <row r="1032" spans="1:18" x14ac:dyDescent="0.4">
      <c r="A1032" s="1">
        <v>202650000830</v>
      </c>
      <c r="B1032" s="1">
        <v>982013</v>
      </c>
      <c r="C1032" s="2">
        <v>46115</v>
      </c>
      <c r="D1032" t="s">
        <v>17</v>
      </c>
      <c r="E1032" t="s">
        <v>11</v>
      </c>
      <c r="G1032" t="s">
        <v>9</v>
      </c>
      <c r="L1032">
        <f t="shared" si="81"/>
        <v>0</v>
      </c>
      <c r="M1032">
        <f t="shared" si="82"/>
        <v>0</v>
      </c>
      <c r="N1032">
        <f t="shared" si="83"/>
        <v>0</v>
      </c>
      <c r="O1032">
        <f t="shared" si="80"/>
        <v>1</v>
      </c>
      <c r="P1032" t="str">
        <f t="shared" si="84"/>
        <v/>
      </c>
      <c r="Q1032">
        <f>COUNTIF('責任職　企業局→市長部局'!A:A,SQLデータ!B1032)</f>
        <v>0</v>
      </c>
      <c r="R1032">
        <f>COUNTIF('一般職員　企業局→市長部局'!A:F,SQLデータ!B1032)</f>
        <v>0</v>
      </c>
    </row>
    <row r="1033" spans="1:18" x14ac:dyDescent="0.4">
      <c r="A1033" s="1">
        <v>202650000831</v>
      </c>
      <c r="B1033" s="1">
        <v>1042012</v>
      </c>
      <c r="C1033" s="2">
        <v>46115</v>
      </c>
      <c r="D1033" t="s">
        <v>17</v>
      </c>
      <c r="E1033" t="s">
        <v>10</v>
      </c>
      <c r="G1033" t="s">
        <v>9</v>
      </c>
      <c r="L1033">
        <f t="shared" si="81"/>
        <v>0</v>
      </c>
      <c r="M1033">
        <f t="shared" si="82"/>
        <v>0</v>
      </c>
      <c r="N1033">
        <f t="shared" si="83"/>
        <v>0</v>
      </c>
      <c r="O1033">
        <f t="shared" ref="O1033:O1096" si="85">IF(COUNTIF(L1033:N1033,0)=3,1,0)</f>
        <v>1</v>
      </c>
      <c r="P1033" t="str">
        <f t="shared" si="84"/>
        <v/>
      </c>
      <c r="Q1033">
        <f>COUNTIF('責任職　企業局→市長部局'!A:A,SQLデータ!B1033)</f>
        <v>0</v>
      </c>
      <c r="R1033">
        <f>COUNTIF('一般職員　企業局→市長部局'!A:F,SQLデータ!B1033)</f>
        <v>0</v>
      </c>
    </row>
    <row r="1034" spans="1:18" x14ac:dyDescent="0.4">
      <c r="A1034" s="1">
        <v>202650000832</v>
      </c>
      <c r="B1034" s="1">
        <v>1013016</v>
      </c>
      <c r="C1034" s="2">
        <v>46115</v>
      </c>
      <c r="D1034" t="s">
        <v>17</v>
      </c>
      <c r="E1034" t="s">
        <v>11</v>
      </c>
      <c r="G1034" t="s">
        <v>9</v>
      </c>
      <c r="L1034">
        <f t="shared" si="81"/>
        <v>0</v>
      </c>
      <c r="M1034">
        <f t="shared" si="82"/>
        <v>0</v>
      </c>
      <c r="N1034">
        <f t="shared" si="83"/>
        <v>0</v>
      </c>
      <c r="O1034">
        <f t="shared" si="85"/>
        <v>1</v>
      </c>
      <c r="P1034" t="str">
        <f t="shared" si="84"/>
        <v/>
      </c>
      <c r="Q1034">
        <f>COUNTIF('責任職　企業局→市長部局'!A:A,SQLデータ!B1034)</f>
        <v>0</v>
      </c>
      <c r="R1034">
        <f>COUNTIF('一般職員　企業局→市長部局'!A:F,SQLデータ!B1034)</f>
        <v>0</v>
      </c>
    </row>
    <row r="1035" spans="1:18" x14ac:dyDescent="0.4">
      <c r="A1035" s="1">
        <v>202650000833</v>
      </c>
      <c r="B1035" s="1">
        <v>920093</v>
      </c>
      <c r="C1035" s="2">
        <v>46115</v>
      </c>
      <c r="D1035" t="s">
        <v>17</v>
      </c>
      <c r="E1035" t="s">
        <v>10</v>
      </c>
      <c r="G1035" t="s">
        <v>9</v>
      </c>
      <c r="L1035">
        <f t="shared" si="81"/>
        <v>0</v>
      </c>
      <c r="M1035">
        <f t="shared" si="82"/>
        <v>0</v>
      </c>
      <c r="N1035">
        <f t="shared" si="83"/>
        <v>0</v>
      </c>
      <c r="O1035">
        <f t="shared" si="85"/>
        <v>1</v>
      </c>
      <c r="P1035" t="str">
        <f t="shared" si="84"/>
        <v/>
      </c>
      <c r="Q1035">
        <f>COUNTIF('責任職　企業局→市長部局'!A:A,SQLデータ!B1035)</f>
        <v>0</v>
      </c>
      <c r="R1035">
        <f>COUNTIF('一般職員　企業局→市長部局'!A:F,SQLデータ!B1035)</f>
        <v>0</v>
      </c>
    </row>
    <row r="1036" spans="1:18" x14ac:dyDescent="0.4">
      <c r="A1036" s="1">
        <v>202650000834</v>
      </c>
      <c r="B1036" s="1">
        <v>1246049</v>
      </c>
      <c r="C1036" s="2">
        <v>46115</v>
      </c>
      <c r="D1036" t="s">
        <v>17</v>
      </c>
      <c r="E1036" t="s">
        <v>8</v>
      </c>
      <c r="F1036" t="s">
        <v>47</v>
      </c>
      <c r="G1036" t="s">
        <v>9</v>
      </c>
      <c r="L1036">
        <f t="shared" si="81"/>
        <v>0</v>
      </c>
      <c r="M1036">
        <f t="shared" si="82"/>
        <v>0</v>
      </c>
      <c r="N1036">
        <f t="shared" si="83"/>
        <v>0</v>
      </c>
      <c r="O1036">
        <f t="shared" si="85"/>
        <v>1</v>
      </c>
      <c r="P1036" t="str">
        <f t="shared" si="84"/>
        <v/>
      </c>
      <c r="Q1036">
        <f>COUNTIF('責任職　企業局→市長部局'!A:A,SQLデータ!B1036)</f>
        <v>0</v>
      </c>
      <c r="R1036">
        <f>COUNTIF('一般職員　企業局→市長部局'!A:F,SQLデータ!B1036)</f>
        <v>0</v>
      </c>
    </row>
    <row r="1037" spans="1:18" x14ac:dyDescent="0.4">
      <c r="A1037" s="1">
        <v>202650000835</v>
      </c>
      <c r="B1037" s="1">
        <v>940075</v>
      </c>
      <c r="C1037" s="2">
        <v>46115</v>
      </c>
      <c r="D1037" t="s">
        <v>17</v>
      </c>
      <c r="E1037" t="s">
        <v>10</v>
      </c>
      <c r="G1037" t="s">
        <v>9</v>
      </c>
      <c r="L1037">
        <f t="shared" si="81"/>
        <v>0</v>
      </c>
      <c r="M1037">
        <f t="shared" si="82"/>
        <v>0</v>
      </c>
      <c r="N1037">
        <f t="shared" si="83"/>
        <v>0</v>
      </c>
      <c r="O1037">
        <f t="shared" si="85"/>
        <v>1</v>
      </c>
      <c r="P1037" t="str">
        <f t="shared" si="84"/>
        <v/>
      </c>
      <c r="Q1037">
        <f>COUNTIF('責任職　企業局→市長部局'!A:A,SQLデータ!B1037)</f>
        <v>0</v>
      </c>
      <c r="R1037">
        <f>COUNTIF('一般職員　企業局→市長部局'!A:F,SQLデータ!B1037)</f>
        <v>0</v>
      </c>
    </row>
    <row r="1038" spans="1:18" x14ac:dyDescent="0.4">
      <c r="A1038" s="1">
        <v>202650000836</v>
      </c>
      <c r="B1038" s="1">
        <v>1176042</v>
      </c>
      <c r="C1038" s="2">
        <v>46115</v>
      </c>
      <c r="D1038" t="s">
        <v>17</v>
      </c>
      <c r="E1038" t="s">
        <v>10</v>
      </c>
      <c r="G1038" t="s">
        <v>9</v>
      </c>
      <c r="L1038">
        <f t="shared" si="81"/>
        <v>0</v>
      </c>
      <c r="M1038">
        <f t="shared" si="82"/>
        <v>0</v>
      </c>
      <c r="N1038">
        <f t="shared" si="83"/>
        <v>0</v>
      </c>
      <c r="O1038">
        <f t="shared" si="85"/>
        <v>1</v>
      </c>
      <c r="P1038" t="str">
        <f t="shared" si="84"/>
        <v/>
      </c>
      <c r="Q1038">
        <f>COUNTIF('責任職　企業局→市長部局'!A:A,SQLデータ!B1038)</f>
        <v>0</v>
      </c>
      <c r="R1038">
        <f>COUNTIF('一般職員　企業局→市長部局'!A:F,SQLデータ!B1038)</f>
        <v>0</v>
      </c>
    </row>
    <row r="1039" spans="1:18" x14ac:dyDescent="0.4">
      <c r="A1039" s="1">
        <v>202650000838</v>
      </c>
      <c r="B1039" s="1">
        <v>910128</v>
      </c>
      <c r="C1039" s="2">
        <v>46115</v>
      </c>
      <c r="D1039" t="s">
        <v>17</v>
      </c>
      <c r="E1039" t="s">
        <v>11</v>
      </c>
      <c r="G1039" t="s">
        <v>9</v>
      </c>
      <c r="L1039">
        <f t="shared" si="81"/>
        <v>0</v>
      </c>
      <c r="M1039">
        <f t="shared" si="82"/>
        <v>0</v>
      </c>
      <c r="N1039">
        <f t="shared" si="83"/>
        <v>0</v>
      </c>
      <c r="O1039">
        <f t="shared" si="85"/>
        <v>1</v>
      </c>
      <c r="P1039" t="str">
        <f t="shared" si="84"/>
        <v/>
      </c>
      <c r="Q1039">
        <f>COUNTIF('責任職　企業局→市長部局'!A:A,SQLデータ!B1039)</f>
        <v>0</v>
      </c>
      <c r="R1039">
        <f>COUNTIF('一般職員　企業局→市長部局'!A:F,SQLデータ!B1039)</f>
        <v>0</v>
      </c>
    </row>
    <row r="1040" spans="1:18" x14ac:dyDescent="0.4">
      <c r="A1040" s="1">
        <v>202650000839</v>
      </c>
      <c r="B1040" s="1">
        <v>880726</v>
      </c>
      <c r="C1040" s="2">
        <v>46115</v>
      </c>
      <c r="D1040" t="s">
        <v>17</v>
      </c>
      <c r="E1040" t="s">
        <v>11</v>
      </c>
      <c r="G1040" t="s">
        <v>9</v>
      </c>
      <c r="L1040">
        <f t="shared" si="81"/>
        <v>0</v>
      </c>
      <c r="M1040">
        <f t="shared" si="82"/>
        <v>0</v>
      </c>
      <c r="N1040">
        <f t="shared" si="83"/>
        <v>0</v>
      </c>
      <c r="O1040">
        <f t="shared" si="85"/>
        <v>1</v>
      </c>
      <c r="P1040" t="str">
        <f t="shared" si="84"/>
        <v/>
      </c>
      <c r="Q1040">
        <f>COUNTIF('責任職　企業局→市長部局'!A:A,SQLデータ!B1040)</f>
        <v>0</v>
      </c>
      <c r="R1040">
        <f>COUNTIF('一般職員　企業局→市長部局'!A:F,SQLデータ!B1040)</f>
        <v>0</v>
      </c>
    </row>
    <row r="1041" spans="1:18" x14ac:dyDescent="0.4">
      <c r="A1041" s="1">
        <v>202650000840</v>
      </c>
      <c r="B1041" s="1">
        <v>1234059</v>
      </c>
      <c r="C1041" s="2">
        <v>46115</v>
      </c>
      <c r="D1041" t="s">
        <v>17</v>
      </c>
      <c r="E1041" t="s">
        <v>10</v>
      </c>
      <c r="G1041" t="s">
        <v>9</v>
      </c>
      <c r="L1041">
        <f t="shared" si="81"/>
        <v>0</v>
      </c>
      <c r="M1041">
        <f t="shared" si="82"/>
        <v>0</v>
      </c>
      <c r="N1041">
        <f t="shared" si="83"/>
        <v>0</v>
      </c>
      <c r="O1041">
        <f t="shared" si="85"/>
        <v>1</v>
      </c>
      <c r="P1041" t="str">
        <f t="shared" si="84"/>
        <v/>
      </c>
      <c r="Q1041">
        <f>COUNTIF('責任職　企業局→市長部局'!A:A,SQLデータ!B1041)</f>
        <v>0</v>
      </c>
      <c r="R1041">
        <f>COUNTIF('一般職員　企業局→市長部局'!A:F,SQLデータ!B1041)</f>
        <v>0</v>
      </c>
    </row>
    <row r="1042" spans="1:18" x14ac:dyDescent="0.4">
      <c r="A1042" s="1">
        <v>202650000841</v>
      </c>
      <c r="B1042" s="1">
        <v>1126156</v>
      </c>
      <c r="C1042" s="2">
        <v>46115</v>
      </c>
      <c r="D1042" t="s">
        <v>17</v>
      </c>
      <c r="E1042" t="s">
        <v>10</v>
      </c>
      <c r="G1042" t="s">
        <v>9</v>
      </c>
      <c r="L1042">
        <f t="shared" si="81"/>
        <v>0</v>
      </c>
      <c r="M1042">
        <f t="shared" si="82"/>
        <v>0</v>
      </c>
      <c r="N1042">
        <f t="shared" si="83"/>
        <v>0</v>
      </c>
      <c r="O1042">
        <f t="shared" si="85"/>
        <v>1</v>
      </c>
      <c r="P1042" t="str">
        <f t="shared" si="84"/>
        <v/>
      </c>
      <c r="Q1042">
        <f>COUNTIF('責任職　企業局→市長部局'!A:A,SQLデータ!B1042)</f>
        <v>0</v>
      </c>
      <c r="R1042">
        <f>COUNTIF('一般職員　企業局→市長部局'!A:F,SQLデータ!B1042)</f>
        <v>0</v>
      </c>
    </row>
    <row r="1043" spans="1:18" x14ac:dyDescent="0.4">
      <c r="A1043" s="1">
        <v>202650000842</v>
      </c>
      <c r="B1043" s="1">
        <v>1021007</v>
      </c>
      <c r="C1043" s="2">
        <v>46115</v>
      </c>
      <c r="D1043" t="s">
        <v>17</v>
      </c>
      <c r="E1043" t="s">
        <v>11</v>
      </c>
      <c r="G1043" t="s">
        <v>9</v>
      </c>
      <c r="L1043">
        <f t="shared" si="81"/>
        <v>0</v>
      </c>
      <c r="M1043">
        <f t="shared" si="82"/>
        <v>0</v>
      </c>
      <c r="N1043">
        <f t="shared" si="83"/>
        <v>0</v>
      </c>
      <c r="O1043">
        <f t="shared" si="85"/>
        <v>1</v>
      </c>
      <c r="P1043" t="str">
        <f t="shared" si="84"/>
        <v/>
      </c>
      <c r="Q1043">
        <f>COUNTIF('責任職　企業局→市長部局'!A:A,SQLデータ!B1043)</f>
        <v>0</v>
      </c>
      <c r="R1043">
        <f>COUNTIF('一般職員　企業局→市長部局'!A:F,SQLデータ!B1043)</f>
        <v>0</v>
      </c>
    </row>
    <row r="1044" spans="1:18" x14ac:dyDescent="0.4">
      <c r="A1044" s="1">
        <v>202650000843</v>
      </c>
      <c r="B1044" s="1">
        <v>971051</v>
      </c>
      <c r="C1044" s="2">
        <v>46115</v>
      </c>
      <c r="D1044" t="s">
        <v>17</v>
      </c>
      <c r="E1044" t="s">
        <v>11</v>
      </c>
      <c r="F1044" t="s">
        <v>48</v>
      </c>
      <c r="G1044" t="s">
        <v>9</v>
      </c>
      <c r="L1044">
        <f t="shared" si="81"/>
        <v>0</v>
      </c>
      <c r="M1044">
        <f t="shared" si="82"/>
        <v>0</v>
      </c>
      <c r="N1044">
        <f t="shared" si="83"/>
        <v>0</v>
      </c>
      <c r="O1044">
        <f t="shared" si="85"/>
        <v>1</v>
      </c>
      <c r="P1044" t="str">
        <f t="shared" si="84"/>
        <v/>
      </c>
      <c r="Q1044">
        <f>COUNTIF('責任職　企業局→市長部局'!A:A,SQLデータ!B1044)</f>
        <v>0</v>
      </c>
      <c r="R1044">
        <f>COUNTIF('一般職員　企業局→市長部局'!A:F,SQLデータ!B1044)</f>
        <v>0</v>
      </c>
    </row>
    <row r="1045" spans="1:18" x14ac:dyDescent="0.4">
      <c r="A1045" s="1">
        <v>202650000844</v>
      </c>
      <c r="B1045" s="1">
        <v>1036076</v>
      </c>
      <c r="C1045" s="2">
        <v>46115</v>
      </c>
      <c r="D1045" t="s">
        <v>17</v>
      </c>
      <c r="E1045" t="s">
        <v>10</v>
      </c>
      <c r="G1045" t="s">
        <v>9</v>
      </c>
      <c r="L1045">
        <f t="shared" si="81"/>
        <v>0</v>
      </c>
      <c r="M1045">
        <f t="shared" si="82"/>
        <v>0</v>
      </c>
      <c r="N1045">
        <f t="shared" si="83"/>
        <v>0</v>
      </c>
      <c r="O1045">
        <f t="shared" si="85"/>
        <v>1</v>
      </c>
      <c r="P1045" t="str">
        <f t="shared" si="84"/>
        <v/>
      </c>
      <c r="Q1045">
        <f>COUNTIF('責任職　企業局→市長部局'!A:A,SQLデータ!B1045)</f>
        <v>0</v>
      </c>
      <c r="R1045">
        <f>COUNTIF('一般職員　企業局→市長部局'!A:F,SQLデータ!B1045)</f>
        <v>0</v>
      </c>
    </row>
    <row r="1046" spans="1:18" x14ac:dyDescent="0.4">
      <c r="A1046" s="1">
        <v>202650000845</v>
      </c>
      <c r="B1046" s="1">
        <v>1121088</v>
      </c>
      <c r="C1046" s="2">
        <v>46115</v>
      </c>
      <c r="D1046" t="s">
        <v>17</v>
      </c>
      <c r="E1046" t="s">
        <v>11</v>
      </c>
      <c r="G1046" t="s">
        <v>9</v>
      </c>
      <c r="L1046">
        <f t="shared" si="81"/>
        <v>0</v>
      </c>
      <c r="M1046">
        <f t="shared" si="82"/>
        <v>0</v>
      </c>
      <c r="N1046">
        <f t="shared" si="83"/>
        <v>0</v>
      </c>
      <c r="O1046">
        <f t="shared" si="85"/>
        <v>1</v>
      </c>
      <c r="P1046" t="str">
        <f t="shared" si="84"/>
        <v/>
      </c>
      <c r="Q1046">
        <f>COUNTIF('責任職　企業局→市長部局'!A:A,SQLデータ!B1046)</f>
        <v>0</v>
      </c>
      <c r="R1046">
        <f>COUNTIF('一般職員　企業局→市長部局'!A:F,SQLデータ!B1046)</f>
        <v>0</v>
      </c>
    </row>
    <row r="1047" spans="1:18" x14ac:dyDescent="0.4">
      <c r="A1047" s="1">
        <v>202650000846</v>
      </c>
      <c r="B1047" s="1">
        <v>1201462</v>
      </c>
      <c r="C1047" s="2">
        <v>46115</v>
      </c>
      <c r="D1047" t="s">
        <v>17</v>
      </c>
      <c r="E1047" t="s">
        <v>11</v>
      </c>
      <c r="G1047" t="s">
        <v>9</v>
      </c>
      <c r="L1047">
        <f t="shared" si="81"/>
        <v>0</v>
      </c>
      <c r="M1047">
        <f t="shared" si="82"/>
        <v>0</v>
      </c>
      <c r="N1047">
        <f t="shared" si="83"/>
        <v>0</v>
      </c>
      <c r="O1047">
        <f t="shared" si="85"/>
        <v>1</v>
      </c>
      <c r="P1047" t="str">
        <f t="shared" si="84"/>
        <v/>
      </c>
      <c r="Q1047">
        <f>COUNTIF('責任職　企業局→市長部局'!A:A,SQLデータ!B1047)</f>
        <v>0</v>
      </c>
      <c r="R1047">
        <f>COUNTIF('一般職員　企業局→市長部局'!A:F,SQLデータ!B1047)</f>
        <v>0</v>
      </c>
    </row>
    <row r="1048" spans="1:18" x14ac:dyDescent="0.4">
      <c r="A1048" s="1">
        <v>202650000847</v>
      </c>
      <c r="B1048" s="1">
        <v>1151113</v>
      </c>
      <c r="C1048" s="2">
        <v>46115</v>
      </c>
      <c r="D1048" t="s">
        <v>17</v>
      </c>
      <c r="E1048" t="s">
        <v>11</v>
      </c>
      <c r="G1048" t="s">
        <v>9</v>
      </c>
      <c r="L1048">
        <f t="shared" si="81"/>
        <v>0</v>
      </c>
      <c r="M1048">
        <f t="shared" si="82"/>
        <v>0</v>
      </c>
      <c r="N1048">
        <f t="shared" si="83"/>
        <v>0</v>
      </c>
      <c r="O1048">
        <f t="shared" si="85"/>
        <v>1</v>
      </c>
      <c r="P1048" t="str">
        <f t="shared" si="84"/>
        <v/>
      </c>
      <c r="Q1048">
        <f>COUNTIF('責任職　企業局→市長部局'!A:A,SQLデータ!B1048)</f>
        <v>0</v>
      </c>
      <c r="R1048">
        <f>COUNTIF('一般職員　企業局→市長部局'!A:F,SQLデータ!B1048)</f>
        <v>0</v>
      </c>
    </row>
    <row r="1049" spans="1:18" x14ac:dyDescent="0.4">
      <c r="A1049" s="1">
        <v>202650000848</v>
      </c>
      <c r="B1049" s="1">
        <v>940057</v>
      </c>
      <c r="C1049" s="2">
        <v>46115</v>
      </c>
      <c r="D1049" t="s">
        <v>17</v>
      </c>
      <c r="E1049" t="s">
        <v>11</v>
      </c>
      <c r="G1049" t="s">
        <v>9</v>
      </c>
      <c r="L1049">
        <f t="shared" si="81"/>
        <v>0</v>
      </c>
      <c r="M1049">
        <f t="shared" si="82"/>
        <v>0</v>
      </c>
      <c r="N1049">
        <f t="shared" si="83"/>
        <v>0</v>
      </c>
      <c r="O1049">
        <f t="shared" si="85"/>
        <v>1</v>
      </c>
      <c r="P1049" t="str">
        <f t="shared" si="84"/>
        <v/>
      </c>
      <c r="Q1049">
        <f>COUNTIF('責任職　企業局→市長部局'!A:A,SQLデータ!B1049)</f>
        <v>0</v>
      </c>
      <c r="R1049">
        <f>COUNTIF('一般職員　企業局→市長部局'!A:F,SQLデータ!B1049)</f>
        <v>0</v>
      </c>
    </row>
    <row r="1050" spans="1:18" x14ac:dyDescent="0.4">
      <c r="A1050" s="1">
        <v>202650000849</v>
      </c>
      <c r="B1050" s="1">
        <v>1126064</v>
      </c>
      <c r="C1050" s="2">
        <v>46115</v>
      </c>
      <c r="D1050" t="s">
        <v>17</v>
      </c>
      <c r="E1050" t="s">
        <v>10</v>
      </c>
      <c r="G1050" t="s">
        <v>9</v>
      </c>
      <c r="L1050">
        <f t="shared" si="81"/>
        <v>0</v>
      </c>
      <c r="M1050">
        <f t="shared" si="82"/>
        <v>0</v>
      </c>
      <c r="N1050">
        <f t="shared" si="83"/>
        <v>0</v>
      </c>
      <c r="O1050">
        <f t="shared" si="85"/>
        <v>1</v>
      </c>
      <c r="P1050" t="str">
        <f t="shared" si="84"/>
        <v/>
      </c>
      <c r="Q1050">
        <f>COUNTIF('責任職　企業局→市長部局'!A:A,SQLデータ!B1050)</f>
        <v>0</v>
      </c>
      <c r="R1050">
        <f>COUNTIF('一般職員　企業局→市長部局'!A:F,SQLデータ!B1050)</f>
        <v>0</v>
      </c>
    </row>
    <row r="1051" spans="1:18" x14ac:dyDescent="0.4">
      <c r="A1051" s="1">
        <v>202650000850</v>
      </c>
      <c r="B1051" s="1">
        <v>981020</v>
      </c>
      <c r="C1051" s="2">
        <v>46115</v>
      </c>
      <c r="D1051" t="s">
        <v>17</v>
      </c>
      <c r="E1051" t="s">
        <v>11</v>
      </c>
      <c r="G1051" t="s">
        <v>9</v>
      </c>
      <c r="L1051">
        <f t="shared" si="81"/>
        <v>0</v>
      </c>
      <c r="M1051">
        <f t="shared" si="82"/>
        <v>0</v>
      </c>
      <c r="N1051">
        <f t="shared" si="83"/>
        <v>0</v>
      </c>
      <c r="O1051">
        <f t="shared" si="85"/>
        <v>1</v>
      </c>
      <c r="P1051" t="str">
        <f t="shared" si="84"/>
        <v/>
      </c>
      <c r="Q1051">
        <f>COUNTIF('責任職　企業局→市長部局'!A:A,SQLデータ!B1051)</f>
        <v>0</v>
      </c>
      <c r="R1051">
        <f>COUNTIF('一般職員　企業局→市長部局'!A:F,SQLデータ!B1051)</f>
        <v>0</v>
      </c>
    </row>
    <row r="1052" spans="1:18" x14ac:dyDescent="0.4">
      <c r="A1052" s="1">
        <v>202650000851</v>
      </c>
      <c r="B1052" s="1">
        <v>1041258</v>
      </c>
      <c r="C1052" s="2">
        <v>46115</v>
      </c>
      <c r="D1052" t="s">
        <v>17</v>
      </c>
      <c r="E1052" t="s">
        <v>10</v>
      </c>
      <c r="F1052" t="s">
        <v>48</v>
      </c>
      <c r="G1052" t="s">
        <v>9</v>
      </c>
      <c r="L1052">
        <f t="shared" si="81"/>
        <v>0</v>
      </c>
      <c r="M1052">
        <f t="shared" si="82"/>
        <v>0</v>
      </c>
      <c r="N1052">
        <f t="shared" si="83"/>
        <v>0</v>
      </c>
      <c r="O1052">
        <f t="shared" si="85"/>
        <v>1</v>
      </c>
      <c r="P1052" t="str">
        <f t="shared" si="84"/>
        <v/>
      </c>
      <c r="Q1052">
        <f>COUNTIF('責任職　企業局→市長部局'!A:A,SQLデータ!B1052)</f>
        <v>0</v>
      </c>
      <c r="R1052">
        <f>COUNTIF('一般職員　企業局→市長部局'!A:F,SQLデータ!B1052)</f>
        <v>0</v>
      </c>
    </row>
    <row r="1053" spans="1:18" x14ac:dyDescent="0.4">
      <c r="A1053" s="1">
        <v>202650000852</v>
      </c>
      <c r="B1053" s="1">
        <v>1066080</v>
      </c>
      <c r="C1053" s="2">
        <v>46115</v>
      </c>
      <c r="D1053" t="s">
        <v>17</v>
      </c>
      <c r="E1053" t="s">
        <v>10</v>
      </c>
      <c r="G1053" t="s">
        <v>9</v>
      </c>
      <c r="L1053">
        <f t="shared" si="81"/>
        <v>0</v>
      </c>
      <c r="M1053">
        <f t="shared" si="82"/>
        <v>0</v>
      </c>
      <c r="N1053">
        <f t="shared" si="83"/>
        <v>0</v>
      </c>
      <c r="O1053">
        <f t="shared" si="85"/>
        <v>1</v>
      </c>
      <c r="P1053" t="str">
        <f t="shared" si="84"/>
        <v/>
      </c>
      <c r="Q1053">
        <f>COUNTIF('責任職　企業局→市長部局'!A:A,SQLデータ!B1053)</f>
        <v>0</v>
      </c>
      <c r="R1053">
        <f>COUNTIF('一般職員　企業局→市長部局'!A:F,SQLデータ!B1053)</f>
        <v>0</v>
      </c>
    </row>
    <row r="1054" spans="1:18" x14ac:dyDescent="0.4">
      <c r="A1054" s="1">
        <v>202650000853</v>
      </c>
      <c r="B1054" s="1">
        <v>1223003</v>
      </c>
      <c r="C1054" s="2">
        <v>46115</v>
      </c>
      <c r="D1054" t="s">
        <v>17</v>
      </c>
      <c r="E1054" t="s">
        <v>11</v>
      </c>
      <c r="F1054" t="s">
        <v>48</v>
      </c>
      <c r="G1054" t="s">
        <v>9</v>
      </c>
      <c r="L1054">
        <f t="shared" si="81"/>
        <v>0</v>
      </c>
      <c r="M1054">
        <f t="shared" si="82"/>
        <v>0</v>
      </c>
      <c r="N1054">
        <f t="shared" si="83"/>
        <v>0</v>
      </c>
      <c r="O1054">
        <f t="shared" si="85"/>
        <v>1</v>
      </c>
      <c r="P1054" t="str">
        <f t="shared" si="84"/>
        <v/>
      </c>
      <c r="Q1054">
        <f>COUNTIF('責任職　企業局→市長部局'!A:A,SQLデータ!B1054)</f>
        <v>0</v>
      </c>
      <c r="R1054">
        <f>COUNTIF('一般職員　企業局→市長部局'!A:F,SQLデータ!B1054)</f>
        <v>0</v>
      </c>
    </row>
    <row r="1055" spans="1:18" x14ac:dyDescent="0.4">
      <c r="A1055" s="1">
        <v>202650000854</v>
      </c>
      <c r="B1055" s="1">
        <v>1061026</v>
      </c>
      <c r="C1055" s="2">
        <v>46115</v>
      </c>
      <c r="D1055" t="s">
        <v>17</v>
      </c>
      <c r="E1055" t="s">
        <v>11</v>
      </c>
      <c r="G1055" t="s">
        <v>9</v>
      </c>
      <c r="L1055">
        <f t="shared" si="81"/>
        <v>0</v>
      </c>
      <c r="M1055">
        <f t="shared" si="82"/>
        <v>0</v>
      </c>
      <c r="N1055">
        <f t="shared" si="83"/>
        <v>0</v>
      </c>
      <c r="O1055">
        <f t="shared" si="85"/>
        <v>1</v>
      </c>
      <c r="P1055" t="str">
        <f t="shared" si="84"/>
        <v/>
      </c>
      <c r="Q1055">
        <f>COUNTIF('責任職　企業局→市長部局'!A:A,SQLデータ!B1055)</f>
        <v>0</v>
      </c>
      <c r="R1055">
        <f>COUNTIF('一般職員　企業局→市長部局'!A:F,SQLデータ!B1055)</f>
        <v>0</v>
      </c>
    </row>
    <row r="1056" spans="1:18" x14ac:dyDescent="0.4">
      <c r="A1056" s="1">
        <v>202650000855</v>
      </c>
      <c r="B1056" s="1">
        <v>1021145</v>
      </c>
      <c r="C1056" s="2">
        <v>46115</v>
      </c>
      <c r="D1056" t="s">
        <v>17</v>
      </c>
      <c r="E1056" t="s">
        <v>11</v>
      </c>
      <c r="G1056" t="s">
        <v>9</v>
      </c>
      <c r="L1056">
        <f t="shared" si="81"/>
        <v>0</v>
      </c>
      <c r="M1056">
        <f t="shared" si="82"/>
        <v>0</v>
      </c>
      <c r="N1056">
        <f t="shared" si="83"/>
        <v>0</v>
      </c>
      <c r="O1056">
        <f t="shared" si="85"/>
        <v>1</v>
      </c>
      <c r="P1056" t="str">
        <f t="shared" si="84"/>
        <v/>
      </c>
      <c r="Q1056">
        <f>COUNTIF('責任職　企業局→市長部局'!A:A,SQLデータ!B1056)</f>
        <v>0</v>
      </c>
      <c r="R1056">
        <f>COUNTIF('一般職員　企業局→市長部局'!A:F,SQLデータ!B1056)</f>
        <v>0</v>
      </c>
    </row>
    <row r="1057" spans="1:18" x14ac:dyDescent="0.4">
      <c r="A1057" s="1">
        <v>202650000856</v>
      </c>
      <c r="B1057" s="1">
        <v>910949</v>
      </c>
      <c r="C1057" s="2">
        <v>46115</v>
      </c>
      <c r="D1057" t="s">
        <v>17</v>
      </c>
      <c r="E1057" t="s">
        <v>11</v>
      </c>
      <c r="G1057" t="s">
        <v>9</v>
      </c>
      <c r="L1057">
        <f t="shared" si="81"/>
        <v>0</v>
      </c>
      <c r="M1057">
        <f t="shared" si="82"/>
        <v>0</v>
      </c>
      <c r="N1057">
        <f t="shared" si="83"/>
        <v>0</v>
      </c>
      <c r="O1057">
        <f t="shared" si="85"/>
        <v>1</v>
      </c>
      <c r="P1057" t="str">
        <f t="shared" si="84"/>
        <v/>
      </c>
      <c r="Q1057">
        <f>COUNTIF('責任職　企業局→市長部局'!A:A,SQLデータ!B1057)</f>
        <v>0</v>
      </c>
      <c r="R1057">
        <f>COUNTIF('一般職員　企業局→市長部局'!A:F,SQLデータ!B1057)</f>
        <v>0</v>
      </c>
    </row>
    <row r="1058" spans="1:18" x14ac:dyDescent="0.4">
      <c r="A1058" s="1">
        <v>202650000857</v>
      </c>
      <c r="B1058" s="1">
        <v>1211130</v>
      </c>
      <c r="C1058" s="2">
        <v>46115</v>
      </c>
      <c r="D1058" t="s">
        <v>17</v>
      </c>
      <c r="E1058" t="s">
        <v>11</v>
      </c>
      <c r="G1058" t="s">
        <v>9</v>
      </c>
      <c r="L1058">
        <f t="shared" si="81"/>
        <v>0</v>
      </c>
      <c r="M1058">
        <f t="shared" si="82"/>
        <v>0</v>
      </c>
      <c r="N1058">
        <f t="shared" si="83"/>
        <v>0</v>
      </c>
      <c r="O1058">
        <f t="shared" si="85"/>
        <v>1</v>
      </c>
      <c r="P1058" t="str">
        <f t="shared" si="84"/>
        <v/>
      </c>
      <c r="Q1058">
        <f>COUNTIF('責任職　企業局→市長部局'!A:A,SQLデータ!B1058)</f>
        <v>0</v>
      </c>
      <c r="R1058">
        <f>COUNTIF('一般職員　企業局→市長部局'!A:F,SQLデータ!B1058)</f>
        <v>0</v>
      </c>
    </row>
    <row r="1059" spans="1:18" x14ac:dyDescent="0.4">
      <c r="A1059" s="1">
        <v>202650000858</v>
      </c>
      <c r="B1059" s="1">
        <v>1256079</v>
      </c>
      <c r="C1059" s="2">
        <v>46115</v>
      </c>
      <c r="D1059" t="s">
        <v>17</v>
      </c>
      <c r="E1059" t="s">
        <v>8</v>
      </c>
      <c r="F1059" t="s">
        <v>47</v>
      </c>
      <c r="G1059" t="s">
        <v>9</v>
      </c>
      <c r="L1059">
        <f t="shared" si="81"/>
        <v>0</v>
      </c>
      <c r="M1059">
        <f t="shared" si="82"/>
        <v>0</v>
      </c>
      <c r="N1059">
        <f t="shared" si="83"/>
        <v>0</v>
      </c>
      <c r="O1059">
        <f t="shared" si="85"/>
        <v>1</v>
      </c>
      <c r="P1059" t="str">
        <f t="shared" si="84"/>
        <v/>
      </c>
      <c r="Q1059">
        <f>COUNTIF('責任職　企業局→市長部局'!A:A,SQLデータ!B1059)</f>
        <v>0</v>
      </c>
      <c r="R1059">
        <f>COUNTIF('一般職員　企業局→市長部局'!A:F,SQLデータ!B1059)</f>
        <v>0</v>
      </c>
    </row>
    <row r="1060" spans="1:18" x14ac:dyDescent="0.4">
      <c r="A1060" s="1">
        <v>202650000859</v>
      </c>
      <c r="B1060" s="1">
        <v>1021043</v>
      </c>
      <c r="C1060" s="2">
        <v>46115</v>
      </c>
      <c r="D1060" t="s">
        <v>17</v>
      </c>
      <c r="E1060" t="s">
        <v>11</v>
      </c>
      <c r="G1060" t="s">
        <v>9</v>
      </c>
      <c r="L1060">
        <f t="shared" si="81"/>
        <v>0</v>
      </c>
      <c r="M1060">
        <f t="shared" si="82"/>
        <v>0</v>
      </c>
      <c r="N1060">
        <f t="shared" si="83"/>
        <v>0</v>
      </c>
      <c r="O1060">
        <f t="shared" si="85"/>
        <v>1</v>
      </c>
      <c r="P1060" t="str">
        <f t="shared" si="84"/>
        <v/>
      </c>
      <c r="Q1060">
        <f>COUNTIF('責任職　企業局→市長部局'!A:A,SQLデータ!B1060)</f>
        <v>0</v>
      </c>
      <c r="R1060">
        <f>COUNTIF('一般職員　企業局→市長部局'!A:F,SQLデータ!B1060)</f>
        <v>0</v>
      </c>
    </row>
    <row r="1061" spans="1:18" x14ac:dyDescent="0.4">
      <c r="A1061" s="1">
        <v>202650000860</v>
      </c>
      <c r="B1061" s="1">
        <v>1076001</v>
      </c>
      <c r="C1061" s="2">
        <v>46115</v>
      </c>
      <c r="D1061" t="s">
        <v>17</v>
      </c>
      <c r="E1061" t="s">
        <v>11</v>
      </c>
      <c r="G1061" t="s">
        <v>9</v>
      </c>
      <c r="L1061">
        <f t="shared" si="81"/>
        <v>0</v>
      </c>
      <c r="M1061">
        <f t="shared" si="82"/>
        <v>0</v>
      </c>
      <c r="N1061">
        <f t="shared" si="83"/>
        <v>0</v>
      </c>
      <c r="O1061">
        <f t="shared" si="85"/>
        <v>1</v>
      </c>
      <c r="P1061" t="str">
        <f t="shared" si="84"/>
        <v/>
      </c>
      <c r="Q1061">
        <f>COUNTIF('責任職　企業局→市長部局'!A:A,SQLデータ!B1061)</f>
        <v>0</v>
      </c>
      <c r="R1061">
        <f>COUNTIF('一般職員　企業局→市長部局'!A:F,SQLデータ!B1061)</f>
        <v>0</v>
      </c>
    </row>
    <row r="1062" spans="1:18" x14ac:dyDescent="0.4">
      <c r="A1062" s="1">
        <v>202650000861</v>
      </c>
      <c r="B1062" s="1">
        <v>1016009</v>
      </c>
      <c r="C1062" s="2">
        <v>46115</v>
      </c>
      <c r="D1062" t="s">
        <v>17</v>
      </c>
      <c r="E1062" t="s">
        <v>11</v>
      </c>
      <c r="G1062" t="s">
        <v>9</v>
      </c>
      <c r="L1062">
        <f t="shared" si="81"/>
        <v>0</v>
      </c>
      <c r="M1062">
        <f t="shared" si="82"/>
        <v>0</v>
      </c>
      <c r="N1062">
        <f t="shared" si="83"/>
        <v>0</v>
      </c>
      <c r="O1062">
        <f t="shared" si="85"/>
        <v>1</v>
      </c>
      <c r="P1062" t="str">
        <f t="shared" si="84"/>
        <v/>
      </c>
      <c r="Q1062">
        <f>COUNTIF('責任職　企業局→市長部局'!A:A,SQLデータ!B1062)</f>
        <v>0</v>
      </c>
      <c r="R1062">
        <f>COUNTIF('一般職員　企業局→市長部局'!A:F,SQLデータ!B1062)</f>
        <v>0</v>
      </c>
    </row>
    <row r="1063" spans="1:18" x14ac:dyDescent="0.4">
      <c r="A1063" s="1">
        <v>202650000862</v>
      </c>
      <c r="B1063" s="1">
        <v>1171556</v>
      </c>
      <c r="C1063" s="2">
        <v>46115</v>
      </c>
      <c r="D1063" t="s">
        <v>17</v>
      </c>
      <c r="E1063" t="s">
        <v>11</v>
      </c>
      <c r="G1063" t="s">
        <v>9</v>
      </c>
      <c r="L1063">
        <f t="shared" si="81"/>
        <v>0</v>
      </c>
      <c r="M1063">
        <f t="shared" si="82"/>
        <v>0</v>
      </c>
      <c r="N1063">
        <f t="shared" si="83"/>
        <v>0</v>
      </c>
      <c r="O1063">
        <f t="shared" si="85"/>
        <v>1</v>
      </c>
      <c r="P1063" t="str">
        <f t="shared" si="84"/>
        <v/>
      </c>
      <c r="Q1063">
        <f>COUNTIF('責任職　企業局→市長部局'!A:A,SQLデータ!B1063)</f>
        <v>0</v>
      </c>
      <c r="R1063">
        <f>COUNTIF('一般職員　企業局→市長部局'!A:F,SQLデータ!B1063)</f>
        <v>0</v>
      </c>
    </row>
    <row r="1064" spans="1:18" x14ac:dyDescent="0.4">
      <c r="A1064" s="1">
        <v>202650000863</v>
      </c>
      <c r="B1064" s="1">
        <v>1132176</v>
      </c>
      <c r="C1064" s="2">
        <v>46115</v>
      </c>
      <c r="D1064" t="s">
        <v>17</v>
      </c>
      <c r="E1064" t="s">
        <v>8</v>
      </c>
      <c r="G1064" t="s">
        <v>9</v>
      </c>
      <c r="L1064">
        <f t="shared" si="81"/>
        <v>0</v>
      </c>
      <c r="M1064">
        <f t="shared" si="82"/>
        <v>0</v>
      </c>
      <c r="N1064">
        <f t="shared" si="83"/>
        <v>0</v>
      </c>
      <c r="O1064">
        <f t="shared" si="85"/>
        <v>1</v>
      </c>
      <c r="P1064" t="str">
        <f t="shared" si="84"/>
        <v/>
      </c>
      <c r="Q1064">
        <f>COUNTIF('責任職　企業局→市長部局'!A:A,SQLデータ!B1064)</f>
        <v>0</v>
      </c>
      <c r="R1064">
        <f>COUNTIF('一般職員　企業局→市長部局'!A:F,SQLデータ!B1064)</f>
        <v>0</v>
      </c>
    </row>
    <row r="1065" spans="1:18" x14ac:dyDescent="0.4">
      <c r="A1065" s="1">
        <v>202650000864</v>
      </c>
      <c r="B1065" s="1">
        <v>1174053</v>
      </c>
      <c r="C1065" s="2">
        <v>46115</v>
      </c>
      <c r="D1065" t="s">
        <v>17</v>
      </c>
      <c r="E1065" t="s">
        <v>11</v>
      </c>
      <c r="G1065" t="s">
        <v>9</v>
      </c>
      <c r="L1065">
        <f t="shared" si="81"/>
        <v>0</v>
      </c>
      <c r="M1065">
        <f t="shared" si="82"/>
        <v>0</v>
      </c>
      <c r="N1065">
        <f t="shared" si="83"/>
        <v>0</v>
      </c>
      <c r="O1065">
        <f t="shared" si="85"/>
        <v>1</v>
      </c>
      <c r="P1065" t="str">
        <f t="shared" si="84"/>
        <v/>
      </c>
      <c r="Q1065">
        <f>COUNTIF('責任職　企業局→市長部局'!A:A,SQLデータ!B1065)</f>
        <v>0</v>
      </c>
      <c r="R1065">
        <f>COUNTIF('一般職員　企業局→市長部局'!A:F,SQLデータ!B1065)</f>
        <v>0</v>
      </c>
    </row>
    <row r="1066" spans="1:18" x14ac:dyDescent="0.4">
      <c r="A1066" s="1">
        <v>202650000865</v>
      </c>
      <c r="B1066" s="1">
        <v>940744</v>
      </c>
      <c r="C1066" s="2">
        <v>46115</v>
      </c>
      <c r="D1066" t="s">
        <v>17</v>
      </c>
      <c r="E1066" t="s">
        <v>11</v>
      </c>
      <c r="G1066" t="s">
        <v>9</v>
      </c>
      <c r="L1066">
        <f t="shared" si="81"/>
        <v>0</v>
      </c>
      <c r="M1066">
        <f t="shared" si="82"/>
        <v>0</v>
      </c>
      <c r="N1066">
        <f t="shared" si="83"/>
        <v>0</v>
      </c>
      <c r="O1066">
        <f t="shared" si="85"/>
        <v>1</v>
      </c>
      <c r="P1066" t="str">
        <f t="shared" si="84"/>
        <v/>
      </c>
      <c r="Q1066">
        <f>COUNTIF('責任職　企業局→市長部局'!A:A,SQLデータ!B1066)</f>
        <v>0</v>
      </c>
      <c r="R1066">
        <f>COUNTIF('一般職員　企業局→市長部局'!A:F,SQLデータ!B1066)</f>
        <v>0</v>
      </c>
    </row>
    <row r="1067" spans="1:18" x14ac:dyDescent="0.4">
      <c r="A1067" s="1">
        <v>202650000866</v>
      </c>
      <c r="B1067" s="1">
        <v>1131080</v>
      </c>
      <c r="C1067" s="2">
        <v>46115</v>
      </c>
      <c r="D1067" t="s">
        <v>17</v>
      </c>
      <c r="E1067" t="s">
        <v>11</v>
      </c>
      <c r="G1067" t="s">
        <v>9</v>
      </c>
      <c r="L1067">
        <f t="shared" si="81"/>
        <v>0</v>
      </c>
      <c r="M1067">
        <f t="shared" si="82"/>
        <v>0</v>
      </c>
      <c r="N1067">
        <f t="shared" si="83"/>
        <v>0</v>
      </c>
      <c r="O1067">
        <f t="shared" si="85"/>
        <v>1</v>
      </c>
      <c r="P1067" t="str">
        <f t="shared" si="84"/>
        <v/>
      </c>
      <c r="Q1067">
        <f>COUNTIF('責任職　企業局→市長部局'!A:A,SQLデータ!B1067)</f>
        <v>0</v>
      </c>
      <c r="R1067">
        <f>COUNTIF('一般職員　企業局→市長部局'!A:F,SQLデータ!B1067)</f>
        <v>0</v>
      </c>
    </row>
    <row r="1068" spans="1:18" x14ac:dyDescent="0.4">
      <c r="A1068" s="1">
        <v>202650000867</v>
      </c>
      <c r="B1068" s="1">
        <v>5027660</v>
      </c>
      <c r="C1068" s="2">
        <v>46115</v>
      </c>
      <c r="D1068" t="s">
        <v>17</v>
      </c>
      <c r="E1068" t="s">
        <v>10</v>
      </c>
      <c r="F1068" t="s">
        <v>54</v>
      </c>
      <c r="G1068" t="s">
        <v>9</v>
      </c>
      <c r="L1068">
        <f t="shared" si="81"/>
        <v>0</v>
      </c>
      <c r="M1068">
        <f t="shared" si="82"/>
        <v>0</v>
      </c>
      <c r="N1068">
        <f t="shared" si="83"/>
        <v>0</v>
      </c>
      <c r="O1068">
        <f t="shared" si="85"/>
        <v>1</v>
      </c>
      <c r="P1068" t="str">
        <f t="shared" si="84"/>
        <v/>
      </c>
      <c r="Q1068">
        <f>COUNTIF('責任職　企業局→市長部局'!A:A,SQLデータ!B1068)</f>
        <v>0</v>
      </c>
      <c r="R1068">
        <f>COUNTIF('一般職員　企業局→市長部局'!A:F,SQLデータ!B1068)</f>
        <v>0</v>
      </c>
    </row>
    <row r="1069" spans="1:18" x14ac:dyDescent="0.4">
      <c r="A1069" s="1">
        <v>202650000868</v>
      </c>
      <c r="B1069" s="1">
        <v>1176058</v>
      </c>
      <c r="C1069" s="2">
        <v>46115</v>
      </c>
      <c r="D1069" t="s">
        <v>17</v>
      </c>
      <c r="E1069" t="s">
        <v>10</v>
      </c>
      <c r="G1069" t="s">
        <v>9</v>
      </c>
      <c r="L1069">
        <f t="shared" si="81"/>
        <v>0</v>
      </c>
      <c r="M1069">
        <f t="shared" si="82"/>
        <v>0</v>
      </c>
      <c r="N1069">
        <f t="shared" si="83"/>
        <v>0</v>
      </c>
      <c r="O1069">
        <f t="shared" si="85"/>
        <v>1</v>
      </c>
      <c r="P1069" t="str">
        <f t="shared" si="84"/>
        <v/>
      </c>
      <c r="Q1069">
        <f>COUNTIF('責任職　企業局→市長部局'!A:A,SQLデータ!B1069)</f>
        <v>0</v>
      </c>
      <c r="R1069">
        <f>COUNTIF('一般職員　企業局→市長部局'!A:F,SQLデータ!B1069)</f>
        <v>0</v>
      </c>
    </row>
    <row r="1070" spans="1:18" x14ac:dyDescent="0.4">
      <c r="A1070" s="1">
        <v>202650000869</v>
      </c>
      <c r="B1070" s="1">
        <v>1036049</v>
      </c>
      <c r="C1070" s="2">
        <v>46115</v>
      </c>
      <c r="D1070" t="s">
        <v>17</v>
      </c>
      <c r="E1070" t="s">
        <v>11</v>
      </c>
      <c r="G1070" t="s">
        <v>9</v>
      </c>
      <c r="L1070">
        <f t="shared" si="81"/>
        <v>0</v>
      </c>
      <c r="M1070">
        <f t="shared" si="82"/>
        <v>0</v>
      </c>
      <c r="N1070">
        <f t="shared" si="83"/>
        <v>0</v>
      </c>
      <c r="O1070">
        <f t="shared" si="85"/>
        <v>1</v>
      </c>
      <c r="P1070" t="str">
        <f t="shared" si="84"/>
        <v/>
      </c>
      <c r="Q1070">
        <f>COUNTIF('責任職　企業局→市長部局'!A:A,SQLデータ!B1070)</f>
        <v>0</v>
      </c>
      <c r="R1070">
        <f>COUNTIF('一般職員　企業局→市長部局'!A:F,SQLデータ!B1070)</f>
        <v>0</v>
      </c>
    </row>
    <row r="1071" spans="1:18" x14ac:dyDescent="0.4">
      <c r="A1071" s="1">
        <v>202650000870</v>
      </c>
      <c r="B1071" s="1">
        <v>950543</v>
      </c>
      <c r="C1071" s="2">
        <v>46115</v>
      </c>
      <c r="D1071" t="s">
        <v>17</v>
      </c>
      <c r="E1071" t="s">
        <v>10</v>
      </c>
      <c r="G1071" t="s">
        <v>9</v>
      </c>
      <c r="L1071">
        <f t="shared" si="81"/>
        <v>0</v>
      </c>
      <c r="M1071">
        <f t="shared" si="82"/>
        <v>0</v>
      </c>
      <c r="N1071">
        <f t="shared" si="83"/>
        <v>0</v>
      </c>
      <c r="O1071">
        <f t="shared" si="85"/>
        <v>1</v>
      </c>
      <c r="P1071" t="str">
        <f t="shared" si="84"/>
        <v/>
      </c>
      <c r="Q1071">
        <f>COUNTIF('責任職　企業局→市長部局'!A:A,SQLデータ!B1071)</f>
        <v>0</v>
      </c>
      <c r="R1071">
        <f>COUNTIF('一般職員　企業局→市長部局'!A:F,SQLデータ!B1071)</f>
        <v>0</v>
      </c>
    </row>
    <row r="1072" spans="1:18" x14ac:dyDescent="0.4">
      <c r="A1072" s="1">
        <v>202650000871</v>
      </c>
      <c r="B1072" s="1">
        <v>840462</v>
      </c>
      <c r="C1072" s="2">
        <v>46115</v>
      </c>
      <c r="D1072" t="s">
        <v>17</v>
      </c>
      <c r="E1072" t="s">
        <v>11</v>
      </c>
      <c r="G1072" t="s">
        <v>9</v>
      </c>
      <c r="L1072">
        <f t="shared" si="81"/>
        <v>0</v>
      </c>
      <c r="M1072">
        <f t="shared" si="82"/>
        <v>0</v>
      </c>
      <c r="N1072">
        <f t="shared" si="83"/>
        <v>0</v>
      </c>
      <c r="O1072">
        <f t="shared" si="85"/>
        <v>1</v>
      </c>
      <c r="P1072" t="str">
        <f t="shared" si="84"/>
        <v/>
      </c>
      <c r="Q1072">
        <f>COUNTIF('責任職　企業局→市長部局'!A:A,SQLデータ!B1072)</f>
        <v>0</v>
      </c>
      <c r="R1072">
        <f>COUNTIF('一般職員　企業局→市長部局'!A:F,SQLデータ!B1072)</f>
        <v>0</v>
      </c>
    </row>
    <row r="1073" spans="1:18" x14ac:dyDescent="0.4">
      <c r="A1073" s="1">
        <v>202650000872</v>
      </c>
      <c r="B1073" s="1">
        <v>1066017</v>
      </c>
      <c r="C1073" s="2">
        <v>46115</v>
      </c>
      <c r="D1073" t="s">
        <v>17</v>
      </c>
      <c r="E1073" t="s">
        <v>11</v>
      </c>
      <c r="G1073" t="s">
        <v>9</v>
      </c>
      <c r="L1073">
        <f t="shared" si="81"/>
        <v>0</v>
      </c>
      <c r="M1073">
        <f t="shared" si="82"/>
        <v>0</v>
      </c>
      <c r="N1073">
        <f t="shared" si="83"/>
        <v>0</v>
      </c>
      <c r="O1073">
        <f t="shared" si="85"/>
        <v>1</v>
      </c>
      <c r="P1073" t="str">
        <f t="shared" si="84"/>
        <v/>
      </c>
      <c r="Q1073">
        <f>COUNTIF('責任職　企業局→市長部局'!A:A,SQLデータ!B1073)</f>
        <v>0</v>
      </c>
      <c r="R1073">
        <f>COUNTIF('一般職員　企業局→市長部局'!A:F,SQLデータ!B1073)</f>
        <v>0</v>
      </c>
    </row>
    <row r="1074" spans="1:18" x14ac:dyDescent="0.4">
      <c r="A1074" s="1">
        <v>202650000873</v>
      </c>
      <c r="B1074" s="1">
        <v>1216031</v>
      </c>
      <c r="C1074" s="2">
        <v>46115</v>
      </c>
      <c r="D1074" t="s">
        <v>17</v>
      </c>
      <c r="E1074" t="s">
        <v>11</v>
      </c>
      <c r="G1074" t="s">
        <v>9</v>
      </c>
      <c r="L1074">
        <f t="shared" si="81"/>
        <v>0</v>
      </c>
      <c r="M1074">
        <f t="shared" si="82"/>
        <v>0</v>
      </c>
      <c r="N1074">
        <f t="shared" si="83"/>
        <v>0</v>
      </c>
      <c r="O1074">
        <f t="shared" si="85"/>
        <v>1</v>
      </c>
      <c r="P1074" t="str">
        <f t="shared" si="84"/>
        <v/>
      </c>
      <c r="Q1074">
        <f>COUNTIF('責任職　企業局→市長部局'!A:A,SQLデータ!B1074)</f>
        <v>0</v>
      </c>
      <c r="R1074">
        <f>COUNTIF('一般職員　企業局→市長部局'!A:F,SQLデータ!B1074)</f>
        <v>0</v>
      </c>
    </row>
    <row r="1075" spans="1:18" x14ac:dyDescent="0.4">
      <c r="A1075" s="1">
        <v>202650000874</v>
      </c>
      <c r="B1075" s="1">
        <v>1126003</v>
      </c>
      <c r="C1075" s="2">
        <v>46115</v>
      </c>
      <c r="D1075" t="s">
        <v>17</v>
      </c>
      <c r="E1075" t="s">
        <v>10</v>
      </c>
      <c r="G1075" t="s">
        <v>9</v>
      </c>
      <c r="L1075">
        <f t="shared" si="81"/>
        <v>0</v>
      </c>
      <c r="M1075">
        <f t="shared" si="82"/>
        <v>0</v>
      </c>
      <c r="N1075">
        <f t="shared" si="83"/>
        <v>0</v>
      </c>
      <c r="O1075">
        <f t="shared" si="85"/>
        <v>1</v>
      </c>
      <c r="P1075" t="str">
        <f t="shared" si="84"/>
        <v/>
      </c>
      <c r="Q1075">
        <f>COUNTIF('責任職　企業局→市長部局'!A:A,SQLデータ!B1075)</f>
        <v>0</v>
      </c>
      <c r="R1075">
        <f>COUNTIF('一般職員　企業局→市長部局'!A:F,SQLデータ!B1075)</f>
        <v>0</v>
      </c>
    </row>
    <row r="1076" spans="1:18" x14ac:dyDescent="0.4">
      <c r="A1076" s="1">
        <v>202650000875</v>
      </c>
      <c r="B1076" s="1">
        <v>1211386</v>
      </c>
      <c r="C1076" s="2">
        <v>46115</v>
      </c>
      <c r="D1076" t="s">
        <v>17</v>
      </c>
      <c r="E1076" t="s">
        <v>11</v>
      </c>
      <c r="G1076" t="s">
        <v>9</v>
      </c>
      <c r="L1076">
        <f t="shared" si="81"/>
        <v>0</v>
      </c>
      <c r="M1076">
        <f t="shared" si="82"/>
        <v>0</v>
      </c>
      <c r="N1076">
        <f t="shared" si="83"/>
        <v>0</v>
      </c>
      <c r="O1076">
        <f t="shared" si="85"/>
        <v>1</v>
      </c>
      <c r="P1076" t="str">
        <f t="shared" si="84"/>
        <v/>
      </c>
      <c r="Q1076">
        <f>COUNTIF('責任職　企業局→市長部局'!A:A,SQLデータ!B1076)</f>
        <v>0</v>
      </c>
      <c r="R1076">
        <f>COUNTIF('一般職員　企業局→市長部局'!A:F,SQLデータ!B1076)</f>
        <v>0</v>
      </c>
    </row>
    <row r="1077" spans="1:18" x14ac:dyDescent="0.4">
      <c r="A1077" s="1">
        <v>202650000876</v>
      </c>
      <c r="B1077" s="1">
        <v>920042</v>
      </c>
      <c r="C1077" s="2">
        <v>46115</v>
      </c>
      <c r="D1077" t="s">
        <v>17</v>
      </c>
      <c r="E1077" t="s">
        <v>11</v>
      </c>
      <c r="G1077" t="s">
        <v>9</v>
      </c>
      <c r="L1077">
        <f t="shared" si="81"/>
        <v>0</v>
      </c>
      <c r="M1077">
        <f t="shared" si="82"/>
        <v>0</v>
      </c>
      <c r="N1077">
        <f t="shared" si="83"/>
        <v>0</v>
      </c>
      <c r="O1077">
        <f t="shared" si="85"/>
        <v>1</v>
      </c>
      <c r="P1077" t="str">
        <f t="shared" si="84"/>
        <v/>
      </c>
      <c r="Q1077">
        <f>COUNTIF('責任職　企業局→市長部局'!A:A,SQLデータ!B1077)</f>
        <v>0</v>
      </c>
      <c r="R1077">
        <f>COUNTIF('一般職員　企業局→市長部局'!A:F,SQLデータ!B1077)</f>
        <v>0</v>
      </c>
    </row>
    <row r="1078" spans="1:18" x14ac:dyDescent="0.4">
      <c r="A1078" s="1">
        <v>202650000877</v>
      </c>
      <c r="B1078" s="1">
        <v>1226049</v>
      </c>
      <c r="C1078" s="2">
        <v>46115</v>
      </c>
      <c r="D1078" t="s">
        <v>17</v>
      </c>
      <c r="E1078" t="s">
        <v>10</v>
      </c>
      <c r="G1078" t="s">
        <v>9</v>
      </c>
      <c r="L1078">
        <f t="shared" si="81"/>
        <v>0</v>
      </c>
      <c r="M1078">
        <f t="shared" si="82"/>
        <v>0</v>
      </c>
      <c r="N1078">
        <f t="shared" si="83"/>
        <v>0</v>
      </c>
      <c r="O1078">
        <f t="shared" si="85"/>
        <v>1</v>
      </c>
      <c r="P1078" t="str">
        <f t="shared" si="84"/>
        <v/>
      </c>
      <c r="Q1078">
        <f>COUNTIF('責任職　企業局→市長部局'!A:A,SQLデータ!B1078)</f>
        <v>0</v>
      </c>
      <c r="R1078">
        <f>COUNTIF('一般職員　企業局→市長部局'!A:F,SQLデータ!B1078)</f>
        <v>0</v>
      </c>
    </row>
    <row r="1079" spans="1:18" x14ac:dyDescent="0.4">
      <c r="A1079" s="1">
        <v>202650000878</v>
      </c>
      <c r="B1079" s="1">
        <v>1031249</v>
      </c>
      <c r="C1079" s="2">
        <v>46115</v>
      </c>
      <c r="D1079" t="s">
        <v>17</v>
      </c>
      <c r="E1079" t="s">
        <v>8</v>
      </c>
      <c r="F1079" t="s">
        <v>47</v>
      </c>
      <c r="G1079" t="s">
        <v>9</v>
      </c>
      <c r="L1079">
        <f t="shared" si="81"/>
        <v>0</v>
      </c>
      <c r="M1079">
        <f t="shared" si="82"/>
        <v>0</v>
      </c>
      <c r="N1079">
        <f t="shared" si="83"/>
        <v>0</v>
      </c>
      <c r="O1079">
        <f t="shared" si="85"/>
        <v>1</v>
      </c>
      <c r="P1079" t="str">
        <f t="shared" si="84"/>
        <v/>
      </c>
      <c r="Q1079">
        <f>COUNTIF('責任職　企業局→市長部局'!A:A,SQLデータ!B1079)</f>
        <v>0</v>
      </c>
      <c r="R1079">
        <f>COUNTIF('一般職員　企業局→市長部局'!A:F,SQLデータ!B1079)</f>
        <v>0</v>
      </c>
    </row>
    <row r="1080" spans="1:18" x14ac:dyDescent="0.4">
      <c r="A1080" s="1">
        <v>202650000879</v>
      </c>
      <c r="B1080" s="1">
        <v>1161073</v>
      </c>
      <c r="C1080" s="2">
        <v>46115</v>
      </c>
      <c r="D1080" t="s">
        <v>17</v>
      </c>
      <c r="E1080" t="s">
        <v>11</v>
      </c>
      <c r="G1080" t="s">
        <v>9</v>
      </c>
      <c r="L1080">
        <f t="shared" si="81"/>
        <v>0</v>
      </c>
      <c r="M1080">
        <f t="shared" si="82"/>
        <v>0</v>
      </c>
      <c r="N1080">
        <f t="shared" si="83"/>
        <v>0</v>
      </c>
      <c r="O1080">
        <f t="shared" si="85"/>
        <v>1</v>
      </c>
      <c r="P1080" t="str">
        <f t="shared" si="84"/>
        <v/>
      </c>
      <c r="Q1080">
        <f>COUNTIF('責任職　企業局→市長部局'!A:A,SQLデータ!B1080)</f>
        <v>0</v>
      </c>
      <c r="R1080">
        <f>COUNTIF('一般職員　企業局→市長部局'!A:F,SQLデータ!B1080)</f>
        <v>0</v>
      </c>
    </row>
    <row r="1081" spans="1:18" x14ac:dyDescent="0.4">
      <c r="A1081" s="1">
        <v>202650000880</v>
      </c>
      <c r="B1081" s="1">
        <v>1081406</v>
      </c>
      <c r="C1081" s="2">
        <v>46115</v>
      </c>
      <c r="D1081" t="s">
        <v>17</v>
      </c>
      <c r="E1081" t="s">
        <v>11</v>
      </c>
      <c r="G1081" t="s">
        <v>9</v>
      </c>
      <c r="L1081">
        <f t="shared" si="81"/>
        <v>0</v>
      </c>
      <c r="M1081">
        <f t="shared" si="82"/>
        <v>0</v>
      </c>
      <c r="N1081">
        <f t="shared" si="83"/>
        <v>0</v>
      </c>
      <c r="O1081">
        <f t="shared" si="85"/>
        <v>1</v>
      </c>
      <c r="P1081" t="str">
        <f t="shared" si="84"/>
        <v/>
      </c>
      <c r="Q1081">
        <f>COUNTIF('責任職　企業局→市長部局'!A:A,SQLデータ!B1081)</f>
        <v>0</v>
      </c>
      <c r="R1081">
        <f>COUNTIF('一般職員　企業局→市長部局'!A:F,SQLデータ!B1081)</f>
        <v>0</v>
      </c>
    </row>
    <row r="1082" spans="1:18" x14ac:dyDescent="0.4">
      <c r="A1082" s="1">
        <v>202650000881</v>
      </c>
      <c r="B1082" s="1">
        <v>991096</v>
      </c>
      <c r="C1082" s="2">
        <v>46115</v>
      </c>
      <c r="D1082" t="s">
        <v>17</v>
      </c>
      <c r="E1082" t="s">
        <v>11</v>
      </c>
      <c r="F1082" t="s">
        <v>48</v>
      </c>
      <c r="G1082" t="s">
        <v>9</v>
      </c>
      <c r="L1082">
        <f t="shared" si="81"/>
        <v>0</v>
      </c>
      <c r="M1082">
        <f t="shared" si="82"/>
        <v>0</v>
      </c>
      <c r="N1082">
        <f t="shared" si="83"/>
        <v>0</v>
      </c>
      <c r="O1082">
        <f t="shared" si="85"/>
        <v>1</v>
      </c>
      <c r="P1082" t="str">
        <f t="shared" si="84"/>
        <v/>
      </c>
      <c r="Q1082">
        <f>COUNTIF('責任職　企業局→市長部局'!A:A,SQLデータ!B1082)</f>
        <v>0</v>
      </c>
      <c r="R1082">
        <f>COUNTIF('一般職員　企業局→市長部局'!A:F,SQLデータ!B1082)</f>
        <v>0</v>
      </c>
    </row>
    <row r="1083" spans="1:18" x14ac:dyDescent="0.4">
      <c r="A1083" s="1">
        <v>202650000882</v>
      </c>
      <c r="B1083" s="1">
        <v>1117022</v>
      </c>
      <c r="C1083" s="2">
        <v>46115</v>
      </c>
      <c r="D1083" t="s">
        <v>17</v>
      </c>
      <c r="E1083" t="s">
        <v>11</v>
      </c>
      <c r="G1083" t="s">
        <v>9</v>
      </c>
      <c r="L1083">
        <f t="shared" si="81"/>
        <v>0</v>
      </c>
      <c r="M1083">
        <f t="shared" si="82"/>
        <v>0</v>
      </c>
      <c r="N1083">
        <f t="shared" si="83"/>
        <v>0</v>
      </c>
      <c r="O1083">
        <f t="shared" si="85"/>
        <v>1</v>
      </c>
      <c r="P1083" t="str">
        <f t="shared" si="84"/>
        <v/>
      </c>
      <c r="Q1083">
        <f>COUNTIF('責任職　企業局→市長部局'!A:A,SQLデータ!B1083)</f>
        <v>0</v>
      </c>
      <c r="R1083">
        <f>COUNTIF('一般職員　企業局→市長部局'!A:F,SQLデータ!B1083)</f>
        <v>0</v>
      </c>
    </row>
    <row r="1084" spans="1:18" x14ac:dyDescent="0.4">
      <c r="A1084" s="1">
        <v>202650000883</v>
      </c>
      <c r="B1084" s="1">
        <v>1011116</v>
      </c>
      <c r="C1084" s="2">
        <v>46115</v>
      </c>
      <c r="D1084" t="s">
        <v>17</v>
      </c>
      <c r="E1084" t="s">
        <v>11</v>
      </c>
      <c r="G1084" t="s">
        <v>9</v>
      </c>
      <c r="L1084">
        <f t="shared" si="81"/>
        <v>0</v>
      </c>
      <c r="M1084">
        <f t="shared" si="82"/>
        <v>0</v>
      </c>
      <c r="N1084">
        <f t="shared" si="83"/>
        <v>0</v>
      </c>
      <c r="O1084">
        <f t="shared" si="85"/>
        <v>1</v>
      </c>
      <c r="P1084" t="str">
        <f t="shared" si="84"/>
        <v/>
      </c>
      <c r="Q1084">
        <f>COUNTIF('責任職　企業局→市長部局'!A:A,SQLデータ!B1084)</f>
        <v>0</v>
      </c>
      <c r="R1084">
        <f>COUNTIF('一般職員　企業局→市長部局'!A:F,SQLデータ!B1084)</f>
        <v>0</v>
      </c>
    </row>
    <row r="1085" spans="1:18" x14ac:dyDescent="0.4">
      <c r="A1085" s="1">
        <v>202650000884</v>
      </c>
      <c r="B1085" s="1">
        <v>1146066</v>
      </c>
      <c r="C1085" s="2">
        <v>46115</v>
      </c>
      <c r="D1085" t="s">
        <v>17</v>
      </c>
      <c r="E1085" t="s">
        <v>10</v>
      </c>
      <c r="G1085" t="s">
        <v>9</v>
      </c>
      <c r="L1085">
        <f t="shared" si="81"/>
        <v>0</v>
      </c>
      <c r="M1085">
        <f t="shared" si="82"/>
        <v>0</v>
      </c>
      <c r="N1085">
        <f t="shared" si="83"/>
        <v>0</v>
      </c>
      <c r="O1085">
        <f t="shared" si="85"/>
        <v>1</v>
      </c>
      <c r="P1085" t="str">
        <f t="shared" si="84"/>
        <v/>
      </c>
      <c r="Q1085">
        <f>COUNTIF('責任職　企業局→市長部局'!A:A,SQLデータ!B1085)</f>
        <v>0</v>
      </c>
      <c r="R1085">
        <f>COUNTIF('一般職員　企業局→市長部局'!A:F,SQLデータ!B1085)</f>
        <v>0</v>
      </c>
    </row>
    <row r="1086" spans="1:18" x14ac:dyDescent="0.4">
      <c r="A1086" s="1">
        <v>202650000885</v>
      </c>
      <c r="B1086" s="1">
        <v>1012004</v>
      </c>
      <c r="C1086" s="2">
        <v>46115</v>
      </c>
      <c r="D1086" t="s">
        <v>17</v>
      </c>
      <c r="E1086" t="s">
        <v>11</v>
      </c>
      <c r="G1086" t="s">
        <v>9</v>
      </c>
      <c r="L1086">
        <f t="shared" si="81"/>
        <v>0</v>
      </c>
      <c r="M1086">
        <f t="shared" si="82"/>
        <v>0</v>
      </c>
      <c r="N1086">
        <f t="shared" si="83"/>
        <v>0</v>
      </c>
      <c r="O1086">
        <f t="shared" si="85"/>
        <v>1</v>
      </c>
      <c r="P1086" t="str">
        <f t="shared" si="84"/>
        <v/>
      </c>
      <c r="Q1086">
        <f>COUNTIF('責任職　企業局→市長部局'!A:A,SQLデータ!B1086)</f>
        <v>0</v>
      </c>
      <c r="R1086">
        <f>COUNTIF('一般職員　企業局→市長部局'!A:F,SQLデータ!B1086)</f>
        <v>0</v>
      </c>
    </row>
    <row r="1087" spans="1:18" x14ac:dyDescent="0.4">
      <c r="A1087" s="1">
        <v>202650000886</v>
      </c>
      <c r="B1087" s="1">
        <v>1106038</v>
      </c>
      <c r="C1087" s="2">
        <v>46115</v>
      </c>
      <c r="D1087" t="s">
        <v>17</v>
      </c>
      <c r="E1087" t="s">
        <v>11</v>
      </c>
      <c r="G1087" t="s">
        <v>9</v>
      </c>
      <c r="L1087">
        <f t="shared" si="81"/>
        <v>0</v>
      </c>
      <c r="M1087">
        <f t="shared" si="82"/>
        <v>0</v>
      </c>
      <c r="N1087">
        <f t="shared" si="83"/>
        <v>0</v>
      </c>
      <c r="O1087">
        <f t="shared" si="85"/>
        <v>1</v>
      </c>
      <c r="P1087" t="str">
        <f t="shared" si="84"/>
        <v/>
      </c>
      <c r="Q1087">
        <f>COUNTIF('責任職　企業局→市長部局'!A:A,SQLデータ!B1087)</f>
        <v>0</v>
      </c>
      <c r="R1087">
        <f>COUNTIF('一般職員　企業局→市長部局'!A:F,SQLデータ!B1087)</f>
        <v>0</v>
      </c>
    </row>
    <row r="1088" spans="1:18" x14ac:dyDescent="0.4">
      <c r="A1088" s="1">
        <v>202650000887</v>
      </c>
      <c r="B1088" s="1">
        <v>1112502</v>
      </c>
      <c r="C1088" s="2">
        <v>46115</v>
      </c>
      <c r="D1088" t="s">
        <v>17</v>
      </c>
      <c r="E1088" t="s">
        <v>10</v>
      </c>
      <c r="F1088" t="s">
        <v>79</v>
      </c>
      <c r="G1088" t="s">
        <v>9</v>
      </c>
      <c r="L1088">
        <f t="shared" si="81"/>
        <v>0</v>
      </c>
      <c r="M1088">
        <f t="shared" si="82"/>
        <v>0</v>
      </c>
      <c r="N1088">
        <f t="shared" si="83"/>
        <v>0</v>
      </c>
      <c r="O1088">
        <f t="shared" si="85"/>
        <v>1</v>
      </c>
      <c r="P1088" t="str">
        <f t="shared" si="84"/>
        <v/>
      </c>
      <c r="Q1088">
        <f>COUNTIF('責任職　企業局→市長部局'!A:A,SQLデータ!B1088)</f>
        <v>0</v>
      </c>
      <c r="R1088">
        <f>COUNTIF('一般職員　企業局→市長部局'!A:F,SQLデータ!B1088)</f>
        <v>0</v>
      </c>
    </row>
    <row r="1089" spans="1:18" x14ac:dyDescent="0.4">
      <c r="A1089" s="1">
        <v>202650000888</v>
      </c>
      <c r="B1089" s="1">
        <v>1046023</v>
      </c>
      <c r="C1089" s="2">
        <v>46115</v>
      </c>
      <c r="D1089" t="s">
        <v>17</v>
      </c>
      <c r="E1089" t="s">
        <v>8</v>
      </c>
      <c r="F1089" t="s">
        <v>47</v>
      </c>
      <c r="G1089" t="s">
        <v>9</v>
      </c>
      <c r="L1089">
        <f t="shared" si="81"/>
        <v>0</v>
      </c>
      <c r="M1089">
        <f t="shared" si="82"/>
        <v>0</v>
      </c>
      <c r="N1089">
        <f t="shared" si="83"/>
        <v>0</v>
      </c>
      <c r="O1089">
        <f t="shared" si="85"/>
        <v>1</v>
      </c>
      <c r="P1089" t="str">
        <f t="shared" si="84"/>
        <v/>
      </c>
      <c r="Q1089">
        <f>COUNTIF('責任職　企業局→市長部局'!A:A,SQLデータ!B1089)</f>
        <v>0</v>
      </c>
      <c r="R1089">
        <f>COUNTIF('一般職員　企業局→市長部局'!A:F,SQLデータ!B1089)</f>
        <v>0</v>
      </c>
    </row>
    <row r="1090" spans="1:18" x14ac:dyDescent="0.4">
      <c r="A1090" s="1">
        <v>202650000889</v>
      </c>
      <c r="B1090" s="1">
        <v>1066028</v>
      </c>
      <c r="C1090" s="2">
        <v>46119</v>
      </c>
      <c r="D1090" t="s">
        <v>17</v>
      </c>
      <c r="E1090" t="s">
        <v>10</v>
      </c>
      <c r="G1090" t="s">
        <v>9</v>
      </c>
      <c r="L1090">
        <f t="shared" ref="L1090:L1153" si="86">IF(ISBLANK(J1090),0,1)</f>
        <v>0</v>
      </c>
      <c r="M1090">
        <f t="shared" ref="M1090:M1153" si="87">IF(AND(L1090=0,I1090&lt;&gt;""),1,0)</f>
        <v>0</v>
      </c>
      <c r="N1090">
        <f t="shared" ref="N1090:N1153" si="88">IF(AND(L1090=0,M1090=0,K1090&lt;&gt;""),1,0)</f>
        <v>0</v>
      </c>
      <c r="O1090">
        <f t="shared" si="85"/>
        <v>1</v>
      </c>
      <c r="P1090" t="str">
        <f t="shared" ref="P1090:P1153" si="89">IF(D1090&lt;&gt;"扶養","",IF(E1090&lt;&gt;"確認待ち",1,IF(OR(AND(G1090="本人の結婚",O1090=1),AND(H1090="減",OR(N1090=1,O1090=1))),1,0)))</f>
        <v/>
      </c>
      <c r="Q1090">
        <f>COUNTIF('責任職　企業局→市長部局'!A:A,SQLデータ!B1090)</f>
        <v>0</v>
      </c>
      <c r="R1090">
        <f>COUNTIF('一般職員　企業局→市長部局'!A:F,SQLデータ!B1090)</f>
        <v>0</v>
      </c>
    </row>
    <row r="1091" spans="1:18" x14ac:dyDescent="0.4">
      <c r="A1091" s="1">
        <v>202650000890</v>
      </c>
      <c r="B1091" s="1">
        <v>1201486</v>
      </c>
      <c r="C1091" s="2">
        <v>46115</v>
      </c>
      <c r="D1091" t="s">
        <v>17</v>
      </c>
      <c r="E1091" t="s">
        <v>11</v>
      </c>
      <c r="G1091" t="s">
        <v>9</v>
      </c>
      <c r="L1091">
        <f t="shared" si="86"/>
        <v>0</v>
      </c>
      <c r="M1091">
        <f t="shared" si="87"/>
        <v>0</v>
      </c>
      <c r="N1091">
        <f t="shared" si="88"/>
        <v>0</v>
      </c>
      <c r="O1091">
        <f t="shared" si="85"/>
        <v>1</v>
      </c>
      <c r="P1091" t="str">
        <f t="shared" si="89"/>
        <v/>
      </c>
      <c r="Q1091">
        <f>COUNTIF('責任職　企業局→市長部局'!A:A,SQLデータ!B1091)</f>
        <v>0</v>
      </c>
      <c r="R1091">
        <f>COUNTIF('一般職員　企業局→市長部局'!A:F,SQLデータ!B1091)</f>
        <v>0</v>
      </c>
    </row>
    <row r="1092" spans="1:18" x14ac:dyDescent="0.4">
      <c r="A1092" s="1">
        <v>202650000891</v>
      </c>
      <c r="B1092" s="1">
        <v>1071027</v>
      </c>
      <c r="C1092" s="2">
        <v>46115</v>
      </c>
      <c r="D1092" t="s">
        <v>17</v>
      </c>
      <c r="E1092" t="s">
        <v>11</v>
      </c>
      <c r="G1092" t="s">
        <v>9</v>
      </c>
      <c r="L1092">
        <f t="shared" si="86"/>
        <v>0</v>
      </c>
      <c r="M1092">
        <f t="shared" si="87"/>
        <v>0</v>
      </c>
      <c r="N1092">
        <f t="shared" si="88"/>
        <v>0</v>
      </c>
      <c r="O1092">
        <f t="shared" si="85"/>
        <v>1</v>
      </c>
      <c r="P1092" t="str">
        <f t="shared" si="89"/>
        <v/>
      </c>
      <c r="Q1092">
        <f>COUNTIF('責任職　企業局→市長部局'!A:A,SQLデータ!B1092)</f>
        <v>0</v>
      </c>
      <c r="R1092">
        <f>COUNTIF('一般職員　企業局→市長部局'!A:F,SQLデータ!B1092)</f>
        <v>0</v>
      </c>
    </row>
    <row r="1093" spans="1:18" x14ac:dyDescent="0.4">
      <c r="A1093" s="1">
        <v>202650000893</v>
      </c>
      <c r="B1093" s="1">
        <v>1191513</v>
      </c>
      <c r="C1093" s="2">
        <v>46115</v>
      </c>
      <c r="D1093" t="s">
        <v>17</v>
      </c>
      <c r="E1093" t="s">
        <v>11</v>
      </c>
      <c r="G1093" t="s">
        <v>9</v>
      </c>
      <c r="L1093">
        <f t="shared" si="86"/>
        <v>0</v>
      </c>
      <c r="M1093">
        <f t="shared" si="87"/>
        <v>0</v>
      </c>
      <c r="N1093">
        <f t="shared" si="88"/>
        <v>0</v>
      </c>
      <c r="O1093">
        <f t="shared" si="85"/>
        <v>1</v>
      </c>
      <c r="P1093" t="str">
        <f t="shared" si="89"/>
        <v/>
      </c>
      <c r="Q1093">
        <f>COUNTIF('責任職　企業局→市長部局'!A:A,SQLデータ!B1093)</f>
        <v>0</v>
      </c>
      <c r="R1093">
        <f>COUNTIF('一般職員　企業局→市長部局'!A:F,SQLデータ!B1093)</f>
        <v>0</v>
      </c>
    </row>
    <row r="1094" spans="1:18" x14ac:dyDescent="0.4">
      <c r="A1094" s="1">
        <v>202650000895</v>
      </c>
      <c r="B1094" s="1">
        <v>1011258</v>
      </c>
      <c r="C1094" s="2">
        <v>46115</v>
      </c>
      <c r="D1094" t="s">
        <v>17</v>
      </c>
      <c r="E1094" t="s">
        <v>11</v>
      </c>
      <c r="F1094" t="s">
        <v>48</v>
      </c>
      <c r="G1094" t="s">
        <v>9</v>
      </c>
      <c r="L1094">
        <f t="shared" si="86"/>
        <v>0</v>
      </c>
      <c r="M1094">
        <f t="shared" si="87"/>
        <v>0</v>
      </c>
      <c r="N1094">
        <f t="shared" si="88"/>
        <v>0</v>
      </c>
      <c r="O1094">
        <f t="shared" si="85"/>
        <v>1</v>
      </c>
      <c r="P1094" t="str">
        <f t="shared" si="89"/>
        <v/>
      </c>
      <c r="Q1094">
        <f>COUNTIF('責任職　企業局→市長部局'!A:A,SQLデータ!B1094)</f>
        <v>0</v>
      </c>
      <c r="R1094">
        <f>COUNTIF('一般職員　企業局→市長部局'!A:F,SQLデータ!B1094)</f>
        <v>0</v>
      </c>
    </row>
    <row r="1095" spans="1:18" x14ac:dyDescent="0.4">
      <c r="A1095" s="1">
        <v>202650000896</v>
      </c>
      <c r="B1095" s="1">
        <v>1024122</v>
      </c>
      <c r="C1095" s="2">
        <v>46115</v>
      </c>
      <c r="D1095" t="s">
        <v>17</v>
      </c>
      <c r="E1095" t="s">
        <v>11</v>
      </c>
      <c r="G1095" t="s">
        <v>9</v>
      </c>
      <c r="L1095">
        <f t="shared" si="86"/>
        <v>0</v>
      </c>
      <c r="M1095">
        <f t="shared" si="87"/>
        <v>0</v>
      </c>
      <c r="N1095">
        <f t="shared" si="88"/>
        <v>0</v>
      </c>
      <c r="O1095">
        <f t="shared" si="85"/>
        <v>1</v>
      </c>
      <c r="P1095" t="str">
        <f t="shared" si="89"/>
        <v/>
      </c>
      <c r="Q1095">
        <f>COUNTIF('責任職　企業局→市長部局'!A:A,SQLデータ!B1095)</f>
        <v>0</v>
      </c>
      <c r="R1095">
        <f>COUNTIF('一般職員　企業局→市長部局'!A:F,SQLデータ!B1095)</f>
        <v>0</v>
      </c>
    </row>
    <row r="1096" spans="1:18" x14ac:dyDescent="0.4">
      <c r="A1096" s="1">
        <v>202650000897</v>
      </c>
      <c r="B1096" s="1">
        <v>1192515</v>
      </c>
      <c r="C1096" s="2">
        <v>46115</v>
      </c>
      <c r="D1096" t="s">
        <v>17</v>
      </c>
      <c r="E1096" t="s">
        <v>8</v>
      </c>
      <c r="F1096" t="s">
        <v>47</v>
      </c>
      <c r="G1096" t="s">
        <v>9</v>
      </c>
      <c r="L1096">
        <f t="shared" si="86"/>
        <v>0</v>
      </c>
      <c r="M1096">
        <f t="shared" si="87"/>
        <v>0</v>
      </c>
      <c r="N1096">
        <f t="shared" si="88"/>
        <v>0</v>
      </c>
      <c r="O1096">
        <f t="shared" si="85"/>
        <v>1</v>
      </c>
      <c r="P1096" t="str">
        <f t="shared" si="89"/>
        <v/>
      </c>
      <c r="Q1096">
        <f>COUNTIF('責任職　企業局→市長部局'!A:A,SQLデータ!B1096)</f>
        <v>0</v>
      </c>
      <c r="R1096">
        <f>COUNTIF('一般職員　企業局→市長部局'!A:F,SQLデータ!B1096)</f>
        <v>0</v>
      </c>
    </row>
    <row r="1097" spans="1:18" x14ac:dyDescent="0.4">
      <c r="A1097" s="1">
        <v>202650000898</v>
      </c>
      <c r="B1097" s="1">
        <v>1211521</v>
      </c>
      <c r="C1097" s="2">
        <v>46115</v>
      </c>
      <c r="D1097" t="s">
        <v>17</v>
      </c>
      <c r="E1097" t="s">
        <v>11</v>
      </c>
      <c r="G1097" t="s">
        <v>9</v>
      </c>
      <c r="L1097">
        <f t="shared" si="86"/>
        <v>0</v>
      </c>
      <c r="M1097">
        <f t="shared" si="87"/>
        <v>0</v>
      </c>
      <c r="N1097">
        <f t="shared" si="88"/>
        <v>0</v>
      </c>
      <c r="O1097">
        <f t="shared" ref="O1097:O1160" si="90">IF(COUNTIF(L1097:N1097,0)=3,1,0)</f>
        <v>1</v>
      </c>
      <c r="P1097" t="str">
        <f t="shared" si="89"/>
        <v/>
      </c>
      <c r="Q1097">
        <f>COUNTIF('責任職　企業局→市長部局'!A:A,SQLデータ!B1097)</f>
        <v>0</v>
      </c>
      <c r="R1097">
        <f>COUNTIF('一般職員　企業局→市長部局'!A:F,SQLデータ!B1097)</f>
        <v>0</v>
      </c>
    </row>
    <row r="1098" spans="1:18" x14ac:dyDescent="0.4">
      <c r="A1098" s="1">
        <v>202650000899</v>
      </c>
      <c r="B1098" s="1">
        <v>981126</v>
      </c>
      <c r="C1098" s="2">
        <v>46121</v>
      </c>
      <c r="D1098" t="s">
        <v>17</v>
      </c>
      <c r="E1098" t="s">
        <v>11</v>
      </c>
      <c r="G1098" t="s">
        <v>9</v>
      </c>
      <c r="L1098">
        <f t="shared" si="86"/>
        <v>0</v>
      </c>
      <c r="M1098">
        <f t="shared" si="87"/>
        <v>0</v>
      </c>
      <c r="N1098">
        <f t="shared" si="88"/>
        <v>0</v>
      </c>
      <c r="O1098">
        <f t="shared" si="90"/>
        <v>1</v>
      </c>
      <c r="P1098" t="str">
        <f t="shared" si="89"/>
        <v/>
      </c>
      <c r="Q1098">
        <f>COUNTIF('責任職　企業局→市長部局'!A:A,SQLデータ!B1098)</f>
        <v>0</v>
      </c>
      <c r="R1098">
        <f>COUNTIF('一般職員　企業局→市長部局'!A:F,SQLデータ!B1098)</f>
        <v>0</v>
      </c>
    </row>
    <row r="1099" spans="1:18" x14ac:dyDescent="0.4">
      <c r="A1099" s="1">
        <v>202650000900</v>
      </c>
      <c r="B1099" s="1">
        <v>1106017</v>
      </c>
      <c r="C1099" s="2">
        <v>46115</v>
      </c>
      <c r="D1099" t="s">
        <v>17</v>
      </c>
      <c r="E1099" t="s">
        <v>10</v>
      </c>
      <c r="G1099" t="s">
        <v>9</v>
      </c>
      <c r="L1099">
        <f t="shared" si="86"/>
        <v>0</v>
      </c>
      <c r="M1099">
        <f t="shared" si="87"/>
        <v>0</v>
      </c>
      <c r="N1099">
        <f t="shared" si="88"/>
        <v>0</v>
      </c>
      <c r="O1099">
        <f t="shared" si="90"/>
        <v>1</v>
      </c>
      <c r="P1099" t="str">
        <f t="shared" si="89"/>
        <v/>
      </c>
      <c r="Q1099">
        <f>COUNTIF('責任職　企業局→市長部局'!A:A,SQLデータ!B1099)</f>
        <v>0</v>
      </c>
      <c r="R1099">
        <f>COUNTIF('一般職員　企業局→市長部局'!A:F,SQLデータ!B1099)</f>
        <v>0</v>
      </c>
    </row>
    <row r="1100" spans="1:18" x14ac:dyDescent="0.4">
      <c r="A1100" s="1">
        <v>202650000901</v>
      </c>
      <c r="B1100" s="1">
        <v>1021018</v>
      </c>
      <c r="C1100" s="2">
        <v>46115</v>
      </c>
      <c r="D1100" t="s">
        <v>17</v>
      </c>
      <c r="E1100" t="s">
        <v>11</v>
      </c>
      <c r="G1100" t="s">
        <v>9</v>
      </c>
      <c r="L1100">
        <f t="shared" si="86"/>
        <v>0</v>
      </c>
      <c r="M1100">
        <f t="shared" si="87"/>
        <v>0</v>
      </c>
      <c r="N1100">
        <f t="shared" si="88"/>
        <v>0</v>
      </c>
      <c r="O1100">
        <f t="shared" si="90"/>
        <v>1</v>
      </c>
      <c r="P1100" t="str">
        <f t="shared" si="89"/>
        <v/>
      </c>
      <c r="Q1100">
        <f>COUNTIF('責任職　企業局→市長部局'!A:A,SQLデータ!B1100)</f>
        <v>0</v>
      </c>
      <c r="R1100">
        <f>COUNTIF('一般職員　企業局→市長部局'!A:F,SQLデータ!B1100)</f>
        <v>0</v>
      </c>
    </row>
    <row r="1101" spans="1:18" x14ac:dyDescent="0.4">
      <c r="A1101" s="1">
        <v>202650000902</v>
      </c>
      <c r="B1101" s="1">
        <v>1126002</v>
      </c>
      <c r="C1101" s="2">
        <v>46115</v>
      </c>
      <c r="D1101" t="s">
        <v>17</v>
      </c>
      <c r="E1101" t="s">
        <v>10</v>
      </c>
      <c r="G1101" t="s">
        <v>9</v>
      </c>
      <c r="L1101">
        <f t="shared" si="86"/>
        <v>0</v>
      </c>
      <c r="M1101">
        <f t="shared" si="87"/>
        <v>0</v>
      </c>
      <c r="N1101">
        <f t="shared" si="88"/>
        <v>0</v>
      </c>
      <c r="O1101">
        <f t="shared" si="90"/>
        <v>1</v>
      </c>
      <c r="P1101" t="str">
        <f t="shared" si="89"/>
        <v/>
      </c>
      <c r="Q1101">
        <f>COUNTIF('責任職　企業局→市長部局'!A:A,SQLデータ!B1101)</f>
        <v>0</v>
      </c>
      <c r="R1101">
        <f>COUNTIF('一般職員　企業局→市長部局'!A:F,SQLデータ!B1101)</f>
        <v>0</v>
      </c>
    </row>
    <row r="1102" spans="1:18" x14ac:dyDescent="0.4">
      <c r="A1102" s="1">
        <v>202650000904</v>
      </c>
      <c r="B1102" s="1">
        <v>1161362</v>
      </c>
      <c r="C1102" s="2">
        <v>46115</v>
      </c>
      <c r="D1102" t="s">
        <v>17</v>
      </c>
      <c r="E1102" t="s">
        <v>11</v>
      </c>
      <c r="G1102" t="s">
        <v>9</v>
      </c>
      <c r="L1102">
        <f t="shared" si="86"/>
        <v>0</v>
      </c>
      <c r="M1102">
        <f t="shared" si="87"/>
        <v>0</v>
      </c>
      <c r="N1102">
        <f t="shared" si="88"/>
        <v>0</v>
      </c>
      <c r="O1102">
        <f t="shared" si="90"/>
        <v>1</v>
      </c>
      <c r="P1102" t="str">
        <f t="shared" si="89"/>
        <v/>
      </c>
      <c r="Q1102">
        <f>COUNTIF('責任職　企業局→市長部局'!A:A,SQLデータ!B1102)</f>
        <v>0</v>
      </c>
      <c r="R1102">
        <f>COUNTIF('一般職員　企業局→市長部局'!A:F,SQLデータ!B1102)</f>
        <v>0</v>
      </c>
    </row>
    <row r="1103" spans="1:18" x14ac:dyDescent="0.4">
      <c r="A1103" s="1">
        <v>202650000905</v>
      </c>
      <c r="B1103" s="1">
        <v>1131352</v>
      </c>
      <c r="C1103" s="2">
        <v>46115</v>
      </c>
      <c r="D1103" t="s">
        <v>17</v>
      </c>
      <c r="E1103" t="s">
        <v>11</v>
      </c>
      <c r="G1103" t="s">
        <v>9</v>
      </c>
      <c r="L1103">
        <f t="shared" si="86"/>
        <v>0</v>
      </c>
      <c r="M1103">
        <f t="shared" si="87"/>
        <v>0</v>
      </c>
      <c r="N1103">
        <f t="shared" si="88"/>
        <v>0</v>
      </c>
      <c r="O1103">
        <f t="shared" si="90"/>
        <v>1</v>
      </c>
      <c r="P1103" t="str">
        <f t="shared" si="89"/>
        <v/>
      </c>
      <c r="Q1103">
        <f>COUNTIF('責任職　企業局→市長部局'!A:A,SQLデータ!B1103)</f>
        <v>0</v>
      </c>
      <c r="R1103">
        <f>COUNTIF('一般職員　企業局→市長部局'!A:F,SQLデータ!B1103)</f>
        <v>0</v>
      </c>
    </row>
    <row r="1104" spans="1:18" x14ac:dyDescent="0.4">
      <c r="A1104" s="1">
        <v>202650000906</v>
      </c>
      <c r="B1104" s="1">
        <v>1192503</v>
      </c>
      <c r="C1104" s="2">
        <v>46115</v>
      </c>
      <c r="D1104" t="s">
        <v>17</v>
      </c>
      <c r="E1104" t="s">
        <v>11</v>
      </c>
      <c r="G1104" t="s">
        <v>9</v>
      </c>
      <c r="L1104">
        <f t="shared" si="86"/>
        <v>0</v>
      </c>
      <c r="M1104">
        <f t="shared" si="87"/>
        <v>0</v>
      </c>
      <c r="N1104">
        <f t="shared" si="88"/>
        <v>0</v>
      </c>
      <c r="O1104">
        <f t="shared" si="90"/>
        <v>1</v>
      </c>
      <c r="P1104" t="str">
        <f t="shared" si="89"/>
        <v/>
      </c>
      <c r="Q1104">
        <f>COUNTIF('責任職　企業局→市長部局'!A:A,SQLデータ!B1104)</f>
        <v>0</v>
      </c>
      <c r="R1104">
        <f>COUNTIF('一般職員　企業局→市長部局'!A:F,SQLデータ!B1104)</f>
        <v>0</v>
      </c>
    </row>
    <row r="1105" spans="1:18" x14ac:dyDescent="0.4">
      <c r="A1105" s="1">
        <v>202650000908</v>
      </c>
      <c r="B1105" s="1">
        <v>1124058</v>
      </c>
      <c r="C1105" s="2">
        <v>46115</v>
      </c>
      <c r="D1105" t="s">
        <v>17</v>
      </c>
      <c r="E1105" t="s">
        <v>8</v>
      </c>
      <c r="G1105" t="s">
        <v>9</v>
      </c>
      <c r="L1105">
        <f t="shared" si="86"/>
        <v>0</v>
      </c>
      <c r="M1105">
        <f t="shared" si="87"/>
        <v>0</v>
      </c>
      <c r="N1105">
        <f t="shared" si="88"/>
        <v>0</v>
      </c>
      <c r="O1105">
        <f t="shared" si="90"/>
        <v>1</v>
      </c>
      <c r="P1105" t="str">
        <f t="shared" si="89"/>
        <v/>
      </c>
      <c r="Q1105">
        <f>COUNTIF('責任職　企業局→市長部局'!A:A,SQLデータ!B1105)</f>
        <v>0</v>
      </c>
      <c r="R1105">
        <f>COUNTIF('一般職員　企業局→市長部局'!A:F,SQLデータ!B1105)</f>
        <v>0</v>
      </c>
    </row>
    <row r="1106" spans="1:18" x14ac:dyDescent="0.4">
      <c r="A1106" s="1">
        <v>202650000909</v>
      </c>
      <c r="B1106" s="1">
        <v>1224086</v>
      </c>
      <c r="C1106" s="2">
        <v>46115</v>
      </c>
      <c r="D1106" t="s">
        <v>17</v>
      </c>
      <c r="E1106" t="s">
        <v>8</v>
      </c>
      <c r="G1106" t="s">
        <v>9</v>
      </c>
      <c r="L1106">
        <f t="shared" si="86"/>
        <v>0</v>
      </c>
      <c r="M1106">
        <f t="shared" si="87"/>
        <v>0</v>
      </c>
      <c r="N1106">
        <f t="shared" si="88"/>
        <v>0</v>
      </c>
      <c r="O1106">
        <f t="shared" si="90"/>
        <v>1</v>
      </c>
      <c r="P1106" t="str">
        <f t="shared" si="89"/>
        <v/>
      </c>
      <c r="Q1106">
        <f>COUNTIF('責任職　企業局→市長部局'!A:A,SQLデータ!B1106)</f>
        <v>0</v>
      </c>
      <c r="R1106">
        <f>COUNTIF('一般職員　企業局→市長部局'!A:F,SQLデータ!B1106)</f>
        <v>0</v>
      </c>
    </row>
    <row r="1107" spans="1:18" x14ac:dyDescent="0.4">
      <c r="A1107" s="1">
        <v>202650000910</v>
      </c>
      <c r="B1107" s="1">
        <v>1091414</v>
      </c>
      <c r="C1107" s="2">
        <v>46115</v>
      </c>
      <c r="D1107" t="s">
        <v>17</v>
      </c>
      <c r="E1107" t="s">
        <v>8</v>
      </c>
      <c r="F1107" t="s">
        <v>47</v>
      </c>
      <c r="G1107" t="s">
        <v>9</v>
      </c>
      <c r="L1107">
        <f t="shared" si="86"/>
        <v>0</v>
      </c>
      <c r="M1107">
        <f t="shared" si="87"/>
        <v>0</v>
      </c>
      <c r="N1107">
        <f t="shared" si="88"/>
        <v>0</v>
      </c>
      <c r="O1107">
        <f t="shared" si="90"/>
        <v>1</v>
      </c>
      <c r="P1107" t="str">
        <f t="shared" si="89"/>
        <v/>
      </c>
      <c r="Q1107">
        <f>COUNTIF('責任職　企業局→市長部局'!A:A,SQLデータ!B1107)</f>
        <v>0</v>
      </c>
      <c r="R1107">
        <f>COUNTIF('一般職員　企業局→市長部局'!A:F,SQLデータ!B1107)</f>
        <v>0</v>
      </c>
    </row>
    <row r="1108" spans="1:18" x14ac:dyDescent="0.4">
      <c r="A1108" s="1">
        <v>202650000911</v>
      </c>
      <c r="B1108" s="1">
        <v>840131</v>
      </c>
      <c r="C1108" s="2">
        <v>46119</v>
      </c>
      <c r="D1108" t="s">
        <v>17</v>
      </c>
      <c r="E1108" t="s">
        <v>10</v>
      </c>
      <c r="G1108" t="s">
        <v>9</v>
      </c>
      <c r="L1108">
        <f t="shared" si="86"/>
        <v>0</v>
      </c>
      <c r="M1108">
        <f t="shared" si="87"/>
        <v>0</v>
      </c>
      <c r="N1108">
        <f t="shared" si="88"/>
        <v>0</v>
      </c>
      <c r="O1108">
        <f t="shared" si="90"/>
        <v>1</v>
      </c>
      <c r="P1108" t="str">
        <f t="shared" si="89"/>
        <v/>
      </c>
      <c r="Q1108">
        <f>COUNTIF('責任職　企業局→市長部局'!A:A,SQLデータ!B1108)</f>
        <v>0</v>
      </c>
      <c r="R1108">
        <f>COUNTIF('一般職員　企業局→市長部局'!A:F,SQLデータ!B1108)</f>
        <v>0</v>
      </c>
    </row>
    <row r="1109" spans="1:18" x14ac:dyDescent="0.4">
      <c r="A1109" s="1">
        <v>202650000912</v>
      </c>
      <c r="B1109" s="1">
        <v>940261</v>
      </c>
      <c r="C1109" s="2">
        <v>46115</v>
      </c>
      <c r="D1109" t="s">
        <v>17</v>
      </c>
      <c r="E1109" t="s">
        <v>11</v>
      </c>
      <c r="G1109" t="s">
        <v>9</v>
      </c>
      <c r="L1109">
        <f t="shared" si="86"/>
        <v>0</v>
      </c>
      <c r="M1109">
        <f t="shared" si="87"/>
        <v>0</v>
      </c>
      <c r="N1109">
        <f t="shared" si="88"/>
        <v>0</v>
      </c>
      <c r="O1109">
        <f t="shared" si="90"/>
        <v>1</v>
      </c>
      <c r="P1109" t="str">
        <f t="shared" si="89"/>
        <v/>
      </c>
      <c r="Q1109">
        <f>COUNTIF('責任職　企業局→市長部局'!A:A,SQLデータ!B1109)</f>
        <v>0</v>
      </c>
      <c r="R1109">
        <f>COUNTIF('一般職員　企業局→市長部局'!A:F,SQLデータ!B1109)</f>
        <v>0</v>
      </c>
    </row>
    <row r="1110" spans="1:18" x14ac:dyDescent="0.4">
      <c r="A1110" s="1">
        <v>202650000913</v>
      </c>
      <c r="B1110" s="1">
        <v>1096097</v>
      </c>
      <c r="C1110" s="2">
        <v>46115</v>
      </c>
      <c r="D1110" t="s">
        <v>17</v>
      </c>
      <c r="E1110" t="s">
        <v>10</v>
      </c>
      <c r="G1110" t="s">
        <v>9</v>
      </c>
      <c r="L1110">
        <f t="shared" si="86"/>
        <v>0</v>
      </c>
      <c r="M1110">
        <f t="shared" si="87"/>
        <v>0</v>
      </c>
      <c r="N1110">
        <f t="shared" si="88"/>
        <v>0</v>
      </c>
      <c r="O1110">
        <f t="shared" si="90"/>
        <v>1</v>
      </c>
      <c r="P1110" t="str">
        <f t="shared" si="89"/>
        <v/>
      </c>
      <c r="Q1110">
        <f>COUNTIF('責任職　企業局→市長部局'!A:A,SQLデータ!B1110)</f>
        <v>0</v>
      </c>
      <c r="R1110">
        <f>COUNTIF('一般職員　企業局→市長部局'!A:F,SQLデータ!B1110)</f>
        <v>0</v>
      </c>
    </row>
    <row r="1111" spans="1:18" x14ac:dyDescent="0.4">
      <c r="A1111" s="1">
        <v>202650000914</v>
      </c>
      <c r="B1111" s="1">
        <v>1211511</v>
      </c>
      <c r="C1111" s="2">
        <v>46115</v>
      </c>
      <c r="D1111" t="s">
        <v>17</v>
      </c>
      <c r="E1111" t="s">
        <v>11</v>
      </c>
      <c r="G1111" t="s">
        <v>9</v>
      </c>
      <c r="L1111">
        <f t="shared" si="86"/>
        <v>0</v>
      </c>
      <c r="M1111">
        <f t="shared" si="87"/>
        <v>0</v>
      </c>
      <c r="N1111">
        <f t="shared" si="88"/>
        <v>0</v>
      </c>
      <c r="O1111">
        <f t="shared" si="90"/>
        <v>1</v>
      </c>
      <c r="P1111" t="str">
        <f t="shared" si="89"/>
        <v/>
      </c>
      <c r="Q1111">
        <f>COUNTIF('責任職　企業局→市長部局'!A:A,SQLデータ!B1111)</f>
        <v>0</v>
      </c>
      <c r="R1111">
        <f>COUNTIF('一般職員　企業局→市長部局'!A:F,SQLデータ!B1111)</f>
        <v>0</v>
      </c>
    </row>
    <row r="1112" spans="1:18" x14ac:dyDescent="0.4">
      <c r="A1112" s="1">
        <v>202650000915</v>
      </c>
      <c r="B1112" s="1">
        <v>1186097</v>
      </c>
      <c r="C1112" s="2">
        <v>46115</v>
      </c>
      <c r="D1112" t="s">
        <v>17</v>
      </c>
      <c r="E1112" t="s">
        <v>10</v>
      </c>
      <c r="G1112" t="s">
        <v>9</v>
      </c>
      <c r="L1112">
        <f t="shared" si="86"/>
        <v>0</v>
      </c>
      <c r="M1112">
        <f t="shared" si="87"/>
        <v>0</v>
      </c>
      <c r="N1112">
        <f t="shared" si="88"/>
        <v>0</v>
      </c>
      <c r="O1112">
        <f t="shared" si="90"/>
        <v>1</v>
      </c>
      <c r="P1112" t="str">
        <f t="shared" si="89"/>
        <v/>
      </c>
      <c r="Q1112">
        <f>COUNTIF('責任職　企業局→市長部局'!A:A,SQLデータ!B1112)</f>
        <v>0</v>
      </c>
      <c r="R1112">
        <f>COUNTIF('一般職員　企業局→市長部局'!A:F,SQLデータ!B1112)</f>
        <v>0</v>
      </c>
    </row>
    <row r="1113" spans="1:18" x14ac:dyDescent="0.4">
      <c r="A1113" s="1">
        <v>202650000916</v>
      </c>
      <c r="B1113" s="1">
        <v>920882</v>
      </c>
      <c r="C1113" s="2">
        <v>46119</v>
      </c>
      <c r="D1113" t="s">
        <v>17</v>
      </c>
      <c r="E1113" t="s">
        <v>10</v>
      </c>
      <c r="G1113" t="s">
        <v>9</v>
      </c>
      <c r="L1113">
        <f t="shared" si="86"/>
        <v>0</v>
      </c>
      <c r="M1113">
        <f t="shared" si="87"/>
        <v>0</v>
      </c>
      <c r="N1113">
        <f t="shared" si="88"/>
        <v>0</v>
      </c>
      <c r="O1113">
        <f t="shared" si="90"/>
        <v>1</v>
      </c>
      <c r="P1113" t="str">
        <f t="shared" si="89"/>
        <v/>
      </c>
      <c r="Q1113">
        <f>COUNTIF('責任職　企業局→市長部局'!A:A,SQLデータ!B1113)</f>
        <v>0</v>
      </c>
      <c r="R1113">
        <f>COUNTIF('一般職員　企業局→市長部局'!A:F,SQLデータ!B1113)</f>
        <v>0</v>
      </c>
    </row>
    <row r="1114" spans="1:18" x14ac:dyDescent="0.4">
      <c r="A1114" s="1">
        <v>202650000917</v>
      </c>
      <c r="B1114" s="1">
        <v>960194</v>
      </c>
      <c r="C1114" s="2">
        <v>46115</v>
      </c>
      <c r="D1114" t="s">
        <v>17</v>
      </c>
      <c r="E1114" t="s">
        <v>11</v>
      </c>
      <c r="G1114" t="s">
        <v>9</v>
      </c>
      <c r="L1114">
        <f t="shared" si="86"/>
        <v>0</v>
      </c>
      <c r="M1114">
        <f t="shared" si="87"/>
        <v>0</v>
      </c>
      <c r="N1114">
        <f t="shared" si="88"/>
        <v>0</v>
      </c>
      <c r="O1114">
        <f t="shared" si="90"/>
        <v>1</v>
      </c>
      <c r="P1114" t="str">
        <f t="shared" si="89"/>
        <v/>
      </c>
      <c r="Q1114">
        <f>COUNTIF('責任職　企業局→市長部局'!A:A,SQLデータ!B1114)</f>
        <v>0</v>
      </c>
      <c r="R1114">
        <f>COUNTIF('一般職員　企業局→市長部局'!A:F,SQLデータ!B1114)</f>
        <v>0</v>
      </c>
    </row>
    <row r="1115" spans="1:18" x14ac:dyDescent="0.4">
      <c r="A1115" s="1">
        <v>202650000918</v>
      </c>
      <c r="B1115" s="1">
        <v>940747</v>
      </c>
      <c r="C1115" s="2">
        <v>46118</v>
      </c>
      <c r="D1115" t="s">
        <v>17</v>
      </c>
      <c r="E1115" t="s">
        <v>10</v>
      </c>
      <c r="G1115" t="s">
        <v>9</v>
      </c>
      <c r="L1115">
        <f t="shared" si="86"/>
        <v>0</v>
      </c>
      <c r="M1115">
        <f t="shared" si="87"/>
        <v>0</v>
      </c>
      <c r="N1115">
        <f t="shared" si="88"/>
        <v>0</v>
      </c>
      <c r="O1115">
        <f t="shared" si="90"/>
        <v>1</v>
      </c>
      <c r="P1115" t="str">
        <f t="shared" si="89"/>
        <v/>
      </c>
      <c r="Q1115">
        <f>COUNTIF('責任職　企業局→市長部局'!A:A,SQLデータ!B1115)</f>
        <v>0</v>
      </c>
      <c r="R1115">
        <f>COUNTIF('一般職員　企業局→市長部局'!A:F,SQLデータ!B1115)</f>
        <v>0</v>
      </c>
    </row>
    <row r="1116" spans="1:18" x14ac:dyDescent="0.4">
      <c r="A1116" s="1">
        <v>202650000919</v>
      </c>
      <c r="B1116" s="1">
        <v>910088</v>
      </c>
      <c r="C1116" s="2">
        <v>46115</v>
      </c>
      <c r="D1116" t="s">
        <v>17</v>
      </c>
      <c r="E1116" t="s">
        <v>10</v>
      </c>
      <c r="G1116" t="s">
        <v>9</v>
      </c>
      <c r="L1116">
        <f t="shared" si="86"/>
        <v>0</v>
      </c>
      <c r="M1116">
        <f t="shared" si="87"/>
        <v>0</v>
      </c>
      <c r="N1116">
        <f t="shared" si="88"/>
        <v>0</v>
      </c>
      <c r="O1116">
        <f t="shared" si="90"/>
        <v>1</v>
      </c>
      <c r="P1116" t="str">
        <f t="shared" si="89"/>
        <v/>
      </c>
      <c r="Q1116">
        <f>COUNTIF('責任職　企業局→市長部局'!A:A,SQLデータ!B1116)</f>
        <v>0</v>
      </c>
      <c r="R1116">
        <f>COUNTIF('一般職員　企業局→市長部局'!A:F,SQLデータ!B1116)</f>
        <v>0</v>
      </c>
    </row>
    <row r="1117" spans="1:18" x14ac:dyDescent="0.4">
      <c r="A1117" s="1">
        <v>202650000920</v>
      </c>
      <c r="B1117" s="1">
        <v>1196031</v>
      </c>
      <c r="C1117" s="2">
        <v>46115</v>
      </c>
      <c r="D1117" t="s">
        <v>17</v>
      </c>
      <c r="E1117" t="s">
        <v>10</v>
      </c>
      <c r="G1117" t="s">
        <v>9</v>
      </c>
      <c r="L1117">
        <f t="shared" si="86"/>
        <v>0</v>
      </c>
      <c r="M1117">
        <f t="shared" si="87"/>
        <v>0</v>
      </c>
      <c r="N1117">
        <f t="shared" si="88"/>
        <v>0</v>
      </c>
      <c r="O1117">
        <f t="shared" si="90"/>
        <v>1</v>
      </c>
      <c r="P1117" t="str">
        <f t="shared" si="89"/>
        <v/>
      </c>
      <c r="Q1117">
        <f>COUNTIF('責任職　企業局→市長部局'!A:A,SQLデータ!B1117)</f>
        <v>0</v>
      </c>
      <c r="R1117">
        <f>COUNTIF('一般職員　企業局→市長部局'!A:F,SQLデータ!B1117)</f>
        <v>0</v>
      </c>
    </row>
    <row r="1118" spans="1:18" x14ac:dyDescent="0.4">
      <c r="A1118" s="1">
        <v>202650000921</v>
      </c>
      <c r="B1118" s="1">
        <v>1016020</v>
      </c>
      <c r="C1118" s="2">
        <v>46118</v>
      </c>
      <c r="D1118" t="s">
        <v>17</v>
      </c>
      <c r="E1118" t="s">
        <v>10</v>
      </c>
      <c r="G1118" t="s">
        <v>9</v>
      </c>
      <c r="L1118">
        <f t="shared" si="86"/>
        <v>0</v>
      </c>
      <c r="M1118">
        <f t="shared" si="87"/>
        <v>0</v>
      </c>
      <c r="N1118">
        <f t="shared" si="88"/>
        <v>0</v>
      </c>
      <c r="O1118">
        <f t="shared" si="90"/>
        <v>1</v>
      </c>
      <c r="P1118" t="str">
        <f t="shared" si="89"/>
        <v/>
      </c>
      <c r="Q1118">
        <f>COUNTIF('責任職　企業局→市長部局'!A:A,SQLデータ!B1118)</f>
        <v>0</v>
      </c>
      <c r="R1118">
        <f>COUNTIF('一般職員　企業局→市長部局'!A:F,SQLデータ!B1118)</f>
        <v>0</v>
      </c>
    </row>
    <row r="1119" spans="1:18" x14ac:dyDescent="0.4">
      <c r="A1119" s="1">
        <v>202650000922</v>
      </c>
      <c r="B1119" s="1">
        <v>1201493</v>
      </c>
      <c r="C1119" s="2">
        <v>46115</v>
      </c>
      <c r="D1119" t="s">
        <v>17</v>
      </c>
      <c r="E1119" t="s">
        <v>11</v>
      </c>
      <c r="G1119" t="s">
        <v>9</v>
      </c>
      <c r="L1119">
        <f t="shared" si="86"/>
        <v>0</v>
      </c>
      <c r="M1119">
        <f t="shared" si="87"/>
        <v>0</v>
      </c>
      <c r="N1119">
        <f t="shared" si="88"/>
        <v>0</v>
      </c>
      <c r="O1119">
        <f t="shared" si="90"/>
        <v>1</v>
      </c>
      <c r="P1119" t="str">
        <f t="shared" si="89"/>
        <v/>
      </c>
      <c r="Q1119">
        <f>COUNTIF('責任職　企業局→市長部局'!A:A,SQLデータ!B1119)</f>
        <v>0</v>
      </c>
      <c r="R1119">
        <f>COUNTIF('一般職員　企業局→市長部局'!A:F,SQLデータ!B1119)</f>
        <v>0</v>
      </c>
    </row>
    <row r="1120" spans="1:18" x14ac:dyDescent="0.4">
      <c r="A1120" s="1">
        <v>202650000923</v>
      </c>
      <c r="B1120" s="1">
        <v>1212512</v>
      </c>
      <c r="C1120" s="2">
        <v>46115</v>
      </c>
      <c r="D1120" t="s">
        <v>17</v>
      </c>
      <c r="E1120" t="s">
        <v>10</v>
      </c>
      <c r="G1120" t="s">
        <v>9</v>
      </c>
      <c r="L1120">
        <f t="shared" si="86"/>
        <v>0</v>
      </c>
      <c r="M1120">
        <f t="shared" si="87"/>
        <v>0</v>
      </c>
      <c r="N1120">
        <f t="shared" si="88"/>
        <v>0</v>
      </c>
      <c r="O1120">
        <f t="shared" si="90"/>
        <v>1</v>
      </c>
      <c r="P1120" t="str">
        <f t="shared" si="89"/>
        <v/>
      </c>
      <c r="Q1120">
        <f>COUNTIF('責任職　企業局→市長部局'!A:A,SQLデータ!B1120)</f>
        <v>0</v>
      </c>
      <c r="R1120">
        <f>COUNTIF('一般職員　企業局→市長部局'!A:F,SQLデータ!B1120)</f>
        <v>0</v>
      </c>
    </row>
    <row r="1121" spans="1:18" x14ac:dyDescent="0.4">
      <c r="A1121" s="1">
        <v>202650000924</v>
      </c>
      <c r="B1121" s="1">
        <v>920118</v>
      </c>
      <c r="C1121" s="2">
        <v>46115</v>
      </c>
      <c r="D1121" t="s">
        <v>17</v>
      </c>
      <c r="E1121" t="s">
        <v>10</v>
      </c>
      <c r="G1121" t="s">
        <v>9</v>
      </c>
      <c r="L1121">
        <f t="shared" si="86"/>
        <v>0</v>
      </c>
      <c r="M1121">
        <f t="shared" si="87"/>
        <v>0</v>
      </c>
      <c r="N1121">
        <f t="shared" si="88"/>
        <v>0</v>
      </c>
      <c r="O1121">
        <f t="shared" si="90"/>
        <v>1</v>
      </c>
      <c r="P1121" t="str">
        <f t="shared" si="89"/>
        <v/>
      </c>
      <c r="Q1121">
        <f>COUNTIF('責任職　企業局→市長部局'!A:A,SQLデータ!B1121)</f>
        <v>0</v>
      </c>
      <c r="R1121">
        <f>COUNTIF('一般職員　企業局→市長部局'!A:F,SQLデータ!B1121)</f>
        <v>0</v>
      </c>
    </row>
    <row r="1122" spans="1:18" x14ac:dyDescent="0.4">
      <c r="A1122" s="1">
        <v>202650000925</v>
      </c>
      <c r="B1122" s="1">
        <v>996040</v>
      </c>
      <c r="C1122" s="2">
        <v>46115</v>
      </c>
      <c r="D1122" t="s">
        <v>17</v>
      </c>
      <c r="E1122" t="s">
        <v>10</v>
      </c>
      <c r="G1122" t="s">
        <v>9</v>
      </c>
      <c r="L1122">
        <f t="shared" si="86"/>
        <v>0</v>
      </c>
      <c r="M1122">
        <f t="shared" si="87"/>
        <v>0</v>
      </c>
      <c r="N1122">
        <f t="shared" si="88"/>
        <v>0</v>
      </c>
      <c r="O1122">
        <f t="shared" si="90"/>
        <v>1</v>
      </c>
      <c r="P1122" t="str">
        <f t="shared" si="89"/>
        <v/>
      </c>
      <c r="Q1122">
        <f>COUNTIF('責任職　企業局→市長部局'!A:A,SQLデータ!B1122)</f>
        <v>0</v>
      </c>
      <c r="R1122">
        <f>COUNTIF('一般職員　企業局→市長部局'!A:F,SQLデータ!B1122)</f>
        <v>0</v>
      </c>
    </row>
    <row r="1123" spans="1:18" x14ac:dyDescent="0.4">
      <c r="A1123" s="1">
        <v>202650000926</v>
      </c>
      <c r="B1123" s="1">
        <v>1081026</v>
      </c>
      <c r="C1123" s="2">
        <v>46115</v>
      </c>
      <c r="D1123" t="s">
        <v>17</v>
      </c>
      <c r="E1123" t="s">
        <v>10</v>
      </c>
      <c r="G1123" t="s">
        <v>9</v>
      </c>
      <c r="L1123">
        <f t="shared" si="86"/>
        <v>0</v>
      </c>
      <c r="M1123">
        <f t="shared" si="87"/>
        <v>0</v>
      </c>
      <c r="N1123">
        <f t="shared" si="88"/>
        <v>0</v>
      </c>
      <c r="O1123">
        <f t="shared" si="90"/>
        <v>1</v>
      </c>
      <c r="P1123" t="str">
        <f t="shared" si="89"/>
        <v/>
      </c>
      <c r="Q1123">
        <f>COUNTIF('責任職　企業局→市長部局'!A:A,SQLデータ!B1123)</f>
        <v>0</v>
      </c>
      <c r="R1123">
        <f>COUNTIF('一般職員　企業局→市長部局'!A:F,SQLデータ!B1123)</f>
        <v>0</v>
      </c>
    </row>
    <row r="1124" spans="1:18" x14ac:dyDescent="0.4">
      <c r="A1124" s="1">
        <v>202650000927</v>
      </c>
      <c r="B1124" s="1">
        <v>1081411</v>
      </c>
      <c r="C1124" s="2">
        <v>46115</v>
      </c>
      <c r="D1124" t="s">
        <v>17</v>
      </c>
      <c r="E1124" t="s">
        <v>11</v>
      </c>
      <c r="G1124" t="s">
        <v>9</v>
      </c>
      <c r="L1124">
        <f t="shared" si="86"/>
        <v>0</v>
      </c>
      <c r="M1124">
        <f t="shared" si="87"/>
        <v>0</v>
      </c>
      <c r="N1124">
        <f t="shared" si="88"/>
        <v>0</v>
      </c>
      <c r="O1124">
        <f t="shared" si="90"/>
        <v>1</v>
      </c>
      <c r="P1124" t="str">
        <f t="shared" si="89"/>
        <v/>
      </c>
      <c r="Q1124">
        <f>COUNTIF('責任職　企業局→市長部局'!A:A,SQLデータ!B1124)</f>
        <v>0</v>
      </c>
      <c r="R1124">
        <f>COUNTIF('一般職員　企業局→市長部局'!A:F,SQLデータ!B1124)</f>
        <v>0</v>
      </c>
    </row>
    <row r="1125" spans="1:18" x14ac:dyDescent="0.4">
      <c r="A1125" s="1">
        <v>202650000928</v>
      </c>
      <c r="B1125" s="1">
        <v>1171540</v>
      </c>
      <c r="C1125" s="2">
        <v>46115</v>
      </c>
      <c r="D1125" t="s">
        <v>17</v>
      </c>
      <c r="E1125" t="s">
        <v>10</v>
      </c>
      <c r="G1125" t="s">
        <v>9</v>
      </c>
      <c r="L1125">
        <f t="shared" si="86"/>
        <v>0</v>
      </c>
      <c r="M1125">
        <f t="shared" si="87"/>
        <v>0</v>
      </c>
      <c r="N1125">
        <f t="shared" si="88"/>
        <v>0</v>
      </c>
      <c r="O1125">
        <f t="shared" si="90"/>
        <v>1</v>
      </c>
      <c r="P1125" t="str">
        <f t="shared" si="89"/>
        <v/>
      </c>
      <c r="Q1125">
        <f>COUNTIF('責任職　企業局→市長部局'!A:A,SQLデータ!B1125)</f>
        <v>0</v>
      </c>
      <c r="R1125">
        <f>COUNTIF('一般職員　企業局→市長部局'!A:F,SQLデータ!B1125)</f>
        <v>0</v>
      </c>
    </row>
    <row r="1126" spans="1:18" x14ac:dyDescent="0.4">
      <c r="A1126" s="1">
        <v>202650000929</v>
      </c>
      <c r="B1126" s="1">
        <v>880702</v>
      </c>
      <c r="C1126" s="2">
        <v>46115</v>
      </c>
      <c r="D1126" t="s">
        <v>17</v>
      </c>
      <c r="E1126" t="s">
        <v>10</v>
      </c>
      <c r="G1126" t="s">
        <v>9</v>
      </c>
      <c r="L1126">
        <f t="shared" si="86"/>
        <v>0</v>
      </c>
      <c r="M1126">
        <f t="shared" si="87"/>
        <v>0</v>
      </c>
      <c r="N1126">
        <f t="shared" si="88"/>
        <v>0</v>
      </c>
      <c r="O1126">
        <f t="shared" si="90"/>
        <v>1</v>
      </c>
      <c r="P1126" t="str">
        <f t="shared" si="89"/>
        <v/>
      </c>
      <c r="Q1126">
        <f>COUNTIF('責任職　企業局→市長部局'!A:A,SQLデータ!B1126)</f>
        <v>0</v>
      </c>
      <c r="R1126">
        <f>COUNTIF('一般職員　企業局→市長部局'!A:F,SQLデータ!B1126)</f>
        <v>0</v>
      </c>
    </row>
    <row r="1127" spans="1:18" x14ac:dyDescent="0.4">
      <c r="A1127" s="1">
        <v>202650000930</v>
      </c>
      <c r="B1127" s="1">
        <v>1246031</v>
      </c>
      <c r="C1127" s="2">
        <v>46115</v>
      </c>
      <c r="D1127" t="s">
        <v>17</v>
      </c>
      <c r="E1127" t="s">
        <v>11</v>
      </c>
      <c r="G1127" t="s">
        <v>9</v>
      </c>
      <c r="L1127">
        <f t="shared" si="86"/>
        <v>0</v>
      </c>
      <c r="M1127">
        <f t="shared" si="87"/>
        <v>0</v>
      </c>
      <c r="N1127">
        <f t="shared" si="88"/>
        <v>0</v>
      </c>
      <c r="O1127">
        <f t="shared" si="90"/>
        <v>1</v>
      </c>
      <c r="P1127" t="str">
        <f t="shared" si="89"/>
        <v/>
      </c>
      <c r="Q1127">
        <f>COUNTIF('責任職　企業局→市長部局'!A:A,SQLデータ!B1127)</f>
        <v>0</v>
      </c>
      <c r="R1127">
        <f>COUNTIF('一般職員　企業局→市長部局'!A:F,SQLデータ!B1127)</f>
        <v>0</v>
      </c>
    </row>
    <row r="1128" spans="1:18" x14ac:dyDescent="0.4">
      <c r="A1128" s="1">
        <v>202650000931</v>
      </c>
      <c r="B1128" s="1">
        <v>1171171</v>
      </c>
      <c r="C1128" s="2">
        <v>46115</v>
      </c>
      <c r="D1128" t="s">
        <v>17</v>
      </c>
      <c r="E1128" t="s">
        <v>10</v>
      </c>
      <c r="F1128" t="s">
        <v>54</v>
      </c>
      <c r="G1128" t="s">
        <v>9</v>
      </c>
      <c r="L1128">
        <f t="shared" si="86"/>
        <v>0</v>
      </c>
      <c r="M1128">
        <f t="shared" si="87"/>
        <v>0</v>
      </c>
      <c r="N1128">
        <f t="shared" si="88"/>
        <v>0</v>
      </c>
      <c r="O1128">
        <f t="shared" si="90"/>
        <v>1</v>
      </c>
      <c r="P1128" t="str">
        <f t="shared" si="89"/>
        <v/>
      </c>
      <c r="Q1128">
        <f>COUNTIF('責任職　企業局→市長部局'!A:A,SQLデータ!B1128)</f>
        <v>1</v>
      </c>
      <c r="R1128">
        <f>COUNTIF('一般職員　企業局→市長部局'!A:F,SQLデータ!B1128)</f>
        <v>0</v>
      </c>
    </row>
    <row r="1129" spans="1:18" x14ac:dyDescent="0.4">
      <c r="A1129" s="1">
        <v>202650000932</v>
      </c>
      <c r="B1129" s="1">
        <v>1181460</v>
      </c>
      <c r="C1129" s="2">
        <v>46115</v>
      </c>
      <c r="D1129" t="s">
        <v>17</v>
      </c>
      <c r="E1129" t="s">
        <v>10</v>
      </c>
      <c r="G1129" t="s">
        <v>9</v>
      </c>
      <c r="L1129">
        <f t="shared" si="86"/>
        <v>0</v>
      </c>
      <c r="M1129">
        <f t="shared" si="87"/>
        <v>0</v>
      </c>
      <c r="N1129">
        <f t="shared" si="88"/>
        <v>0</v>
      </c>
      <c r="O1129">
        <f t="shared" si="90"/>
        <v>1</v>
      </c>
      <c r="P1129" t="str">
        <f t="shared" si="89"/>
        <v/>
      </c>
      <c r="Q1129">
        <f>COUNTIF('責任職　企業局→市長部局'!A:A,SQLデータ!B1129)</f>
        <v>0</v>
      </c>
      <c r="R1129">
        <f>COUNTIF('一般職員　企業局→市長部局'!A:F,SQLデータ!B1129)</f>
        <v>0</v>
      </c>
    </row>
    <row r="1130" spans="1:18" x14ac:dyDescent="0.4">
      <c r="A1130" s="1">
        <v>202650000933</v>
      </c>
      <c r="B1130" s="1">
        <v>1156038</v>
      </c>
      <c r="C1130" s="2">
        <v>46115</v>
      </c>
      <c r="D1130" t="s">
        <v>17</v>
      </c>
      <c r="E1130" t="s">
        <v>11</v>
      </c>
      <c r="G1130" t="s">
        <v>9</v>
      </c>
      <c r="L1130">
        <f t="shared" si="86"/>
        <v>0</v>
      </c>
      <c r="M1130">
        <f t="shared" si="87"/>
        <v>0</v>
      </c>
      <c r="N1130">
        <f t="shared" si="88"/>
        <v>0</v>
      </c>
      <c r="O1130">
        <f t="shared" si="90"/>
        <v>1</v>
      </c>
      <c r="P1130" t="str">
        <f t="shared" si="89"/>
        <v/>
      </c>
      <c r="Q1130">
        <f>COUNTIF('責任職　企業局→市長部局'!A:A,SQLデータ!B1130)</f>
        <v>0</v>
      </c>
      <c r="R1130">
        <f>COUNTIF('一般職員　企業局→市長部局'!A:F,SQLデータ!B1130)</f>
        <v>0</v>
      </c>
    </row>
    <row r="1131" spans="1:18" x14ac:dyDescent="0.4">
      <c r="A1131" s="1">
        <v>202650000934</v>
      </c>
      <c r="B1131" s="1">
        <v>1091395</v>
      </c>
      <c r="C1131" s="2">
        <v>46115</v>
      </c>
      <c r="D1131" t="s">
        <v>17</v>
      </c>
      <c r="E1131" t="s">
        <v>11</v>
      </c>
      <c r="G1131" t="s">
        <v>9</v>
      </c>
      <c r="L1131">
        <f t="shared" si="86"/>
        <v>0</v>
      </c>
      <c r="M1131">
        <f t="shared" si="87"/>
        <v>0</v>
      </c>
      <c r="N1131">
        <f t="shared" si="88"/>
        <v>0</v>
      </c>
      <c r="O1131">
        <f t="shared" si="90"/>
        <v>1</v>
      </c>
      <c r="P1131" t="str">
        <f t="shared" si="89"/>
        <v/>
      </c>
      <c r="Q1131">
        <f>COUNTIF('責任職　企業局→市長部局'!A:A,SQLデータ!B1131)</f>
        <v>0</v>
      </c>
      <c r="R1131">
        <f>COUNTIF('一般職員　企業局→市長部局'!A:F,SQLデータ!B1131)</f>
        <v>0</v>
      </c>
    </row>
    <row r="1132" spans="1:18" x14ac:dyDescent="0.4">
      <c r="A1132" s="1">
        <v>202650000935</v>
      </c>
      <c r="B1132" s="1">
        <v>1002504</v>
      </c>
      <c r="C1132" s="2">
        <v>46115</v>
      </c>
      <c r="D1132" t="s">
        <v>17</v>
      </c>
      <c r="E1132" t="s">
        <v>11</v>
      </c>
      <c r="G1132" t="s">
        <v>9</v>
      </c>
      <c r="L1132">
        <f t="shared" si="86"/>
        <v>0</v>
      </c>
      <c r="M1132">
        <f t="shared" si="87"/>
        <v>0</v>
      </c>
      <c r="N1132">
        <f t="shared" si="88"/>
        <v>0</v>
      </c>
      <c r="O1132">
        <f t="shared" si="90"/>
        <v>1</v>
      </c>
      <c r="P1132" t="str">
        <f t="shared" si="89"/>
        <v/>
      </c>
      <c r="Q1132">
        <f>COUNTIF('責任職　企業局→市長部局'!A:A,SQLデータ!B1132)</f>
        <v>0</v>
      </c>
      <c r="R1132">
        <f>COUNTIF('一般職員　企業局→市長部局'!A:F,SQLデータ!B1132)</f>
        <v>0</v>
      </c>
    </row>
    <row r="1133" spans="1:18" x14ac:dyDescent="0.4">
      <c r="A1133" s="1">
        <v>202650000936</v>
      </c>
      <c r="B1133" s="1">
        <v>1021226</v>
      </c>
      <c r="C1133" s="2">
        <v>46115</v>
      </c>
      <c r="D1133" t="s">
        <v>17</v>
      </c>
      <c r="E1133" t="s">
        <v>11</v>
      </c>
      <c r="G1133" t="s">
        <v>9</v>
      </c>
      <c r="L1133">
        <f t="shared" si="86"/>
        <v>0</v>
      </c>
      <c r="M1133">
        <f t="shared" si="87"/>
        <v>0</v>
      </c>
      <c r="N1133">
        <f t="shared" si="88"/>
        <v>0</v>
      </c>
      <c r="O1133">
        <f t="shared" si="90"/>
        <v>1</v>
      </c>
      <c r="P1133" t="str">
        <f t="shared" si="89"/>
        <v/>
      </c>
      <c r="Q1133">
        <f>COUNTIF('責任職　企業局→市長部局'!A:A,SQLデータ!B1133)</f>
        <v>0</v>
      </c>
      <c r="R1133">
        <f>COUNTIF('一般職員　企業局→市長部局'!A:F,SQLデータ!B1133)</f>
        <v>0</v>
      </c>
    </row>
    <row r="1134" spans="1:18" x14ac:dyDescent="0.4">
      <c r="A1134" s="1">
        <v>202650000938</v>
      </c>
      <c r="B1134" s="1">
        <v>1161356</v>
      </c>
      <c r="C1134" s="2">
        <v>46115</v>
      </c>
      <c r="D1134" t="s">
        <v>17</v>
      </c>
      <c r="E1134" t="s">
        <v>11</v>
      </c>
      <c r="G1134" t="s">
        <v>9</v>
      </c>
      <c r="L1134">
        <f t="shared" si="86"/>
        <v>0</v>
      </c>
      <c r="M1134">
        <f t="shared" si="87"/>
        <v>0</v>
      </c>
      <c r="N1134">
        <f t="shared" si="88"/>
        <v>0</v>
      </c>
      <c r="O1134">
        <f t="shared" si="90"/>
        <v>1</v>
      </c>
      <c r="P1134" t="str">
        <f t="shared" si="89"/>
        <v/>
      </c>
      <c r="Q1134">
        <f>COUNTIF('責任職　企業局→市長部局'!A:A,SQLデータ!B1134)</f>
        <v>0</v>
      </c>
      <c r="R1134">
        <f>COUNTIF('一般職員　企業局→市長部局'!A:F,SQLデータ!B1134)</f>
        <v>0</v>
      </c>
    </row>
    <row r="1135" spans="1:18" x14ac:dyDescent="0.4">
      <c r="A1135" s="1">
        <v>202650000939</v>
      </c>
      <c r="B1135" s="1">
        <v>1061043</v>
      </c>
      <c r="C1135" s="2">
        <v>46115</v>
      </c>
      <c r="D1135" t="s">
        <v>17</v>
      </c>
      <c r="E1135" t="s">
        <v>11</v>
      </c>
      <c r="G1135" t="s">
        <v>9</v>
      </c>
      <c r="L1135">
        <f t="shared" si="86"/>
        <v>0</v>
      </c>
      <c r="M1135">
        <f t="shared" si="87"/>
        <v>0</v>
      </c>
      <c r="N1135">
        <f t="shared" si="88"/>
        <v>0</v>
      </c>
      <c r="O1135">
        <f t="shared" si="90"/>
        <v>1</v>
      </c>
      <c r="P1135" t="str">
        <f t="shared" si="89"/>
        <v/>
      </c>
      <c r="Q1135">
        <f>COUNTIF('責任職　企業局→市長部局'!A:A,SQLデータ!B1135)</f>
        <v>0</v>
      </c>
      <c r="R1135">
        <f>COUNTIF('一般職員　企業局→市長部局'!A:F,SQLデータ!B1135)</f>
        <v>0</v>
      </c>
    </row>
    <row r="1136" spans="1:18" x14ac:dyDescent="0.4">
      <c r="A1136" s="1">
        <v>202650000940</v>
      </c>
      <c r="B1136" s="1">
        <v>1096056</v>
      </c>
      <c r="C1136" s="2">
        <v>46115</v>
      </c>
      <c r="D1136" t="s">
        <v>17</v>
      </c>
      <c r="E1136" t="s">
        <v>11</v>
      </c>
      <c r="F1136" t="s">
        <v>48</v>
      </c>
      <c r="G1136" t="s">
        <v>9</v>
      </c>
      <c r="L1136">
        <f t="shared" si="86"/>
        <v>0</v>
      </c>
      <c r="M1136">
        <f t="shared" si="87"/>
        <v>0</v>
      </c>
      <c r="N1136">
        <f t="shared" si="88"/>
        <v>0</v>
      </c>
      <c r="O1136">
        <f t="shared" si="90"/>
        <v>1</v>
      </c>
      <c r="P1136" t="str">
        <f t="shared" si="89"/>
        <v/>
      </c>
      <c r="Q1136">
        <f>COUNTIF('責任職　企業局→市長部局'!A:A,SQLデータ!B1136)</f>
        <v>0</v>
      </c>
      <c r="R1136">
        <f>COUNTIF('一般職員　企業局→市長部局'!A:F,SQLデータ!B1136)</f>
        <v>0</v>
      </c>
    </row>
    <row r="1137" spans="1:18" x14ac:dyDescent="0.4">
      <c r="A1137" s="1">
        <v>202650000941</v>
      </c>
      <c r="B1137" s="1">
        <v>1121045</v>
      </c>
      <c r="C1137" s="2">
        <v>46115</v>
      </c>
      <c r="D1137" t="s">
        <v>17</v>
      </c>
      <c r="E1137" t="s">
        <v>11</v>
      </c>
      <c r="G1137" t="s">
        <v>9</v>
      </c>
      <c r="L1137">
        <f t="shared" si="86"/>
        <v>0</v>
      </c>
      <c r="M1137">
        <f t="shared" si="87"/>
        <v>0</v>
      </c>
      <c r="N1137">
        <f t="shared" si="88"/>
        <v>0</v>
      </c>
      <c r="O1137">
        <f t="shared" si="90"/>
        <v>1</v>
      </c>
      <c r="P1137" t="str">
        <f t="shared" si="89"/>
        <v/>
      </c>
      <c r="Q1137">
        <f>COUNTIF('責任職　企業局→市長部局'!A:A,SQLデータ!B1137)</f>
        <v>0</v>
      </c>
      <c r="R1137">
        <f>COUNTIF('一般職員　企業局→市長部局'!A:F,SQLデータ!B1137)</f>
        <v>0</v>
      </c>
    </row>
    <row r="1138" spans="1:18" x14ac:dyDescent="0.4">
      <c r="A1138" s="1">
        <v>202650000942</v>
      </c>
      <c r="B1138" s="1">
        <v>1151401</v>
      </c>
      <c r="C1138" s="2">
        <v>46115</v>
      </c>
      <c r="D1138" t="s">
        <v>17</v>
      </c>
      <c r="E1138" t="s">
        <v>10</v>
      </c>
      <c r="G1138" t="s">
        <v>9</v>
      </c>
      <c r="L1138">
        <f t="shared" si="86"/>
        <v>0</v>
      </c>
      <c r="M1138">
        <f t="shared" si="87"/>
        <v>0</v>
      </c>
      <c r="N1138">
        <f t="shared" si="88"/>
        <v>0</v>
      </c>
      <c r="O1138">
        <f t="shared" si="90"/>
        <v>1</v>
      </c>
      <c r="P1138" t="str">
        <f t="shared" si="89"/>
        <v/>
      </c>
      <c r="Q1138">
        <f>COUNTIF('責任職　企業局→市長部局'!A:A,SQLデータ!B1138)</f>
        <v>0</v>
      </c>
      <c r="R1138">
        <f>COUNTIF('一般職員　企業局→市長部局'!A:F,SQLデータ!B1138)</f>
        <v>0</v>
      </c>
    </row>
    <row r="1139" spans="1:18" x14ac:dyDescent="0.4">
      <c r="A1139" s="1">
        <v>202650000943</v>
      </c>
      <c r="B1139" s="1">
        <v>1042099</v>
      </c>
      <c r="C1139" s="2">
        <v>46115</v>
      </c>
      <c r="D1139" t="s">
        <v>17</v>
      </c>
      <c r="E1139" t="s">
        <v>10</v>
      </c>
      <c r="G1139" t="s">
        <v>9</v>
      </c>
      <c r="L1139">
        <f t="shared" si="86"/>
        <v>0</v>
      </c>
      <c r="M1139">
        <f t="shared" si="87"/>
        <v>0</v>
      </c>
      <c r="N1139">
        <f t="shared" si="88"/>
        <v>0</v>
      </c>
      <c r="O1139">
        <f t="shared" si="90"/>
        <v>1</v>
      </c>
      <c r="P1139" t="str">
        <f t="shared" si="89"/>
        <v/>
      </c>
      <c r="Q1139">
        <f>COUNTIF('責任職　企業局→市長部局'!A:A,SQLデータ!B1139)</f>
        <v>0</v>
      </c>
      <c r="R1139">
        <f>COUNTIF('一般職員　企業局→市長部局'!A:F,SQLデータ!B1139)</f>
        <v>0</v>
      </c>
    </row>
    <row r="1140" spans="1:18" x14ac:dyDescent="0.4">
      <c r="A1140" s="1">
        <v>202650000944</v>
      </c>
      <c r="B1140" s="1">
        <v>981144</v>
      </c>
      <c r="C1140" s="2">
        <v>46115</v>
      </c>
      <c r="D1140" t="s">
        <v>17</v>
      </c>
      <c r="E1140" t="s">
        <v>11</v>
      </c>
      <c r="G1140" t="s">
        <v>9</v>
      </c>
      <c r="L1140">
        <f t="shared" si="86"/>
        <v>0</v>
      </c>
      <c r="M1140">
        <f t="shared" si="87"/>
        <v>0</v>
      </c>
      <c r="N1140">
        <f t="shared" si="88"/>
        <v>0</v>
      </c>
      <c r="O1140">
        <f t="shared" si="90"/>
        <v>1</v>
      </c>
      <c r="P1140" t="str">
        <f t="shared" si="89"/>
        <v/>
      </c>
      <c r="Q1140">
        <f>COUNTIF('責任職　企業局→市長部局'!A:A,SQLデータ!B1140)</f>
        <v>0</v>
      </c>
      <c r="R1140">
        <f>COUNTIF('一般職員　企業局→市長部局'!A:F,SQLデータ!B1140)</f>
        <v>0</v>
      </c>
    </row>
    <row r="1141" spans="1:18" x14ac:dyDescent="0.4">
      <c r="A1141" s="1">
        <v>202650000945</v>
      </c>
      <c r="B1141" s="1">
        <v>1206055</v>
      </c>
      <c r="C1141" s="2">
        <v>46115</v>
      </c>
      <c r="D1141" t="s">
        <v>17</v>
      </c>
      <c r="E1141" t="s">
        <v>10</v>
      </c>
      <c r="G1141" t="s">
        <v>9</v>
      </c>
      <c r="L1141">
        <f t="shared" si="86"/>
        <v>0</v>
      </c>
      <c r="M1141">
        <f t="shared" si="87"/>
        <v>0</v>
      </c>
      <c r="N1141">
        <f t="shared" si="88"/>
        <v>0</v>
      </c>
      <c r="O1141">
        <f t="shared" si="90"/>
        <v>1</v>
      </c>
      <c r="P1141" t="str">
        <f t="shared" si="89"/>
        <v/>
      </c>
      <c r="Q1141">
        <f>COUNTIF('責任職　企業局→市長部局'!A:A,SQLデータ!B1141)</f>
        <v>0</v>
      </c>
      <c r="R1141">
        <f>COUNTIF('一般職員　企業局→市長部局'!A:F,SQLデータ!B1141)</f>
        <v>0</v>
      </c>
    </row>
    <row r="1142" spans="1:18" x14ac:dyDescent="0.4">
      <c r="A1142" s="1">
        <v>202650000946</v>
      </c>
      <c r="B1142" s="1">
        <v>1061154</v>
      </c>
      <c r="C1142" s="2">
        <v>46115</v>
      </c>
      <c r="D1142" t="s">
        <v>17</v>
      </c>
      <c r="E1142" t="s">
        <v>11</v>
      </c>
      <c r="G1142" t="s">
        <v>9</v>
      </c>
      <c r="L1142">
        <f t="shared" si="86"/>
        <v>0</v>
      </c>
      <c r="M1142">
        <f t="shared" si="87"/>
        <v>0</v>
      </c>
      <c r="N1142">
        <f t="shared" si="88"/>
        <v>0</v>
      </c>
      <c r="O1142">
        <f t="shared" si="90"/>
        <v>1</v>
      </c>
      <c r="P1142" t="str">
        <f t="shared" si="89"/>
        <v/>
      </c>
      <c r="Q1142">
        <f>COUNTIF('責任職　企業局→市長部局'!A:A,SQLデータ!B1142)</f>
        <v>0</v>
      </c>
      <c r="R1142">
        <f>COUNTIF('一般職員　企業局→市長部局'!A:F,SQLデータ!B1142)</f>
        <v>0</v>
      </c>
    </row>
    <row r="1143" spans="1:18" x14ac:dyDescent="0.4">
      <c r="A1143" s="1">
        <v>202650000947</v>
      </c>
      <c r="B1143" s="1">
        <v>930862</v>
      </c>
      <c r="C1143" s="2">
        <v>46115</v>
      </c>
      <c r="D1143" t="s">
        <v>17</v>
      </c>
      <c r="E1143" t="s">
        <v>10</v>
      </c>
      <c r="G1143" t="s">
        <v>9</v>
      </c>
      <c r="L1143">
        <f t="shared" si="86"/>
        <v>0</v>
      </c>
      <c r="M1143">
        <f t="shared" si="87"/>
        <v>0</v>
      </c>
      <c r="N1143">
        <f t="shared" si="88"/>
        <v>0</v>
      </c>
      <c r="O1143">
        <f t="shared" si="90"/>
        <v>1</v>
      </c>
      <c r="P1143" t="str">
        <f t="shared" si="89"/>
        <v/>
      </c>
      <c r="Q1143">
        <f>COUNTIF('責任職　企業局→市長部局'!A:A,SQLデータ!B1143)</f>
        <v>0</v>
      </c>
      <c r="R1143">
        <f>COUNTIF('一般職員　企業局→市長部局'!A:F,SQLデータ!B1143)</f>
        <v>0</v>
      </c>
    </row>
    <row r="1144" spans="1:18" x14ac:dyDescent="0.4">
      <c r="A1144" s="1">
        <v>202650000948</v>
      </c>
      <c r="B1144" s="1">
        <v>1101474</v>
      </c>
      <c r="C1144" s="2">
        <v>46115</v>
      </c>
      <c r="D1144" t="s">
        <v>17</v>
      </c>
      <c r="E1144" t="s">
        <v>11</v>
      </c>
      <c r="G1144" t="s">
        <v>9</v>
      </c>
      <c r="L1144">
        <f t="shared" si="86"/>
        <v>0</v>
      </c>
      <c r="M1144">
        <f t="shared" si="87"/>
        <v>0</v>
      </c>
      <c r="N1144">
        <f t="shared" si="88"/>
        <v>0</v>
      </c>
      <c r="O1144">
        <f t="shared" si="90"/>
        <v>1</v>
      </c>
      <c r="P1144" t="str">
        <f t="shared" si="89"/>
        <v/>
      </c>
      <c r="Q1144">
        <f>COUNTIF('責任職　企業局→市長部局'!A:A,SQLデータ!B1144)</f>
        <v>0</v>
      </c>
      <c r="R1144">
        <f>COUNTIF('一般職員　企業局→市長部局'!A:F,SQLデータ!B1144)</f>
        <v>0</v>
      </c>
    </row>
    <row r="1145" spans="1:18" x14ac:dyDescent="0.4">
      <c r="A1145" s="1">
        <v>202650000949</v>
      </c>
      <c r="B1145" s="1">
        <v>1196070</v>
      </c>
      <c r="C1145" s="2">
        <v>46115</v>
      </c>
      <c r="D1145" t="s">
        <v>17</v>
      </c>
      <c r="E1145" t="s">
        <v>11</v>
      </c>
      <c r="G1145" t="s">
        <v>9</v>
      </c>
      <c r="L1145">
        <f t="shared" si="86"/>
        <v>0</v>
      </c>
      <c r="M1145">
        <f t="shared" si="87"/>
        <v>0</v>
      </c>
      <c r="N1145">
        <f t="shared" si="88"/>
        <v>0</v>
      </c>
      <c r="O1145">
        <f t="shared" si="90"/>
        <v>1</v>
      </c>
      <c r="P1145" t="str">
        <f t="shared" si="89"/>
        <v/>
      </c>
      <c r="Q1145">
        <f>COUNTIF('責任職　企業局→市長部局'!A:A,SQLデータ!B1145)</f>
        <v>0</v>
      </c>
      <c r="R1145">
        <f>COUNTIF('一般職員　企業局→市長部局'!A:F,SQLデータ!B1145)</f>
        <v>0</v>
      </c>
    </row>
    <row r="1146" spans="1:18" x14ac:dyDescent="0.4">
      <c r="A1146" s="1">
        <v>202650000950</v>
      </c>
      <c r="B1146" s="1">
        <v>910267</v>
      </c>
      <c r="C1146" s="2">
        <v>46115</v>
      </c>
      <c r="D1146" t="s">
        <v>17</v>
      </c>
      <c r="E1146" t="s">
        <v>15</v>
      </c>
      <c r="G1146" t="s">
        <v>9</v>
      </c>
      <c r="L1146">
        <f t="shared" si="86"/>
        <v>0</v>
      </c>
      <c r="M1146">
        <f t="shared" si="87"/>
        <v>0</v>
      </c>
      <c r="N1146">
        <f t="shared" si="88"/>
        <v>0</v>
      </c>
      <c r="O1146">
        <f t="shared" si="90"/>
        <v>1</v>
      </c>
      <c r="P1146" t="str">
        <f t="shared" si="89"/>
        <v/>
      </c>
      <c r="Q1146">
        <f>COUNTIF('責任職　企業局→市長部局'!A:A,SQLデータ!B1146)</f>
        <v>0</v>
      </c>
      <c r="R1146">
        <f>COUNTIF('一般職員　企業局→市長部局'!A:F,SQLデータ!B1146)</f>
        <v>0</v>
      </c>
    </row>
    <row r="1147" spans="1:18" x14ac:dyDescent="0.4">
      <c r="A1147" s="1">
        <v>202650000951</v>
      </c>
      <c r="B1147" s="1">
        <v>1132065</v>
      </c>
      <c r="C1147" s="2">
        <v>46115</v>
      </c>
      <c r="D1147" t="s">
        <v>17</v>
      </c>
      <c r="E1147" t="s">
        <v>10</v>
      </c>
      <c r="G1147" t="s">
        <v>9</v>
      </c>
      <c r="L1147">
        <f t="shared" si="86"/>
        <v>0</v>
      </c>
      <c r="M1147">
        <f t="shared" si="87"/>
        <v>0</v>
      </c>
      <c r="N1147">
        <f t="shared" si="88"/>
        <v>0</v>
      </c>
      <c r="O1147">
        <f t="shared" si="90"/>
        <v>1</v>
      </c>
      <c r="P1147" t="str">
        <f t="shared" si="89"/>
        <v/>
      </c>
      <c r="Q1147">
        <f>COUNTIF('責任職　企業局→市長部局'!A:A,SQLデータ!B1147)</f>
        <v>0</v>
      </c>
      <c r="R1147">
        <f>COUNTIF('一般職員　企業局→市長部局'!A:F,SQLデータ!B1147)</f>
        <v>0</v>
      </c>
    </row>
    <row r="1148" spans="1:18" x14ac:dyDescent="0.4">
      <c r="A1148" s="1">
        <v>202650000952</v>
      </c>
      <c r="B1148" s="1">
        <v>870121</v>
      </c>
      <c r="C1148" s="2">
        <v>46115</v>
      </c>
      <c r="D1148" t="s">
        <v>17</v>
      </c>
      <c r="E1148" t="s">
        <v>11</v>
      </c>
      <c r="G1148" t="s">
        <v>9</v>
      </c>
      <c r="L1148">
        <f t="shared" si="86"/>
        <v>0</v>
      </c>
      <c r="M1148">
        <f t="shared" si="87"/>
        <v>0</v>
      </c>
      <c r="N1148">
        <f t="shared" si="88"/>
        <v>0</v>
      </c>
      <c r="O1148">
        <f t="shared" si="90"/>
        <v>1</v>
      </c>
      <c r="P1148" t="str">
        <f t="shared" si="89"/>
        <v/>
      </c>
      <c r="Q1148">
        <f>COUNTIF('責任職　企業局→市長部局'!A:A,SQLデータ!B1148)</f>
        <v>0</v>
      </c>
      <c r="R1148">
        <f>COUNTIF('一般職員　企業局→市長部局'!A:F,SQLデータ!B1148)</f>
        <v>0</v>
      </c>
    </row>
    <row r="1149" spans="1:18" x14ac:dyDescent="0.4">
      <c r="A1149" s="1">
        <v>202650000953</v>
      </c>
      <c r="B1149" s="1">
        <v>5138185</v>
      </c>
      <c r="C1149" s="2">
        <v>46115</v>
      </c>
      <c r="D1149" t="s">
        <v>17</v>
      </c>
      <c r="E1149" t="s">
        <v>10</v>
      </c>
      <c r="F1149" t="s">
        <v>54</v>
      </c>
      <c r="G1149" t="s">
        <v>9</v>
      </c>
      <c r="L1149">
        <f t="shared" si="86"/>
        <v>0</v>
      </c>
      <c r="M1149">
        <f t="shared" si="87"/>
        <v>0</v>
      </c>
      <c r="N1149">
        <f t="shared" si="88"/>
        <v>0</v>
      </c>
      <c r="O1149">
        <f t="shared" si="90"/>
        <v>1</v>
      </c>
      <c r="P1149" t="str">
        <f t="shared" si="89"/>
        <v/>
      </c>
      <c r="Q1149">
        <f>COUNTIF('責任職　企業局→市長部局'!A:A,SQLデータ!B1149)</f>
        <v>0</v>
      </c>
      <c r="R1149">
        <f>COUNTIF('一般職員　企業局→市長部局'!A:F,SQLデータ!B1149)</f>
        <v>0</v>
      </c>
    </row>
    <row r="1150" spans="1:18" x14ac:dyDescent="0.4">
      <c r="A1150" s="1">
        <v>202650000954</v>
      </c>
      <c r="B1150" s="1">
        <v>1031200</v>
      </c>
      <c r="C1150" s="2">
        <v>46115</v>
      </c>
      <c r="D1150" t="s">
        <v>17</v>
      </c>
      <c r="E1150" t="s">
        <v>11</v>
      </c>
      <c r="G1150" t="s">
        <v>9</v>
      </c>
      <c r="L1150">
        <f t="shared" si="86"/>
        <v>0</v>
      </c>
      <c r="M1150">
        <f t="shared" si="87"/>
        <v>0</v>
      </c>
      <c r="N1150">
        <f t="shared" si="88"/>
        <v>0</v>
      </c>
      <c r="O1150">
        <f t="shared" si="90"/>
        <v>1</v>
      </c>
      <c r="P1150" t="str">
        <f t="shared" si="89"/>
        <v/>
      </c>
      <c r="Q1150">
        <f>COUNTIF('責任職　企業局→市長部局'!A:A,SQLデータ!B1150)</f>
        <v>0</v>
      </c>
      <c r="R1150">
        <f>COUNTIF('一般職員　企業局→市長部局'!A:F,SQLデータ!B1150)</f>
        <v>0</v>
      </c>
    </row>
    <row r="1151" spans="1:18" x14ac:dyDescent="0.4">
      <c r="A1151" s="1">
        <v>202650000955</v>
      </c>
      <c r="B1151" s="1">
        <v>1112091</v>
      </c>
      <c r="C1151" s="2">
        <v>46115</v>
      </c>
      <c r="D1151" t="s">
        <v>17</v>
      </c>
      <c r="E1151" t="s">
        <v>8</v>
      </c>
      <c r="G1151" t="s">
        <v>9</v>
      </c>
      <c r="L1151">
        <f t="shared" si="86"/>
        <v>0</v>
      </c>
      <c r="M1151">
        <f t="shared" si="87"/>
        <v>0</v>
      </c>
      <c r="N1151">
        <f t="shared" si="88"/>
        <v>0</v>
      </c>
      <c r="O1151">
        <f t="shared" si="90"/>
        <v>1</v>
      </c>
      <c r="P1151" t="str">
        <f t="shared" si="89"/>
        <v/>
      </c>
      <c r="Q1151">
        <f>COUNTIF('責任職　企業局→市長部局'!A:A,SQLデータ!B1151)</f>
        <v>0</v>
      </c>
      <c r="R1151">
        <f>COUNTIF('一般職員　企業局→市長部局'!A:F,SQLデータ!B1151)</f>
        <v>0</v>
      </c>
    </row>
    <row r="1152" spans="1:18" x14ac:dyDescent="0.4">
      <c r="A1152" s="1">
        <v>202650000956</v>
      </c>
      <c r="B1152" s="1">
        <v>5097683</v>
      </c>
      <c r="C1152" s="2">
        <v>46115</v>
      </c>
      <c r="D1152" t="s">
        <v>17</v>
      </c>
      <c r="E1152" t="s">
        <v>11</v>
      </c>
      <c r="G1152" t="s">
        <v>9</v>
      </c>
      <c r="L1152">
        <f t="shared" si="86"/>
        <v>0</v>
      </c>
      <c r="M1152">
        <f t="shared" si="87"/>
        <v>0</v>
      </c>
      <c r="N1152">
        <f t="shared" si="88"/>
        <v>0</v>
      </c>
      <c r="O1152">
        <f t="shared" si="90"/>
        <v>1</v>
      </c>
      <c r="P1152" t="str">
        <f t="shared" si="89"/>
        <v/>
      </c>
      <c r="Q1152">
        <f>COUNTIF('責任職　企業局→市長部局'!A:A,SQLデータ!B1152)</f>
        <v>0</v>
      </c>
      <c r="R1152">
        <f>COUNTIF('一般職員　企業局→市長部局'!A:F,SQLデータ!B1152)</f>
        <v>0</v>
      </c>
    </row>
    <row r="1153" spans="1:18" x14ac:dyDescent="0.4">
      <c r="A1153" s="1">
        <v>202650000957</v>
      </c>
      <c r="B1153" s="1">
        <v>1211207</v>
      </c>
      <c r="C1153" s="2">
        <v>46115</v>
      </c>
      <c r="D1153" t="s">
        <v>17</v>
      </c>
      <c r="E1153" t="s">
        <v>10</v>
      </c>
      <c r="G1153" t="s">
        <v>9</v>
      </c>
      <c r="L1153">
        <f t="shared" si="86"/>
        <v>0</v>
      </c>
      <c r="M1153">
        <f t="shared" si="87"/>
        <v>0</v>
      </c>
      <c r="N1153">
        <f t="shared" si="88"/>
        <v>0</v>
      </c>
      <c r="O1153">
        <f t="shared" si="90"/>
        <v>1</v>
      </c>
      <c r="P1153" t="str">
        <f t="shared" si="89"/>
        <v/>
      </c>
      <c r="Q1153">
        <f>COUNTIF('責任職　企業局→市長部局'!A:A,SQLデータ!B1153)</f>
        <v>0</v>
      </c>
      <c r="R1153">
        <f>COUNTIF('一般職員　企業局→市長部局'!A:F,SQLデータ!B1153)</f>
        <v>0</v>
      </c>
    </row>
    <row r="1154" spans="1:18" x14ac:dyDescent="0.4">
      <c r="A1154" s="1">
        <v>202650000958</v>
      </c>
      <c r="B1154" s="1">
        <v>981039</v>
      </c>
      <c r="C1154" s="2">
        <v>46115</v>
      </c>
      <c r="D1154" t="s">
        <v>17</v>
      </c>
      <c r="E1154" t="s">
        <v>11</v>
      </c>
      <c r="G1154" t="s">
        <v>9</v>
      </c>
      <c r="L1154">
        <f t="shared" ref="L1154:L1217" si="91">IF(ISBLANK(J1154),0,1)</f>
        <v>0</v>
      </c>
      <c r="M1154">
        <f t="shared" ref="M1154:M1217" si="92">IF(AND(L1154=0,I1154&lt;&gt;""),1,0)</f>
        <v>0</v>
      </c>
      <c r="N1154">
        <f t="shared" ref="N1154:N1217" si="93">IF(AND(L1154=0,M1154=0,K1154&lt;&gt;""),1,0)</f>
        <v>0</v>
      </c>
      <c r="O1154">
        <f t="shared" si="90"/>
        <v>1</v>
      </c>
      <c r="P1154" t="str">
        <f t="shared" ref="P1154:P1217" si="94">IF(D1154&lt;&gt;"扶養","",IF(E1154&lt;&gt;"確認待ち",1,IF(OR(AND(G1154="本人の結婚",O1154=1),AND(H1154="減",OR(N1154=1,O1154=1))),1,0)))</f>
        <v/>
      </c>
      <c r="Q1154">
        <f>COUNTIF('責任職　企業局→市長部局'!A:A,SQLデータ!B1154)</f>
        <v>0</v>
      </c>
      <c r="R1154">
        <f>COUNTIF('一般職員　企業局→市長部局'!A:F,SQLデータ!B1154)</f>
        <v>0</v>
      </c>
    </row>
    <row r="1155" spans="1:18" x14ac:dyDescent="0.4">
      <c r="A1155" s="1">
        <v>202650000959</v>
      </c>
      <c r="B1155" s="1">
        <v>1111511</v>
      </c>
      <c r="C1155" s="2">
        <v>46115</v>
      </c>
      <c r="D1155" t="s">
        <v>17</v>
      </c>
      <c r="E1155" t="s">
        <v>10</v>
      </c>
      <c r="G1155" t="s">
        <v>9</v>
      </c>
      <c r="L1155">
        <f t="shared" si="91"/>
        <v>0</v>
      </c>
      <c r="M1155">
        <f t="shared" si="92"/>
        <v>0</v>
      </c>
      <c r="N1155">
        <f t="shared" si="93"/>
        <v>0</v>
      </c>
      <c r="O1155">
        <f t="shared" si="90"/>
        <v>1</v>
      </c>
      <c r="P1155" t="str">
        <f t="shared" si="94"/>
        <v/>
      </c>
      <c r="Q1155">
        <f>COUNTIF('責任職　企業局→市長部局'!A:A,SQLデータ!B1155)</f>
        <v>0</v>
      </c>
      <c r="R1155">
        <f>COUNTIF('一般職員　企業局→市長部局'!A:F,SQLデータ!B1155)</f>
        <v>0</v>
      </c>
    </row>
    <row r="1156" spans="1:18" x14ac:dyDescent="0.4">
      <c r="A1156" s="1">
        <v>202650000960</v>
      </c>
      <c r="B1156" s="1">
        <v>1151154</v>
      </c>
      <c r="C1156" s="2">
        <v>46115</v>
      </c>
      <c r="D1156" t="s">
        <v>17</v>
      </c>
      <c r="E1156" t="s">
        <v>10</v>
      </c>
      <c r="G1156" t="s">
        <v>9</v>
      </c>
      <c r="L1156">
        <f t="shared" si="91"/>
        <v>0</v>
      </c>
      <c r="M1156">
        <f t="shared" si="92"/>
        <v>0</v>
      </c>
      <c r="N1156">
        <f t="shared" si="93"/>
        <v>0</v>
      </c>
      <c r="O1156">
        <f t="shared" si="90"/>
        <v>1</v>
      </c>
      <c r="P1156" t="str">
        <f t="shared" si="94"/>
        <v/>
      </c>
      <c r="Q1156">
        <f>COUNTIF('責任職　企業局→市長部局'!A:A,SQLデータ!B1156)</f>
        <v>0</v>
      </c>
      <c r="R1156">
        <f>COUNTIF('一般職員　企業局→市長部局'!A:F,SQLデータ!B1156)</f>
        <v>0</v>
      </c>
    </row>
    <row r="1157" spans="1:18" x14ac:dyDescent="0.4">
      <c r="A1157" s="1">
        <v>202650000961</v>
      </c>
      <c r="B1157" s="1">
        <v>910285</v>
      </c>
      <c r="C1157" s="2">
        <v>46115</v>
      </c>
      <c r="D1157" t="s">
        <v>17</v>
      </c>
      <c r="E1157" t="s">
        <v>10</v>
      </c>
      <c r="G1157" t="s">
        <v>9</v>
      </c>
      <c r="L1157">
        <f t="shared" si="91"/>
        <v>0</v>
      </c>
      <c r="M1157">
        <f t="shared" si="92"/>
        <v>0</v>
      </c>
      <c r="N1157">
        <f t="shared" si="93"/>
        <v>0</v>
      </c>
      <c r="O1157">
        <f t="shared" si="90"/>
        <v>1</v>
      </c>
      <c r="P1157" t="str">
        <f t="shared" si="94"/>
        <v/>
      </c>
      <c r="Q1157">
        <f>COUNTIF('責任職　企業局→市長部局'!A:A,SQLデータ!B1157)</f>
        <v>0</v>
      </c>
      <c r="R1157">
        <f>COUNTIF('一般職員　企業局→市長部局'!A:F,SQLデータ!B1157)</f>
        <v>0</v>
      </c>
    </row>
    <row r="1158" spans="1:18" x14ac:dyDescent="0.4">
      <c r="A1158" s="1">
        <v>202650000962</v>
      </c>
      <c r="B1158" s="1">
        <v>1116044</v>
      </c>
      <c r="C1158" s="2">
        <v>46115</v>
      </c>
      <c r="D1158" t="s">
        <v>17</v>
      </c>
      <c r="E1158" t="s">
        <v>8</v>
      </c>
      <c r="G1158" t="s">
        <v>9</v>
      </c>
      <c r="L1158">
        <f t="shared" si="91"/>
        <v>0</v>
      </c>
      <c r="M1158">
        <f t="shared" si="92"/>
        <v>0</v>
      </c>
      <c r="N1158">
        <f t="shared" si="93"/>
        <v>0</v>
      </c>
      <c r="O1158">
        <f t="shared" si="90"/>
        <v>1</v>
      </c>
      <c r="P1158" t="str">
        <f t="shared" si="94"/>
        <v/>
      </c>
      <c r="Q1158">
        <f>COUNTIF('責任職　企業局→市長部局'!A:A,SQLデータ!B1158)</f>
        <v>0</v>
      </c>
      <c r="R1158">
        <f>COUNTIF('一般職員　企業局→市長部局'!A:F,SQLデータ!B1158)</f>
        <v>0</v>
      </c>
    </row>
    <row r="1159" spans="1:18" x14ac:dyDescent="0.4">
      <c r="A1159" s="1">
        <v>202650000963</v>
      </c>
      <c r="B1159" s="1">
        <v>910486</v>
      </c>
      <c r="C1159" s="2">
        <v>46115</v>
      </c>
      <c r="D1159" t="s">
        <v>17</v>
      </c>
      <c r="E1159" t="s">
        <v>10</v>
      </c>
      <c r="G1159" t="s">
        <v>9</v>
      </c>
      <c r="L1159">
        <f t="shared" si="91"/>
        <v>0</v>
      </c>
      <c r="M1159">
        <f t="shared" si="92"/>
        <v>0</v>
      </c>
      <c r="N1159">
        <f t="shared" si="93"/>
        <v>0</v>
      </c>
      <c r="O1159">
        <f t="shared" si="90"/>
        <v>1</v>
      </c>
      <c r="P1159" t="str">
        <f t="shared" si="94"/>
        <v/>
      </c>
      <c r="Q1159">
        <f>COUNTIF('責任職　企業局→市長部局'!A:A,SQLデータ!B1159)</f>
        <v>0</v>
      </c>
      <c r="R1159">
        <f>COUNTIF('一般職員　企業局→市長部局'!A:F,SQLデータ!B1159)</f>
        <v>0</v>
      </c>
    </row>
    <row r="1160" spans="1:18" x14ac:dyDescent="0.4">
      <c r="A1160" s="1">
        <v>202650000964</v>
      </c>
      <c r="B1160" s="1">
        <v>890146</v>
      </c>
      <c r="C1160" s="2">
        <v>46115</v>
      </c>
      <c r="D1160" t="s">
        <v>17</v>
      </c>
      <c r="E1160" t="s">
        <v>10</v>
      </c>
      <c r="G1160" t="s">
        <v>9</v>
      </c>
      <c r="L1160">
        <f t="shared" si="91"/>
        <v>0</v>
      </c>
      <c r="M1160">
        <f t="shared" si="92"/>
        <v>0</v>
      </c>
      <c r="N1160">
        <f t="shared" si="93"/>
        <v>0</v>
      </c>
      <c r="O1160">
        <f t="shared" si="90"/>
        <v>1</v>
      </c>
      <c r="P1160" t="str">
        <f t="shared" si="94"/>
        <v/>
      </c>
      <c r="Q1160">
        <f>COUNTIF('責任職　企業局→市長部局'!A:A,SQLデータ!B1160)</f>
        <v>0</v>
      </c>
      <c r="R1160">
        <f>COUNTIF('一般職員　企業局→市長部局'!A:F,SQLデータ!B1160)</f>
        <v>0</v>
      </c>
    </row>
    <row r="1161" spans="1:18" x14ac:dyDescent="0.4">
      <c r="A1161" s="1">
        <v>202650000965</v>
      </c>
      <c r="B1161" s="1">
        <v>920901</v>
      </c>
      <c r="C1161" s="2">
        <v>46115</v>
      </c>
      <c r="D1161" t="s">
        <v>17</v>
      </c>
      <c r="E1161" t="s">
        <v>10</v>
      </c>
      <c r="G1161" t="s">
        <v>9</v>
      </c>
      <c r="L1161">
        <f t="shared" si="91"/>
        <v>0</v>
      </c>
      <c r="M1161">
        <f t="shared" si="92"/>
        <v>0</v>
      </c>
      <c r="N1161">
        <f t="shared" si="93"/>
        <v>0</v>
      </c>
      <c r="O1161">
        <f t="shared" ref="O1161:O1224" si="95">IF(COUNTIF(L1161:N1161,0)=3,1,0)</f>
        <v>1</v>
      </c>
      <c r="P1161" t="str">
        <f t="shared" si="94"/>
        <v/>
      </c>
      <c r="Q1161">
        <f>COUNTIF('責任職　企業局→市長部局'!A:A,SQLデータ!B1161)</f>
        <v>0</v>
      </c>
      <c r="R1161">
        <f>COUNTIF('一般職員　企業局→市長部局'!A:F,SQLデータ!B1161)</f>
        <v>0</v>
      </c>
    </row>
    <row r="1162" spans="1:18" x14ac:dyDescent="0.4">
      <c r="A1162" s="1">
        <v>202650000966</v>
      </c>
      <c r="B1162" s="1">
        <v>1122043</v>
      </c>
      <c r="C1162" s="2">
        <v>46115</v>
      </c>
      <c r="D1162" t="s">
        <v>17</v>
      </c>
      <c r="E1162" t="s">
        <v>10</v>
      </c>
      <c r="G1162" t="s">
        <v>9</v>
      </c>
      <c r="L1162">
        <f t="shared" si="91"/>
        <v>0</v>
      </c>
      <c r="M1162">
        <f t="shared" si="92"/>
        <v>0</v>
      </c>
      <c r="N1162">
        <f t="shared" si="93"/>
        <v>0</v>
      </c>
      <c r="O1162">
        <f t="shared" si="95"/>
        <v>1</v>
      </c>
      <c r="P1162" t="str">
        <f t="shared" si="94"/>
        <v/>
      </c>
      <c r="Q1162">
        <f>COUNTIF('責任職　企業局→市長部局'!A:A,SQLデータ!B1162)</f>
        <v>0</v>
      </c>
      <c r="R1162">
        <f>COUNTIF('一般職員　企業局→市長部局'!A:F,SQLデータ!B1162)</f>
        <v>0</v>
      </c>
    </row>
    <row r="1163" spans="1:18" x14ac:dyDescent="0.4">
      <c r="A1163" s="1">
        <v>202650000967</v>
      </c>
      <c r="B1163" s="1">
        <v>1111040</v>
      </c>
      <c r="C1163" s="2">
        <v>46115</v>
      </c>
      <c r="D1163" t="s">
        <v>17</v>
      </c>
      <c r="E1163" t="s">
        <v>10</v>
      </c>
      <c r="G1163" t="s">
        <v>9</v>
      </c>
      <c r="L1163">
        <f t="shared" si="91"/>
        <v>0</v>
      </c>
      <c r="M1163">
        <f t="shared" si="92"/>
        <v>0</v>
      </c>
      <c r="N1163">
        <f t="shared" si="93"/>
        <v>0</v>
      </c>
      <c r="O1163">
        <f t="shared" si="95"/>
        <v>1</v>
      </c>
      <c r="P1163" t="str">
        <f t="shared" si="94"/>
        <v/>
      </c>
      <c r="Q1163">
        <f>COUNTIF('責任職　企業局→市長部局'!A:A,SQLデータ!B1163)</f>
        <v>0</v>
      </c>
      <c r="R1163">
        <f>COUNTIF('一般職員　企業局→市長部局'!A:F,SQLデータ!B1163)</f>
        <v>0</v>
      </c>
    </row>
    <row r="1164" spans="1:18" x14ac:dyDescent="0.4">
      <c r="A1164" s="1">
        <v>202650000968</v>
      </c>
      <c r="B1164" s="1">
        <v>960342</v>
      </c>
      <c r="C1164" s="2">
        <v>46115</v>
      </c>
      <c r="D1164" t="s">
        <v>17</v>
      </c>
      <c r="E1164" t="s">
        <v>11</v>
      </c>
      <c r="G1164" t="s">
        <v>9</v>
      </c>
      <c r="L1164">
        <f t="shared" si="91"/>
        <v>0</v>
      </c>
      <c r="M1164">
        <f t="shared" si="92"/>
        <v>0</v>
      </c>
      <c r="N1164">
        <f t="shared" si="93"/>
        <v>0</v>
      </c>
      <c r="O1164">
        <f t="shared" si="95"/>
        <v>1</v>
      </c>
      <c r="P1164" t="str">
        <f t="shared" si="94"/>
        <v/>
      </c>
      <c r="Q1164">
        <f>COUNTIF('責任職　企業局→市長部局'!A:A,SQLデータ!B1164)</f>
        <v>0</v>
      </c>
      <c r="R1164">
        <f>COUNTIF('一般職員　企業局→市長部局'!A:F,SQLデータ!B1164)</f>
        <v>0</v>
      </c>
    </row>
    <row r="1165" spans="1:18" x14ac:dyDescent="0.4">
      <c r="A1165" s="1">
        <v>202650000969</v>
      </c>
      <c r="B1165" s="1">
        <v>981149</v>
      </c>
      <c r="C1165" s="2">
        <v>46115</v>
      </c>
      <c r="D1165" t="s">
        <v>17</v>
      </c>
      <c r="E1165" t="s">
        <v>10</v>
      </c>
      <c r="G1165" t="s">
        <v>9</v>
      </c>
      <c r="L1165">
        <f t="shared" si="91"/>
        <v>0</v>
      </c>
      <c r="M1165">
        <f t="shared" si="92"/>
        <v>0</v>
      </c>
      <c r="N1165">
        <f t="shared" si="93"/>
        <v>0</v>
      </c>
      <c r="O1165">
        <f t="shared" si="95"/>
        <v>1</v>
      </c>
      <c r="P1165" t="str">
        <f t="shared" si="94"/>
        <v/>
      </c>
      <c r="Q1165">
        <f>COUNTIF('責任職　企業局→市長部局'!A:A,SQLデータ!B1165)</f>
        <v>0</v>
      </c>
      <c r="R1165">
        <f>COUNTIF('一般職員　企業局→市長部局'!A:F,SQLデータ!B1165)</f>
        <v>0</v>
      </c>
    </row>
    <row r="1166" spans="1:18" x14ac:dyDescent="0.4">
      <c r="A1166" s="1">
        <v>202650000970</v>
      </c>
      <c r="B1166" s="1">
        <v>960606</v>
      </c>
      <c r="C1166" s="2">
        <v>46115</v>
      </c>
      <c r="D1166" t="s">
        <v>17</v>
      </c>
      <c r="E1166" t="s">
        <v>10</v>
      </c>
      <c r="G1166" t="s">
        <v>9</v>
      </c>
      <c r="L1166">
        <f t="shared" si="91"/>
        <v>0</v>
      </c>
      <c r="M1166">
        <f t="shared" si="92"/>
        <v>0</v>
      </c>
      <c r="N1166">
        <f t="shared" si="93"/>
        <v>0</v>
      </c>
      <c r="O1166">
        <f t="shared" si="95"/>
        <v>1</v>
      </c>
      <c r="P1166" t="str">
        <f t="shared" si="94"/>
        <v/>
      </c>
      <c r="Q1166">
        <f>COUNTIF('責任職　企業局→市長部局'!A:A,SQLデータ!B1166)</f>
        <v>0</v>
      </c>
      <c r="R1166">
        <f>COUNTIF('一般職員　企業局→市長部局'!A:F,SQLデータ!B1166)</f>
        <v>0</v>
      </c>
    </row>
    <row r="1167" spans="1:18" x14ac:dyDescent="0.4">
      <c r="A1167" s="1">
        <v>202650000971</v>
      </c>
      <c r="B1167" s="1">
        <v>1182319</v>
      </c>
      <c r="C1167" s="2">
        <v>46115</v>
      </c>
      <c r="D1167" t="s">
        <v>17</v>
      </c>
      <c r="E1167" t="s">
        <v>10</v>
      </c>
      <c r="F1167" t="s">
        <v>48</v>
      </c>
      <c r="G1167" t="s">
        <v>9</v>
      </c>
      <c r="L1167">
        <f t="shared" si="91"/>
        <v>0</v>
      </c>
      <c r="M1167">
        <f t="shared" si="92"/>
        <v>0</v>
      </c>
      <c r="N1167">
        <f t="shared" si="93"/>
        <v>0</v>
      </c>
      <c r="O1167">
        <f t="shared" si="95"/>
        <v>1</v>
      </c>
      <c r="P1167" t="str">
        <f t="shared" si="94"/>
        <v/>
      </c>
      <c r="Q1167">
        <f>COUNTIF('責任職　企業局→市長部局'!A:A,SQLデータ!B1167)</f>
        <v>0</v>
      </c>
      <c r="R1167">
        <f>COUNTIF('一般職員　企業局→市長部局'!A:F,SQLデータ!B1167)</f>
        <v>0</v>
      </c>
    </row>
    <row r="1168" spans="1:18" x14ac:dyDescent="0.4">
      <c r="A1168" s="1">
        <v>202650000972</v>
      </c>
      <c r="B1168" s="1">
        <v>1131348</v>
      </c>
      <c r="C1168" s="2">
        <v>46115</v>
      </c>
      <c r="D1168" t="s">
        <v>17</v>
      </c>
      <c r="E1168" t="s">
        <v>10</v>
      </c>
      <c r="G1168" t="s">
        <v>9</v>
      </c>
      <c r="L1168">
        <f t="shared" si="91"/>
        <v>0</v>
      </c>
      <c r="M1168">
        <f t="shared" si="92"/>
        <v>0</v>
      </c>
      <c r="N1168">
        <f t="shared" si="93"/>
        <v>0</v>
      </c>
      <c r="O1168">
        <f t="shared" si="95"/>
        <v>1</v>
      </c>
      <c r="P1168" t="str">
        <f t="shared" si="94"/>
        <v/>
      </c>
      <c r="Q1168">
        <f>COUNTIF('責任職　企業局→市長部局'!A:A,SQLデータ!B1168)</f>
        <v>0</v>
      </c>
      <c r="R1168">
        <f>COUNTIF('一般職員　企業局→市長部局'!A:F,SQLデータ!B1168)</f>
        <v>0</v>
      </c>
    </row>
    <row r="1169" spans="1:18" x14ac:dyDescent="0.4">
      <c r="A1169" s="1">
        <v>202650000973</v>
      </c>
      <c r="B1169" s="1">
        <v>1166091</v>
      </c>
      <c r="C1169" s="2">
        <v>46115</v>
      </c>
      <c r="D1169" t="s">
        <v>17</v>
      </c>
      <c r="E1169" t="s">
        <v>10</v>
      </c>
      <c r="G1169" t="s">
        <v>9</v>
      </c>
      <c r="L1169">
        <f t="shared" si="91"/>
        <v>0</v>
      </c>
      <c r="M1169">
        <f t="shared" si="92"/>
        <v>0</v>
      </c>
      <c r="N1169">
        <f t="shared" si="93"/>
        <v>0</v>
      </c>
      <c r="O1169">
        <f t="shared" si="95"/>
        <v>1</v>
      </c>
      <c r="P1169" t="str">
        <f t="shared" si="94"/>
        <v/>
      </c>
      <c r="Q1169">
        <f>COUNTIF('責任職　企業局→市長部局'!A:A,SQLデータ!B1169)</f>
        <v>0</v>
      </c>
      <c r="R1169">
        <f>COUNTIF('一般職員　企業局→市長部局'!A:F,SQLデータ!B1169)</f>
        <v>0</v>
      </c>
    </row>
    <row r="1170" spans="1:18" x14ac:dyDescent="0.4">
      <c r="A1170" s="1">
        <v>202650000974</v>
      </c>
      <c r="B1170" s="1">
        <v>1031263</v>
      </c>
      <c r="C1170" s="2">
        <v>46115</v>
      </c>
      <c r="D1170" t="s">
        <v>17</v>
      </c>
      <c r="E1170" t="s">
        <v>10</v>
      </c>
      <c r="G1170" t="s">
        <v>9</v>
      </c>
      <c r="L1170">
        <f t="shared" si="91"/>
        <v>0</v>
      </c>
      <c r="M1170">
        <f t="shared" si="92"/>
        <v>0</v>
      </c>
      <c r="N1170">
        <f t="shared" si="93"/>
        <v>0</v>
      </c>
      <c r="O1170">
        <f t="shared" si="95"/>
        <v>1</v>
      </c>
      <c r="P1170" t="str">
        <f t="shared" si="94"/>
        <v/>
      </c>
      <c r="Q1170">
        <f>COUNTIF('責任職　企業局→市長部局'!A:A,SQLデータ!B1170)</f>
        <v>0</v>
      </c>
      <c r="R1170">
        <f>COUNTIF('一般職員　企業局→市長部局'!A:F,SQLデータ!B1170)</f>
        <v>0</v>
      </c>
    </row>
    <row r="1171" spans="1:18" x14ac:dyDescent="0.4">
      <c r="A1171" s="1">
        <v>202650000975</v>
      </c>
      <c r="B1171" s="1">
        <v>1106070</v>
      </c>
      <c r="C1171" s="2">
        <v>46119</v>
      </c>
      <c r="D1171" t="s">
        <v>17</v>
      </c>
      <c r="E1171" t="s">
        <v>10</v>
      </c>
      <c r="G1171" t="s">
        <v>9</v>
      </c>
      <c r="L1171">
        <f t="shared" si="91"/>
        <v>0</v>
      </c>
      <c r="M1171">
        <f t="shared" si="92"/>
        <v>0</v>
      </c>
      <c r="N1171">
        <f t="shared" si="93"/>
        <v>0</v>
      </c>
      <c r="O1171">
        <f t="shared" si="95"/>
        <v>1</v>
      </c>
      <c r="P1171" t="str">
        <f t="shared" si="94"/>
        <v/>
      </c>
      <c r="Q1171">
        <f>COUNTIF('責任職　企業局→市長部局'!A:A,SQLデータ!B1171)</f>
        <v>0</v>
      </c>
      <c r="R1171">
        <f>COUNTIF('一般職員　企業局→市長部局'!A:F,SQLデータ!B1171)</f>
        <v>0</v>
      </c>
    </row>
    <row r="1172" spans="1:18" x14ac:dyDescent="0.4">
      <c r="A1172" s="1">
        <v>202650000976</v>
      </c>
      <c r="B1172" s="1">
        <v>981197</v>
      </c>
      <c r="C1172" s="2">
        <v>46115</v>
      </c>
      <c r="D1172" t="s">
        <v>17</v>
      </c>
      <c r="E1172" t="s">
        <v>11</v>
      </c>
      <c r="G1172" t="s">
        <v>9</v>
      </c>
      <c r="L1172">
        <f t="shared" si="91"/>
        <v>0</v>
      </c>
      <c r="M1172">
        <f t="shared" si="92"/>
        <v>0</v>
      </c>
      <c r="N1172">
        <f t="shared" si="93"/>
        <v>0</v>
      </c>
      <c r="O1172">
        <f t="shared" si="95"/>
        <v>1</v>
      </c>
      <c r="P1172" t="str">
        <f t="shared" si="94"/>
        <v/>
      </c>
      <c r="Q1172">
        <f>COUNTIF('責任職　企業局→市長部局'!A:A,SQLデータ!B1172)</f>
        <v>0</v>
      </c>
      <c r="R1172">
        <f>COUNTIF('一般職員　企業局→市長部局'!A:F,SQLデータ!B1172)</f>
        <v>0</v>
      </c>
    </row>
    <row r="1173" spans="1:18" x14ac:dyDescent="0.4">
      <c r="A1173" s="1">
        <v>202650000977</v>
      </c>
      <c r="B1173" s="1">
        <v>1231122</v>
      </c>
      <c r="C1173" s="2">
        <v>46115</v>
      </c>
      <c r="D1173" t="s">
        <v>17</v>
      </c>
      <c r="E1173" t="s">
        <v>10</v>
      </c>
      <c r="G1173" t="s">
        <v>9</v>
      </c>
      <c r="L1173">
        <f t="shared" si="91"/>
        <v>0</v>
      </c>
      <c r="M1173">
        <f t="shared" si="92"/>
        <v>0</v>
      </c>
      <c r="N1173">
        <f t="shared" si="93"/>
        <v>0</v>
      </c>
      <c r="O1173">
        <f t="shared" si="95"/>
        <v>1</v>
      </c>
      <c r="P1173" t="str">
        <f t="shared" si="94"/>
        <v/>
      </c>
      <c r="Q1173">
        <f>COUNTIF('責任職　企業局→市長部局'!A:A,SQLデータ!B1173)</f>
        <v>0</v>
      </c>
      <c r="R1173">
        <f>COUNTIF('一般職員　企業局→市長部局'!A:F,SQLデータ!B1173)</f>
        <v>0</v>
      </c>
    </row>
    <row r="1174" spans="1:18" x14ac:dyDescent="0.4">
      <c r="A1174" s="1">
        <v>202650000978</v>
      </c>
      <c r="B1174" s="1">
        <v>1066029</v>
      </c>
      <c r="C1174" s="2">
        <v>46115</v>
      </c>
      <c r="D1174" t="s">
        <v>17</v>
      </c>
      <c r="E1174" t="s">
        <v>11</v>
      </c>
      <c r="G1174" t="s">
        <v>9</v>
      </c>
      <c r="L1174">
        <f t="shared" si="91"/>
        <v>0</v>
      </c>
      <c r="M1174">
        <f t="shared" si="92"/>
        <v>0</v>
      </c>
      <c r="N1174">
        <f t="shared" si="93"/>
        <v>0</v>
      </c>
      <c r="O1174">
        <f t="shared" si="95"/>
        <v>1</v>
      </c>
      <c r="P1174" t="str">
        <f t="shared" si="94"/>
        <v/>
      </c>
      <c r="Q1174">
        <f>COUNTIF('責任職　企業局→市長部局'!A:A,SQLデータ!B1174)</f>
        <v>0</v>
      </c>
      <c r="R1174">
        <f>COUNTIF('一般職員　企業局→市長部局'!A:F,SQLデータ!B1174)</f>
        <v>0</v>
      </c>
    </row>
    <row r="1175" spans="1:18" x14ac:dyDescent="0.4">
      <c r="A1175" s="1">
        <v>202650000979</v>
      </c>
      <c r="B1175" s="1">
        <v>971166</v>
      </c>
      <c r="C1175" s="2">
        <v>46115</v>
      </c>
      <c r="D1175" t="s">
        <v>17</v>
      </c>
      <c r="E1175" t="s">
        <v>11</v>
      </c>
      <c r="G1175" t="s">
        <v>9</v>
      </c>
      <c r="L1175">
        <f t="shared" si="91"/>
        <v>0</v>
      </c>
      <c r="M1175">
        <f t="shared" si="92"/>
        <v>0</v>
      </c>
      <c r="N1175">
        <f t="shared" si="93"/>
        <v>0</v>
      </c>
      <c r="O1175">
        <f t="shared" si="95"/>
        <v>1</v>
      </c>
      <c r="P1175" t="str">
        <f t="shared" si="94"/>
        <v/>
      </c>
      <c r="Q1175">
        <f>COUNTIF('責任職　企業局→市長部局'!A:A,SQLデータ!B1175)</f>
        <v>0</v>
      </c>
      <c r="R1175">
        <f>COUNTIF('一般職員　企業局→市長部局'!A:F,SQLデータ!B1175)</f>
        <v>0</v>
      </c>
    </row>
    <row r="1176" spans="1:18" x14ac:dyDescent="0.4">
      <c r="A1176" s="1">
        <v>202650000980</v>
      </c>
      <c r="B1176" s="1">
        <v>1121044</v>
      </c>
      <c r="C1176" s="2">
        <v>46115</v>
      </c>
      <c r="D1176" t="s">
        <v>17</v>
      </c>
      <c r="E1176" t="s">
        <v>11</v>
      </c>
      <c r="G1176" t="s">
        <v>9</v>
      </c>
      <c r="L1176">
        <f t="shared" si="91"/>
        <v>0</v>
      </c>
      <c r="M1176">
        <f t="shared" si="92"/>
        <v>0</v>
      </c>
      <c r="N1176">
        <f t="shared" si="93"/>
        <v>0</v>
      </c>
      <c r="O1176">
        <f t="shared" si="95"/>
        <v>1</v>
      </c>
      <c r="P1176" t="str">
        <f t="shared" si="94"/>
        <v/>
      </c>
      <c r="Q1176">
        <f>COUNTIF('責任職　企業局→市長部局'!A:A,SQLデータ!B1176)</f>
        <v>0</v>
      </c>
      <c r="R1176">
        <f>COUNTIF('一般職員　企業局→市長部局'!A:F,SQLデータ!B1176)</f>
        <v>0</v>
      </c>
    </row>
    <row r="1177" spans="1:18" x14ac:dyDescent="0.4">
      <c r="A1177" s="1">
        <v>202650000981</v>
      </c>
      <c r="B1177" s="1">
        <v>1086051</v>
      </c>
      <c r="C1177" s="2">
        <v>46115</v>
      </c>
      <c r="D1177" t="s">
        <v>17</v>
      </c>
      <c r="E1177" t="s">
        <v>10</v>
      </c>
      <c r="G1177" t="s">
        <v>9</v>
      </c>
      <c r="L1177">
        <f t="shared" si="91"/>
        <v>0</v>
      </c>
      <c r="M1177">
        <f t="shared" si="92"/>
        <v>0</v>
      </c>
      <c r="N1177">
        <f t="shared" si="93"/>
        <v>0</v>
      </c>
      <c r="O1177">
        <f t="shared" si="95"/>
        <v>1</v>
      </c>
      <c r="P1177" t="str">
        <f t="shared" si="94"/>
        <v/>
      </c>
      <c r="Q1177">
        <f>COUNTIF('責任職　企業局→市長部局'!A:A,SQLデータ!B1177)</f>
        <v>0</v>
      </c>
      <c r="R1177">
        <f>COUNTIF('一般職員　企業局→市長部局'!A:F,SQLデータ!B1177)</f>
        <v>0</v>
      </c>
    </row>
    <row r="1178" spans="1:18" x14ac:dyDescent="0.4">
      <c r="A1178" s="1">
        <v>202650000982</v>
      </c>
      <c r="B1178" s="1">
        <v>1041199</v>
      </c>
      <c r="C1178" s="2">
        <v>46115</v>
      </c>
      <c r="D1178" t="s">
        <v>17</v>
      </c>
      <c r="E1178" t="s">
        <v>11</v>
      </c>
      <c r="G1178" t="s">
        <v>9</v>
      </c>
      <c r="L1178">
        <f t="shared" si="91"/>
        <v>0</v>
      </c>
      <c r="M1178">
        <f t="shared" si="92"/>
        <v>0</v>
      </c>
      <c r="N1178">
        <f t="shared" si="93"/>
        <v>0</v>
      </c>
      <c r="O1178">
        <f t="shared" si="95"/>
        <v>1</v>
      </c>
      <c r="P1178" t="str">
        <f t="shared" si="94"/>
        <v/>
      </c>
      <c r="Q1178">
        <f>COUNTIF('責任職　企業局→市長部局'!A:A,SQLデータ!B1178)</f>
        <v>0</v>
      </c>
      <c r="R1178">
        <f>COUNTIF('一般職員　企業局→市長部局'!A:F,SQLデータ!B1178)</f>
        <v>0</v>
      </c>
    </row>
    <row r="1179" spans="1:18" x14ac:dyDescent="0.4">
      <c r="A1179" s="1">
        <v>202650000983</v>
      </c>
      <c r="B1179" s="1">
        <v>976056</v>
      </c>
      <c r="C1179" s="2">
        <v>46115</v>
      </c>
      <c r="D1179" t="s">
        <v>17</v>
      </c>
      <c r="E1179" t="s">
        <v>11</v>
      </c>
      <c r="G1179" t="s">
        <v>9</v>
      </c>
      <c r="L1179">
        <f t="shared" si="91"/>
        <v>0</v>
      </c>
      <c r="M1179">
        <f t="shared" si="92"/>
        <v>0</v>
      </c>
      <c r="N1179">
        <f t="shared" si="93"/>
        <v>0</v>
      </c>
      <c r="O1179">
        <f t="shared" si="95"/>
        <v>1</v>
      </c>
      <c r="P1179" t="str">
        <f t="shared" si="94"/>
        <v/>
      </c>
      <c r="Q1179">
        <f>COUNTIF('責任職　企業局→市長部局'!A:A,SQLデータ!B1179)</f>
        <v>0</v>
      </c>
      <c r="R1179">
        <f>COUNTIF('一般職員　企業局→市長部局'!A:F,SQLデータ!B1179)</f>
        <v>0</v>
      </c>
    </row>
    <row r="1180" spans="1:18" x14ac:dyDescent="0.4">
      <c r="A1180" s="1">
        <v>202650000984</v>
      </c>
      <c r="B1180" s="1">
        <v>1181462</v>
      </c>
      <c r="C1180" s="2">
        <v>46115</v>
      </c>
      <c r="D1180" t="s">
        <v>17</v>
      </c>
      <c r="E1180" t="s">
        <v>11</v>
      </c>
      <c r="G1180" t="s">
        <v>9</v>
      </c>
      <c r="L1180">
        <f t="shared" si="91"/>
        <v>0</v>
      </c>
      <c r="M1180">
        <f t="shared" si="92"/>
        <v>0</v>
      </c>
      <c r="N1180">
        <f t="shared" si="93"/>
        <v>0</v>
      </c>
      <c r="O1180">
        <f t="shared" si="95"/>
        <v>1</v>
      </c>
      <c r="P1180" t="str">
        <f t="shared" si="94"/>
        <v/>
      </c>
      <c r="Q1180">
        <f>COUNTIF('責任職　企業局→市長部局'!A:A,SQLデータ!B1180)</f>
        <v>0</v>
      </c>
      <c r="R1180">
        <f>COUNTIF('一般職員　企業局→市長部局'!A:F,SQLデータ!B1180)</f>
        <v>0</v>
      </c>
    </row>
    <row r="1181" spans="1:18" x14ac:dyDescent="0.4">
      <c r="A1181" s="1">
        <v>202650000985</v>
      </c>
      <c r="B1181" s="1">
        <v>1026015</v>
      </c>
      <c r="C1181" s="2">
        <v>46115</v>
      </c>
      <c r="D1181" t="s">
        <v>17</v>
      </c>
      <c r="E1181" t="s">
        <v>11</v>
      </c>
      <c r="G1181" t="s">
        <v>9</v>
      </c>
      <c r="L1181">
        <f t="shared" si="91"/>
        <v>0</v>
      </c>
      <c r="M1181">
        <f t="shared" si="92"/>
        <v>0</v>
      </c>
      <c r="N1181">
        <f t="shared" si="93"/>
        <v>0</v>
      </c>
      <c r="O1181">
        <f t="shared" si="95"/>
        <v>1</v>
      </c>
      <c r="P1181" t="str">
        <f t="shared" si="94"/>
        <v/>
      </c>
      <c r="Q1181">
        <f>COUNTIF('責任職　企業局→市長部局'!A:A,SQLデータ!B1181)</f>
        <v>0</v>
      </c>
      <c r="R1181">
        <f>COUNTIF('一般職員　企業局→市長部局'!A:F,SQLデータ!B1181)</f>
        <v>0</v>
      </c>
    </row>
    <row r="1182" spans="1:18" x14ac:dyDescent="0.4">
      <c r="A1182" s="1">
        <v>202650000986</v>
      </c>
      <c r="B1182" s="1">
        <v>910635</v>
      </c>
      <c r="C1182" s="2">
        <v>46115</v>
      </c>
      <c r="D1182" t="s">
        <v>17</v>
      </c>
      <c r="E1182" t="s">
        <v>11</v>
      </c>
      <c r="G1182" t="s">
        <v>9</v>
      </c>
      <c r="L1182">
        <f t="shared" si="91"/>
        <v>0</v>
      </c>
      <c r="M1182">
        <f t="shared" si="92"/>
        <v>0</v>
      </c>
      <c r="N1182">
        <f t="shared" si="93"/>
        <v>0</v>
      </c>
      <c r="O1182">
        <f t="shared" si="95"/>
        <v>1</v>
      </c>
      <c r="P1182" t="str">
        <f t="shared" si="94"/>
        <v/>
      </c>
      <c r="Q1182">
        <f>COUNTIF('責任職　企業局→市長部局'!A:A,SQLデータ!B1182)</f>
        <v>0</v>
      </c>
      <c r="R1182">
        <f>COUNTIF('一般職員　企業局→市長部局'!A:F,SQLデータ!B1182)</f>
        <v>0</v>
      </c>
    </row>
    <row r="1183" spans="1:18" x14ac:dyDescent="0.4">
      <c r="A1183" s="1">
        <v>202650000987</v>
      </c>
      <c r="B1183" s="1">
        <v>5027787</v>
      </c>
      <c r="C1183" s="2">
        <v>46115</v>
      </c>
      <c r="D1183" t="s">
        <v>17</v>
      </c>
      <c r="E1183" t="s">
        <v>11</v>
      </c>
      <c r="G1183" t="s">
        <v>9</v>
      </c>
      <c r="L1183">
        <f t="shared" si="91"/>
        <v>0</v>
      </c>
      <c r="M1183">
        <f t="shared" si="92"/>
        <v>0</v>
      </c>
      <c r="N1183">
        <f t="shared" si="93"/>
        <v>0</v>
      </c>
      <c r="O1183">
        <f t="shared" si="95"/>
        <v>1</v>
      </c>
      <c r="P1183" t="str">
        <f t="shared" si="94"/>
        <v/>
      </c>
      <c r="Q1183">
        <f>COUNTIF('責任職　企業局→市長部局'!A:A,SQLデータ!B1183)</f>
        <v>0</v>
      </c>
      <c r="R1183">
        <f>COUNTIF('一般職員　企業局→市長部局'!A:F,SQLデータ!B1183)</f>
        <v>0</v>
      </c>
    </row>
    <row r="1184" spans="1:18" x14ac:dyDescent="0.4">
      <c r="A1184" s="1">
        <v>202650000988</v>
      </c>
      <c r="B1184" s="1">
        <v>1006054</v>
      </c>
      <c r="C1184" s="2">
        <v>46115</v>
      </c>
      <c r="D1184" t="s">
        <v>17</v>
      </c>
      <c r="E1184" t="s">
        <v>11</v>
      </c>
      <c r="G1184" t="s">
        <v>9</v>
      </c>
      <c r="L1184">
        <f t="shared" si="91"/>
        <v>0</v>
      </c>
      <c r="M1184">
        <f t="shared" si="92"/>
        <v>0</v>
      </c>
      <c r="N1184">
        <f t="shared" si="93"/>
        <v>0</v>
      </c>
      <c r="O1184">
        <f t="shared" si="95"/>
        <v>1</v>
      </c>
      <c r="P1184" t="str">
        <f t="shared" si="94"/>
        <v/>
      </c>
      <c r="Q1184">
        <f>COUNTIF('責任職　企業局→市長部局'!A:A,SQLデータ!B1184)</f>
        <v>0</v>
      </c>
      <c r="R1184">
        <f>COUNTIF('一般職員　企業局→市長部局'!A:F,SQLデータ!B1184)</f>
        <v>0</v>
      </c>
    </row>
    <row r="1185" spans="1:18" x14ac:dyDescent="0.4">
      <c r="A1185" s="1">
        <v>202650000989</v>
      </c>
      <c r="B1185" s="1">
        <v>1162178</v>
      </c>
      <c r="C1185" s="2">
        <v>46115</v>
      </c>
      <c r="D1185" t="s">
        <v>17</v>
      </c>
      <c r="E1185" t="s">
        <v>10</v>
      </c>
      <c r="G1185" t="s">
        <v>9</v>
      </c>
      <c r="L1185">
        <f t="shared" si="91"/>
        <v>0</v>
      </c>
      <c r="M1185">
        <f t="shared" si="92"/>
        <v>0</v>
      </c>
      <c r="N1185">
        <f t="shared" si="93"/>
        <v>0</v>
      </c>
      <c r="O1185">
        <f t="shared" si="95"/>
        <v>1</v>
      </c>
      <c r="P1185" t="str">
        <f t="shared" si="94"/>
        <v/>
      </c>
      <c r="Q1185">
        <f>COUNTIF('責任職　企業局→市長部局'!A:A,SQLデータ!B1185)</f>
        <v>0</v>
      </c>
      <c r="R1185">
        <f>COUNTIF('一般職員　企業局→市長部局'!A:F,SQLデータ!B1185)</f>
        <v>0</v>
      </c>
    </row>
    <row r="1186" spans="1:18" x14ac:dyDescent="0.4">
      <c r="A1186" s="1">
        <v>202650000990</v>
      </c>
      <c r="B1186" s="1">
        <v>1166112</v>
      </c>
      <c r="C1186" s="2">
        <v>46115</v>
      </c>
      <c r="D1186" t="s">
        <v>17</v>
      </c>
      <c r="E1186" t="s">
        <v>10</v>
      </c>
      <c r="G1186" t="s">
        <v>9</v>
      </c>
      <c r="L1186">
        <f t="shared" si="91"/>
        <v>0</v>
      </c>
      <c r="M1186">
        <f t="shared" si="92"/>
        <v>0</v>
      </c>
      <c r="N1186">
        <f t="shared" si="93"/>
        <v>0</v>
      </c>
      <c r="O1186">
        <f t="shared" si="95"/>
        <v>1</v>
      </c>
      <c r="P1186" t="str">
        <f t="shared" si="94"/>
        <v/>
      </c>
      <c r="Q1186">
        <f>COUNTIF('責任職　企業局→市長部局'!A:A,SQLデータ!B1186)</f>
        <v>0</v>
      </c>
      <c r="R1186">
        <f>COUNTIF('一般職員　企業局→市長部局'!A:F,SQLデータ!B1186)</f>
        <v>0</v>
      </c>
    </row>
    <row r="1187" spans="1:18" x14ac:dyDescent="0.4">
      <c r="A1187" s="1">
        <v>202650000991</v>
      </c>
      <c r="B1187" s="1">
        <v>901050</v>
      </c>
      <c r="C1187" s="2">
        <v>46115</v>
      </c>
      <c r="D1187" t="s">
        <v>17</v>
      </c>
      <c r="E1187" t="s">
        <v>11</v>
      </c>
      <c r="G1187" t="s">
        <v>9</v>
      </c>
      <c r="L1187">
        <f t="shared" si="91"/>
        <v>0</v>
      </c>
      <c r="M1187">
        <f t="shared" si="92"/>
        <v>0</v>
      </c>
      <c r="N1187">
        <f t="shared" si="93"/>
        <v>0</v>
      </c>
      <c r="O1187">
        <f t="shared" si="95"/>
        <v>1</v>
      </c>
      <c r="P1187" t="str">
        <f t="shared" si="94"/>
        <v/>
      </c>
      <c r="Q1187">
        <f>COUNTIF('責任職　企業局→市長部局'!A:A,SQLデータ!B1187)</f>
        <v>0</v>
      </c>
      <c r="R1187">
        <f>COUNTIF('一般職員　企業局→市長部局'!A:F,SQLデータ!B1187)</f>
        <v>0</v>
      </c>
    </row>
    <row r="1188" spans="1:18" x14ac:dyDescent="0.4">
      <c r="A1188" s="1">
        <v>202650000992</v>
      </c>
      <c r="B1188" s="1">
        <v>1241294</v>
      </c>
      <c r="C1188" s="2">
        <v>46115</v>
      </c>
      <c r="D1188" t="s">
        <v>17</v>
      </c>
      <c r="E1188" t="s">
        <v>11</v>
      </c>
      <c r="F1188" t="s">
        <v>48</v>
      </c>
      <c r="G1188" t="s">
        <v>9</v>
      </c>
      <c r="L1188">
        <f t="shared" si="91"/>
        <v>0</v>
      </c>
      <c r="M1188">
        <f t="shared" si="92"/>
        <v>0</v>
      </c>
      <c r="N1188">
        <f t="shared" si="93"/>
        <v>0</v>
      </c>
      <c r="O1188">
        <f t="shared" si="95"/>
        <v>1</v>
      </c>
      <c r="P1188" t="str">
        <f t="shared" si="94"/>
        <v/>
      </c>
      <c r="Q1188">
        <f>COUNTIF('責任職　企業局→市長部局'!A:A,SQLデータ!B1188)</f>
        <v>0</v>
      </c>
      <c r="R1188">
        <f>COUNTIF('一般職員　企業局→市長部局'!A:F,SQLデータ!B1188)</f>
        <v>0</v>
      </c>
    </row>
    <row r="1189" spans="1:18" x14ac:dyDescent="0.4">
      <c r="A1189" s="1">
        <v>202650000993</v>
      </c>
      <c r="B1189" s="1">
        <v>1071051</v>
      </c>
      <c r="C1189" s="2">
        <v>46115</v>
      </c>
      <c r="D1189" t="s">
        <v>17</v>
      </c>
      <c r="E1189" t="s">
        <v>11</v>
      </c>
      <c r="G1189" t="s">
        <v>9</v>
      </c>
      <c r="L1189">
        <f t="shared" si="91"/>
        <v>0</v>
      </c>
      <c r="M1189">
        <f t="shared" si="92"/>
        <v>0</v>
      </c>
      <c r="N1189">
        <f t="shared" si="93"/>
        <v>0</v>
      </c>
      <c r="O1189">
        <f t="shared" si="95"/>
        <v>1</v>
      </c>
      <c r="P1189" t="str">
        <f t="shared" si="94"/>
        <v/>
      </c>
      <c r="Q1189">
        <f>COUNTIF('責任職　企業局→市長部局'!A:A,SQLデータ!B1189)</f>
        <v>0</v>
      </c>
      <c r="R1189">
        <f>COUNTIF('一般職員　企業局→市長部局'!A:F,SQLデータ!B1189)</f>
        <v>0</v>
      </c>
    </row>
    <row r="1190" spans="1:18" x14ac:dyDescent="0.4">
      <c r="A1190" s="1">
        <v>202650000994</v>
      </c>
      <c r="B1190" s="1">
        <v>1031123</v>
      </c>
      <c r="C1190" s="2">
        <v>46115</v>
      </c>
      <c r="D1190" t="s">
        <v>17</v>
      </c>
      <c r="E1190" t="s">
        <v>11</v>
      </c>
      <c r="G1190" t="s">
        <v>9</v>
      </c>
      <c r="L1190">
        <f t="shared" si="91"/>
        <v>0</v>
      </c>
      <c r="M1190">
        <f t="shared" si="92"/>
        <v>0</v>
      </c>
      <c r="N1190">
        <f t="shared" si="93"/>
        <v>0</v>
      </c>
      <c r="O1190">
        <f t="shared" si="95"/>
        <v>1</v>
      </c>
      <c r="P1190" t="str">
        <f t="shared" si="94"/>
        <v/>
      </c>
      <c r="Q1190">
        <f>COUNTIF('責任職　企業局→市長部局'!A:A,SQLデータ!B1190)</f>
        <v>0</v>
      </c>
      <c r="R1190">
        <f>COUNTIF('一般職員　企業局→市長部局'!A:F,SQLデータ!B1190)</f>
        <v>0</v>
      </c>
    </row>
    <row r="1191" spans="1:18" x14ac:dyDescent="0.4">
      <c r="A1191" s="1">
        <v>202650000995</v>
      </c>
      <c r="B1191" s="1">
        <v>1024090</v>
      </c>
      <c r="C1191" s="2">
        <v>46115</v>
      </c>
      <c r="D1191" t="s">
        <v>17</v>
      </c>
      <c r="E1191" t="s">
        <v>11</v>
      </c>
      <c r="G1191" t="s">
        <v>9</v>
      </c>
      <c r="L1191">
        <f t="shared" si="91"/>
        <v>0</v>
      </c>
      <c r="M1191">
        <f t="shared" si="92"/>
        <v>0</v>
      </c>
      <c r="N1191">
        <f t="shared" si="93"/>
        <v>0</v>
      </c>
      <c r="O1191">
        <f t="shared" si="95"/>
        <v>1</v>
      </c>
      <c r="P1191" t="str">
        <f t="shared" si="94"/>
        <v/>
      </c>
      <c r="Q1191">
        <f>COUNTIF('責任職　企業局→市長部局'!A:A,SQLデータ!B1191)</f>
        <v>0</v>
      </c>
      <c r="R1191">
        <f>COUNTIF('一般職員　企業局→市長部局'!A:F,SQLデータ!B1191)</f>
        <v>0</v>
      </c>
    </row>
    <row r="1192" spans="1:18" x14ac:dyDescent="0.4">
      <c r="A1192" s="1">
        <v>202650000996</v>
      </c>
      <c r="B1192" s="1">
        <v>1216143</v>
      </c>
      <c r="C1192" s="2">
        <v>46115</v>
      </c>
      <c r="D1192" t="s">
        <v>17</v>
      </c>
      <c r="E1192" t="s">
        <v>11</v>
      </c>
      <c r="G1192" t="s">
        <v>9</v>
      </c>
      <c r="L1192">
        <f t="shared" si="91"/>
        <v>0</v>
      </c>
      <c r="M1192">
        <f t="shared" si="92"/>
        <v>0</v>
      </c>
      <c r="N1192">
        <f t="shared" si="93"/>
        <v>0</v>
      </c>
      <c r="O1192">
        <f t="shared" si="95"/>
        <v>1</v>
      </c>
      <c r="P1192" t="str">
        <f t="shared" si="94"/>
        <v/>
      </c>
      <c r="Q1192">
        <f>COUNTIF('責任職　企業局→市長部局'!A:A,SQLデータ!B1192)</f>
        <v>0</v>
      </c>
      <c r="R1192">
        <f>COUNTIF('一般職員　企業局→市長部局'!A:F,SQLデータ!B1192)</f>
        <v>0</v>
      </c>
    </row>
    <row r="1193" spans="1:18" x14ac:dyDescent="0.4">
      <c r="A1193" s="1">
        <v>202650000997</v>
      </c>
      <c r="B1193" s="1">
        <v>1071013</v>
      </c>
      <c r="C1193" s="2">
        <v>46115</v>
      </c>
      <c r="D1193" t="s">
        <v>17</v>
      </c>
      <c r="E1193" t="s">
        <v>11</v>
      </c>
      <c r="G1193" t="s">
        <v>9</v>
      </c>
      <c r="L1193">
        <f t="shared" si="91"/>
        <v>0</v>
      </c>
      <c r="M1193">
        <f t="shared" si="92"/>
        <v>0</v>
      </c>
      <c r="N1193">
        <f t="shared" si="93"/>
        <v>0</v>
      </c>
      <c r="O1193">
        <f t="shared" si="95"/>
        <v>1</v>
      </c>
      <c r="P1193" t="str">
        <f t="shared" si="94"/>
        <v/>
      </c>
      <c r="Q1193">
        <f>COUNTIF('責任職　企業局→市長部局'!A:A,SQLデータ!B1193)</f>
        <v>0</v>
      </c>
      <c r="R1193">
        <f>COUNTIF('一般職員　企業局→市長部局'!A:F,SQLデータ!B1193)</f>
        <v>0</v>
      </c>
    </row>
    <row r="1194" spans="1:18" x14ac:dyDescent="0.4">
      <c r="A1194" s="1">
        <v>202650000998</v>
      </c>
      <c r="B1194" s="1">
        <v>910513</v>
      </c>
      <c r="C1194" s="2">
        <v>46115</v>
      </c>
      <c r="D1194" t="s">
        <v>17</v>
      </c>
      <c r="E1194" t="s">
        <v>11</v>
      </c>
      <c r="G1194" t="s">
        <v>9</v>
      </c>
      <c r="L1194">
        <f t="shared" si="91"/>
        <v>0</v>
      </c>
      <c r="M1194">
        <f t="shared" si="92"/>
        <v>0</v>
      </c>
      <c r="N1194">
        <f t="shared" si="93"/>
        <v>0</v>
      </c>
      <c r="O1194">
        <f t="shared" si="95"/>
        <v>1</v>
      </c>
      <c r="P1194" t="str">
        <f t="shared" si="94"/>
        <v/>
      </c>
      <c r="Q1194">
        <f>COUNTIF('責任職　企業局→市長部局'!A:A,SQLデータ!B1194)</f>
        <v>0</v>
      </c>
      <c r="R1194">
        <f>COUNTIF('一般職員　企業局→市長部局'!A:F,SQLデータ!B1194)</f>
        <v>0</v>
      </c>
    </row>
    <row r="1195" spans="1:18" x14ac:dyDescent="0.4">
      <c r="A1195" s="1">
        <v>202650000999</v>
      </c>
      <c r="B1195" s="1">
        <v>1171503</v>
      </c>
      <c r="C1195" s="2">
        <v>46115</v>
      </c>
      <c r="D1195" t="s">
        <v>17</v>
      </c>
      <c r="E1195" t="s">
        <v>10</v>
      </c>
      <c r="G1195" t="s">
        <v>9</v>
      </c>
      <c r="L1195">
        <f t="shared" si="91"/>
        <v>0</v>
      </c>
      <c r="M1195">
        <f t="shared" si="92"/>
        <v>0</v>
      </c>
      <c r="N1195">
        <f t="shared" si="93"/>
        <v>0</v>
      </c>
      <c r="O1195">
        <f t="shared" si="95"/>
        <v>1</v>
      </c>
      <c r="P1195" t="str">
        <f t="shared" si="94"/>
        <v/>
      </c>
      <c r="Q1195">
        <f>COUNTIF('責任職　企業局→市長部局'!A:A,SQLデータ!B1195)</f>
        <v>0</v>
      </c>
      <c r="R1195">
        <f>COUNTIF('一般職員　企業局→市長部局'!A:F,SQLデータ!B1195)</f>
        <v>0</v>
      </c>
    </row>
    <row r="1196" spans="1:18" x14ac:dyDescent="0.4">
      <c r="A1196" s="1">
        <v>202650001000</v>
      </c>
      <c r="B1196" s="1">
        <v>1051145</v>
      </c>
      <c r="C1196" s="2">
        <v>46115</v>
      </c>
      <c r="D1196" t="s">
        <v>17</v>
      </c>
      <c r="E1196" t="s">
        <v>10</v>
      </c>
      <c r="G1196" t="s">
        <v>9</v>
      </c>
      <c r="L1196">
        <f t="shared" si="91"/>
        <v>0</v>
      </c>
      <c r="M1196">
        <f t="shared" si="92"/>
        <v>0</v>
      </c>
      <c r="N1196">
        <f t="shared" si="93"/>
        <v>0</v>
      </c>
      <c r="O1196">
        <f t="shared" si="95"/>
        <v>1</v>
      </c>
      <c r="P1196" t="str">
        <f t="shared" si="94"/>
        <v/>
      </c>
      <c r="Q1196">
        <f>COUNTIF('責任職　企業局→市長部局'!A:A,SQLデータ!B1196)</f>
        <v>0</v>
      </c>
      <c r="R1196">
        <f>COUNTIF('一般職員　企業局→市長部局'!A:F,SQLデータ!B1196)</f>
        <v>0</v>
      </c>
    </row>
    <row r="1197" spans="1:18" x14ac:dyDescent="0.4">
      <c r="A1197" s="1">
        <v>202650001001</v>
      </c>
      <c r="B1197" s="1">
        <v>1111072</v>
      </c>
      <c r="C1197" s="2">
        <v>46115</v>
      </c>
      <c r="D1197" t="s">
        <v>17</v>
      </c>
      <c r="E1197" t="s">
        <v>10</v>
      </c>
      <c r="G1197" t="s">
        <v>9</v>
      </c>
      <c r="L1197">
        <f t="shared" si="91"/>
        <v>0</v>
      </c>
      <c r="M1197">
        <f t="shared" si="92"/>
        <v>0</v>
      </c>
      <c r="N1197">
        <f t="shared" si="93"/>
        <v>0</v>
      </c>
      <c r="O1197">
        <f t="shared" si="95"/>
        <v>1</v>
      </c>
      <c r="P1197" t="str">
        <f t="shared" si="94"/>
        <v/>
      </c>
      <c r="Q1197">
        <f>COUNTIF('責任職　企業局→市長部局'!A:A,SQLデータ!B1197)</f>
        <v>0</v>
      </c>
      <c r="R1197">
        <f>COUNTIF('一般職員　企業局→市長部局'!A:F,SQLデータ!B1197)</f>
        <v>0</v>
      </c>
    </row>
    <row r="1198" spans="1:18" x14ac:dyDescent="0.4">
      <c r="A1198" s="1">
        <v>202650001002</v>
      </c>
      <c r="B1198" s="1">
        <v>1051018</v>
      </c>
      <c r="C1198" s="2">
        <v>46115</v>
      </c>
      <c r="D1198" t="s">
        <v>17</v>
      </c>
      <c r="E1198" t="s">
        <v>10</v>
      </c>
      <c r="G1198" t="s">
        <v>9</v>
      </c>
      <c r="L1198">
        <f t="shared" si="91"/>
        <v>0</v>
      </c>
      <c r="M1198">
        <f t="shared" si="92"/>
        <v>0</v>
      </c>
      <c r="N1198">
        <f t="shared" si="93"/>
        <v>0</v>
      </c>
      <c r="O1198">
        <f t="shared" si="95"/>
        <v>1</v>
      </c>
      <c r="P1198" t="str">
        <f t="shared" si="94"/>
        <v/>
      </c>
      <c r="Q1198">
        <f>COUNTIF('責任職　企業局→市長部局'!A:A,SQLデータ!B1198)</f>
        <v>0</v>
      </c>
      <c r="R1198">
        <f>COUNTIF('一般職員　企業局→市長部局'!A:F,SQLデータ!B1198)</f>
        <v>0</v>
      </c>
    </row>
    <row r="1199" spans="1:18" x14ac:dyDescent="0.4">
      <c r="A1199" s="1">
        <v>202650001003</v>
      </c>
      <c r="B1199" s="1">
        <v>991165</v>
      </c>
      <c r="C1199" s="2">
        <v>46115</v>
      </c>
      <c r="D1199" t="s">
        <v>17</v>
      </c>
      <c r="E1199" t="s">
        <v>11</v>
      </c>
      <c r="G1199" t="s">
        <v>9</v>
      </c>
      <c r="L1199">
        <f t="shared" si="91"/>
        <v>0</v>
      </c>
      <c r="M1199">
        <f t="shared" si="92"/>
        <v>0</v>
      </c>
      <c r="N1199">
        <f t="shared" si="93"/>
        <v>0</v>
      </c>
      <c r="O1199">
        <f t="shared" si="95"/>
        <v>1</v>
      </c>
      <c r="P1199" t="str">
        <f t="shared" si="94"/>
        <v/>
      </c>
      <c r="Q1199">
        <f>COUNTIF('責任職　企業局→市長部局'!A:A,SQLデータ!B1199)</f>
        <v>0</v>
      </c>
      <c r="R1199">
        <f>COUNTIF('一般職員　企業局→市長部局'!A:F,SQLデータ!B1199)</f>
        <v>0</v>
      </c>
    </row>
    <row r="1200" spans="1:18" x14ac:dyDescent="0.4">
      <c r="A1200" s="1">
        <v>202650001004</v>
      </c>
      <c r="B1200" s="1">
        <v>1092069</v>
      </c>
      <c r="C1200" s="2">
        <v>46115</v>
      </c>
      <c r="D1200" t="s">
        <v>17</v>
      </c>
      <c r="E1200" t="s">
        <v>11</v>
      </c>
      <c r="G1200" t="s">
        <v>9</v>
      </c>
      <c r="L1200">
        <f t="shared" si="91"/>
        <v>0</v>
      </c>
      <c r="M1200">
        <f t="shared" si="92"/>
        <v>0</v>
      </c>
      <c r="N1200">
        <f t="shared" si="93"/>
        <v>0</v>
      </c>
      <c r="O1200">
        <f t="shared" si="95"/>
        <v>1</v>
      </c>
      <c r="P1200" t="str">
        <f t="shared" si="94"/>
        <v/>
      </c>
      <c r="Q1200">
        <f>COUNTIF('責任職　企業局→市長部局'!A:A,SQLデータ!B1200)</f>
        <v>0</v>
      </c>
      <c r="R1200">
        <f>COUNTIF('一般職員　企業局→市長部局'!A:F,SQLデータ!B1200)</f>
        <v>0</v>
      </c>
    </row>
    <row r="1201" spans="1:18" x14ac:dyDescent="0.4">
      <c r="A1201" s="1">
        <v>202650001005</v>
      </c>
      <c r="B1201" s="1">
        <v>1081008</v>
      </c>
      <c r="C1201" s="2">
        <v>46115</v>
      </c>
      <c r="D1201" t="s">
        <v>17</v>
      </c>
      <c r="E1201" t="s">
        <v>10</v>
      </c>
      <c r="G1201" t="s">
        <v>9</v>
      </c>
      <c r="L1201">
        <f t="shared" si="91"/>
        <v>0</v>
      </c>
      <c r="M1201">
        <f t="shared" si="92"/>
        <v>0</v>
      </c>
      <c r="N1201">
        <f t="shared" si="93"/>
        <v>0</v>
      </c>
      <c r="O1201">
        <f t="shared" si="95"/>
        <v>1</v>
      </c>
      <c r="P1201" t="str">
        <f t="shared" si="94"/>
        <v/>
      </c>
      <c r="Q1201">
        <f>COUNTIF('責任職　企業局→市長部局'!A:A,SQLデータ!B1201)</f>
        <v>0</v>
      </c>
      <c r="R1201">
        <f>COUNTIF('一般職員　企業局→市長部局'!A:F,SQLデータ!B1201)</f>
        <v>0</v>
      </c>
    </row>
    <row r="1202" spans="1:18" x14ac:dyDescent="0.4">
      <c r="A1202" s="1">
        <v>202650001006</v>
      </c>
      <c r="B1202" s="1">
        <v>971028</v>
      </c>
      <c r="C1202" s="2">
        <v>46115</v>
      </c>
      <c r="D1202" t="s">
        <v>17</v>
      </c>
      <c r="E1202" t="s">
        <v>10</v>
      </c>
      <c r="G1202" t="s">
        <v>9</v>
      </c>
      <c r="L1202">
        <f t="shared" si="91"/>
        <v>0</v>
      </c>
      <c r="M1202">
        <f t="shared" si="92"/>
        <v>0</v>
      </c>
      <c r="N1202">
        <f t="shared" si="93"/>
        <v>0</v>
      </c>
      <c r="O1202">
        <f t="shared" si="95"/>
        <v>1</v>
      </c>
      <c r="P1202" t="str">
        <f t="shared" si="94"/>
        <v/>
      </c>
      <c r="Q1202">
        <f>COUNTIF('責任職　企業局→市長部局'!A:A,SQLデータ!B1202)</f>
        <v>0</v>
      </c>
      <c r="R1202">
        <f>COUNTIF('一般職員　企業局→市長部局'!A:F,SQLデータ!B1202)</f>
        <v>0</v>
      </c>
    </row>
    <row r="1203" spans="1:18" x14ac:dyDescent="0.4">
      <c r="A1203" s="1">
        <v>202650001007</v>
      </c>
      <c r="B1203" s="1">
        <v>1256005</v>
      </c>
      <c r="C1203" s="2">
        <v>46115</v>
      </c>
      <c r="D1203" t="s">
        <v>17</v>
      </c>
      <c r="E1203" t="s">
        <v>8</v>
      </c>
      <c r="F1203" t="s">
        <v>47</v>
      </c>
      <c r="G1203" t="s">
        <v>9</v>
      </c>
      <c r="L1203">
        <f t="shared" si="91"/>
        <v>0</v>
      </c>
      <c r="M1203">
        <f t="shared" si="92"/>
        <v>0</v>
      </c>
      <c r="N1203">
        <f t="shared" si="93"/>
        <v>0</v>
      </c>
      <c r="O1203">
        <f t="shared" si="95"/>
        <v>1</v>
      </c>
      <c r="P1203" t="str">
        <f t="shared" si="94"/>
        <v/>
      </c>
      <c r="Q1203">
        <f>COUNTIF('責任職　企業局→市長部局'!A:A,SQLデータ!B1203)</f>
        <v>0</v>
      </c>
      <c r="R1203">
        <f>COUNTIF('一般職員　企業局→市長部局'!A:F,SQLデータ!B1203)</f>
        <v>0</v>
      </c>
    </row>
    <row r="1204" spans="1:18" x14ac:dyDescent="0.4">
      <c r="A1204" s="1">
        <v>202650001008</v>
      </c>
      <c r="B1204" s="1">
        <v>1083008</v>
      </c>
      <c r="C1204" s="2">
        <v>46115</v>
      </c>
      <c r="D1204" t="s">
        <v>17</v>
      </c>
      <c r="E1204" t="s">
        <v>10</v>
      </c>
      <c r="G1204" t="s">
        <v>9</v>
      </c>
      <c r="L1204">
        <f t="shared" si="91"/>
        <v>0</v>
      </c>
      <c r="M1204">
        <f t="shared" si="92"/>
        <v>0</v>
      </c>
      <c r="N1204">
        <f t="shared" si="93"/>
        <v>0</v>
      </c>
      <c r="O1204">
        <f t="shared" si="95"/>
        <v>1</v>
      </c>
      <c r="P1204" t="str">
        <f t="shared" si="94"/>
        <v/>
      </c>
      <c r="Q1204">
        <f>COUNTIF('責任職　企業局→市長部局'!A:A,SQLデータ!B1204)</f>
        <v>0</v>
      </c>
      <c r="R1204">
        <f>COUNTIF('一般職員　企業局→市長部局'!A:F,SQLデータ!B1204)</f>
        <v>0</v>
      </c>
    </row>
    <row r="1205" spans="1:18" x14ac:dyDescent="0.4">
      <c r="A1205" s="1">
        <v>202650001009</v>
      </c>
      <c r="B1205" s="1">
        <v>1254105</v>
      </c>
      <c r="C1205" s="2">
        <v>46115</v>
      </c>
      <c r="D1205" t="s">
        <v>17</v>
      </c>
      <c r="E1205" t="s">
        <v>10</v>
      </c>
      <c r="G1205" t="s">
        <v>9</v>
      </c>
      <c r="L1205">
        <f t="shared" si="91"/>
        <v>0</v>
      </c>
      <c r="M1205">
        <f t="shared" si="92"/>
        <v>0</v>
      </c>
      <c r="N1205">
        <f t="shared" si="93"/>
        <v>0</v>
      </c>
      <c r="O1205">
        <f t="shared" si="95"/>
        <v>1</v>
      </c>
      <c r="P1205" t="str">
        <f t="shared" si="94"/>
        <v/>
      </c>
      <c r="Q1205">
        <f>COUNTIF('責任職　企業局→市長部局'!A:A,SQLデータ!B1205)</f>
        <v>0</v>
      </c>
      <c r="R1205">
        <f>COUNTIF('一般職員　企業局→市長部局'!A:F,SQLデータ!B1205)</f>
        <v>0</v>
      </c>
    </row>
    <row r="1206" spans="1:18" x14ac:dyDescent="0.4">
      <c r="A1206" s="1">
        <v>202650001010</v>
      </c>
      <c r="B1206" s="1">
        <v>1011092</v>
      </c>
      <c r="C1206" s="2">
        <v>46115</v>
      </c>
      <c r="D1206" t="s">
        <v>17</v>
      </c>
      <c r="E1206" t="s">
        <v>10</v>
      </c>
      <c r="G1206" t="s">
        <v>9</v>
      </c>
      <c r="L1206">
        <f t="shared" si="91"/>
        <v>0</v>
      </c>
      <c r="M1206">
        <f t="shared" si="92"/>
        <v>0</v>
      </c>
      <c r="N1206">
        <f t="shared" si="93"/>
        <v>0</v>
      </c>
      <c r="O1206">
        <f t="shared" si="95"/>
        <v>1</v>
      </c>
      <c r="P1206" t="str">
        <f t="shared" si="94"/>
        <v/>
      </c>
      <c r="Q1206">
        <f>COUNTIF('責任職　企業局→市長部局'!A:A,SQLデータ!B1206)</f>
        <v>0</v>
      </c>
      <c r="R1206">
        <f>COUNTIF('一般職員　企業局→市長部局'!A:F,SQLデータ!B1206)</f>
        <v>0</v>
      </c>
    </row>
    <row r="1207" spans="1:18" x14ac:dyDescent="0.4">
      <c r="A1207" s="1">
        <v>202650001011</v>
      </c>
      <c r="B1207" s="1">
        <v>1122119</v>
      </c>
      <c r="C1207" s="2">
        <v>46115</v>
      </c>
      <c r="D1207" t="s">
        <v>17</v>
      </c>
      <c r="E1207" t="s">
        <v>11</v>
      </c>
      <c r="G1207" t="s">
        <v>9</v>
      </c>
      <c r="L1207">
        <f t="shared" si="91"/>
        <v>0</v>
      </c>
      <c r="M1207">
        <f t="shared" si="92"/>
        <v>0</v>
      </c>
      <c r="N1207">
        <f t="shared" si="93"/>
        <v>0</v>
      </c>
      <c r="O1207">
        <f t="shared" si="95"/>
        <v>1</v>
      </c>
      <c r="P1207" t="str">
        <f t="shared" si="94"/>
        <v/>
      </c>
      <c r="Q1207">
        <f>COUNTIF('責任職　企業局→市長部局'!A:A,SQLデータ!B1207)</f>
        <v>0</v>
      </c>
      <c r="R1207">
        <f>COUNTIF('一般職員　企業局→市長部局'!A:F,SQLデータ!B1207)</f>
        <v>0</v>
      </c>
    </row>
    <row r="1208" spans="1:18" x14ac:dyDescent="0.4">
      <c r="A1208" s="1">
        <v>202650001012</v>
      </c>
      <c r="B1208" s="1">
        <v>1081448</v>
      </c>
      <c r="C1208" s="2">
        <v>46115</v>
      </c>
      <c r="D1208" t="s">
        <v>17</v>
      </c>
      <c r="E1208" t="s">
        <v>10</v>
      </c>
      <c r="G1208" t="s">
        <v>9</v>
      </c>
      <c r="L1208">
        <f t="shared" si="91"/>
        <v>0</v>
      </c>
      <c r="M1208">
        <f t="shared" si="92"/>
        <v>0</v>
      </c>
      <c r="N1208">
        <f t="shared" si="93"/>
        <v>0</v>
      </c>
      <c r="O1208">
        <f t="shared" si="95"/>
        <v>1</v>
      </c>
      <c r="P1208" t="str">
        <f t="shared" si="94"/>
        <v/>
      </c>
      <c r="Q1208">
        <f>COUNTIF('責任職　企業局→市長部局'!A:A,SQLデータ!B1208)</f>
        <v>0</v>
      </c>
      <c r="R1208">
        <f>COUNTIF('一般職員　企業局→市長部局'!A:F,SQLデータ!B1208)</f>
        <v>0</v>
      </c>
    </row>
    <row r="1209" spans="1:18" x14ac:dyDescent="0.4">
      <c r="A1209" s="1">
        <v>202650001013</v>
      </c>
      <c r="B1209" s="1">
        <v>974051</v>
      </c>
      <c r="C1209" s="2">
        <v>46115</v>
      </c>
      <c r="D1209" t="s">
        <v>17</v>
      </c>
      <c r="E1209" t="s">
        <v>10</v>
      </c>
      <c r="G1209" t="s">
        <v>9</v>
      </c>
      <c r="L1209">
        <f t="shared" si="91"/>
        <v>0</v>
      </c>
      <c r="M1209">
        <f t="shared" si="92"/>
        <v>0</v>
      </c>
      <c r="N1209">
        <f t="shared" si="93"/>
        <v>0</v>
      </c>
      <c r="O1209">
        <f t="shared" si="95"/>
        <v>1</v>
      </c>
      <c r="P1209" t="str">
        <f t="shared" si="94"/>
        <v/>
      </c>
      <c r="Q1209">
        <f>COUNTIF('責任職　企業局→市長部局'!A:A,SQLデータ!B1209)</f>
        <v>0</v>
      </c>
      <c r="R1209">
        <f>COUNTIF('一般職員　企業局→市長部局'!A:F,SQLデータ!B1209)</f>
        <v>0</v>
      </c>
    </row>
    <row r="1210" spans="1:18" x14ac:dyDescent="0.4">
      <c r="A1210" s="1">
        <v>202650001014</v>
      </c>
      <c r="B1210" s="1">
        <v>1086001</v>
      </c>
      <c r="C1210" s="2">
        <v>46115</v>
      </c>
      <c r="D1210" t="s">
        <v>17</v>
      </c>
      <c r="E1210" t="s">
        <v>10</v>
      </c>
      <c r="G1210" t="s">
        <v>9</v>
      </c>
      <c r="L1210">
        <f t="shared" si="91"/>
        <v>0</v>
      </c>
      <c r="M1210">
        <f t="shared" si="92"/>
        <v>0</v>
      </c>
      <c r="N1210">
        <f t="shared" si="93"/>
        <v>0</v>
      </c>
      <c r="O1210">
        <f t="shared" si="95"/>
        <v>1</v>
      </c>
      <c r="P1210" t="str">
        <f t="shared" si="94"/>
        <v/>
      </c>
      <c r="Q1210">
        <f>COUNTIF('責任職　企業局→市長部局'!A:A,SQLデータ!B1210)</f>
        <v>0</v>
      </c>
      <c r="R1210">
        <f>COUNTIF('一般職員　企業局→市長部局'!A:F,SQLデータ!B1210)</f>
        <v>0</v>
      </c>
    </row>
    <row r="1211" spans="1:18" x14ac:dyDescent="0.4">
      <c r="A1211" s="1">
        <v>202650001015</v>
      </c>
      <c r="B1211" s="1">
        <v>1176108</v>
      </c>
      <c r="C1211" s="2">
        <v>46115</v>
      </c>
      <c r="D1211" t="s">
        <v>17</v>
      </c>
      <c r="E1211" t="s">
        <v>10</v>
      </c>
      <c r="G1211" t="s">
        <v>9</v>
      </c>
      <c r="L1211">
        <f t="shared" si="91"/>
        <v>0</v>
      </c>
      <c r="M1211">
        <f t="shared" si="92"/>
        <v>0</v>
      </c>
      <c r="N1211">
        <f t="shared" si="93"/>
        <v>0</v>
      </c>
      <c r="O1211">
        <f t="shared" si="95"/>
        <v>1</v>
      </c>
      <c r="P1211" t="str">
        <f t="shared" si="94"/>
        <v/>
      </c>
      <c r="Q1211">
        <f>COUNTIF('責任職　企業局→市長部局'!A:A,SQLデータ!B1211)</f>
        <v>0</v>
      </c>
      <c r="R1211">
        <f>COUNTIF('一般職員　企業局→市長部局'!A:F,SQLデータ!B1211)</f>
        <v>0</v>
      </c>
    </row>
    <row r="1212" spans="1:18" x14ac:dyDescent="0.4">
      <c r="A1212" s="1">
        <v>202650001016</v>
      </c>
      <c r="B1212" s="1">
        <v>1161195</v>
      </c>
      <c r="C1212" s="2">
        <v>46115</v>
      </c>
      <c r="D1212" t="s">
        <v>17</v>
      </c>
      <c r="E1212" t="s">
        <v>10</v>
      </c>
      <c r="G1212" t="s">
        <v>9</v>
      </c>
      <c r="L1212">
        <f t="shared" si="91"/>
        <v>0</v>
      </c>
      <c r="M1212">
        <f t="shared" si="92"/>
        <v>0</v>
      </c>
      <c r="N1212">
        <f t="shared" si="93"/>
        <v>0</v>
      </c>
      <c r="O1212">
        <f t="shared" si="95"/>
        <v>1</v>
      </c>
      <c r="P1212" t="str">
        <f t="shared" si="94"/>
        <v/>
      </c>
      <c r="Q1212">
        <f>COUNTIF('責任職　企業局→市長部局'!A:A,SQLデータ!B1212)</f>
        <v>0</v>
      </c>
      <c r="R1212">
        <f>COUNTIF('一般職員　企業局→市長部局'!A:F,SQLデータ!B1212)</f>
        <v>0</v>
      </c>
    </row>
    <row r="1213" spans="1:18" x14ac:dyDescent="0.4">
      <c r="A1213" s="1">
        <v>202650001017</v>
      </c>
      <c r="B1213" s="1">
        <v>1166062</v>
      </c>
      <c r="C1213" s="2">
        <v>46115</v>
      </c>
      <c r="D1213" t="s">
        <v>17</v>
      </c>
      <c r="E1213" t="s">
        <v>10</v>
      </c>
      <c r="G1213" t="s">
        <v>9</v>
      </c>
      <c r="L1213">
        <f t="shared" si="91"/>
        <v>0</v>
      </c>
      <c r="M1213">
        <f t="shared" si="92"/>
        <v>0</v>
      </c>
      <c r="N1213">
        <f t="shared" si="93"/>
        <v>0</v>
      </c>
      <c r="O1213">
        <f t="shared" si="95"/>
        <v>1</v>
      </c>
      <c r="P1213" t="str">
        <f t="shared" si="94"/>
        <v/>
      </c>
      <c r="Q1213">
        <f>COUNTIF('責任職　企業局→市長部局'!A:A,SQLデータ!B1213)</f>
        <v>0</v>
      </c>
      <c r="R1213">
        <f>COUNTIF('一般職員　企業局→市長部局'!A:F,SQLデータ!B1213)</f>
        <v>0</v>
      </c>
    </row>
    <row r="1214" spans="1:18" x14ac:dyDescent="0.4">
      <c r="A1214" s="1">
        <v>202650001018</v>
      </c>
      <c r="B1214" s="1">
        <v>1086105</v>
      </c>
      <c r="C1214" s="2">
        <v>46115</v>
      </c>
      <c r="D1214" t="s">
        <v>17</v>
      </c>
      <c r="E1214" t="s">
        <v>10</v>
      </c>
      <c r="G1214" t="s">
        <v>9</v>
      </c>
      <c r="L1214">
        <f t="shared" si="91"/>
        <v>0</v>
      </c>
      <c r="M1214">
        <f t="shared" si="92"/>
        <v>0</v>
      </c>
      <c r="N1214">
        <f t="shared" si="93"/>
        <v>0</v>
      </c>
      <c r="O1214">
        <f t="shared" si="95"/>
        <v>1</v>
      </c>
      <c r="P1214" t="str">
        <f t="shared" si="94"/>
        <v/>
      </c>
      <c r="Q1214">
        <f>COUNTIF('責任職　企業局→市長部局'!A:A,SQLデータ!B1214)</f>
        <v>0</v>
      </c>
      <c r="R1214">
        <f>COUNTIF('一般職員　企業局→市長部局'!A:F,SQLデータ!B1214)</f>
        <v>0</v>
      </c>
    </row>
    <row r="1215" spans="1:18" x14ac:dyDescent="0.4">
      <c r="A1215" s="1">
        <v>202650001019</v>
      </c>
      <c r="B1215" s="1">
        <v>930072</v>
      </c>
      <c r="C1215" s="2">
        <v>46115</v>
      </c>
      <c r="D1215" t="s">
        <v>17</v>
      </c>
      <c r="E1215" t="s">
        <v>10</v>
      </c>
      <c r="G1215" t="s">
        <v>9</v>
      </c>
      <c r="L1215">
        <f t="shared" si="91"/>
        <v>0</v>
      </c>
      <c r="M1215">
        <f t="shared" si="92"/>
        <v>0</v>
      </c>
      <c r="N1215">
        <f t="shared" si="93"/>
        <v>0</v>
      </c>
      <c r="O1215">
        <f t="shared" si="95"/>
        <v>1</v>
      </c>
      <c r="P1215" t="str">
        <f t="shared" si="94"/>
        <v/>
      </c>
      <c r="Q1215">
        <f>COUNTIF('責任職　企業局→市長部局'!A:A,SQLデータ!B1215)</f>
        <v>0</v>
      </c>
      <c r="R1215">
        <f>COUNTIF('一般職員　企業局→市長部局'!A:F,SQLデータ!B1215)</f>
        <v>0</v>
      </c>
    </row>
    <row r="1216" spans="1:18" x14ac:dyDescent="0.4">
      <c r="A1216" s="1">
        <v>202650001020</v>
      </c>
      <c r="B1216" s="1">
        <v>1116142</v>
      </c>
      <c r="C1216" s="2">
        <v>46115</v>
      </c>
      <c r="D1216" t="s">
        <v>17</v>
      </c>
      <c r="E1216" t="s">
        <v>10</v>
      </c>
      <c r="G1216" t="s">
        <v>9</v>
      </c>
      <c r="L1216">
        <f t="shared" si="91"/>
        <v>0</v>
      </c>
      <c r="M1216">
        <f t="shared" si="92"/>
        <v>0</v>
      </c>
      <c r="N1216">
        <f t="shared" si="93"/>
        <v>0</v>
      </c>
      <c r="O1216">
        <f t="shared" si="95"/>
        <v>1</v>
      </c>
      <c r="P1216" t="str">
        <f t="shared" si="94"/>
        <v/>
      </c>
      <c r="Q1216">
        <f>COUNTIF('責任職　企業局→市長部局'!A:A,SQLデータ!B1216)</f>
        <v>0</v>
      </c>
      <c r="R1216">
        <f>COUNTIF('一般職員　企業局→市長部局'!A:F,SQLデータ!B1216)</f>
        <v>0</v>
      </c>
    </row>
    <row r="1217" spans="1:18" x14ac:dyDescent="0.4">
      <c r="A1217" s="1">
        <v>202650001021</v>
      </c>
      <c r="B1217" s="1">
        <v>1101519</v>
      </c>
      <c r="C1217" s="2">
        <v>46115</v>
      </c>
      <c r="D1217" t="s">
        <v>17</v>
      </c>
      <c r="E1217" t="s">
        <v>10</v>
      </c>
      <c r="G1217" t="s">
        <v>9</v>
      </c>
      <c r="L1217">
        <f t="shared" si="91"/>
        <v>0</v>
      </c>
      <c r="M1217">
        <f t="shared" si="92"/>
        <v>0</v>
      </c>
      <c r="N1217">
        <f t="shared" si="93"/>
        <v>0</v>
      </c>
      <c r="O1217">
        <f t="shared" si="95"/>
        <v>1</v>
      </c>
      <c r="P1217" t="str">
        <f t="shared" si="94"/>
        <v/>
      </c>
      <c r="Q1217">
        <f>COUNTIF('責任職　企業局→市長部局'!A:A,SQLデータ!B1217)</f>
        <v>0</v>
      </c>
      <c r="R1217">
        <f>COUNTIF('一般職員　企業局→市長部局'!A:F,SQLデータ!B1217)</f>
        <v>0</v>
      </c>
    </row>
    <row r="1218" spans="1:18" x14ac:dyDescent="0.4">
      <c r="A1218" s="1">
        <v>202650001022</v>
      </c>
      <c r="B1218" s="1">
        <v>981041</v>
      </c>
      <c r="C1218" s="2">
        <v>46115</v>
      </c>
      <c r="D1218" t="s">
        <v>17</v>
      </c>
      <c r="E1218" t="s">
        <v>10</v>
      </c>
      <c r="G1218" t="s">
        <v>9</v>
      </c>
      <c r="L1218">
        <f t="shared" ref="L1218:L1281" si="96">IF(ISBLANK(J1218),0,1)</f>
        <v>0</v>
      </c>
      <c r="M1218">
        <f t="shared" ref="M1218:M1281" si="97">IF(AND(L1218=0,I1218&lt;&gt;""),1,0)</f>
        <v>0</v>
      </c>
      <c r="N1218">
        <f t="shared" ref="N1218:N1281" si="98">IF(AND(L1218=0,M1218=0,K1218&lt;&gt;""),1,0)</f>
        <v>0</v>
      </c>
      <c r="O1218">
        <f t="shared" si="95"/>
        <v>1</v>
      </c>
      <c r="P1218" t="str">
        <f t="shared" ref="P1218:P1281" si="99">IF(D1218&lt;&gt;"扶養","",IF(E1218&lt;&gt;"確認待ち",1,IF(OR(AND(G1218="本人の結婚",O1218=1),AND(H1218="減",OR(N1218=1,O1218=1))),1,0)))</f>
        <v/>
      </c>
      <c r="Q1218">
        <f>COUNTIF('責任職　企業局→市長部局'!A:A,SQLデータ!B1218)</f>
        <v>0</v>
      </c>
      <c r="R1218">
        <f>COUNTIF('一般職員　企業局→市長部局'!A:F,SQLデータ!B1218)</f>
        <v>0</v>
      </c>
    </row>
    <row r="1219" spans="1:18" x14ac:dyDescent="0.4">
      <c r="A1219" s="1">
        <v>202650001023</v>
      </c>
      <c r="B1219" s="1">
        <v>1061049</v>
      </c>
      <c r="C1219" s="2">
        <v>46115</v>
      </c>
      <c r="D1219" t="s">
        <v>17</v>
      </c>
      <c r="E1219" t="s">
        <v>10</v>
      </c>
      <c r="G1219" t="s">
        <v>9</v>
      </c>
      <c r="L1219">
        <f t="shared" si="96"/>
        <v>0</v>
      </c>
      <c r="M1219">
        <f t="shared" si="97"/>
        <v>0</v>
      </c>
      <c r="N1219">
        <f t="shared" si="98"/>
        <v>0</v>
      </c>
      <c r="O1219">
        <f t="shared" si="95"/>
        <v>1</v>
      </c>
      <c r="P1219" t="str">
        <f t="shared" si="99"/>
        <v/>
      </c>
      <c r="Q1219">
        <f>COUNTIF('責任職　企業局→市長部局'!A:A,SQLデータ!B1219)</f>
        <v>0</v>
      </c>
      <c r="R1219">
        <f>COUNTIF('一般職員　企業局→市長部局'!A:F,SQLデータ!B1219)</f>
        <v>0</v>
      </c>
    </row>
    <row r="1220" spans="1:18" x14ac:dyDescent="0.4">
      <c r="A1220" s="1">
        <v>202650001024</v>
      </c>
      <c r="B1220" s="1">
        <v>1196002</v>
      </c>
      <c r="C1220" s="2">
        <v>46115</v>
      </c>
      <c r="D1220" t="s">
        <v>17</v>
      </c>
      <c r="E1220" t="s">
        <v>10</v>
      </c>
      <c r="G1220" t="s">
        <v>9</v>
      </c>
      <c r="L1220">
        <f t="shared" si="96"/>
        <v>0</v>
      </c>
      <c r="M1220">
        <f t="shared" si="97"/>
        <v>0</v>
      </c>
      <c r="N1220">
        <f t="shared" si="98"/>
        <v>0</v>
      </c>
      <c r="O1220">
        <f t="shared" si="95"/>
        <v>1</v>
      </c>
      <c r="P1220" t="str">
        <f t="shared" si="99"/>
        <v/>
      </c>
      <c r="Q1220">
        <f>COUNTIF('責任職　企業局→市長部局'!A:A,SQLデータ!B1220)</f>
        <v>0</v>
      </c>
      <c r="R1220">
        <f>COUNTIF('一般職員　企業局→市長部局'!A:F,SQLデータ!B1220)</f>
        <v>0</v>
      </c>
    </row>
    <row r="1221" spans="1:18" x14ac:dyDescent="0.4">
      <c r="A1221" s="1">
        <v>202650001025</v>
      </c>
      <c r="B1221" s="1">
        <v>1256069</v>
      </c>
      <c r="C1221" s="2">
        <v>46115</v>
      </c>
      <c r="D1221" t="s">
        <v>17</v>
      </c>
      <c r="E1221" t="s">
        <v>10</v>
      </c>
      <c r="G1221" t="s">
        <v>9</v>
      </c>
      <c r="L1221">
        <f t="shared" si="96"/>
        <v>0</v>
      </c>
      <c r="M1221">
        <f t="shared" si="97"/>
        <v>0</v>
      </c>
      <c r="N1221">
        <f t="shared" si="98"/>
        <v>0</v>
      </c>
      <c r="O1221">
        <f t="shared" si="95"/>
        <v>1</v>
      </c>
      <c r="P1221" t="str">
        <f t="shared" si="99"/>
        <v/>
      </c>
      <c r="Q1221">
        <f>COUNTIF('責任職　企業局→市長部局'!A:A,SQLデータ!B1221)</f>
        <v>0</v>
      </c>
      <c r="R1221">
        <f>COUNTIF('一般職員　企業局→市長部局'!A:F,SQLデータ!B1221)</f>
        <v>0</v>
      </c>
    </row>
    <row r="1222" spans="1:18" x14ac:dyDescent="0.4">
      <c r="A1222" s="1">
        <v>202650001026</v>
      </c>
      <c r="B1222" s="1">
        <v>930408</v>
      </c>
      <c r="C1222" s="2">
        <v>46121</v>
      </c>
      <c r="D1222" t="s">
        <v>17</v>
      </c>
      <c r="E1222" t="s">
        <v>10</v>
      </c>
      <c r="G1222" t="s">
        <v>9</v>
      </c>
      <c r="L1222">
        <f t="shared" si="96"/>
        <v>0</v>
      </c>
      <c r="M1222">
        <f t="shared" si="97"/>
        <v>0</v>
      </c>
      <c r="N1222">
        <f t="shared" si="98"/>
        <v>0</v>
      </c>
      <c r="O1222">
        <f t="shared" si="95"/>
        <v>1</v>
      </c>
      <c r="P1222" t="str">
        <f t="shared" si="99"/>
        <v/>
      </c>
      <c r="Q1222">
        <f>COUNTIF('責任職　企業局→市長部局'!A:A,SQLデータ!B1222)</f>
        <v>0</v>
      </c>
      <c r="R1222">
        <f>COUNTIF('一般職員　企業局→市長部局'!A:F,SQLデータ!B1222)</f>
        <v>0</v>
      </c>
    </row>
    <row r="1223" spans="1:18" x14ac:dyDescent="0.4">
      <c r="A1223" s="1">
        <v>202650001027</v>
      </c>
      <c r="B1223" s="1">
        <v>1041156</v>
      </c>
      <c r="C1223" s="2">
        <v>46115</v>
      </c>
      <c r="D1223" t="s">
        <v>17</v>
      </c>
      <c r="E1223" t="s">
        <v>10</v>
      </c>
      <c r="G1223" t="s">
        <v>9</v>
      </c>
      <c r="L1223">
        <f t="shared" si="96"/>
        <v>0</v>
      </c>
      <c r="M1223">
        <f t="shared" si="97"/>
        <v>0</v>
      </c>
      <c r="N1223">
        <f t="shared" si="98"/>
        <v>0</v>
      </c>
      <c r="O1223">
        <f t="shared" si="95"/>
        <v>1</v>
      </c>
      <c r="P1223" t="str">
        <f t="shared" si="99"/>
        <v/>
      </c>
      <c r="Q1223">
        <f>COUNTIF('責任職　企業局→市長部局'!A:A,SQLデータ!B1223)</f>
        <v>0</v>
      </c>
      <c r="R1223">
        <f>COUNTIF('一般職員　企業局→市長部局'!A:F,SQLデータ!B1223)</f>
        <v>0</v>
      </c>
    </row>
    <row r="1224" spans="1:18" x14ac:dyDescent="0.4">
      <c r="A1224" s="1">
        <v>202650001028</v>
      </c>
      <c r="B1224" s="1">
        <v>1096021</v>
      </c>
      <c r="C1224" s="2">
        <v>46115</v>
      </c>
      <c r="D1224" t="s">
        <v>17</v>
      </c>
      <c r="E1224" t="s">
        <v>10</v>
      </c>
      <c r="G1224" t="s">
        <v>9</v>
      </c>
      <c r="L1224">
        <f t="shared" si="96"/>
        <v>0</v>
      </c>
      <c r="M1224">
        <f t="shared" si="97"/>
        <v>0</v>
      </c>
      <c r="N1224">
        <f t="shared" si="98"/>
        <v>0</v>
      </c>
      <c r="O1224">
        <f t="shared" si="95"/>
        <v>1</v>
      </c>
      <c r="P1224" t="str">
        <f t="shared" si="99"/>
        <v/>
      </c>
      <c r="Q1224">
        <f>COUNTIF('責任職　企業局→市長部局'!A:A,SQLデータ!B1224)</f>
        <v>0</v>
      </c>
      <c r="R1224">
        <f>COUNTIF('一般職員　企業局→市長部局'!A:F,SQLデータ!B1224)</f>
        <v>0</v>
      </c>
    </row>
    <row r="1225" spans="1:18" x14ac:dyDescent="0.4">
      <c r="A1225" s="1">
        <v>202650001029</v>
      </c>
      <c r="B1225" s="1">
        <v>1141069</v>
      </c>
      <c r="C1225" s="2">
        <v>46115</v>
      </c>
      <c r="D1225" t="s">
        <v>17</v>
      </c>
      <c r="E1225" t="s">
        <v>10</v>
      </c>
      <c r="G1225" t="s">
        <v>9</v>
      </c>
      <c r="L1225">
        <f t="shared" si="96"/>
        <v>0</v>
      </c>
      <c r="M1225">
        <f t="shared" si="97"/>
        <v>0</v>
      </c>
      <c r="N1225">
        <f t="shared" si="98"/>
        <v>0</v>
      </c>
      <c r="O1225">
        <f t="shared" ref="O1225:O1288" si="100">IF(COUNTIF(L1225:N1225,0)=3,1,0)</f>
        <v>1</v>
      </c>
      <c r="P1225" t="str">
        <f t="shared" si="99"/>
        <v/>
      </c>
      <c r="Q1225">
        <f>COUNTIF('責任職　企業局→市長部局'!A:A,SQLデータ!B1225)</f>
        <v>0</v>
      </c>
      <c r="R1225">
        <f>COUNTIF('一般職員　企業局→市長部局'!A:F,SQLデータ!B1225)</f>
        <v>0</v>
      </c>
    </row>
    <row r="1226" spans="1:18" x14ac:dyDescent="0.4">
      <c r="A1226" s="1">
        <v>202650001030</v>
      </c>
      <c r="B1226" s="1">
        <v>1161003</v>
      </c>
      <c r="C1226" s="2">
        <v>46115</v>
      </c>
      <c r="D1226" t="s">
        <v>17</v>
      </c>
      <c r="E1226" t="s">
        <v>10</v>
      </c>
      <c r="G1226" t="s">
        <v>9</v>
      </c>
      <c r="L1226">
        <f t="shared" si="96"/>
        <v>0</v>
      </c>
      <c r="M1226">
        <f t="shared" si="97"/>
        <v>0</v>
      </c>
      <c r="N1226">
        <f t="shared" si="98"/>
        <v>0</v>
      </c>
      <c r="O1226">
        <f t="shared" si="100"/>
        <v>1</v>
      </c>
      <c r="P1226" t="str">
        <f t="shared" si="99"/>
        <v/>
      </c>
      <c r="Q1226">
        <f>COUNTIF('責任職　企業局→市長部局'!A:A,SQLデータ!B1226)</f>
        <v>0</v>
      </c>
      <c r="R1226">
        <f>COUNTIF('一般職員　企業局→市長部局'!A:F,SQLデータ!B1226)</f>
        <v>0</v>
      </c>
    </row>
    <row r="1227" spans="1:18" x14ac:dyDescent="0.4">
      <c r="A1227" s="1">
        <v>202650001031</v>
      </c>
      <c r="B1227" s="1">
        <v>1092060</v>
      </c>
      <c r="C1227" s="2">
        <v>46115</v>
      </c>
      <c r="D1227" t="s">
        <v>17</v>
      </c>
      <c r="E1227" t="s">
        <v>10</v>
      </c>
      <c r="G1227" t="s">
        <v>9</v>
      </c>
      <c r="L1227">
        <f t="shared" si="96"/>
        <v>0</v>
      </c>
      <c r="M1227">
        <f t="shared" si="97"/>
        <v>0</v>
      </c>
      <c r="N1227">
        <f t="shared" si="98"/>
        <v>0</v>
      </c>
      <c r="O1227">
        <f t="shared" si="100"/>
        <v>1</v>
      </c>
      <c r="P1227" t="str">
        <f t="shared" si="99"/>
        <v/>
      </c>
      <c r="Q1227">
        <f>COUNTIF('責任職　企業局→市長部局'!A:A,SQLデータ!B1227)</f>
        <v>0</v>
      </c>
      <c r="R1227">
        <f>COUNTIF('一般職員　企業局→市長部局'!A:F,SQLデータ!B1227)</f>
        <v>0</v>
      </c>
    </row>
    <row r="1228" spans="1:18" x14ac:dyDescent="0.4">
      <c r="A1228" s="1">
        <v>202650001032</v>
      </c>
      <c r="B1228" s="1">
        <v>1216013</v>
      </c>
      <c r="C1228" s="2">
        <v>46115</v>
      </c>
      <c r="D1228" t="s">
        <v>17</v>
      </c>
      <c r="E1228" t="s">
        <v>10</v>
      </c>
      <c r="G1228" t="s">
        <v>9</v>
      </c>
      <c r="L1228">
        <f t="shared" si="96"/>
        <v>0</v>
      </c>
      <c r="M1228">
        <f t="shared" si="97"/>
        <v>0</v>
      </c>
      <c r="N1228">
        <f t="shared" si="98"/>
        <v>0</v>
      </c>
      <c r="O1228">
        <f t="shared" si="100"/>
        <v>1</v>
      </c>
      <c r="P1228" t="str">
        <f t="shared" si="99"/>
        <v/>
      </c>
      <c r="Q1228">
        <f>COUNTIF('責任職　企業局→市長部局'!A:A,SQLデータ!B1228)</f>
        <v>0</v>
      </c>
      <c r="R1228">
        <f>COUNTIF('一般職員　企業局→市長部局'!A:F,SQLデータ!B1228)</f>
        <v>0</v>
      </c>
    </row>
    <row r="1229" spans="1:18" x14ac:dyDescent="0.4">
      <c r="A1229" s="1">
        <v>202650001033</v>
      </c>
      <c r="B1229" s="1">
        <v>1181497</v>
      </c>
      <c r="C1229" s="2">
        <v>46115</v>
      </c>
      <c r="D1229" t="s">
        <v>17</v>
      </c>
      <c r="E1229" t="s">
        <v>10</v>
      </c>
      <c r="G1229" t="s">
        <v>9</v>
      </c>
      <c r="L1229">
        <f t="shared" si="96"/>
        <v>0</v>
      </c>
      <c r="M1229">
        <f t="shared" si="97"/>
        <v>0</v>
      </c>
      <c r="N1229">
        <f t="shared" si="98"/>
        <v>0</v>
      </c>
      <c r="O1229">
        <f t="shared" si="100"/>
        <v>1</v>
      </c>
      <c r="P1229" t="str">
        <f t="shared" si="99"/>
        <v/>
      </c>
      <c r="Q1229">
        <f>COUNTIF('責任職　企業局→市長部局'!A:A,SQLデータ!B1229)</f>
        <v>0</v>
      </c>
      <c r="R1229">
        <f>COUNTIF('一般職員　企業局→市長部局'!A:F,SQLデータ!B1229)</f>
        <v>0</v>
      </c>
    </row>
    <row r="1230" spans="1:18" x14ac:dyDescent="0.4">
      <c r="A1230" s="1">
        <v>202650001034</v>
      </c>
      <c r="B1230" s="1">
        <v>1233018</v>
      </c>
      <c r="C1230" s="2">
        <v>46115</v>
      </c>
      <c r="D1230" t="s">
        <v>17</v>
      </c>
      <c r="E1230" t="s">
        <v>10</v>
      </c>
      <c r="G1230" t="s">
        <v>9</v>
      </c>
      <c r="L1230">
        <f t="shared" si="96"/>
        <v>0</v>
      </c>
      <c r="M1230">
        <f t="shared" si="97"/>
        <v>0</v>
      </c>
      <c r="N1230">
        <f t="shared" si="98"/>
        <v>0</v>
      </c>
      <c r="O1230">
        <f t="shared" si="100"/>
        <v>1</v>
      </c>
      <c r="P1230" t="str">
        <f t="shared" si="99"/>
        <v/>
      </c>
      <c r="Q1230">
        <f>COUNTIF('責任職　企業局→市長部局'!A:A,SQLデータ!B1230)</f>
        <v>0</v>
      </c>
      <c r="R1230">
        <f>COUNTIF('一般職員　企業局→市長部局'!A:F,SQLデータ!B1230)</f>
        <v>0</v>
      </c>
    </row>
    <row r="1231" spans="1:18" x14ac:dyDescent="0.4">
      <c r="A1231" s="1">
        <v>202650001035</v>
      </c>
      <c r="B1231" s="1">
        <v>1081156</v>
      </c>
      <c r="C1231" s="2">
        <v>46115</v>
      </c>
      <c r="D1231" t="s">
        <v>17</v>
      </c>
      <c r="E1231" t="s">
        <v>10</v>
      </c>
      <c r="G1231" t="s">
        <v>9</v>
      </c>
      <c r="L1231">
        <f t="shared" si="96"/>
        <v>0</v>
      </c>
      <c r="M1231">
        <f t="shared" si="97"/>
        <v>0</v>
      </c>
      <c r="N1231">
        <f t="shared" si="98"/>
        <v>0</v>
      </c>
      <c r="O1231">
        <f t="shared" si="100"/>
        <v>1</v>
      </c>
      <c r="P1231" t="str">
        <f t="shared" si="99"/>
        <v/>
      </c>
      <c r="Q1231">
        <f>COUNTIF('責任職　企業局→市長部局'!A:A,SQLデータ!B1231)</f>
        <v>0</v>
      </c>
      <c r="R1231">
        <f>COUNTIF('一般職員　企業局→市長部局'!A:F,SQLデータ!B1231)</f>
        <v>0</v>
      </c>
    </row>
    <row r="1232" spans="1:18" x14ac:dyDescent="0.4">
      <c r="A1232" s="1">
        <v>202650001036</v>
      </c>
      <c r="B1232" s="1">
        <v>1251208</v>
      </c>
      <c r="C1232" s="2">
        <v>46115</v>
      </c>
      <c r="D1232" t="s">
        <v>17</v>
      </c>
      <c r="E1232" t="s">
        <v>10</v>
      </c>
      <c r="G1232" t="s">
        <v>9</v>
      </c>
      <c r="L1232">
        <f t="shared" si="96"/>
        <v>0</v>
      </c>
      <c r="M1232">
        <f t="shared" si="97"/>
        <v>0</v>
      </c>
      <c r="N1232">
        <f t="shared" si="98"/>
        <v>0</v>
      </c>
      <c r="O1232">
        <f t="shared" si="100"/>
        <v>1</v>
      </c>
      <c r="P1232" t="str">
        <f t="shared" si="99"/>
        <v/>
      </c>
      <c r="Q1232">
        <f>COUNTIF('責任職　企業局→市長部局'!A:A,SQLデータ!B1232)</f>
        <v>0</v>
      </c>
      <c r="R1232">
        <f>COUNTIF('一般職員　企業局→市長部局'!A:F,SQLデータ!B1232)</f>
        <v>0</v>
      </c>
    </row>
    <row r="1233" spans="1:18" x14ac:dyDescent="0.4">
      <c r="A1233" s="1">
        <v>202650001037</v>
      </c>
      <c r="B1233" s="1">
        <v>1131484</v>
      </c>
      <c r="C1233" s="2">
        <v>46115</v>
      </c>
      <c r="D1233" t="s">
        <v>17</v>
      </c>
      <c r="E1233" t="s">
        <v>10</v>
      </c>
      <c r="G1233" t="s">
        <v>9</v>
      </c>
      <c r="L1233">
        <f t="shared" si="96"/>
        <v>0</v>
      </c>
      <c r="M1233">
        <f t="shared" si="97"/>
        <v>0</v>
      </c>
      <c r="N1233">
        <f t="shared" si="98"/>
        <v>0</v>
      </c>
      <c r="O1233">
        <f t="shared" si="100"/>
        <v>1</v>
      </c>
      <c r="P1233" t="str">
        <f t="shared" si="99"/>
        <v/>
      </c>
      <c r="Q1233">
        <f>COUNTIF('責任職　企業局→市長部局'!A:A,SQLデータ!B1233)</f>
        <v>0</v>
      </c>
      <c r="R1233">
        <f>COUNTIF('一般職員　企業局→市長部局'!A:F,SQLデータ!B1233)</f>
        <v>0</v>
      </c>
    </row>
    <row r="1234" spans="1:18" x14ac:dyDescent="0.4">
      <c r="A1234" s="1">
        <v>202650001038</v>
      </c>
      <c r="B1234" s="1">
        <v>1096120</v>
      </c>
      <c r="C1234" s="2">
        <v>46115</v>
      </c>
      <c r="D1234" t="s">
        <v>17</v>
      </c>
      <c r="E1234" t="s">
        <v>11</v>
      </c>
      <c r="G1234" t="s">
        <v>9</v>
      </c>
      <c r="L1234">
        <f t="shared" si="96"/>
        <v>0</v>
      </c>
      <c r="M1234">
        <f t="shared" si="97"/>
        <v>0</v>
      </c>
      <c r="N1234">
        <f t="shared" si="98"/>
        <v>0</v>
      </c>
      <c r="O1234">
        <f t="shared" si="100"/>
        <v>1</v>
      </c>
      <c r="P1234" t="str">
        <f t="shared" si="99"/>
        <v/>
      </c>
      <c r="Q1234">
        <f>COUNTIF('責任職　企業局→市長部局'!A:A,SQLデータ!B1234)</f>
        <v>0</v>
      </c>
      <c r="R1234">
        <f>COUNTIF('一般職員　企業局→市長部局'!A:F,SQLデータ!B1234)</f>
        <v>0</v>
      </c>
    </row>
    <row r="1235" spans="1:18" x14ac:dyDescent="0.4">
      <c r="A1235" s="1">
        <v>202650001039</v>
      </c>
      <c r="B1235" s="1">
        <v>1216043</v>
      </c>
      <c r="C1235" s="2">
        <v>46115</v>
      </c>
      <c r="D1235" t="s">
        <v>17</v>
      </c>
      <c r="E1235" t="s">
        <v>11</v>
      </c>
      <c r="F1235" t="s">
        <v>48</v>
      </c>
      <c r="G1235" t="s">
        <v>9</v>
      </c>
      <c r="L1235">
        <f t="shared" si="96"/>
        <v>0</v>
      </c>
      <c r="M1235">
        <f t="shared" si="97"/>
        <v>0</v>
      </c>
      <c r="N1235">
        <f t="shared" si="98"/>
        <v>0</v>
      </c>
      <c r="O1235">
        <f t="shared" si="100"/>
        <v>1</v>
      </c>
      <c r="P1235" t="str">
        <f t="shared" si="99"/>
        <v/>
      </c>
      <c r="Q1235">
        <f>COUNTIF('責任職　企業局→市長部局'!A:A,SQLデータ!B1235)</f>
        <v>0</v>
      </c>
      <c r="R1235">
        <f>COUNTIF('一般職員　企業局→市長部局'!A:F,SQLデータ!B1235)</f>
        <v>0</v>
      </c>
    </row>
    <row r="1236" spans="1:18" x14ac:dyDescent="0.4">
      <c r="A1236" s="1">
        <v>202650001041</v>
      </c>
      <c r="B1236" s="1">
        <v>1106052</v>
      </c>
      <c r="C1236" s="2">
        <v>46115</v>
      </c>
      <c r="D1236" t="s">
        <v>17</v>
      </c>
      <c r="E1236" t="s">
        <v>11</v>
      </c>
      <c r="G1236" t="s">
        <v>9</v>
      </c>
      <c r="L1236">
        <f t="shared" si="96"/>
        <v>0</v>
      </c>
      <c r="M1236">
        <f t="shared" si="97"/>
        <v>0</v>
      </c>
      <c r="N1236">
        <f t="shared" si="98"/>
        <v>0</v>
      </c>
      <c r="O1236">
        <f t="shared" si="100"/>
        <v>1</v>
      </c>
      <c r="P1236" t="str">
        <f t="shared" si="99"/>
        <v/>
      </c>
      <c r="Q1236">
        <f>COUNTIF('責任職　企業局→市長部局'!A:A,SQLデータ!B1236)</f>
        <v>0</v>
      </c>
      <c r="R1236">
        <f>COUNTIF('一般職員　企業局→市長部局'!A:F,SQLデータ!B1236)</f>
        <v>0</v>
      </c>
    </row>
    <row r="1237" spans="1:18" x14ac:dyDescent="0.4">
      <c r="A1237" s="1">
        <v>202650001042</v>
      </c>
      <c r="B1237" s="1">
        <v>1076064</v>
      </c>
      <c r="C1237" s="2">
        <v>46115</v>
      </c>
      <c r="D1237" t="s">
        <v>17</v>
      </c>
      <c r="E1237" t="s">
        <v>10</v>
      </c>
      <c r="G1237" t="s">
        <v>9</v>
      </c>
      <c r="L1237">
        <f t="shared" si="96"/>
        <v>0</v>
      </c>
      <c r="M1237">
        <f t="shared" si="97"/>
        <v>0</v>
      </c>
      <c r="N1237">
        <f t="shared" si="98"/>
        <v>0</v>
      </c>
      <c r="O1237">
        <f t="shared" si="100"/>
        <v>1</v>
      </c>
      <c r="P1237" t="str">
        <f t="shared" si="99"/>
        <v/>
      </c>
      <c r="Q1237">
        <f>COUNTIF('責任職　企業局→市長部局'!A:A,SQLデータ!B1237)</f>
        <v>0</v>
      </c>
      <c r="R1237">
        <f>COUNTIF('一般職員　企業局→市長部局'!A:F,SQLデータ!B1237)</f>
        <v>0</v>
      </c>
    </row>
    <row r="1238" spans="1:18" x14ac:dyDescent="0.4">
      <c r="A1238" s="1">
        <v>202650001043</v>
      </c>
      <c r="B1238" s="1">
        <v>1236010</v>
      </c>
      <c r="C1238" s="2">
        <v>46115</v>
      </c>
      <c r="D1238" t="s">
        <v>17</v>
      </c>
      <c r="E1238" t="s">
        <v>10</v>
      </c>
      <c r="G1238" t="s">
        <v>9</v>
      </c>
      <c r="L1238">
        <f t="shared" si="96"/>
        <v>0</v>
      </c>
      <c r="M1238">
        <f t="shared" si="97"/>
        <v>0</v>
      </c>
      <c r="N1238">
        <f t="shared" si="98"/>
        <v>0</v>
      </c>
      <c r="O1238">
        <f t="shared" si="100"/>
        <v>1</v>
      </c>
      <c r="P1238" t="str">
        <f t="shared" si="99"/>
        <v/>
      </c>
      <c r="Q1238">
        <f>COUNTIF('責任職　企業局→市長部局'!A:A,SQLデータ!B1238)</f>
        <v>0</v>
      </c>
      <c r="R1238">
        <f>COUNTIF('一般職員　企業局→市長部局'!A:F,SQLデータ!B1238)</f>
        <v>0</v>
      </c>
    </row>
    <row r="1239" spans="1:18" x14ac:dyDescent="0.4">
      <c r="A1239" s="1">
        <v>202650001044</v>
      </c>
      <c r="B1239" s="1">
        <v>1076020</v>
      </c>
      <c r="C1239" s="2">
        <v>46115</v>
      </c>
      <c r="D1239" t="s">
        <v>17</v>
      </c>
      <c r="E1239" t="s">
        <v>10</v>
      </c>
      <c r="G1239" t="s">
        <v>9</v>
      </c>
      <c r="L1239">
        <f t="shared" si="96"/>
        <v>0</v>
      </c>
      <c r="M1239">
        <f t="shared" si="97"/>
        <v>0</v>
      </c>
      <c r="N1239">
        <f t="shared" si="98"/>
        <v>0</v>
      </c>
      <c r="O1239">
        <f t="shared" si="100"/>
        <v>1</v>
      </c>
      <c r="P1239" t="str">
        <f t="shared" si="99"/>
        <v/>
      </c>
      <c r="Q1239">
        <f>COUNTIF('責任職　企業局→市長部局'!A:A,SQLデータ!B1239)</f>
        <v>0</v>
      </c>
      <c r="R1239">
        <f>COUNTIF('一般職員　企業局→市長部局'!A:F,SQLデータ!B1239)</f>
        <v>0</v>
      </c>
    </row>
    <row r="1240" spans="1:18" x14ac:dyDescent="0.4">
      <c r="A1240" s="1">
        <v>202650001045</v>
      </c>
      <c r="B1240" s="1">
        <v>1096040</v>
      </c>
      <c r="C1240" s="2">
        <v>46115</v>
      </c>
      <c r="D1240" t="s">
        <v>17</v>
      </c>
      <c r="E1240" t="s">
        <v>10</v>
      </c>
      <c r="G1240" t="s">
        <v>9</v>
      </c>
      <c r="L1240">
        <f t="shared" si="96"/>
        <v>0</v>
      </c>
      <c r="M1240">
        <f t="shared" si="97"/>
        <v>0</v>
      </c>
      <c r="N1240">
        <f t="shared" si="98"/>
        <v>0</v>
      </c>
      <c r="O1240">
        <f t="shared" si="100"/>
        <v>1</v>
      </c>
      <c r="P1240" t="str">
        <f t="shared" si="99"/>
        <v/>
      </c>
      <c r="Q1240">
        <f>COUNTIF('責任職　企業局→市長部局'!A:A,SQLデータ!B1240)</f>
        <v>0</v>
      </c>
      <c r="R1240">
        <f>COUNTIF('一般職員　企業局→市長部局'!A:F,SQLデータ!B1240)</f>
        <v>0</v>
      </c>
    </row>
    <row r="1241" spans="1:18" x14ac:dyDescent="0.4">
      <c r="A1241" s="1">
        <v>202650001046</v>
      </c>
      <c r="B1241" s="1">
        <v>1166041</v>
      </c>
      <c r="C1241" s="2">
        <v>46115</v>
      </c>
      <c r="D1241" t="s">
        <v>17</v>
      </c>
      <c r="E1241" t="s">
        <v>10</v>
      </c>
      <c r="G1241" t="s">
        <v>9</v>
      </c>
      <c r="L1241">
        <f t="shared" si="96"/>
        <v>0</v>
      </c>
      <c r="M1241">
        <f t="shared" si="97"/>
        <v>0</v>
      </c>
      <c r="N1241">
        <f t="shared" si="98"/>
        <v>0</v>
      </c>
      <c r="O1241">
        <f t="shared" si="100"/>
        <v>1</v>
      </c>
      <c r="P1241" t="str">
        <f t="shared" si="99"/>
        <v/>
      </c>
      <c r="Q1241">
        <f>COUNTIF('責任職　企業局→市長部局'!A:A,SQLデータ!B1241)</f>
        <v>0</v>
      </c>
      <c r="R1241">
        <f>COUNTIF('一般職員　企業局→市長部局'!A:F,SQLデータ!B1241)</f>
        <v>0</v>
      </c>
    </row>
    <row r="1242" spans="1:18" x14ac:dyDescent="0.4">
      <c r="A1242" s="1">
        <v>202650001047</v>
      </c>
      <c r="B1242" s="1">
        <v>1016042</v>
      </c>
      <c r="C1242" s="2">
        <v>46115</v>
      </c>
      <c r="D1242" t="s">
        <v>17</v>
      </c>
      <c r="E1242" t="s">
        <v>10</v>
      </c>
      <c r="G1242" t="s">
        <v>9</v>
      </c>
      <c r="L1242">
        <f t="shared" si="96"/>
        <v>0</v>
      </c>
      <c r="M1242">
        <f t="shared" si="97"/>
        <v>0</v>
      </c>
      <c r="N1242">
        <f t="shared" si="98"/>
        <v>0</v>
      </c>
      <c r="O1242">
        <f t="shared" si="100"/>
        <v>1</v>
      </c>
      <c r="P1242" t="str">
        <f t="shared" si="99"/>
        <v/>
      </c>
      <c r="Q1242">
        <f>COUNTIF('責任職　企業局→市長部局'!A:A,SQLデータ!B1242)</f>
        <v>0</v>
      </c>
      <c r="R1242">
        <f>COUNTIF('一般職員　企業局→市長部局'!A:F,SQLデータ!B1242)</f>
        <v>0</v>
      </c>
    </row>
    <row r="1243" spans="1:18" x14ac:dyDescent="0.4">
      <c r="A1243" s="1">
        <v>202650001048</v>
      </c>
      <c r="B1243" s="1">
        <v>890737</v>
      </c>
      <c r="C1243" s="2">
        <v>46115</v>
      </c>
      <c r="D1243" t="s">
        <v>17</v>
      </c>
      <c r="E1243" t="s">
        <v>10</v>
      </c>
      <c r="G1243" t="s">
        <v>9</v>
      </c>
      <c r="L1243">
        <f t="shared" si="96"/>
        <v>0</v>
      </c>
      <c r="M1243">
        <f t="shared" si="97"/>
        <v>0</v>
      </c>
      <c r="N1243">
        <f t="shared" si="98"/>
        <v>0</v>
      </c>
      <c r="O1243">
        <f t="shared" si="100"/>
        <v>1</v>
      </c>
      <c r="P1243" t="str">
        <f t="shared" si="99"/>
        <v/>
      </c>
      <c r="Q1243">
        <f>COUNTIF('責任職　企業局→市長部局'!A:A,SQLデータ!B1243)</f>
        <v>0</v>
      </c>
      <c r="R1243">
        <f>COUNTIF('一般職員　企業局→市長部局'!A:F,SQLデータ!B1243)</f>
        <v>0</v>
      </c>
    </row>
    <row r="1244" spans="1:18" x14ac:dyDescent="0.4">
      <c r="A1244" s="1">
        <v>202650001049</v>
      </c>
      <c r="B1244" s="1">
        <v>976023</v>
      </c>
      <c r="C1244" s="2">
        <v>46115</v>
      </c>
      <c r="D1244" t="s">
        <v>17</v>
      </c>
      <c r="E1244" t="s">
        <v>10</v>
      </c>
      <c r="G1244" t="s">
        <v>9</v>
      </c>
      <c r="L1244">
        <f t="shared" si="96"/>
        <v>0</v>
      </c>
      <c r="M1244">
        <f t="shared" si="97"/>
        <v>0</v>
      </c>
      <c r="N1244">
        <f t="shared" si="98"/>
        <v>0</v>
      </c>
      <c r="O1244">
        <f t="shared" si="100"/>
        <v>1</v>
      </c>
      <c r="P1244" t="str">
        <f t="shared" si="99"/>
        <v/>
      </c>
      <c r="Q1244">
        <f>COUNTIF('責任職　企業局→市長部局'!A:A,SQLデータ!B1244)</f>
        <v>0</v>
      </c>
      <c r="R1244">
        <f>COUNTIF('一般職員　企業局→市長部局'!A:F,SQLデータ!B1244)</f>
        <v>0</v>
      </c>
    </row>
    <row r="1245" spans="1:18" x14ac:dyDescent="0.4">
      <c r="A1245" s="1">
        <v>202650001050</v>
      </c>
      <c r="B1245" s="1">
        <v>1132513</v>
      </c>
      <c r="C1245" s="2">
        <v>46115</v>
      </c>
      <c r="D1245" t="s">
        <v>17</v>
      </c>
      <c r="E1245" t="s">
        <v>10</v>
      </c>
      <c r="G1245" t="s">
        <v>9</v>
      </c>
      <c r="L1245">
        <f t="shared" si="96"/>
        <v>0</v>
      </c>
      <c r="M1245">
        <f t="shared" si="97"/>
        <v>0</v>
      </c>
      <c r="N1245">
        <f t="shared" si="98"/>
        <v>0</v>
      </c>
      <c r="O1245">
        <f t="shared" si="100"/>
        <v>1</v>
      </c>
      <c r="P1245" t="str">
        <f t="shared" si="99"/>
        <v/>
      </c>
      <c r="Q1245">
        <f>COUNTIF('責任職　企業局→市長部局'!A:A,SQLデータ!B1245)</f>
        <v>0</v>
      </c>
      <c r="R1245">
        <f>COUNTIF('一般職員　企業局→市長部局'!A:F,SQLデータ!B1245)</f>
        <v>0</v>
      </c>
    </row>
    <row r="1246" spans="1:18" x14ac:dyDescent="0.4">
      <c r="A1246" s="1">
        <v>202650001051</v>
      </c>
      <c r="B1246" s="1">
        <v>1176037</v>
      </c>
      <c r="C1246" s="2">
        <v>46115</v>
      </c>
      <c r="D1246" t="s">
        <v>17</v>
      </c>
      <c r="E1246" t="s">
        <v>15</v>
      </c>
      <c r="G1246" t="s">
        <v>9</v>
      </c>
      <c r="L1246">
        <f t="shared" si="96"/>
        <v>0</v>
      </c>
      <c r="M1246">
        <f t="shared" si="97"/>
        <v>0</v>
      </c>
      <c r="N1246">
        <f t="shared" si="98"/>
        <v>0</v>
      </c>
      <c r="O1246">
        <f t="shared" si="100"/>
        <v>1</v>
      </c>
      <c r="P1246" t="str">
        <f t="shared" si="99"/>
        <v/>
      </c>
      <c r="Q1246">
        <f>COUNTIF('責任職　企業局→市長部局'!A:A,SQLデータ!B1246)</f>
        <v>0</v>
      </c>
      <c r="R1246">
        <f>COUNTIF('一般職員　企業局→市長部局'!A:F,SQLデータ!B1246)</f>
        <v>0</v>
      </c>
    </row>
    <row r="1247" spans="1:18" x14ac:dyDescent="0.4">
      <c r="A1247" s="1">
        <v>202650001052</v>
      </c>
      <c r="B1247" s="1">
        <v>1206099</v>
      </c>
      <c r="C1247" s="2">
        <v>46115</v>
      </c>
      <c r="D1247" t="s">
        <v>17</v>
      </c>
      <c r="E1247" t="s">
        <v>8</v>
      </c>
      <c r="F1247" t="s">
        <v>47</v>
      </c>
      <c r="G1247" t="s">
        <v>9</v>
      </c>
      <c r="L1247">
        <f t="shared" si="96"/>
        <v>0</v>
      </c>
      <c r="M1247">
        <f t="shared" si="97"/>
        <v>0</v>
      </c>
      <c r="N1247">
        <f t="shared" si="98"/>
        <v>0</v>
      </c>
      <c r="O1247">
        <f t="shared" si="100"/>
        <v>1</v>
      </c>
      <c r="P1247" t="str">
        <f t="shared" si="99"/>
        <v/>
      </c>
      <c r="Q1247">
        <f>COUNTIF('責任職　企業局→市長部局'!A:A,SQLデータ!B1247)</f>
        <v>0</v>
      </c>
      <c r="R1247">
        <f>COUNTIF('一般職員　企業局→市長部局'!A:F,SQLデータ!B1247)</f>
        <v>0</v>
      </c>
    </row>
    <row r="1248" spans="1:18" x14ac:dyDescent="0.4">
      <c r="A1248" s="1">
        <v>202650001053</v>
      </c>
      <c r="B1248" s="1">
        <v>840172</v>
      </c>
      <c r="C1248" s="2">
        <v>46115</v>
      </c>
      <c r="D1248" t="s">
        <v>17</v>
      </c>
      <c r="E1248" t="s">
        <v>10</v>
      </c>
      <c r="G1248" t="s">
        <v>9</v>
      </c>
      <c r="L1248">
        <f t="shared" si="96"/>
        <v>0</v>
      </c>
      <c r="M1248">
        <f t="shared" si="97"/>
        <v>0</v>
      </c>
      <c r="N1248">
        <f t="shared" si="98"/>
        <v>0</v>
      </c>
      <c r="O1248">
        <f t="shared" si="100"/>
        <v>1</v>
      </c>
      <c r="P1248" t="str">
        <f t="shared" si="99"/>
        <v/>
      </c>
      <c r="Q1248">
        <f>COUNTIF('責任職　企業局→市長部局'!A:A,SQLデータ!B1248)</f>
        <v>0</v>
      </c>
      <c r="R1248">
        <f>COUNTIF('一般職員　企業局→市長部局'!A:F,SQLデータ!B1248)</f>
        <v>0</v>
      </c>
    </row>
    <row r="1249" spans="1:18" x14ac:dyDescent="0.4">
      <c r="A1249" s="1">
        <v>202650001054</v>
      </c>
      <c r="B1249" s="1">
        <v>1216105</v>
      </c>
      <c r="C1249" s="2">
        <v>46115</v>
      </c>
      <c r="D1249" t="s">
        <v>17</v>
      </c>
      <c r="E1249" t="s">
        <v>10</v>
      </c>
      <c r="G1249" t="s">
        <v>9</v>
      </c>
      <c r="L1249">
        <f t="shared" si="96"/>
        <v>0</v>
      </c>
      <c r="M1249">
        <f t="shared" si="97"/>
        <v>0</v>
      </c>
      <c r="N1249">
        <f t="shared" si="98"/>
        <v>0</v>
      </c>
      <c r="O1249">
        <f t="shared" si="100"/>
        <v>1</v>
      </c>
      <c r="P1249" t="str">
        <f t="shared" si="99"/>
        <v/>
      </c>
      <c r="Q1249">
        <f>COUNTIF('責任職　企業局→市長部局'!A:A,SQLデータ!B1249)</f>
        <v>0</v>
      </c>
      <c r="R1249">
        <f>COUNTIF('一般職員　企業局→市長部局'!A:F,SQLデータ!B1249)</f>
        <v>0</v>
      </c>
    </row>
    <row r="1250" spans="1:18" x14ac:dyDescent="0.4">
      <c r="A1250" s="1">
        <v>202650001055</v>
      </c>
      <c r="B1250" s="1">
        <v>1081185</v>
      </c>
      <c r="C1250" s="2">
        <v>46115</v>
      </c>
      <c r="D1250" t="s">
        <v>17</v>
      </c>
      <c r="E1250" t="s">
        <v>10</v>
      </c>
      <c r="G1250" t="s">
        <v>9</v>
      </c>
      <c r="L1250">
        <f t="shared" si="96"/>
        <v>0</v>
      </c>
      <c r="M1250">
        <f t="shared" si="97"/>
        <v>0</v>
      </c>
      <c r="N1250">
        <f t="shared" si="98"/>
        <v>0</v>
      </c>
      <c r="O1250">
        <f t="shared" si="100"/>
        <v>1</v>
      </c>
      <c r="P1250" t="str">
        <f t="shared" si="99"/>
        <v/>
      </c>
      <c r="Q1250">
        <f>COUNTIF('責任職　企業局→市長部局'!A:A,SQLデータ!B1250)</f>
        <v>0</v>
      </c>
      <c r="R1250">
        <f>COUNTIF('一般職員　企業局→市長部局'!A:F,SQLデータ!B1250)</f>
        <v>0</v>
      </c>
    </row>
    <row r="1251" spans="1:18" x14ac:dyDescent="0.4">
      <c r="A1251" s="1">
        <v>202650001056</v>
      </c>
      <c r="B1251" s="1">
        <v>1096130</v>
      </c>
      <c r="C1251" s="2">
        <v>46115</v>
      </c>
      <c r="D1251" t="s">
        <v>17</v>
      </c>
      <c r="E1251" t="s">
        <v>10</v>
      </c>
      <c r="G1251" t="s">
        <v>9</v>
      </c>
      <c r="L1251">
        <f t="shared" si="96"/>
        <v>0</v>
      </c>
      <c r="M1251">
        <f t="shared" si="97"/>
        <v>0</v>
      </c>
      <c r="N1251">
        <f t="shared" si="98"/>
        <v>0</v>
      </c>
      <c r="O1251">
        <f t="shared" si="100"/>
        <v>1</v>
      </c>
      <c r="P1251" t="str">
        <f t="shared" si="99"/>
        <v/>
      </c>
      <c r="Q1251">
        <f>COUNTIF('責任職　企業局→市長部局'!A:A,SQLデータ!B1251)</f>
        <v>0</v>
      </c>
      <c r="R1251">
        <f>COUNTIF('一般職員　企業局→市長部局'!A:F,SQLデータ!B1251)</f>
        <v>0</v>
      </c>
    </row>
    <row r="1252" spans="1:18" x14ac:dyDescent="0.4">
      <c r="A1252" s="1">
        <v>202650001058</v>
      </c>
      <c r="B1252" s="1">
        <v>920028</v>
      </c>
      <c r="C1252" s="2">
        <v>46115</v>
      </c>
      <c r="D1252" t="s">
        <v>17</v>
      </c>
      <c r="E1252" t="s">
        <v>8</v>
      </c>
      <c r="F1252" t="s">
        <v>47</v>
      </c>
      <c r="G1252" t="s">
        <v>9</v>
      </c>
      <c r="L1252">
        <f t="shared" si="96"/>
        <v>0</v>
      </c>
      <c r="M1252">
        <f t="shared" si="97"/>
        <v>0</v>
      </c>
      <c r="N1252">
        <f t="shared" si="98"/>
        <v>0</v>
      </c>
      <c r="O1252">
        <f t="shared" si="100"/>
        <v>1</v>
      </c>
      <c r="P1252" t="str">
        <f t="shared" si="99"/>
        <v/>
      </c>
      <c r="Q1252">
        <f>COUNTIF('責任職　企業局→市長部局'!A:A,SQLデータ!B1252)</f>
        <v>0</v>
      </c>
      <c r="R1252">
        <f>COUNTIF('一般職員　企業局→市長部局'!A:F,SQLデータ!B1252)</f>
        <v>0</v>
      </c>
    </row>
    <row r="1253" spans="1:18" x14ac:dyDescent="0.4">
      <c r="A1253" s="1">
        <v>202650001060</v>
      </c>
      <c r="B1253" s="1">
        <v>1256003</v>
      </c>
      <c r="C1253" s="2">
        <v>46115</v>
      </c>
      <c r="D1253" t="s">
        <v>17</v>
      </c>
      <c r="E1253" t="s">
        <v>10</v>
      </c>
      <c r="G1253" t="s">
        <v>9</v>
      </c>
      <c r="L1253">
        <f t="shared" si="96"/>
        <v>0</v>
      </c>
      <c r="M1253">
        <f t="shared" si="97"/>
        <v>0</v>
      </c>
      <c r="N1253">
        <f t="shared" si="98"/>
        <v>0</v>
      </c>
      <c r="O1253">
        <f t="shared" si="100"/>
        <v>1</v>
      </c>
      <c r="P1253" t="str">
        <f t="shared" si="99"/>
        <v/>
      </c>
      <c r="Q1253">
        <f>COUNTIF('責任職　企業局→市長部局'!A:A,SQLデータ!B1253)</f>
        <v>0</v>
      </c>
      <c r="R1253">
        <f>COUNTIF('一般職員　企業局→市長部局'!A:F,SQLデータ!B1253)</f>
        <v>0</v>
      </c>
    </row>
    <row r="1254" spans="1:18" x14ac:dyDescent="0.4">
      <c r="A1254" s="1">
        <v>202650001061</v>
      </c>
      <c r="B1254" s="1">
        <v>986040</v>
      </c>
      <c r="C1254" s="2">
        <v>46115</v>
      </c>
      <c r="D1254" t="s">
        <v>17</v>
      </c>
      <c r="E1254" t="s">
        <v>8</v>
      </c>
      <c r="F1254" t="s">
        <v>47</v>
      </c>
      <c r="G1254" t="s">
        <v>9</v>
      </c>
      <c r="L1254">
        <f t="shared" si="96"/>
        <v>0</v>
      </c>
      <c r="M1254">
        <f t="shared" si="97"/>
        <v>0</v>
      </c>
      <c r="N1254">
        <f t="shared" si="98"/>
        <v>0</v>
      </c>
      <c r="O1254">
        <f t="shared" si="100"/>
        <v>1</v>
      </c>
      <c r="P1254" t="str">
        <f t="shared" si="99"/>
        <v/>
      </c>
      <c r="Q1254">
        <f>COUNTIF('責任職　企業局→市長部局'!A:A,SQLデータ!B1254)</f>
        <v>0</v>
      </c>
      <c r="R1254">
        <f>COUNTIF('一般職員　企業局→市長部局'!A:F,SQLデータ!B1254)</f>
        <v>0</v>
      </c>
    </row>
    <row r="1255" spans="1:18" x14ac:dyDescent="0.4">
      <c r="A1255" s="1">
        <v>202650001062</v>
      </c>
      <c r="B1255" s="1">
        <v>1156048</v>
      </c>
      <c r="C1255" s="2">
        <v>46121</v>
      </c>
      <c r="D1255" t="s">
        <v>17</v>
      </c>
      <c r="E1255" t="s">
        <v>10</v>
      </c>
      <c r="G1255" t="s">
        <v>9</v>
      </c>
      <c r="L1255">
        <f t="shared" si="96"/>
        <v>0</v>
      </c>
      <c r="M1255">
        <f t="shared" si="97"/>
        <v>0</v>
      </c>
      <c r="N1255">
        <f t="shared" si="98"/>
        <v>0</v>
      </c>
      <c r="O1255">
        <f t="shared" si="100"/>
        <v>1</v>
      </c>
      <c r="P1255" t="str">
        <f t="shared" si="99"/>
        <v/>
      </c>
      <c r="Q1255">
        <f>COUNTIF('責任職　企業局→市長部局'!A:A,SQLデータ!B1255)</f>
        <v>0</v>
      </c>
      <c r="R1255">
        <f>COUNTIF('一般職員　企業局→市長部局'!A:F,SQLデータ!B1255)</f>
        <v>0</v>
      </c>
    </row>
    <row r="1256" spans="1:18" x14ac:dyDescent="0.4">
      <c r="A1256" s="1">
        <v>202650001063</v>
      </c>
      <c r="B1256" s="1">
        <v>940054</v>
      </c>
      <c r="C1256" s="2">
        <v>46121</v>
      </c>
      <c r="D1256" t="s">
        <v>17</v>
      </c>
      <c r="E1256" t="s">
        <v>8</v>
      </c>
      <c r="F1256" t="s">
        <v>47</v>
      </c>
      <c r="G1256" t="s">
        <v>9</v>
      </c>
      <c r="L1256">
        <f t="shared" si="96"/>
        <v>0</v>
      </c>
      <c r="M1256">
        <f t="shared" si="97"/>
        <v>0</v>
      </c>
      <c r="N1256">
        <f t="shared" si="98"/>
        <v>0</v>
      </c>
      <c r="O1256">
        <f t="shared" si="100"/>
        <v>1</v>
      </c>
      <c r="P1256" t="str">
        <f t="shared" si="99"/>
        <v/>
      </c>
      <c r="Q1256">
        <f>COUNTIF('責任職　企業局→市長部局'!A:A,SQLデータ!B1256)</f>
        <v>0</v>
      </c>
      <c r="R1256">
        <f>COUNTIF('一般職員　企業局→市長部局'!A:F,SQLデータ!B1256)</f>
        <v>0</v>
      </c>
    </row>
    <row r="1257" spans="1:18" x14ac:dyDescent="0.4">
      <c r="A1257" s="1">
        <v>202650001064</v>
      </c>
      <c r="B1257" s="1">
        <v>1216101</v>
      </c>
      <c r="C1257" s="2">
        <v>46115</v>
      </c>
      <c r="D1257" t="s">
        <v>17</v>
      </c>
      <c r="E1257" t="s">
        <v>10</v>
      </c>
      <c r="G1257" t="s">
        <v>9</v>
      </c>
      <c r="L1257">
        <f t="shared" si="96"/>
        <v>0</v>
      </c>
      <c r="M1257">
        <f t="shared" si="97"/>
        <v>0</v>
      </c>
      <c r="N1257">
        <f t="shared" si="98"/>
        <v>0</v>
      </c>
      <c r="O1257">
        <f t="shared" si="100"/>
        <v>1</v>
      </c>
      <c r="P1257" t="str">
        <f t="shared" si="99"/>
        <v/>
      </c>
      <c r="Q1257">
        <f>COUNTIF('責任職　企業局→市長部局'!A:A,SQLデータ!B1257)</f>
        <v>0</v>
      </c>
      <c r="R1257">
        <f>COUNTIF('一般職員　企業局→市長部局'!A:F,SQLデータ!B1257)</f>
        <v>0</v>
      </c>
    </row>
    <row r="1258" spans="1:18" x14ac:dyDescent="0.4">
      <c r="A1258" s="1">
        <v>202650001066</v>
      </c>
      <c r="B1258" s="1">
        <v>1106130</v>
      </c>
      <c r="C1258" s="2">
        <v>46115</v>
      </c>
      <c r="D1258" t="s">
        <v>17</v>
      </c>
      <c r="E1258" t="s">
        <v>8</v>
      </c>
      <c r="G1258" t="s">
        <v>9</v>
      </c>
      <c r="L1258">
        <f t="shared" si="96"/>
        <v>0</v>
      </c>
      <c r="M1258">
        <f t="shared" si="97"/>
        <v>0</v>
      </c>
      <c r="N1258">
        <f t="shared" si="98"/>
        <v>0</v>
      </c>
      <c r="O1258">
        <f t="shared" si="100"/>
        <v>1</v>
      </c>
      <c r="P1258" t="str">
        <f t="shared" si="99"/>
        <v/>
      </c>
      <c r="Q1258">
        <f>COUNTIF('責任職　企業局→市長部局'!A:A,SQLデータ!B1258)</f>
        <v>0</v>
      </c>
      <c r="R1258">
        <f>COUNTIF('一般職員　企業局→市長部局'!A:F,SQLデータ!B1258)</f>
        <v>0</v>
      </c>
    </row>
    <row r="1259" spans="1:18" x14ac:dyDescent="0.4">
      <c r="A1259" s="1">
        <v>202650001067</v>
      </c>
      <c r="B1259" s="1">
        <v>920085</v>
      </c>
      <c r="C1259" s="2">
        <v>46115</v>
      </c>
      <c r="D1259" t="s">
        <v>17</v>
      </c>
      <c r="E1259" t="s">
        <v>10</v>
      </c>
      <c r="G1259" t="s">
        <v>9</v>
      </c>
      <c r="L1259">
        <f t="shared" si="96"/>
        <v>0</v>
      </c>
      <c r="M1259">
        <f t="shared" si="97"/>
        <v>0</v>
      </c>
      <c r="N1259">
        <f t="shared" si="98"/>
        <v>0</v>
      </c>
      <c r="O1259">
        <f t="shared" si="100"/>
        <v>1</v>
      </c>
      <c r="P1259" t="str">
        <f t="shared" si="99"/>
        <v/>
      </c>
      <c r="Q1259">
        <f>COUNTIF('責任職　企業局→市長部局'!A:A,SQLデータ!B1259)</f>
        <v>0</v>
      </c>
      <c r="R1259">
        <f>COUNTIF('一般職員　企業局→市長部局'!A:F,SQLデータ!B1259)</f>
        <v>0</v>
      </c>
    </row>
    <row r="1260" spans="1:18" x14ac:dyDescent="0.4">
      <c r="A1260" s="1">
        <v>202650001068</v>
      </c>
      <c r="B1260" s="1">
        <v>1216006</v>
      </c>
      <c r="C1260" s="2">
        <v>46115</v>
      </c>
      <c r="D1260" t="s">
        <v>17</v>
      </c>
      <c r="E1260" t="s">
        <v>8</v>
      </c>
      <c r="G1260" t="s">
        <v>9</v>
      </c>
      <c r="L1260">
        <f t="shared" si="96"/>
        <v>0</v>
      </c>
      <c r="M1260">
        <f t="shared" si="97"/>
        <v>0</v>
      </c>
      <c r="N1260">
        <f t="shared" si="98"/>
        <v>0</v>
      </c>
      <c r="O1260">
        <f t="shared" si="100"/>
        <v>1</v>
      </c>
      <c r="P1260" t="str">
        <f t="shared" si="99"/>
        <v/>
      </c>
      <c r="Q1260">
        <f>COUNTIF('責任職　企業局→市長部局'!A:A,SQLデータ!B1260)</f>
        <v>0</v>
      </c>
      <c r="R1260">
        <f>COUNTIF('一般職員　企業局→市長部局'!A:F,SQLデータ!B1260)</f>
        <v>0</v>
      </c>
    </row>
    <row r="1261" spans="1:18" x14ac:dyDescent="0.4">
      <c r="A1261" s="1">
        <v>202650001069</v>
      </c>
      <c r="B1261" s="1">
        <v>1111521</v>
      </c>
      <c r="C1261" s="2">
        <v>46115</v>
      </c>
      <c r="D1261" t="s">
        <v>17</v>
      </c>
      <c r="E1261" t="s">
        <v>10</v>
      </c>
      <c r="G1261" t="s">
        <v>9</v>
      </c>
      <c r="L1261">
        <f t="shared" si="96"/>
        <v>0</v>
      </c>
      <c r="M1261">
        <f t="shared" si="97"/>
        <v>0</v>
      </c>
      <c r="N1261">
        <f t="shared" si="98"/>
        <v>0</v>
      </c>
      <c r="O1261">
        <f t="shared" si="100"/>
        <v>1</v>
      </c>
      <c r="P1261" t="str">
        <f t="shared" si="99"/>
        <v/>
      </c>
      <c r="Q1261">
        <f>COUNTIF('責任職　企業局→市長部局'!A:A,SQLデータ!B1261)</f>
        <v>0</v>
      </c>
      <c r="R1261">
        <f>COUNTIF('一般職員　企業局→市長部局'!A:F,SQLデータ!B1261)</f>
        <v>0</v>
      </c>
    </row>
    <row r="1262" spans="1:18" x14ac:dyDescent="0.4">
      <c r="A1262" s="1">
        <v>202650001070</v>
      </c>
      <c r="B1262" s="1">
        <v>860052</v>
      </c>
      <c r="C1262" s="2">
        <v>46115</v>
      </c>
      <c r="D1262" t="s">
        <v>17</v>
      </c>
      <c r="E1262" t="s">
        <v>10</v>
      </c>
      <c r="G1262" t="s">
        <v>9</v>
      </c>
      <c r="L1262">
        <f t="shared" si="96"/>
        <v>0</v>
      </c>
      <c r="M1262">
        <f t="shared" si="97"/>
        <v>0</v>
      </c>
      <c r="N1262">
        <f t="shared" si="98"/>
        <v>0</v>
      </c>
      <c r="O1262">
        <f t="shared" si="100"/>
        <v>1</v>
      </c>
      <c r="P1262" t="str">
        <f t="shared" si="99"/>
        <v/>
      </c>
      <c r="Q1262">
        <f>COUNTIF('責任職　企業局→市長部局'!A:A,SQLデータ!B1262)</f>
        <v>0</v>
      </c>
      <c r="R1262">
        <f>COUNTIF('一般職員　企業局→市長部局'!A:F,SQLデータ!B1262)</f>
        <v>0</v>
      </c>
    </row>
    <row r="1263" spans="1:18" x14ac:dyDescent="0.4">
      <c r="A1263" s="1">
        <v>202650001071</v>
      </c>
      <c r="B1263" s="1">
        <v>1096039</v>
      </c>
      <c r="C1263" s="2">
        <v>46116</v>
      </c>
      <c r="D1263" t="s">
        <v>17</v>
      </c>
      <c r="E1263" t="s">
        <v>10</v>
      </c>
      <c r="G1263" t="s">
        <v>9</v>
      </c>
      <c r="L1263">
        <f t="shared" si="96"/>
        <v>0</v>
      </c>
      <c r="M1263">
        <f t="shared" si="97"/>
        <v>0</v>
      </c>
      <c r="N1263">
        <f t="shared" si="98"/>
        <v>0</v>
      </c>
      <c r="O1263">
        <f t="shared" si="100"/>
        <v>1</v>
      </c>
      <c r="P1263" t="str">
        <f t="shared" si="99"/>
        <v/>
      </c>
      <c r="Q1263">
        <f>COUNTIF('責任職　企業局→市長部局'!A:A,SQLデータ!B1263)</f>
        <v>0</v>
      </c>
      <c r="R1263">
        <f>COUNTIF('一般職員　企業局→市長部局'!A:F,SQLデータ!B1263)</f>
        <v>0</v>
      </c>
    </row>
    <row r="1264" spans="1:18" x14ac:dyDescent="0.4">
      <c r="A1264" s="1">
        <v>202650001072</v>
      </c>
      <c r="B1264" s="1">
        <v>1101416</v>
      </c>
      <c r="C1264" s="2">
        <v>46115</v>
      </c>
      <c r="D1264" t="s">
        <v>17</v>
      </c>
      <c r="E1264" t="s">
        <v>10</v>
      </c>
      <c r="G1264" t="s">
        <v>9</v>
      </c>
      <c r="L1264">
        <f t="shared" si="96"/>
        <v>0</v>
      </c>
      <c r="M1264">
        <f t="shared" si="97"/>
        <v>0</v>
      </c>
      <c r="N1264">
        <f t="shared" si="98"/>
        <v>0</v>
      </c>
      <c r="O1264">
        <f t="shared" si="100"/>
        <v>1</v>
      </c>
      <c r="P1264" t="str">
        <f t="shared" si="99"/>
        <v/>
      </c>
      <c r="Q1264">
        <f>COUNTIF('責任職　企業局→市長部局'!A:A,SQLデータ!B1264)</f>
        <v>0</v>
      </c>
      <c r="R1264">
        <f>COUNTIF('一般職員　企業局→市長部局'!A:F,SQLデータ!B1264)</f>
        <v>0</v>
      </c>
    </row>
    <row r="1265" spans="1:18" x14ac:dyDescent="0.4">
      <c r="A1265" s="1">
        <v>202650001073</v>
      </c>
      <c r="B1265" s="1">
        <v>1076040</v>
      </c>
      <c r="C1265" s="2">
        <v>46115</v>
      </c>
      <c r="D1265" t="s">
        <v>17</v>
      </c>
      <c r="E1265" t="s">
        <v>10</v>
      </c>
      <c r="G1265" t="s">
        <v>9</v>
      </c>
      <c r="L1265">
        <f t="shared" si="96"/>
        <v>0</v>
      </c>
      <c r="M1265">
        <f t="shared" si="97"/>
        <v>0</v>
      </c>
      <c r="N1265">
        <f t="shared" si="98"/>
        <v>0</v>
      </c>
      <c r="O1265">
        <f t="shared" si="100"/>
        <v>1</v>
      </c>
      <c r="P1265" t="str">
        <f t="shared" si="99"/>
        <v/>
      </c>
      <c r="Q1265">
        <f>COUNTIF('責任職　企業局→市長部局'!A:A,SQLデータ!B1265)</f>
        <v>0</v>
      </c>
      <c r="R1265">
        <f>COUNTIF('一般職員　企業局→市長部局'!A:F,SQLデータ!B1265)</f>
        <v>0</v>
      </c>
    </row>
    <row r="1266" spans="1:18" x14ac:dyDescent="0.4">
      <c r="A1266" s="1">
        <v>202650001074</v>
      </c>
      <c r="B1266" s="1">
        <v>1086112</v>
      </c>
      <c r="C1266" s="2">
        <v>46115</v>
      </c>
      <c r="D1266" t="s">
        <v>17</v>
      </c>
      <c r="E1266" t="s">
        <v>10</v>
      </c>
      <c r="G1266" t="s">
        <v>9</v>
      </c>
      <c r="L1266">
        <f t="shared" si="96"/>
        <v>0</v>
      </c>
      <c r="M1266">
        <f t="shared" si="97"/>
        <v>0</v>
      </c>
      <c r="N1266">
        <f t="shared" si="98"/>
        <v>0</v>
      </c>
      <c r="O1266">
        <f t="shared" si="100"/>
        <v>1</v>
      </c>
      <c r="P1266" t="str">
        <f t="shared" si="99"/>
        <v/>
      </c>
      <c r="Q1266">
        <f>COUNTIF('責任職　企業局→市長部局'!A:A,SQLデータ!B1266)</f>
        <v>0</v>
      </c>
      <c r="R1266">
        <f>COUNTIF('一般職員　企業局→市長部局'!A:F,SQLデータ!B1266)</f>
        <v>0</v>
      </c>
    </row>
    <row r="1267" spans="1:18" x14ac:dyDescent="0.4">
      <c r="A1267" s="1">
        <v>202650001075</v>
      </c>
      <c r="B1267" s="1">
        <v>1196032</v>
      </c>
      <c r="C1267" s="2">
        <v>46115</v>
      </c>
      <c r="D1267" t="s">
        <v>17</v>
      </c>
      <c r="E1267" t="s">
        <v>8</v>
      </c>
      <c r="F1267" t="s">
        <v>47</v>
      </c>
      <c r="G1267" t="s">
        <v>9</v>
      </c>
      <c r="L1267">
        <f t="shared" si="96"/>
        <v>0</v>
      </c>
      <c r="M1267">
        <f t="shared" si="97"/>
        <v>0</v>
      </c>
      <c r="N1267">
        <f t="shared" si="98"/>
        <v>0</v>
      </c>
      <c r="O1267">
        <f t="shared" si="100"/>
        <v>1</v>
      </c>
      <c r="P1267" t="str">
        <f t="shared" si="99"/>
        <v/>
      </c>
      <c r="Q1267">
        <f>COUNTIF('責任職　企業局→市長部局'!A:A,SQLデータ!B1267)</f>
        <v>0</v>
      </c>
      <c r="R1267">
        <f>COUNTIF('一般職員　企業局→市長部局'!A:F,SQLデータ!B1267)</f>
        <v>0</v>
      </c>
    </row>
    <row r="1268" spans="1:18" x14ac:dyDescent="0.4">
      <c r="A1268" s="1">
        <v>202650001076</v>
      </c>
      <c r="B1268" s="1">
        <v>1216130</v>
      </c>
      <c r="C1268" s="2">
        <v>46115</v>
      </c>
      <c r="D1268" t="s">
        <v>17</v>
      </c>
      <c r="E1268" t="s">
        <v>10</v>
      </c>
      <c r="G1268" t="s">
        <v>9</v>
      </c>
      <c r="L1268">
        <f t="shared" si="96"/>
        <v>0</v>
      </c>
      <c r="M1268">
        <f t="shared" si="97"/>
        <v>0</v>
      </c>
      <c r="N1268">
        <f t="shared" si="98"/>
        <v>0</v>
      </c>
      <c r="O1268">
        <f t="shared" si="100"/>
        <v>1</v>
      </c>
      <c r="P1268" t="str">
        <f t="shared" si="99"/>
        <v/>
      </c>
      <c r="Q1268">
        <f>COUNTIF('責任職　企業局→市長部局'!A:A,SQLデータ!B1268)</f>
        <v>0</v>
      </c>
      <c r="R1268">
        <f>COUNTIF('一般職員　企業局→市長部局'!A:F,SQLデータ!B1268)</f>
        <v>0</v>
      </c>
    </row>
    <row r="1269" spans="1:18" x14ac:dyDescent="0.4">
      <c r="A1269" s="1">
        <v>202650001077</v>
      </c>
      <c r="B1269" s="1">
        <v>1186021</v>
      </c>
      <c r="C1269" s="2">
        <v>46115</v>
      </c>
      <c r="D1269" t="s">
        <v>17</v>
      </c>
      <c r="E1269" t="s">
        <v>10</v>
      </c>
      <c r="G1269" t="s">
        <v>9</v>
      </c>
      <c r="L1269">
        <f t="shared" si="96"/>
        <v>0</v>
      </c>
      <c r="M1269">
        <f t="shared" si="97"/>
        <v>0</v>
      </c>
      <c r="N1269">
        <f t="shared" si="98"/>
        <v>0</v>
      </c>
      <c r="O1269">
        <f t="shared" si="100"/>
        <v>1</v>
      </c>
      <c r="P1269" t="str">
        <f t="shared" si="99"/>
        <v/>
      </c>
      <c r="Q1269">
        <f>COUNTIF('責任職　企業局→市長部局'!A:A,SQLデータ!B1269)</f>
        <v>0</v>
      </c>
      <c r="R1269">
        <f>COUNTIF('一般職員　企業局→市長部局'!A:F,SQLデータ!B1269)</f>
        <v>0</v>
      </c>
    </row>
    <row r="1270" spans="1:18" x14ac:dyDescent="0.4">
      <c r="A1270" s="1">
        <v>202650001078</v>
      </c>
      <c r="B1270" s="1">
        <v>910070</v>
      </c>
      <c r="C1270" s="2">
        <v>46115</v>
      </c>
      <c r="D1270" t="s">
        <v>17</v>
      </c>
      <c r="E1270" t="s">
        <v>10</v>
      </c>
      <c r="G1270" t="s">
        <v>9</v>
      </c>
      <c r="L1270">
        <f t="shared" si="96"/>
        <v>0</v>
      </c>
      <c r="M1270">
        <f t="shared" si="97"/>
        <v>0</v>
      </c>
      <c r="N1270">
        <f t="shared" si="98"/>
        <v>0</v>
      </c>
      <c r="O1270">
        <f t="shared" si="100"/>
        <v>1</v>
      </c>
      <c r="P1270" t="str">
        <f t="shared" si="99"/>
        <v/>
      </c>
      <c r="Q1270">
        <f>COUNTIF('責任職　企業局→市長部局'!A:A,SQLデータ!B1270)</f>
        <v>0</v>
      </c>
      <c r="R1270">
        <f>COUNTIF('一般職員　企業局→市長部局'!A:F,SQLデータ!B1270)</f>
        <v>0</v>
      </c>
    </row>
    <row r="1271" spans="1:18" x14ac:dyDescent="0.4">
      <c r="A1271" s="1">
        <v>202650001079</v>
      </c>
      <c r="B1271" s="1">
        <v>1176056</v>
      </c>
      <c r="C1271" s="2">
        <v>46115</v>
      </c>
      <c r="D1271" t="s">
        <v>17</v>
      </c>
      <c r="E1271" t="s">
        <v>15</v>
      </c>
      <c r="G1271" t="s">
        <v>9</v>
      </c>
      <c r="L1271">
        <f t="shared" si="96"/>
        <v>0</v>
      </c>
      <c r="M1271">
        <f t="shared" si="97"/>
        <v>0</v>
      </c>
      <c r="N1271">
        <f t="shared" si="98"/>
        <v>0</v>
      </c>
      <c r="O1271">
        <f t="shared" si="100"/>
        <v>1</v>
      </c>
      <c r="P1271" t="str">
        <f t="shared" si="99"/>
        <v/>
      </c>
      <c r="Q1271">
        <f>COUNTIF('責任職　企業局→市長部局'!A:A,SQLデータ!B1271)</f>
        <v>0</v>
      </c>
      <c r="R1271">
        <f>COUNTIF('一般職員　企業局→市長部局'!A:F,SQLデータ!B1271)</f>
        <v>0</v>
      </c>
    </row>
    <row r="1272" spans="1:18" x14ac:dyDescent="0.4">
      <c r="A1272" s="1">
        <v>202650001080</v>
      </c>
      <c r="B1272" s="1">
        <v>1236086</v>
      </c>
      <c r="C1272" s="2">
        <v>46115</v>
      </c>
      <c r="D1272" t="s">
        <v>17</v>
      </c>
      <c r="E1272" t="s">
        <v>10</v>
      </c>
      <c r="G1272" t="s">
        <v>9</v>
      </c>
      <c r="L1272">
        <f t="shared" si="96"/>
        <v>0</v>
      </c>
      <c r="M1272">
        <f t="shared" si="97"/>
        <v>0</v>
      </c>
      <c r="N1272">
        <f t="shared" si="98"/>
        <v>0</v>
      </c>
      <c r="O1272">
        <f t="shared" si="100"/>
        <v>1</v>
      </c>
      <c r="P1272" t="str">
        <f t="shared" si="99"/>
        <v/>
      </c>
      <c r="Q1272">
        <f>COUNTIF('責任職　企業局→市長部局'!A:A,SQLデータ!B1272)</f>
        <v>0</v>
      </c>
      <c r="R1272">
        <f>COUNTIF('一般職員　企業局→市長部局'!A:F,SQLデータ!B1272)</f>
        <v>0</v>
      </c>
    </row>
    <row r="1273" spans="1:18" x14ac:dyDescent="0.4">
      <c r="A1273" s="1">
        <v>202650001081</v>
      </c>
      <c r="B1273" s="1">
        <v>992029</v>
      </c>
      <c r="C1273" s="2">
        <v>46129</v>
      </c>
      <c r="D1273" t="s">
        <v>17</v>
      </c>
      <c r="E1273" t="s">
        <v>8</v>
      </c>
      <c r="G1273" t="s">
        <v>9</v>
      </c>
      <c r="L1273">
        <f t="shared" si="96"/>
        <v>0</v>
      </c>
      <c r="M1273">
        <f t="shared" si="97"/>
        <v>0</v>
      </c>
      <c r="N1273">
        <f t="shared" si="98"/>
        <v>0</v>
      </c>
      <c r="O1273">
        <f t="shared" si="100"/>
        <v>1</v>
      </c>
      <c r="P1273" t="str">
        <f t="shared" si="99"/>
        <v/>
      </c>
      <c r="Q1273">
        <f>COUNTIF('責任職　企業局→市長部局'!A:A,SQLデータ!B1273)</f>
        <v>0</v>
      </c>
      <c r="R1273">
        <f>COUNTIF('一般職員　企業局→市長部局'!A:F,SQLデータ!B1273)</f>
        <v>0</v>
      </c>
    </row>
    <row r="1274" spans="1:18" x14ac:dyDescent="0.4">
      <c r="A1274" s="1">
        <v>202650001082</v>
      </c>
      <c r="B1274" s="1">
        <v>1086124</v>
      </c>
      <c r="C1274" s="2">
        <v>46115</v>
      </c>
      <c r="D1274" t="s">
        <v>17</v>
      </c>
      <c r="E1274" t="s">
        <v>8</v>
      </c>
      <c r="F1274" t="s">
        <v>47</v>
      </c>
      <c r="G1274" t="s">
        <v>9</v>
      </c>
      <c r="L1274">
        <f t="shared" si="96"/>
        <v>0</v>
      </c>
      <c r="M1274">
        <f t="shared" si="97"/>
        <v>0</v>
      </c>
      <c r="N1274">
        <f t="shared" si="98"/>
        <v>0</v>
      </c>
      <c r="O1274">
        <f t="shared" si="100"/>
        <v>1</v>
      </c>
      <c r="P1274" t="str">
        <f t="shared" si="99"/>
        <v/>
      </c>
      <c r="Q1274">
        <f>COUNTIF('責任職　企業局→市長部局'!A:A,SQLデータ!B1274)</f>
        <v>0</v>
      </c>
      <c r="R1274">
        <f>COUNTIF('一般職員　企業局→市長部局'!A:F,SQLデータ!B1274)</f>
        <v>0</v>
      </c>
    </row>
    <row r="1275" spans="1:18" x14ac:dyDescent="0.4">
      <c r="A1275" s="1">
        <v>202650001083</v>
      </c>
      <c r="B1275" s="1">
        <v>1086069</v>
      </c>
      <c r="C1275" s="2">
        <v>46115</v>
      </c>
      <c r="D1275" t="s">
        <v>17</v>
      </c>
      <c r="E1275" t="s">
        <v>10</v>
      </c>
      <c r="G1275" t="s">
        <v>9</v>
      </c>
      <c r="L1275">
        <f t="shared" si="96"/>
        <v>0</v>
      </c>
      <c r="M1275">
        <f t="shared" si="97"/>
        <v>0</v>
      </c>
      <c r="N1275">
        <f t="shared" si="98"/>
        <v>0</v>
      </c>
      <c r="O1275">
        <f t="shared" si="100"/>
        <v>1</v>
      </c>
      <c r="P1275" t="str">
        <f t="shared" si="99"/>
        <v/>
      </c>
      <c r="Q1275">
        <f>COUNTIF('責任職　企業局→市長部局'!A:A,SQLデータ!B1275)</f>
        <v>0</v>
      </c>
      <c r="R1275">
        <f>COUNTIF('一般職員　企業局→市長部局'!A:F,SQLデータ!B1275)</f>
        <v>0</v>
      </c>
    </row>
    <row r="1276" spans="1:18" x14ac:dyDescent="0.4">
      <c r="A1276" s="1">
        <v>202650001084</v>
      </c>
      <c r="B1276" s="1">
        <v>1086048</v>
      </c>
      <c r="C1276" s="2">
        <v>46115</v>
      </c>
      <c r="D1276" t="s">
        <v>17</v>
      </c>
      <c r="E1276" t="s">
        <v>10</v>
      </c>
      <c r="G1276" t="s">
        <v>9</v>
      </c>
      <c r="L1276">
        <f t="shared" si="96"/>
        <v>0</v>
      </c>
      <c r="M1276">
        <f t="shared" si="97"/>
        <v>0</v>
      </c>
      <c r="N1276">
        <f t="shared" si="98"/>
        <v>0</v>
      </c>
      <c r="O1276">
        <f t="shared" si="100"/>
        <v>1</v>
      </c>
      <c r="P1276" t="str">
        <f t="shared" si="99"/>
        <v/>
      </c>
      <c r="Q1276">
        <f>COUNTIF('責任職　企業局→市長部局'!A:A,SQLデータ!B1276)</f>
        <v>0</v>
      </c>
      <c r="R1276">
        <f>COUNTIF('一般職員　企業局→市長部局'!A:F,SQLデータ!B1276)</f>
        <v>0</v>
      </c>
    </row>
    <row r="1277" spans="1:18" x14ac:dyDescent="0.4">
      <c r="A1277" s="1">
        <v>202650001085</v>
      </c>
      <c r="B1277" s="1">
        <v>1176110</v>
      </c>
      <c r="C1277" s="2">
        <v>46116</v>
      </c>
      <c r="D1277" t="s">
        <v>17</v>
      </c>
      <c r="E1277" t="s">
        <v>10</v>
      </c>
      <c r="G1277" t="s">
        <v>9</v>
      </c>
      <c r="L1277">
        <f t="shared" si="96"/>
        <v>0</v>
      </c>
      <c r="M1277">
        <f t="shared" si="97"/>
        <v>0</v>
      </c>
      <c r="N1277">
        <f t="shared" si="98"/>
        <v>0</v>
      </c>
      <c r="O1277">
        <f t="shared" si="100"/>
        <v>1</v>
      </c>
      <c r="P1277" t="str">
        <f t="shared" si="99"/>
        <v/>
      </c>
      <c r="Q1277">
        <f>COUNTIF('責任職　企業局→市長部局'!A:A,SQLデータ!B1277)</f>
        <v>0</v>
      </c>
      <c r="R1277">
        <f>COUNTIF('一般職員　企業局→市長部局'!A:F,SQLデータ!B1277)</f>
        <v>0</v>
      </c>
    </row>
    <row r="1278" spans="1:18" x14ac:dyDescent="0.4">
      <c r="A1278" s="1">
        <v>202650001086</v>
      </c>
      <c r="B1278" s="1">
        <v>1126117</v>
      </c>
      <c r="C1278" s="2">
        <v>46116</v>
      </c>
      <c r="D1278" t="s">
        <v>17</v>
      </c>
      <c r="E1278" t="s">
        <v>10</v>
      </c>
      <c r="G1278" t="s">
        <v>9</v>
      </c>
      <c r="L1278">
        <f t="shared" si="96"/>
        <v>0</v>
      </c>
      <c r="M1278">
        <f t="shared" si="97"/>
        <v>0</v>
      </c>
      <c r="N1278">
        <f t="shared" si="98"/>
        <v>0</v>
      </c>
      <c r="O1278">
        <f t="shared" si="100"/>
        <v>1</v>
      </c>
      <c r="P1278" t="str">
        <f t="shared" si="99"/>
        <v/>
      </c>
      <c r="Q1278">
        <f>COUNTIF('責任職　企業局→市長部局'!A:A,SQLデータ!B1278)</f>
        <v>0</v>
      </c>
      <c r="R1278">
        <f>COUNTIF('一般職員　企業局→市長部局'!A:F,SQLデータ!B1278)</f>
        <v>0</v>
      </c>
    </row>
    <row r="1279" spans="1:18" x14ac:dyDescent="0.4">
      <c r="A1279" s="1">
        <v>202650001087</v>
      </c>
      <c r="B1279" s="1">
        <v>1176122</v>
      </c>
      <c r="C1279" s="2">
        <v>46116</v>
      </c>
      <c r="D1279" t="s">
        <v>17</v>
      </c>
      <c r="E1279" t="s">
        <v>10</v>
      </c>
      <c r="G1279" t="s">
        <v>9</v>
      </c>
      <c r="L1279">
        <f t="shared" si="96"/>
        <v>0</v>
      </c>
      <c r="M1279">
        <f t="shared" si="97"/>
        <v>0</v>
      </c>
      <c r="N1279">
        <f t="shared" si="98"/>
        <v>0</v>
      </c>
      <c r="O1279">
        <f t="shared" si="100"/>
        <v>1</v>
      </c>
      <c r="P1279" t="str">
        <f t="shared" si="99"/>
        <v/>
      </c>
      <c r="Q1279">
        <f>COUNTIF('責任職　企業局→市長部局'!A:A,SQLデータ!B1279)</f>
        <v>0</v>
      </c>
      <c r="R1279">
        <f>COUNTIF('一般職員　企業局→市長部局'!A:F,SQLデータ!B1279)</f>
        <v>0</v>
      </c>
    </row>
    <row r="1280" spans="1:18" x14ac:dyDescent="0.4">
      <c r="A1280" s="1">
        <v>202650001088</v>
      </c>
      <c r="B1280" s="1">
        <v>1206098</v>
      </c>
      <c r="C1280" s="2">
        <v>46116</v>
      </c>
      <c r="D1280" t="s">
        <v>17</v>
      </c>
      <c r="E1280" t="s">
        <v>10</v>
      </c>
      <c r="G1280" t="s">
        <v>9</v>
      </c>
      <c r="L1280">
        <f t="shared" si="96"/>
        <v>0</v>
      </c>
      <c r="M1280">
        <f t="shared" si="97"/>
        <v>0</v>
      </c>
      <c r="N1280">
        <f t="shared" si="98"/>
        <v>0</v>
      </c>
      <c r="O1280">
        <f t="shared" si="100"/>
        <v>1</v>
      </c>
      <c r="P1280" t="str">
        <f t="shared" si="99"/>
        <v/>
      </c>
      <c r="Q1280">
        <f>COUNTIF('責任職　企業局→市長部局'!A:A,SQLデータ!B1280)</f>
        <v>0</v>
      </c>
      <c r="R1280">
        <f>COUNTIF('一般職員　企業局→市長部局'!A:F,SQLデータ!B1280)</f>
        <v>0</v>
      </c>
    </row>
    <row r="1281" spans="1:18" x14ac:dyDescent="0.4">
      <c r="A1281" s="1">
        <v>202650001089</v>
      </c>
      <c r="B1281" s="1">
        <v>920145</v>
      </c>
      <c r="C1281" s="2">
        <v>46116</v>
      </c>
      <c r="D1281" t="s">
        <v>17</v>
      </c>
      <c r="E1281" t="s">
        <v>10</v>
      </c>
      <c r="G1281" t="s">
        <v>9</v>
      </c>
      <c r="L1281">
        <f t="shared" si="96"/>
        <v>0</v>
      </c>
      <c r="M1281">
        <f t="shared" si="97"/>
        <v>0</v>
      </c>
      <c r="N1281">
        <f t="shared" si="98"/>
        <v>0</v>
      </c>
      <c r="O1281">
        <f t="shared" si="100"/>
        <v>1</v>
      </c>
      <c r="P1281" t="str">
        <f t="shared" si="99"/>
        <v/>
      </c>
      <c r="Q1281">
        <f>COUNTIF('責任職　企業局→市長部局'!A:A,SQLデータ!B1281)</f>
        <v>0</v>
      </c>
      <c r="R1281">
        <f>COUNTIF('一般職員　企業局→市長部局'!A:F,SQLデータ!B1281)</f>
        <v>0</v>
      </c>
    </row>
    <row r="1282" spans="1:18" x14ac:dyDescent="0.4">
      <c r="A1282" s="1">
        <v>202650001090</v>
      </c>
      <c r="B1282" s="1">
        <v>1046016</v>
      </c>
      <c r="C1282" s="2">
        <v>46116</v>
      </c>
      <c r="D1282" t="s">
        <v>17</v>
      </c>
      <c r="E1282" t="s">
        <v>10</v>
      </c>
      <c r="G1282" t="s">
        <v>9</v>
      </c>
      <c r="L1282">
        <f t="shared" ref="L1282:L1345" si="101">IF(ISBLANK(J1282),0,1)</f>
        <v>0</v>
      </c>
      <c r="M1282">
        <f t="shared" ref="M1282:M1345" si="102">IF(AND(L1282=0,I1282&lt;&gt;""),1,0)</f>
        <v>0</v>
      </c>
      <c r="N1282">
        <f t="shared" ref="N1282:N1345" si="103">IF(AND(L1282=0,M1282=0,K1282&lt;&gt;""),1,0)</f>
        <v>0</v>
      </c>
      <c r="O1282">
        <f t="shared" si="100"/>
        <v>1</v>
      </c>
      <c r="P1282" t="str">
        <f t="shared" ref="P1282:P1345" si="104">IF(D1282&lt;&gt;"扶養","",IF(E1282&lt;&gt;"確認待ち",1,IF(OR(AND(G1282="本人の結婚",O1282=1),AND(H1282="減",OR(N1282=1,O1282=1))),1,0)))</f>
        <v/>
      </c>
      <c r="Q1282">
        <f>COUNTIF('責任職　企業局→市長部局'!A:A,SQLデータ!B1282)</f>
        <v>0</v>
      </c>
      <c r="R1282">
        <f>COUNTIF('一般職員　企業局→市長部局'!A:F,SQLデータ!B1282)</f>
        <v>0</v>
      </c>
    </row>
    <row r="1283" spans="1:18" x14ac:dyDescent="0.4">
      <c r="A1283" s="1">
        <v>202650001091</v>
      </c>
      <c r="B1283" s="1">
        <v>1136022</v>
      </c>
      <c r="C1283" s="2">
        <v>46116</v>
      </c>
      <c r="D1283" t="s">
        <v>17</v>
      </c>
      <c r="E1283" t="s">
        <v>10</v>
      </c>
      <c r="G1283" t="s">
        <v>9</v>
      </c>
      <c r="L1283">
        <f t="shared" si="101"/>
        <v>0</v>
      </c>
      <c r="M1283">
        <f t="shared" si="102"/>
        <v>0</v>
      </c>
      <c r="N1283">
        <f t="shared" si="103"/>
        <v>0</v>
      </c>
      <c r="O1283">
        <f t="shared" si="100"/>
        <v>1</v>
      </c>
      <c r="P1283" t="str">
        <f t="shared" si="104"/>
        <v/>
      </c>
      <c r="Q1283">
        <f>COUNTIF('責任職　企業局→市長部局'!A:A,SQLデータ!B1283)</f>
        <v>0</v>
      </c>
      <c r="R1283">
        <f>COUNTIF('一般職員　企業局→市長部局'!A:F,SQLデータ!B1283)</f>
        <v>0</v>
      </c>
    </row>
    <row r="1284" spans="1:18" x14ac:dyDescent="0.4">
      <c r="A1284" s="1">
        <v>202650001092</v>
      </c>
      <c r="B1284" s="1">
        <v>1226134</v>
      </c>
      <c r="C1284" s="2">
        <v>46116</v>
      </c>
      <c r="D1284" t="s">
        <v>17</v>
      </c>
      <c r="E1284" t="s">
        <v>11</v>
      </c>
      <c r="G1284" t="s">
        <v>9</v>
      </c>
      <c r="L1284">
        <f t="shared" si="101"/>
        <v>0</v>
      </c>
      <c r="M1284">
        <f t="shared" si="102"/>
        <v>0</v>
      </c>
      <c r="N1284">
        <f t="shared" si="103"/>
        <v>0</v>
      </c>
      <c r="O1284">
        <f t="shared" si="100"/>
        <v>1</v>
      </c>
      <c r="P1284" t="str">
        <f t="shared" si="104"/>
        <v/>
      </c>
      <c r="Q1284">
        <f>COUNTIF('責任職　企業局→市長部局'!A:A,SQLデータ!B1284)</f>
        <v>0</v>
      </c>
      <c r="R1284">
        <f>COUNTIF('一般職員　企業局→市長部局'!A:F,SQLデータ!B1284)</f>
        <v>0</v>
      </c>
    </row>
    <row r="1285" spans="1:18" x14ac:dyDescent="0.4">
      <c r="A1285" s="1">
        <v>202650001093</v>
      </c>
      <c r="B1285" s="1">
        <v>1066072</v>
      </c>
      <c r="C1285" s="2">
        <v>46116</v>
      </c>
      <c r="D1285" t="s">
        <v>17</v>
      </c>
      <c r="E1285" t="s">
        <v>11</v>
      </c>
      <c r="G1285" t="s">
        <v>9</v>
      </c>
      <c r="L1285">
        <f t="shared" si="101"/>
        <v>0</v>
      </c>
      <c r="M1285">
        <f t="shared" si="102"/>
        <v>0</v>
      </c>
      <c r="N1285">
        <f t="shared" si="103"/>
        <v>0</v>
      </c>
      <c r="O1285">
        <f t="shared" si="100"/>
        <v>1</v>
      </c>
      <c r="P1285" t="str">
        <f t="shared" si="104"/>
        <v/>
      </c>
      <c r="Q1285">
        <f>COUNTIF('責任職　企業局→市長部局'!A:A,SQLデータ!B1285)</f>
        <v>0</v>
      </c>
      <c r="R1285">
        <f>COUNTIF('一般職員　企業局→市長部局'!A:F,SQLデータ!B1285)</f>
        <v>0</v>
      </c>
    </row>
    <row r="1286" spans="1:18" x14ac:dyDescent="0.4">
      <c r="A1286" s="1">
        <v>202650001094</v>
      </c>
      <c r="B1286" s="1">
        <v>1126141</v>
      </c>
      <c r="C1286" s="2">
        <v>46118</v>
      </c>
      <c r="D1286" t="s">
        <v>17</v>
      </c>
      <c r="E1286" t="s">
        <v>8</v>
      </c>
      <c r="G1286" t="s">
        <v>9</v>
      </c>
      <c r="L1286">
        <f t="shared" si="101"/>
        <v>0</v>
      </c>
      <c r="M1286">
        <f t="shared" si="102"/>
        <v>0</v>
      </c>
      <c r="N1286">
        <f t="shared" si="103"/>
        <v>0</v>
      </c>
      <c r="O1286">
        <f t="shared" si="100"/>
        <v>1</v>
      </c>
      <c r="P1286" t="str">
        <f t="shared" si="104"/>
        <v/>
      </c>
      <c r="Q1286">
        <f>COUNTIF('責任職　企業局→市長部局'!A:A,SQLデータ!B1286)</f>
        <v>0</v>
      </c>
      <c r="R1286">
        <f>COUNTIF('一般職員　企業局→市長部局'!A:F,SQLデータ!B1286)</f>
        <v>0</v>
      </c>
    </row>
    <row r="1287" spans="1:18" x14ac:dyDescent="0.4">
      <c r="A1287" s="1">
        <v>202650001095</v>
      </c>
      <c r="B1287" s="1">
        <v>1106103</v>
      </c>
      <c r="C1287" s="2">
        <v>46116</v>
      </c>
      <c r="D1287" t="s">
        <v>17</v>
      </c>
      <c r="E1287" t="s">
        <v>10</v>
      </c>
      <c r="G1287" t="s">
        <v>9</v>
      </c>
      <c r="L1287">
        <f t="shared" si="101"/>
        <v>0</v>
      </c>
      <c r="M1287">
        <f t="shared" si="102"/>
        <v>0</v>
      </c>
      <c r="N1287">
        <f t="shared" si="103"/>
        <v>0</v>
      </c>
      <c r="O1287">
        <f t="shared" si="100"/>
        <v>1</v>
      </c>
      <c r="P1287" t="str">
        <f t="shared" si="104"/>
        <v/>
      </c>
      <c r="Q1287">
        <f>COUNTIF('責任職　企業局→市長部局'!A:A,SQLデータ!B1287)</f>
        <v>0</v>
      </c>
      <c r="R1287">
        <f>COUNTIF('一般職員　企業局→市長部局'!A:F,SQLデータ!B1287)</f>
        <v>0</v>
      </c>
    </row>
    <row r="1288" spans="1:18" x14ac:dyDescent="0.4">
      <c r="A1288" s="1">
        <v>202650001096</v>
      </c>
      <c r="B1288" s="1">
        <v>1256120</v>
      </c>
      <c r="C1288" s="2">
        <v>46116</v>
      </c>
      <c r="D1288" t="s">
        <v>17</v>
      </c>
      <c r="E1288" t="s">
        <v>11</v>
      </c>
      <c r="G1288" t="s">
        <v>9</v>
      </c>
      <c r="L1288">
        <f t="shared" si="101"/>
        <v>0</v>
      </c>
      <c r="M1288">
        <f t="shared" si="102"/>
        <v>0</v>
      </c>
      <c r="N1288">
        <f t="shared" si="103"/>
        <v>0</v>
      </c>
      <c r="O1288">
        <f t="shared" si="100"/>
        <v>1</v>
      </c>
      <c r="P1288" t="str">
        <f t="shared" si="104"/>
        <v/>
      </c>
      <c r="Q1288">
        <f>COUNTIF('責任職　企業局→市長部局'!A:A,SQLデータ!B1288)</f>
        <v>0</v>
      </c>
      <c r="R1288">
        <f>COUNTIF('一般職員　企業局→市長部局'!A:F,SQLデータ!B1288)</f>
        <v>0</v>
      </c>
    </row>
    <row r="1289" spans="1:18" x14ac:dyDescent="0.4">
      <c r="A1289" s="1">
        <v>202650001097</v>
      </c>
      <c r="B1289" s="1">
        <v>1166146</v>
      </c>
      <c r="C1289" s="2">
        <v>46116</v>
      </c>
      <c r="D1289" t="s">
        <v>17</v>
      </c>
      <c r="E1289" t="s">
        <v>8</v>
      </c>
      <c r="F1289" t="s">
        <v>47</v>
      </c>
      <c r="G1289" t="s">
        <v>9</v>
      </c>
      <c r="L1289">
        <f t="shared" si="101"/>
        <v>0</v>
      </c>
      <c r="M1289">
        <f t="shared" si="102"/>
        <v>0</v>
      </c>
      <c r="N1289">
        <f t="shared" si="103"/>
        <v>0</v>
      </c>
      <c r="O1289">
        <f t="shared" ref="O1289:O1352" si="105">IF(COUNTIF(L1289:N1289,0)=3,1,0)</f>
        <v>1</v>
      </c>
      <c r="P1289" t="str">
        <f t="shared" si="104"/>
        <v/>
      </c>
      <c r="Q1289">
        <f>COUNTIF('責任職　企業局→市長部局'!A:A,SQLデータ!B1289)</f>
        <v>0</v>
      </c>
      <c r="R1289">
        <f>COUNTIF('一般職員　企業局→市長部局'!A:F,SQLデータ!B1289)</f>
        <v>0</v>
      </c>
    </row>
    <row r="1290" spans="1:18" x14ac:dyDescent="0.4">
      <c r="A1290" s="1">
        <v>202650001098</v>
      </c>
      <c r="B1290" s="1">
        <v>1196096</v>
      </c>
      <c r="C1290" s="2">
        <v>46116</v>
      </c>
      <c r="D1290" t="s">
        <v>17</v>
      </c>
      <c r="E1290" t="s">
        <v>10</v>
      </c>
      <c r="G1290" t="s">
        <v>9</v>
      </c>
      <c r="L1290">
        <f t="shared" si="101"/>
        <v>0</v>
      </c>
      <c r="M1290">
        <f t="shared" si="102"/>
        <v>0</v>
      </c>
      <c r="N1290">
        <f t="shared" si="103"/>
        <v>0</v>
      </c>
      <c r="O1290">
        <f t="shared" si="105"/>
        <v>1</v>
      </c>
      <c r="P1290" t="str">
        <f t="shared" si="104"/>
        <v/>
      </c>
      <c r="Q1290">
        <f>COUNTIF('責任職　企業局→市長部局'!A:A,SQLデータ!B1290)</f>
        <v>0</v>
      </c>
      <c r="R1290">
        <f>COUNTIF('一般職員　企業局→市長部局'!A:F,SQLデータ!B1290)</f>
        <v>0</v>
      </c>
    </row>
    <row r="1291" spans="1:18" x14ac:dyDescent="0.4">
      <c r="A1291" s="1">
        <v>202650001099</v>
      </c>
      <c r="B1291" s="1">
        <v>1096052</v>
      </c>
      <c r="C1291" s="2">
        <v>46116</v>
      </c>
      <c r="D1291" t="s">
        <v>17</v>
      </c>
      <c r="E1291" t="s">
        <v>8</v>
      </c>
      <c r="G1291" t="s">
        <v>9</v>
      </c>
      <c r="L1291">
        <f t="shared" si="101"/>
        <v>0</v>
      </c>
      <c r="M1291">
        <f t="shared" si="102"/>
        <v>0</v>
      </c>
      <c r="N1291">
        <f t="shared" si="103"/>
        <v>0</v>
      </c>
      <c r="O1291">
        <f t="shared" si="105"/>
        <v>1</v>
      </c>
      <c r="P1291" t="str">
        <f t="shared" si="104"/>
        <v/>
      </c>
      <c r="Q1291">
        <f>COUNTIF('責任職　企業局→市長部局'!A:A,SQLデータ!B1291)</f>
        <v>0</v>
      </c>
      <c r="R1291">
        <f>COUNTIF('一般職員　企業局→市長部局'!A:F,SQLデータ!B1291)</f>
        <v>0</v>
      </c>
    </row>
    <row r="1292" spans="1:18" x14ac:dyDescent="0.4">
      <c r="A1292" s="1">
        <v>202650001100</v>
      </c>
      <c r="B1292" s="1">
        <v>1256002</v>
      </c>
      <c r="C1292" s="2">
        <v>46116</v>
      </c>
      <c r="D1292" t="s">
        <v>17</v>
      </c>
      <c r="E1292" t="s">
        <v>15</v>
      </c>
      <c r="G1292" t="s">
        <v>9</v>
      </c>
      <c r="L1292">
        <f t="shared" si="101"/>
        <v>0</v>
      </c>
      <c r="M1292">
        <f t="shared" si="102"/>
        <v>0</v>
      </c>
      <c r="N1292">
        <f t="shared" si="103"/>
        <v>0</v>
      </c>
      <c r="O1292">
        <f t="shared" si="105"/>
        <v>1</v>
      </c>
      <c r="P1292" t="str">
        <f t="shared" si="104"/>
        <v/>
      </c>
      <c r="Q1292">
        <f>COUNTIF('責任職　企業局→市長部局'!A:A,SQLデータ!B1292)</f>
        <v>0</v>
      </c>
      <c r="R1292">
        <f>COUNTIF('一般職員　企業局→市長部局'!A:F,SQLデータ!B1292)</f>
        <v>0</v>
      </c>
    </row>
    <row r="1293" spans="1:18" x14ac:dyDescent="0.4">
      <c r="A1293" s="1">
        <v>202650001101</v>
      </c>
      <c r="B1293" s="1">
        <v>1111434</v>
      </c>
      <c r="C1293" s="2">
        <v>46116</v>
      </c>
      <c r="D1293" t="s">
        <v>17</v>
      </c>
      <c r="E1293" t="s">
        <v>15</v>
      </c>
      <c r="G1293" t="s">
        <v>9</v>
      </c>
      <c r="L1293">
        <f t="shared" si="101"/>
        <v>0</v>
      </c>
      <c r="M1293">
        <f t="shared" si="102"/>
        <v>0</v>
      </c>
      <c r="N1293">
        <f t="shared" si="103"/>
        <v>0</v>
      </c>
      <c r="O1293">
        <f t="shared" si="105"/>
        <v>1</v>
      </c>
      <c r="P1293" t="str">
        <f t="shared" si="104"/>
        <v/>
      </c>
      <c r="Q1293">
        <f>COUNTIF('責任職　企業局→市長部局'!A:A,SQLデータ!B1293)</f>
        <v>0</v>
      </c>
      <c r="R1293">
        <f>COUNTIF('一般職員　企業局→市長部局'!A:F,SQLデータ!B1293)</f>
        <v>0</v>
      </c>
    </row>
    <row r="1294" spans="1:18" x14ac:dyDescent="0.4">
      <c r="A1294" s="1">
        <v>202650001102</v>
      </c>
      <c r="B1294" s="1">
        <v>1176045</v>
      </c>
      <c r="C1294" s="2">
        <v>46116</v>
      </c>
      <c r="D1294" t="s">
        <v>17</v>
      </c>
      <c r="E1294" t="s">
        <v>11</v>
      </c>
      <c r="G1294" t="s">
        <v>9</v>
      </c>
      <c r="L1294">
        <f t="shared" si="101"/>
        <v>0</v>
      </c>
      <c r="M1294">
        <f t="shared" si="102"/>
        <v>0</v>
      </c>
      <c r="N1294">
        <f t="shared" si="103"/>
        <v>0</v>
      </c>
      <c r="O1294">
        <f t="shared" si="105"/>
        <v>1</v>
      </c>
      <c r="P1294" t="str">
        <f t="shared" si="104"/>
        <v/>
      </c>
      <c r="Q1294">
        <f>COUNTIF('責任職　企業局→市長部局'!A:A,SQLデータ!B1294)</f>
        <v>0</v>
      </c>
      <c r="R1294">
        <f>COUNTIF('一般職員　企業局→市長部局'!A:F,SQLデータ!B1294)</f>
        <v>0</v>
      </c>
    </row>
    <row r="1295" spans="1:18" x14ac:dyDescent="0.4">
      <c r="A1295" s="1">
        <v>202650001103</v>
      </c>
      <c r="B1295" s="1">
        <v>1116073</v>
      </c>
      <c r="C1295" s="2">
        <v>46116</v>
      </c>
      <c r="D1295" t="s">
        <v>17</v>
      </c>
      <c r="E1295" t="s">
        <v>10</v>
      </c>
      <c r="G1295" t="s">
        <v>9</v>
      </c>
      <c r="L1295">
        <f t="shared" si="101"/>
        <v>0</v>
      </c>
      <c r="M1295">
        <f t="shared" si="102"/>
        <v>0</v>
      </c>
      <c r="N1295">
        <f t="shared" si="103"/>
        <v>0</v>
      </c>
      <c r="O1295">
        <f t="shared" si="105"/>
        <v>1</v>
      </c>
      <c r="P1295" t="str">
        <f t="shared" si="104"/>
        <v/>
      </c>
      <c r="Q1295">
        <f>COUNTIF('責任職　企業局→市長部局'!A:A,SQLデータ!B1295)</f>
        <v>0</v>
      </c>
      <c r="R1295">
        <f>COUNTIF('一般職員　企業局→市長部局'!A:F,SQLデータ!B1295)</f>
        <v>0</v>
      </c>
    </row>
    <row r="1296" spans="1:18" x14ac:dyDescent="0.4">
      <c r="A1296" s="1">
        <v>202650001104</v>
      </c>
      <c r="B1296" s="1">
        <v>996043</v>
      </c>
      <c r="C1296" s="2">
        <v>46116</v>
      </c>
      <c r="D1296" t="s">
        <v>17</v>
      </c>
      <c r="E1296" t="s">
        <v>8</v>
      </c>
      <c r="G1296" t="s">
        <v>9</v>
      </c>
      <c r="L1296">
        <f t="shared" si="101"/>
        <v>0</v>
      </c>
      <c r="M1296">
        <f t="shared" si="102"/>
        <v>0</v>
      </c>
      <c r="N1296">
        <f t="shared" si="103"/>
        <v>0</v>
      </c>
      <c r="O1296">
        <f t="shared" si="105"/>
        <v>1</v>
      </c>
      <c r="P1296" t="str">
        <f t="shared" si="104"/>
        <v/>
      </c>
      <c r="Q1296">
        <f>COUNTIF('責任職　企業局→市長部局'!A:A,SQLデータ!B1296)</f>
        <v>0</v>
      </c>
      <c r="R1296">
        <f>COUNTIF('一般職員　企業局→市長部局'!A:F,SQLデータ!B1296)</f>
        <v>0</v>
      </c>
    </row>
    <row r="1297" spans="1:18" x14ac:dyDescent="0.4">
      <c r="A1297" s="1">
        <v>202650001105</v>
      </c>
      <c r="B1297" s="1">
        <v>976007</v>
      </c>
      <c r="C1297" s="2">
        <v>46116</v>
      </c>
      <c r="D1297" t="s">
        <v>17</v>
      </c>
      <c r="E1297" t="s">
        <v>11</v>
      </c>
      <c r="G1297" t="s">
        <v>9</v>
      </c>
      <c r="L1297">
        <f t="shared" si="101"/>
        <v>0</v>
      </c>
      <c r="M1297">
        <f t="shared" si="102"/>
        <v>0</v>
      </c>
      <c r="N1297">
        <f t="shared" si="103"/>
        <v>0</v>
      </c>
      <c r="O1297">
        <f t="shared" si="105"/>
        <v>1</v>
      </c>
      <c r="P1297" t="str">
        <f t="shared" si="104"/>
        <v/>
      </c>
      <c r="Q1297">
        <f>COUNTIF('責任職　企業局→市長部局'!A:A,SQLデータ!B1297)</f>
        <v>0</v>
      </c>
      <c r="R1297">
        <f>COUNTIF('一般職員　企業局→市長部局'!A:F,SQLデータ!B1297)</f>
        <v>0</v>
      </c>
    </row>
    <row r="1298" spans="1:18" x14ac:dyDescent="0.4">
      <c r="A1298" s="1">
        <v>202650001106</v>
      </c>
      <c r="B1298" s="1">
        <v>1226085</v>
      </c>
      <c r="C1298" s="2">
        <v>46116</v>
      </c>
      <c r="D1298" t="s">
        <v>17</v>
      </c>
      <c r="E1298" t="s">
        <v>10</v>
      </c>
      <c r="G1298" t="s">
        <v>9</v>
      </c>
      <c r="L1298">
        <f t="shared" si="101"/>
        <v>0</v>
      </c>
      <c r="M1298">
        <f t="shared" si="102"/>
        <v>0</v>
      </c>
      <c r="N1298">
        <f t="shared" si="103"/>
        <v>0</v>
      </c>
      <c r="O1298">
        <f t="shared" si="105"/>
        <v>1</v>
      </c>
      <c r="P1298" t="str">
        <f t="shared" si="104"/>
        <v/>
      </c>
      <c r="Q1298">
        <f>COUNTIF('責任職　企業局→市長部局'!A:A,SQLデータ!B1298)</f>
        <v>0</v>
      </c>
      <c r="R1298">
        <f>COUNTIF('一般職員　企業局→市長部局'!A:F,SQLデータ!B1298)</f>
        <v>0</v>
      </c>
    </row>
    <row r="1299" spans="1:18" x14ac:dyDescent="0.4">
      <c r="A1299" s="1">
        <v>202650001107</v>
      </c>
      <c r="B1299" s="1">
        <v>890716</v>
      </c>
      <c r="C1299" s="2">
        <v>46116</v>
      </c>
      <c r="D1299" t="s">
        <v>17</v>
      </c>
      <c r="E1299" t="s">
        <v>10</v>
      </c>
      <c r="G1299" t="s">
        <v>9</v>
      </c>
      <c r="L1299">
        <f t="shared" si="101"/>
        <v>0</v>
      </c>
      <c r="M1299">
        <f t="shared" si="102"/>
        <v>0</v>
      </c>
      <c r="N1299">
        <f t="shared" si="103"/>
        <v>0</v>
      </c>
      <c r="O1299">
        <f t="shared" si="105"/>
        <v>1</v>
      </c>
      <c r="P1299" t="str">
        <f t="shared" si="104"/>
        <v/>
      </c>
      <c r="Q1299">
        <f>COUNTIF('責任職　企業局→市長部局'!A:A,SQLデータ!B1299)</f>
        <v>0</v>
      </c>
      <c r="R1299">
        <f>COUNTIF('一般職員　企業局→市長部局'!A:F,SQLデータ!B1299)</f>
        <v>0</v>
      </c>
    </row>
    <row r="1300" spans="1:18" x14ac:dyDescent="0.4">
      <c r="A1300" s="1">
        <v>202650001108</v>
      </c>
      <c r="B1300" s="1">
        <v>1016037</v>
      </c>
      <c r="C1300" s="2">
        <v>46116</v>
      </c>
      <c r="D1300" t="s">
        <v>17</v>
      </c>
      <c r="E1300" t="s">
        <v>10</v>
      </c>
      <c r="G1300" t="s">
        <v>9</v>
      </c>
      <c r="L1300">
        <f t="shared" si="101"/>
        <v>0</v>
      </c>
      <c r="M1300">
        <f t="shared" si="102"/>
        <v>0</v>
      </c>
      <c r="N1300">
        <f t="shared" si="103"/>
        <v>0</v>
      </c>
      <c r="O1300">
        <f t="shared" si="105"/>
        <v>1</v>
      </c>
      <c r="P1300" t="str">
        <f t="shared" si="104"/>
        <v/>
      </c>
      <c r="Q1300">
        <f>COUNTIF('責任職　企業局→市長部局'!A:A,SQLデータ!B1300)</f>
        <v>0</v>
      </c>
      <c r="R1300">
        <f>COUNTIF('一般職員　企業局→市長部局'!A:F,SQLデータ!B1300)</f>
        <v>0</v>
      </c>
    </row>
    <row r="1301" spans="1:18" x14ac:dyDescent="0.4">
      <c r="A1301" s="1">
        <v>202650001109</v>
      </c>
      <c r="B1301" s="1">
        <v>1126012</v>
      </c>
      <c r="C1301" s="2">
        <v>46116</v>
      </c>
      <c r="D1301" t="s">
        <v>17</v>
      </c>
      <c r="E1301" t="s">
        <v>10</v>
      </c>
      <c r="G1301" t="s">
        <v>9</v>
      </c>
      <c r="L1301">
        <f t="shared" si="101"/>
        <v>0</v>
      </c>
      <c r="M1301">
        <f t="shared" si="102"/>
        <v>0</v>
      </c>
      <c r="N1301">
        <f t="shared" si="103"/>
        <v>0</v>
      </c>
      <c r="O1301">
        <f t="shared" si="105"/>
        <v>1</v>
      </c>
      <c r="P1301" t="str">
        <f t="shared" si="104"/>
        <v/>
      </c>
      <c r="Q1301">
        <f>COUNTIF('責任職　企業局→市長部局'!A:A,SQLデータ!B1301)</f>
        <v>0</v>
      </c>
      <c r="R1301">
        <f>COUNTIF('一般職員　企業局→市長部局'!A:F,SQLデータ!B1301)</f>
        <v>0</v>
      </c>
    </row>
    <row r="1302" spans="1:18" x14ac:dyDescent="0.4">
      <c r="A1302" s="1">
        <v>202650001110</v>
      </c>
      <c r="B1302" s="1">
        <v>1226058</v>
      </c>
      <c r="C1302" s="2">
        <v>46116</v>
      </c>
      <c r="D1302" t="s">
        <v>17</v>
      </c>
      <c r="E1302" t="s">
        <v>10</v>
      </c>
      <c r="G1302" t="s">
        <v>9</v>
      </c>
      <c r="L1302">
        <f t="shared" si="101"/>
        <v>0</v>
      </c>
      <c r="M1302">
        <f t="shared" si="102"/>
        <v>0</v>
      </c>
      <c r="N1302">
        <f t="shared" si="103"/>
        <v>0</v>
      </c>
      <c r="O1302">
        <f t="shared" si="105"/>
        <v>1</v>
      </c>
      <c r="P1302" t="str">
        <f t="shared" si="104"/>
        <v/>
      </c>
      <c r="Q1302">
        <f>COUNTIF('責任職　企業局→市長部局'!A:A,SQLデータ!B1302)</f>
        <v>0</v>
      </c>
      <c r="R1302">
        <f>COUNTIF('一般職員　企業局→市長部局'!A:F,SQLデータ!B1302)</f>
        <v>0</v>
      </c>
    </row>
    <row r="1303" spans="1:18" x14ac:dyDescent="0.4">
      <c r="A1303" s="1">
        <v>202650001111</v>
      </c>
      <c r="B1303" s="1">
        <v>1236023</v>
      </c>
      <c r="C1303" s="2">
        <v>46116</v>
      </c>
      <c r="D1303" t="s">
        <v>17</v>
      </c>
      <c r="E1303" t="s">
        <v>10</v>
      </c>
      <c r="G1303" t="s">
        <v>9</v>
      </c>
      <c r="L1303">
        <f t="shared" si="101"/>
        <v>0</v>
      </c>
      <c r="M1303">
        <f t="shared" si="102"/>
        <v>0</v>
      </c>
      <c r="N1303">
        <f t="shared" si="103"/>
        <v>0</v>
      </c>
      <c r="O1303">
        <f t="shared" si="105"/>
        <v>1</v>
      </c>
      <c r="P1303" t="str">
        <f t="shared" si="104"/>
        <v/>
      </c>
      <c r="Q1303">
        <f>COUNTIF('責任職　企業局→市長部局'!A:A,SQLデータ!B1303)</f>
        <v>0</v>
      </c>
      <c r="R1303">
        <f>COUNTIF('一般職員　企業局→市長部局'!A:F,SQLデータ!B1303)</f>
        <v>0</v>
      </c>
    </row>
    <row r="1304" spans="1:18" x14ac:dyDescent="0.4">
      <c r="A1304" s="1">
        <v>202650001112</v>
      </c>
      <c r="B1304" s="1">
        <v>1066014</v>
      </c>
      <c r="C1304" s="2">
        <v>46116</v>
      </c>
      <c r="D1304" t="s">
        <v>17</v>
      </c>
      <c r="E1304" t="s">
        <v>10</v>
      </c>
      <c r="G1304" t="s">
        <v>9</v>
      </c>
      <c r="L1304">
        <f t="shared" si="101"/>
        <v>0</v>
      </c>
      <c r="M1304">
        <f t="shared" si="102"/>
        <v>0</v>
      </c>
      <c r="N1304">
        <f t="shared" si="103"/>
        <v>0</v>
      </c>
      <c r="O1304">
        <f t="shared" si="105"/>
        <v>1</v>
      </c>
      <c r="P1304" t="str">
        <f t="shared" si="104"/>
        <v/>
      </c>
      <c r="Q1304">
        <f>COUNTIF('責任職　企業局→市長部局'!A:A,SQLデータ!B1304)</f>
        <v>0</v>
      </c>
      <c r="R1304">
        <f>COUNTIF('一般職員　企業局→市長部局'!A:F,SQLデータ!B1304)</f>
        <v>0</v>
      </c>
    </row>
    <row r="1305" spans="1:18" x14ac:dyDescent="0.4">
      <c r="A1305" s="1">
        <v>202650001113</v>
      </c>
      <c r="B1305" s="1">
        <v>1076016</v>
      </c>
      <c r="C1305" s="2">
        <v>46117</v>
      </c>
      <c r="D1305" t="s">
        <v>17</v>
      </c>
      <c r="E1305" t="s">
        <v>10</v>
      </c>
      <c r="G1305" t="s">
        <v>9</v>
      </c>
      <c r="L1305">
        <f t="shared" si="101"/>
        <v>0</v>
      </c>
      <c r="M1305">
        <f t="shared" si="102"/>
        <v>0</v>
      </c>
      <c r="N1305">
        <f t="shared" si="103"/>
        <v>0</v>
      </c>
      <c r="O1305">
        <f t="shared" si="105"/>
        <v>1</v>
      </c>
      <c r="P1305" t="str">
        <f t="shared" si="104"/>
        <v/>
      </c>
      <c r="Q1305">
        <f>COUNTIF('責任職　企業局→市長部局'!A:A,SQLデータ!B1305)</f>
        <v>0</v>
      </c>
      <c r="R1305">
        <f>COUNTIF('一般職員　企業局→市長部局'!A:F,SQLデータ!B1305)</f>
        <v>0</v>
      </c>
    </row>
    <row r="1306" spans="1:18" x14ac:dyDescent="0.4">
      <c r="A1306" s="1">
        <v>202650001114</v>
      </c>
      <c r="B1306" s="1">
        <v>890709</v>
      </c>
      <c r="C1306" s="2">
        <v>46116</v>
      </c>
      <c r="D1306" t="s">
        <v>17</v>
      </c>
      <c r="E1306" t="s">
        <v>11</v>
      </c>
      <c r="F1306" t="s">
        <v>48</v>
      </c>
      <c r="G1306" t="s">
        <v>9</v>
      </c>
      <c r="L1306">
        <f t="shared" si="101"/>
        <v>0</v>
      </c>
      <c r="M1306">
        <f t="shared" si="102"/>
        <v>0</v>
      </c>
      <c r="N1306">
        <f t="shared" si="103"/>
        <v>0</v>
      </c>
      <c r="O1306">
        <f t="shared" si="105"/>
        <v>1</v>
      </c>
      <c r="P1306" t="str">
        <f t="shared" si="104"/>
        <v/>
      </c>
      <c r="Q1306">
        <f>COUNTIF('責任職　企業局→市長部局'!A:A,SQLデータ!B1306)</f>
        <v>0</v>
      </c>
      <c r="R1306">
        <f>COUNTIF('一般職員　企業局→市長部局'!A:F,SQLデータ!B1306)</f>
        <v>0</v>
      </c>
    </row>
    <row r="1307" spans="1:18" x14ac:dyDescent="0.4">
      <c r="A1307" s="1">
        <v>202650001115</v>
      </c>
      <c r="B1307" s="1">
        <v>1216125</v>
      </c>
      <c r="C1307" s="2">
        <v>46116</v>
      </c>
      <c r="D1307" t="s">
        <v>17</v>
      </c>
      <c r="E1307" t="s">
        <v>10</v>
      </c>
      <c r="G1307" t="s">
        <v>9</v>
      </c>
      <c r="L1307">
        <f t="shared" si="101"/>
        <v>0</v>
      </c>
      <c r="M1307">
        <f t="shared" si="102"/>
        <v>0</v>
      </c>
      <c r="N1307">
        <f t="shared" si="103"/>
        <v>0</v>
      </c>
      <c r="O1307">
        <f t="shared" si="105"/>
        <v>1</v>
      </c>
      <c r="P1307" t="str">
        <f t="shared" si="104"/>
        <v/>
      </c>
      <c r="Q1307">
        <f>COUNTIF('責任職　企業局→市長部局'!A:A,SQLデータ!B1307)</f>
        <v>0</v>
      </c>
      <c r="R1307">
        <f>COUNTIF('一般職員　企業局→市長部局'!A:F,SQLデータ!B1307)</f>
        <v>0</v>
      </c>
    </row>
    <row r="1308" spans="1:18" x14ac:dyDescent="0.4">
      <c r="A1308" s="1">
        <v>202650001116</v>
      </c>
      <c r="B1308" s="1">
        <v>1196030</v>
      </c>
      <c r="C1308" s="2">
        <v>46116</v>
      </c>
      <c r="D1308" t="s">
        <v>17</v>
      </c>
      <c r="E1308" t="s">
        <v>10</v>
      </c>
      <c r="G1308" t="s">
        <v>9</v>
      </c>
      <c r="L1308">
        <f t="shared" si="101"/>
        <v>0</v>
      </c>
      <c r="M1308">
        <f t="shared" si="102"/>
        <v>0</v>
      </c>
      <c r="N1308">
        <f t="shared" si="103"/>
        <v>0</v>
      </c>
      <c r="O1308">
        <f t="shared" si="105"/>
        <v>1</v>
      </c>
      <c r="P1308" t="str">
        <f t="shared" si="104"/>
        <v/>
      </c>
      <c r="Q1308">
        <f>COUNTIF('責任職　企業局→市長部局'!A:A,SQLデータ!B1308)</f>
        <v>0</v>
      </c>
      <c r="R1308">
        <f>COUNTIF('一般職員　企業局→市長部局'!A:F,SQLデータ!B1308)</f>
        <v>0</v>
      </c>
    </row>
    <row r="1309" spans="1:18" x14ac:dyDescent="0.4">
      <c r="A1309" s="1">
        <v>202650001117</v>
      </c>
      <c r="B1309" s="1">
        <v>1186041</v>
      </c>
      <c r="C1309" s="2">
        <v>46116</v>
      </c>
      <c r="D1309" t="s">
        <v>17</v>
      </c>
      <c r="E1309" t="s">
        <v>8</v>
      </c>
      <c r="G1309" t="s">
        <v>9</v>
      </c>
      <c r="L1309">
        <f t="shared" si="101"/>
        <v>0</v>
      </c>
      <c r="M1309">
        <f t="shared" si="102"/>
        <v>0</v>
      </c>
      <c r="N1309">
        <f t="shared" si="103"/>
        <v>0</v>
      </c>
      <c r="O1309">
        <f t="shared" si="105"/>
        <v>1</v>
      </c>
      <c r="P1309" t="str">
        <f t="shared" si="104"/>
        <v/>
      </c>
      <c r="Q1309">
        <f>COUNTIF('責任職　企業局→市長部局'!A:A,SQLデータ!B1309)</f>
        <v>0</v>
      </c>
      <c r="R1309">
        <f>COUNTIF('一般職員　企業局→市長部局'!A:F,SQLデータ!B1309)</f>
        <v>0</v>
      </c>
    </row>
    <row r="1310" spans="1:18" x14ac:dyDescent="0.4">
      <c r="A1310" s="1">
        <v>202650001118</v>
      </c>
      <c r="B1310" s="1">
        <v>1146018</v>
      </c>
      <c r="C1310" s="2">
        <v>46116</v>
      </c>
      <c r="D1310" t="s">
        <v>17</v>
      </c>
      <c r="E1310" t="s">
        <v>10</v>
      </c>
      <c r="G1310" t="s">
        <v>9</v>
      </c>
      <c r="L1310">
        <f t="shared" si="101"/>
        <v>0</v>
      </c>
      <c r="M1310">
        <f t="shared" si="102"/>
        <v>0</v>
      </c>
      <c r="N1310">
        <f t="shared" si="103"/>
        <v>0</v>
      </c>
      <c r="O1310">
        <f t="shared" si="105"/>
        <v>1</v>
      </c>
      <c r="P1310" t="str">
        <f t="shared" si="104"/>
        <v/>
      </c>
      <c r="Q1310">
        <f>COUNTIF('責任職　企業局→市長部局'!A:A,SQLデータ!B1310)</f>
        <v>0</v>
      </c>
      <c r="R1310">
        <f>COUNTIF('一般職員　企業局→市長部局'!A:F,SQLデータ!B1310)</f>
        <v>0</v>
      </c>
    </row>
    <row r="1311" spans="1:18" x14ac:dyDescent="0.4">
      <c r="A1311" s="1">
        <v>202650001119</v>
      </c>
      <c r="B1311" s="1">
        <v>1186069</v>
      </c>
      <c r="C1311" s="2">
        <v>46116</v>
      </c>
      <c r="D1311" t="s">
        <v>17</v>
      </c>
      <c r="E1311" t="s">
        <v>8</v>
      </c>
      <c r="G1311" t="s">
        <v>9</v>
      </c>
      <c r="L1311">
        <f t="shared" si="101"/>
        <v>0</v>
      </c>
      <c r="M1311">
        <f t="shared" si="102"/>
        <v>0</v>
      </c>
      <c r="N1311">
        <f t="shared" si="103"/>
        <v>0</v>
      </c>
      <c r="O1311">
        <f t="shared" si="105"/>
        <v>1</v>
      </c>
      <c r="P1311" t="str">
        <f t="shared" si="104"/>
        <v/>
      </c>
      <c r="Q1311">
        <f>COUNTIF('責任職　企業局→市長部局'!A:A,SQLデータ!B1311)</f>
        <v>0</v>
      </c>
      <c r="R1311">
        <f>COUNTIF('一般職員　企業局→市長部局'!A:F,SQLデータ!B1311)</f>
        <v>0</v>
      </c>
    </row>
    <row r="1312" spans="1:18" x14ac:dyDescent="0.4">
      <c r="A1312" s="1">
        <v>202650001120</v>
      </c>
      <c r="B1312" s="1">
        <v>1206068</v>
      </c>
      <c r="C1312" s="2">
        <v>46118</v>
      </c>
      <c r="D1312" t="s">
        <v>17</v>
      </c>
      <c r="E1312" t="s">
        <v>8</v>
      </c>
      <c r="F1312" t="s">
        <v>47</v>
      </c>
      <c r="G1312" t="s">
        <v>9</v>
      </c>
      <c r="L1312">
        <f t="shared" si="101"/>
        <v>0</v>
      </c>
      <c r="M1312">
        <f t="shared" si="102"/>
        <v>0</v>
      </c>
      <c r="N1312">
        <f t="shared" si="103"/>
        <v>0</v>
      </c>
      <c r="O1312">
        <f t="shared" si="105"/>
        <v>1</v>
      </c>
      <c r="P1312" t="str">
        <f t="shared" si="104"/>
        <v/>
      </c>
      <c r="Q1312">
        <f>COUNTIF('責任職　企業局→市長部局'!A:A,SQLデータ!B1312)</f>
        <v>0</v>
      </c>
      <c r="R1312">
        <f>COUNTIF('一般職員　企業局→市長部局'!A:F,SQLデータ!B1312)</f>
        <v>0</v>
      </c>
    </row>
    <row r="1313" spans="1:18" x14ac:dyDescent="0.4">
      <c r="A1313" s="1">
        <v>202650001121</v>
      </c>
      <c r="B1313" s="1">
        <v>1016031</v>
      </c>
      <c r="C1313" s="2">
        <v>46116</v>
      </c>
      <c r="D1313" t="s">
        <v>17</v>
      </c>
      <c r="E1313" t="s">
        <v>8</v>
      </c>
      <c r="F1313" t="s">
        <v>47</v>
      </c>
      <c r="G1313" t="s">
        <v>9</v>
      </c>
      <c r="L1313">
        <f t="shared" si="101"/>
        <v>0</v>
      </c>
      <c r="M1313">
        <f t="shared" si="102"/>
        <v>0</v>
      </c>
      <c r="N1313">
        <f t="shared" si="103"/>
        <v>0</v>
      </c>
      <c r="O1313">
        <f t="shared" si="105"/>
        <v>1</v>
      </c>
      <c r="P1313" t="str">
        <f t="shared" si="104"/>
        <v/>
      </c>
      <c r="Q1313">
        <f>COUNTIF('責任職　企業局→市長部局'!A:A,SQLデータ!B1313)</f>
        <v>0</v>
      </c>
      <c r="R1313">
        <f>COUNTIF('一般職員　企業局→市長部局'!A:F,SQLデータ!B1313)</f>
        <v>0</v>
      </c>
    </row>
    <row r="1314" spans="1:18" x14ac:dyDescent="0.4">
      <c r="A1314" s="1">
        <v>202650001122</v>
      </c>
      <c r="B1314" s="1">
        <v>1246095</v>
      </c>
      <c r="C1314" s="2">
        <v>46116</v>
      </c>
      <c r="D1314" t="s">
        <v>17</v>
      </c>
      <c r="E1314" t="s">
        <v>10</v>
      </c>
      <c r="G1314" t="s">
        <v>9</v>
      </c>
      <c r="L1314">
        <f t="shared" si="101"/>
        <v>0</v>
      </c>
      <c r="M1314">
        <f t="shared" si="102"/>
        <v>0</v>
      </c>
      <c r="N1314">
        <f t="shared" si="103"/>
        <v>0</v>
      </c>
      <c r="O1314">
        <f t="shared" si="105"/>
        <v>1</v>
      </c>
      <c r="P1314" t="str">
        <f t="shared" si="104"/>
        <v/>
      </c>
      <c r="Q1314">
        <f>COUNTIF('責任職　企業局→市長部局'!A:A,SQLデータ!B1314)</f>
        <v>0</v>
      </c>
      <c r="R1314">
        <f>COUNTIF('一般職員　企業局→市長部局'!A:F,SQLデータ!B1314)</f>
        <v>0</v>
      </c>
    </row>
    <row r="1315" spans="1:18" x14ac:dyDescent="0.4">
      <c r="A1315" s="1">
        <v>202650001123</v>
      </c>
      <c r="B1315" s="1">
        <v>1206024</v>
      </c>
      <c r="C1315" s="2">
        <v>46116</v>
      </c>
      <c r="D1315" t="s">
        <v>17</v>
      </c>
      <c r="E1315" t="s">
        <v>8</v>
      </c>
      <c r="G1315" t="s">
        <v>9</v>
      </c>
      <c r="L1315">
        <f t="shared" si="101"/>
        <v>0</v>
      </c>
      <c r="M1315">
        <f t="shared" si="102"/>
        <v>0</v>
      </c>
      <c r="N1315">
        <f t="shared" si="103"/>
        <v>0</v>
      </c>
      <c r="O1315">
        <f t="shared" si="105"/>
        <v>1</v>
      </c>
      <c r="P1315" t="str">
        <f t="shared" si="104"/>
        <v/>
      </c>
      <c r="Q1315">
        <f>COUNTIF('責任職　企業局→市長部局'!A:A,SQLデータ!B1315)</f>
        <v>0</v>
      </c>
      <c r="R1315">
        <f>COUNTIF('一般職員　企業局→市長部局'!A:F,SQLデータ!B1315)</f>
        <v>0</v>
      </c>
    </row>
    <row r="1316" spans="1:18" x14ac:dyDescent="0.4">
      <c r="A1316" s="1">
        <v>202650001124</v>
      </c>
      <c r="B1316" s="1">
        <v>1196073</v>
      </c>
      <c r="C1316" s="2">
        <v>46116</v>
      </c>
      <c r="D1316" t="s">
        <v>17</v>
      </c>
      <c r="E1316" t="s">
        <v>10</v>
      </c>
      <c r="G1316" t="s">
        <v>9</v>
      </c>
      <c r="L1316">
        <f t="shared" si="101"/>
        <v>0</v>
      </c>
      <c r="M1316">
        <f t="shared" si="102"/>
        <v>0</v>
      </c>
      <c r="N1316">
        <f t="shared" si="103"/>
        <v>0</v>
      </c>
      <c r="O1316">
        <f t="shared" si="105"/>
        <v>1</v>
      </c>
      <c r="P1316" t="str">
        <f t="shared" si="104"/>
        <v/>
      </c>
      <c r="Q1316">
        <f>COUNTIF('責任職　企業局→市長部局'!A:A,SQLデータ!B1316)</f>
        <v>0</v>
      </c>
      <c r="R1316">
        <f>COUNTIF('一般職員　企業局→市長部局'!A:F,SQLデータ!B1316)</f>
        <v>0</v>
      </c>
    </row>
    <row r="1317" spans="1:18" x14ac:dyDescent="0.4">
      <c r="A1317" s="1">
        <v>202650001125</v>
      </c>
      <c r="B1317" s="1">
        <v>1216035</v>
      </c>
      <c r="C1317" s="2">
        <v>46116</v>
      </c>
      <c r="D1317" t="s">
        <v>17</v>
      </c>
      <c r="E1317" t="s">
        <v>10</v>
      </c>
      <c r="G1317" t="s">
        <v>9</v>
      </c>
      <c r="L1317">
        <f t="shared" si="101"/>
        <v>0</v>
      </c>
      <c r="M1317">
        <f t="shared" si="102"/>
        <v>0</v>
      </c>
      <c r="N1317">
        <f t="shared" si="103"/>
        <v>0</v>
      </c>
      <c r="O1317">
        <f t="shared" si="105"/>
        <v>1</v>
      </c>
      <c r="P1317" t="str">
        <f t="shared" si="104"/>
        <v/>
      </c>
      <c r="Q1317">
        <f>COUNTIF('責任職　企業局→市長部局'!A:A,SQLデータ!B1317)</f>
        <v>0</v>
      </c>
      <c r="R1317">
        <f>COUNTIF('一般職員　企業局→市長部局'!A:F,SQLデータ!B1317)</f>
        <v>0</v>
      </c>
    </row>
    <row r="1318" spans="1:18" x14ac:dyDescent="0.4">
      <c r="A1318" s="1">
        <v>202650001126</v>
      </c>
      <c r="B1318" s="1">
        <v>920124</v>
      </c>
      <c r="C1318" s="2">
        <v>46116</v>
      </c>
      <c r="D1318" t="s">
        <v>17</v>
      </c>
      <c r="E1318" t="s">
        <v>10</v>
      </c>
      <c r="G1318" t="s">
        <v>9</v>
      </c>
      <c r="L1318">
        <f t="shared" si="101"/>
        <v>0</v>
      </c>
      <c r="M1318">
        <f t="shared" si="102"/>
        <v>0</v>
      </c>
      <c r="N1318">
        <f t="shared" si="103"/>
        <v>0</v>
      </c>
      <c r="O1318">
        <f t="shared" si="105"/>
        <v>1</v>
      </c>
      <c r="P1318" t="str">
        <f t="shared" si="104"/>
        <v/>
      </c>
      <c r="Q1318">
        <f>COUNTIF('責任職　企業局→市長部局'!A:A,SQLデータ!B1318)</f>
        <v>0</v>
      </c>
      <c r="R1318">
        <f>COUNTIF('一般職員　企業局→市長部局'!A:F,SQLデータ!B1318)</f>
        <v>0</v>
      </c>
    </row>
    <row r="1319" spans="1:18" x14ac:dyDescent="0.4">
      <c r="A1319" s="1">
        <v>202650001127</v>
      </c>
      <c r="B1319" s="1">
        <v>910075</v>
      </c>
      <c r="C1319" s="2">
        <v>46116</v>
      </c>
      <c r="D1319" t="s">
        <v>17</v>
      </c>
      <c r="E1319" t="s">
        <v>10</v>
      </c>
      <c r="G1319" t="s">
        <v>9</v>
      </c>
      <c r="L1319">
        <f t="shared" si="101"/>
        <v>0</v>
      </c>
      <c r="M1319">
        <f t="shared" si="102"/>
        <v>0</v>
      </c>
      <c r="N1319">
        <f t="shared" si="103"/>
        <v>0</v>
      </c>
      <c r="O1319">
        <f t="shared" si="105"/>
        <v>1</v>
      </c>
      <c r="P1319" t="str">
        <f t="shared" si="104"/>
        <v/>
      </c>
      <c r="Q1319">
        <f>COUNTIF('責任職　企業局→市長部局'!A:A,SQLデータ!B1319)</f>
        <v>0</v>
      </c>
      <c r="R1319">
        <f>COUNTIF('一般職員　企業局→市長部局'!A:F,SQLデータ!B1319)</f>
        <v>0</v>
      </c>
    </row>
    <row r="1320" spans="1:18" x14ac:dyDescent="0.4">
      <c r="A1320" s="1">
        <v>202650001128</v>
      </c>
      <c r="B1320" s="1">
        <v>1136020</v>
      </c>
      <c r="C1320" s="2">
        <v>46116</v>
      </c>
      <c r="D1320" t="s">
        <v>17</v>
      </c>
      <c r="E1320" t="s">
        <v>10</v>
      </c>
      <c r="G1320" t="s">
        <v>9</v>
      </c>
      <c r="L1320">
        <f t="shared" si="101"/>
        <v>0</v>
      </c>
      <c r="M1320">
        <f t="shared" si="102"/>
        <v>0</v>
      </c>
      <c r="N1320">
        <f t="shared" si="103"/>
        <v>0</v>
      </c>
      <c r="O1320">
        <f t="shared" si="105"/>
        <v>1</v>
      </c>
      <c r="P1320" t="str">
        <f t="shared" si="104"/>
        <v/>
      </c>
      <c r="Q1320">
        <f>COUNTIF('責任職　企業局→市長部局'!A:A,SQLデータ!B1320)</f>
        <v>0</v>
      </c>
      <c r="R1320">
        <f>COUNTIF('一般職員　企業局→市長部局'!A:F,SQLデータ!B1320)</f>
        <v>0</v>
      </c>
    </row>
    <row r="1321" spans="1:18" x14ac:dyDescent="0.4">
      <c r="A1321" s="1">
        <v>202650001129</v>
      </c>
      <c r="B1321" s="1">
        <v>1018052</v>
      </c>
      <c r="C1321" s="2">
        <v>46116</v>
      </c>
      <c r="D1321" t="s">
        <v>17</v>
      </c>
      <c r="E1321" t="s">
        <v>10</v>
      </c>
      <c r="G1321" t="s">
        <v>9</v>
      </c>
      <c r="L1321">
        <f t="shared" si="101"/>
        <v>0</v>
      </c>
      <c r="M1321">
        <f t="shared" si="102"/>
        <v>0</v>
      </c>
      <c r="N1321">
        <f t="shared" si="103"/>
        <v>0</v>
      </c>
      <c r="O1321">
        <f t="shared" si="105"/>
        <v>1</v>
      </c>
      <c r="P1321" t="str">
        <f t="shared" si="104"/>
        <v/>
      </c>
      <c r="Q1321">
        <f>COUNTIF('責任職　企業局→市長部局'!A:A,SQLデータ!B1321)</f>
        <v>0</v>
      </c>
      <c r="R1321">
        <f>COUNTIF('一般職員　企業局→市長部局'!A:F,SQLデータ!B1321)</f>
        <v>0</v>
      </c>
    </row>
    <row r="1322" spans="1:18" x14ac:dyDescent="0.4">
      <c r="A1322" s="1">
        <v>202650001130</v>
      </c>
      <c r="B1322" s="1">
        <v>1246051</v>
      </c>
      <c r="C1322" s="2">
        <v>46116</v>
      </c>
      <c r="D1322" t="s">
        <v>17</v>
      </c>
      <c r="E1322" t="s">
        <v>10</v>
      </c>
      <c r="G1322" t="s">
        <v>9</v>
      </c>
      <c r="L1322">
        <f t="shared" si="101"/>
        <v>0</v>
      </c>
      <c r="M1322">
        <f t="shared" si="102"/>
        <v>0</v>
      </c>
      <c r="N1322">
        <f t="shared" si="103"/>
        <v>0</v>
      </c>
      <c r="O1322">
        <f t="shared" si="105"/>
        <v>1</v>
      </c>
      <c r="P1322" t="str">
        <f t="shared" si="104"/>
        <v/>
      </c>
      <c r="Q1322">
        <f>COUNTIF('責任職　企業局→市長部局'!A:A,SQLデータ!B1322)</f>
        <v>0</v>
      </c>
      <c r="R1322">
        <f>COUNTIF('一般職員　企業局→市長部局'!A:F,SQLデータ!B1322)</f>
        <v>0</v>
      </c>
    </row>
    <row r="1323" spans="1:18" x14ac:dyDescent="0.4">
      <c r="A1323" s="1">
        <v>202650001131</v>
      </c>
      <c r="B1323" s="1">
        <v>960019</v>
      </c>
      <c r="C1323" s="2">
        <v>46116</v>
      </c>
      <c r="D1323" t="s">
        <v>17</v>
      </c>
      <c r="E1323" t="s">
        <v>10</v>
      </c>
      <c r="G1323" t="s">
        <v>9</v>
      </c>
      <c r="L1323">
        <f t="shared" si="101"/>
        <v>0</v>
      </c>
      <c r="M1323">
        <f t="shared" si="102"/>
        <v>0</v>
      </c>
      <c r="N1323">
        <f t="shared" si="103"/>
        <v>0</v>
      </c>
      <c r="O1323">
        <f t="shared" si="105"/>
        <v>1</v>
      </c>
      <c r="P1323" t="str">
        <f t="shared" si="104"/>
        <v/>
      </c>
      <c r="Q1323">
        <f>COUNTIF('責任職　企業局→市長部局'!A:A,SQLデータ!B1323)</f>
        <v>0</v>
      </c>
      <c r="R1323">
        <f>COUNTIF('一般職員　企業局→市長部局'!A:F,SQLデータ!B1323)</f>
        <v>0</v>
      </c>
    </row>
    <row r="1324" spans="1:18" x14ac:dyDescent="0.4">
      <c r="A1324" s="1">
        <v>202650001132</v>
      </c>
      <c r="B1324" s="1">
        <v>1036045</v>
      </c>
      <c r="C1324" s="2">
        <v>46116</v>
      </c>
      <c r="D1324" t="s">
        <v>17</v>
      </c>
      <c r="E1324" t="s">
        <v>10</v>
      </c>
      <c r="G1324" t="s">
        <v>9</v>
      </c>
      <c r="L1324">
        <f t="shared" si="101"/>
        <v>0</v>
      </c>
      <c r="M1324">
        <f t="shared" si="102"/>
        <v>0</v>
      </c>
      <c r="N1324">
        <f t="shared" si="103"/>
        <v>0</v>
      </c>
      <c r="O1324">
        <f t="shared" si="105"/>
        <v>1</v>
      </c>
      <c r="P1324" t="str">
        <f t="shared" si="104"/>
        <v/>
      </c>
      <c r="Q1324">
        <f>COUNTIF('責任職　企業局→市長部局'!A:A,SQLデータ!B1324)</f>
        <v>0</v>
      </c>
      <c r="R1324">
        <f>COUNTIF('一般職員　企業局→市長部局'!A:F,SQLデータ!B1324)</f>
        <v>0</v>
      </c>
    </row>
    <row r="1325" spans="1:18" x14ac:dyDescent="0.4">
      <c r="A1325" s="1">
        <v>202650001133</v>
      </c>
      <c r="B1325" s="1">
        <v>1226063</v>
      </c>
      <c r="C1325" s="2">
        <v>46116</v>
      </c>
      <c r="D1325" t="s">
        <v>17</v>
      </c>
      <c r="E1325" t="s">
        <v>8</v>
      </c>
      <c r="G1325" t="s">
        <v>9</v>
      </c>
      <c r="L1325">
        <f t="shared" si="101"/>
        <v>0</v>
      </c>
      <c r="M1325">
        <f t="shared" si="102"/>
        <v>0</v>
      </c>
      <c r="N1325">
        <f t="shared" si="103"/>
        <v>0</v>
      </c>
      <c r="O1325">
        <f t="shared" si="105"/>
        <v>1</v>
      </c>
      <c r="P1325" t="str">
        <f t="shared" si="104"/>
        <v/>
      </c>
      <c r="Q1325">
        <f>COUNTIF('責任職　企業局→市長部局'!A:A,SQLデータ!B1325)</f>
        <v>0</v>
      </c>
      <c r="R1325">
        <f>COUNTIF('一般職員　企業局→市長部局'!A:F,SQLデータ!B1325)</f>
        <v>0</v>
      </c>
    </row>
    <row r="1326" spans="1:18" x14ac:dyDescent="0.4">
      <c r="A1326" s="1">
        <v>202650001134</v>
      </c>
      <c r="B1326" s="1">
        <v>1206004</v>
      </c>
      <c r="C1326" s="2">
        <v>46116</v>
      </c>
      <c r="D1326" t="s">
        <v>17</v>
      </c>
      <c r="E1326" t="s">
        <v>10</v>
      </c>
      <c r="G1326" t="s">
        <v>9</v>
      </c>
      <c r="L1326">
        <f t="shared" si="101"/>
        <v>0</v>
      </c>
      <c r="M1326">
        <f t="shared" si="102"/>
        <v>0</v>
      </c>
      <c r="N1326">
        <f t="shared" si="103"/>
        <v>0</v>
      </c>
      <c r="O1326">
        <f t="shared" si="105"/>
        <v>1</v>
      </c>
      <c r="P1326" t="str">
        <f t="shared" si="104"/>
        <v/>
      </c>
      <c r="Q1326">
        <f>COUNTIF('責任職　企業局→市長部局'!A:A,SQLデータ!B1326)</f>
        <v>0</v>
      </c>
      <c r="R1326">
        <f>COUNTIF('一般職員　企業局→市長部局'!A:F,SQLデータ!B1326)</f>
        <v>0</v>
      </c>
    </row>
    <row r="1327" spans="1:18" x14ac:dyDescent="0.4">
      <c r="A1327" s="1">
        <v>202650001135</v>
      </c>
      <c r="B1327" s="1">
        <v>1244091</v>
      </c>
      <c r="C1327" s="2">
        <v>46113</v>
      </c>
      <c r="D1327" t="s">
        <v>17</v>
      </c>
      <c r="E1327" t="s">
        <v>8</v>
      </c>
      <c r="F1327" t="s">
        <v>47</v>
      </c>
      <c r="G1327" t="s">
        <v>9</v>
      </c>
      <c r="L1327">
        <f t="shared" si="101"/>
        <v>0</v>
      </c>
      <c r="M1327">
        <f t="shared" si="102"/>
        <v>0</v>
      </c>
      <c r="N1327">
        <f t="shared" si="103"/>
        <v>0</v>
      </c>
      <c r="O1327">
        <f t="shared" si="105"/>
        <v>1</v>
      </c>
      <c r="P1327" t="str">
        <f t="shared" si="104"/>
        <v/>
      </c>
      <c r="Q1327">
        <f>COUNTIF('責任職　企業局→市長部局'!A:A,SQLデータ!B1327)</f>
        <v>0</v>
      </c>
      <c r="R1327">
        <f>COUNTIF('一般職員　企業局→市長部局'!A:F,SQLデータ!B1327)</f>
        <v>0</v>
      </c>
    </row>
    <row r="1328" spans="1:18" x14ac:dyDescent="0.4">
      <c r="A1328" s="1">
        <v>202650001136</v>
      </c>
      <c r="B1328" s="1">
        <v>1186116</v>
      </c>
      <c r="C1328" s="2">
        <v>46116</v>
      </c>
      <c r="D1328" t="s">
        <v>17</v>
      </c>
      <c r="E1328" t="s">
        <v>10</v>
      </c>
      <c r="G1328" t="s">
        <v>9</v>
      </c>
      <c r="L1328">
        <f t="shared" si="101"/>
        <v>0</v>
      </c>
      <c r="M1328">
        <f t="shared" si="102"/>
        <v>0</v>
      </c>
      <c r="N1328">
        <f t="shared" si="103"/>
        <v>0</v>
      </c>
      <c r="O1328">
        <f t="shared" si="105"/>
        <v>1</v>
      </c>
      <c r="P1328" t="str">
        <f t="shared" si="104"/>
        <v/>
      </c>
      <c r="Q1328">
        <f>COUNTIF('責任職　企業局→市長部局'!A:A,SQLデータ!B1328)</f>
        <v>0</v>
      </c>
      <c r="R1328">
        <f>COUNTIF('一般職員　企業局→市長部局'!A:F,SQLデータ!B1328)</f>
        <v>0</v>
      </c>
    </row>
    <row r="1329" spans="1:18" x14ac:dyDescent="0.4">
      <c r="A1329" s="1">
        <v>202650001137</v>
      </c>
      <c r="B1329" s="1">
        <v>1096098</v>
      </c>
      <c r="C1329" s="2">
        <v>46116</v>
      </c>
      <c r="D1329" t="s">
        <v>17</v>
      </c>
      <c r="E1329" t="s">
        <v>10</v>
      </c>
      <c r="G1329" t="s">
        <v>9</v>
      </c>
      <c r="L1329">
        <f t="shared" si="101"/>
        <v>0</v>
      </c>
      <c r="M1329">
        <f t="shared" si="102"/>
        <v>0</v>
      </c>
      <c r="N1329">
        <f t="shared" si="103"/>
        <v>0</v>
      </c>
      <c r="O1329">
        <f t="shared" si="105"/>
        <v>1</v>
      </c>
      <c r="P1329" t="str">
        <f t="shared" si="104"/>
        <v/>
      </c>
      <c r="Q1329">
        <f>COUNTIF('責任職　企業局→市長部局'!A:A,SQLデータ!B1329)</f>
        <v>0</v>
      </c>
      <c r="R1329">
        <f>COUNTIF('一般職員　企業局→市長部局'!A:F,SQLデータ!B1329)</f>
        <v>0</v>
      </c>
    </row>
    <row r="1330" spans="1:18" x14ac:dyDescent="0.4">
      <c r="A1330" s="1">
        <v>202650001138</v>
      </c>
      <c r="B1330" s="1">
        <v>1254046</v>
      </c>
      <c r="C1330" s="2">
        <v>46113</v>
      </c>
      <c r="D1330" t="s">
        <v>17</v>
      </c>
      <c r="E1330" t="s">
        <v>8</v>
      </c>
      <c r="F1330" t="s">
        <v>47</v>
      </c>
      <c r="G1330" t="s">
        <v>9</v>
      </c>
      <c r="L1330">
        <f t="shared" si="101"/>
        <v>0</v>
      </c>
      <c r="M1330">
        <f t="shared" si="102"/>
        <v>0</v>
      </c>
      <c r="N1330">
        <f t="shared" si="103"/>
        <v>0</v>
      </c>
      <c r="O1330">
        <f t="shared" si="105"/>
        <v>1</v>
      </c>
      <c r="P1330" t="str">
        <f t="shared" si="104"/>
        <v/>
      </c>
      <c r="Q1330">
        <f>COUNTIF('責任職　企業局→市長部局'!A:A,SQLデータ!B1330)</f>
        <v>0</v>
      </c>
      <c r="R1330">
        <f>COUNTIF('一般職員　企業局→市長部局'!A:F,SQLデータ!B1330)</f>
        <v>0</v>
      </c>
    </row>
    <row r="1331" spans="1:18" x14ac:dyDescent="0.4">
      <c r="A1331" s="1">
        <v>202650001139</v>
      </c>
      <c r="B1331" s="1">
        <v>1244079</v>
      </c>
      <c r="C1331" s="2">
        <v>46113</v>
      </c>
      <c r="D1331" t="s">
        <v>17</v>
      </c>
      <c r="E1331" t="s">
        <v>8</v>
      </c>
      <c r="F1331" t="s">
        <v>47</v>
      </c>
      <c r="G1331" t="s">
        <v>9</v>
      </c>
      <c r="L1331">
        <f t="shared" si="101"/>
        <v>0</v>
      </c>
      <c r="M1331">
        <f t="shared" si="102"/>
        <v>0</v>
      </c>
      <c r="N1331">
        <f t="shared" si="103"/>
        <v>0</v>
      </c>
      <c r="O1331">
        <f t="shared" si="105"/>
        <v>1</v>
      </c>
      <c r="P1331" t="str">
        <f t="shared" si="104"/>
        <v/>
      </c>
      <c r="Q1331">
        <f>COUNTIF('責任職　企業局→市長部局'!A:A,SQLデータ!B1331)</f>
        <v>0</v>
      </c>
      <c r="R1331">
        <f>COUNTIF('一般職員　企業局→市長部局'!A:F,SQLデータ!B1331)</f>
        <v>0</v>
      </c>
    </row>
    <row r="1332" spans="1:18" x14ac:dyDescent="0.4">
      <c r="A1332" s="1">
        <v>202650001140</v>
      </c>
      <c r="B1332" s="1">
        <v>1154004</v>
      </c>
      <c r="C1332" s="2">
        <v>46113</v>
      </c>
      <c r="D1332" t="s">
        <v>17</v>
      </c>
      <c r="E1332" t="s">
        <v>8</v>
      </c>
      <c r="F1332" t="s">
        <v>47</v>
      </c>
      <c r="G1332" t="s">
        <v>9</v>
      </c>
      <c r="L1332">
        <f t="shared" si="101"/>
        <v>0</v>
      </c>
      <c r="M1332">
        <f t="shared" si="102"/>
        <v>0</v>
      </c>
      <c r="N1332">
        <f t="shared" si="103"/>
        <v>0</v>
      </c>
      <c r="O1332">
        <f t="shared" si="105"/>
        <v>1</v>
      </c>
      <c r="P1332" t="str">
        <f t="shared" si="104"/>
        <v/>
      </c>
      <c r="Q1332">
        <f>COUNTIF('責任職　企業局→市長部局'!A:A,SQLデータ!B1332)</f>
        <v>0</v>
      </c>
      <c r="R1332">
        <f>COUNTIF('一般職員　企業局→市長部局'!A:F,SQLデータ!B1332)</f>
        <v>0</v>
      </c>
    </row>
    <row r="1333" spans="1:18" x14ac:dyDescent="0.4">
      <c r="A1333" s="1">
        <v>202650001141</v>
      </c>
      <c r="B1333" s="1">
        <v>1116070</v>
      </c>
      <c r="C1333" s="2">
        <v>46116</v>
      </c>
      <c r="D1333" t="s">
        <v>17</v>
      </c>
      <c r="E1333" t="s">
        <v>8</v>
      </c>
      <c r="F1333" t="s">
        <v>47</v>
      </c>
      <c r="G1333" t="s">
        <v>9</v>
      </c>
      <c r="L1333">
        <f t="shared" si="101"/>
        <v>0</v>
      </c>
      <c r="M1333">
        <f t="shared" si="102"/>
        <v>0</v>
      </c>
      <c r="N1333">
        <f t="shared" si="103"/>
        <v>0</v>
      </c>
      <c r="O1333">
        <f t="shared" si="105"/>
        <v>1</v>
      </c>
      <c r="P1333" t="str">
        <f t="shared" si="104"/>
        <v/>
      </c>
      <c r="Q1333">
        <f>COUNTIF('責任職　企業局→市長部局'!A:A,SQLデータ!B1333)</f>
        <v>0</v>
      </c>
      <c r="R1333">
        <f>COUNTIF('一般職員　企業局→市長部局'!A:F,SQLデータ!B1333)</f>
        <v>0</v>
      </c>
    </row>
    <row r="1334" spans="1:18" x14ac:dyDescent="0.4">
      <c r="A1334" s="1">
        <v>202650001142</v>
      </c>
      <c r="B1334" s="1">
        <v>1144029</v>
      </c>
      <c r="C1334" s="2">
        <v>46113</v>
      </c>
      <c r="D1334" t="s">
        <v>17</v>
      </c>
      <c r="E1334" t="s">
        <v>8</v>
      </c>
      <c r="F1334" t="s">
        <v>47</v>
      </c>
      <c r="G1334" t="s">
        <v>9</v>
      </c>
      <c r="L1334">
        <f t="shared" si="101"/>
        <v>0</v>
      </c>
      <c r="M1334">
        <f t="shared" si="102"/>
        <v>0</v>
      </c>
      <c r="N1334">
        <f t="shared" si="103"/>
        <v>0</v>
      </c>
      <c r="O1334">
        <f t="shared" si="105"/>
        <v>1</v>
      </c>
      <c r="P1334" t="str">
        <f t="shared" si="104"/>
        <v/>
      </c>
      <c r="Q1334">
        <f>COUNTIF('責任職　企業局→市長部局'!A:A,SQLデータ!B1334)</f>
        <v>0</v>
      </c>
      <c r="R1334">
        <f>COUNTIF('一般職員　企業局→市長部局'!A:F,SQLデータ!B1334)</f>
        <v>0</v>
      </c>
    </row>
    <row r="1335" spans="1:18" x14ac:dyDescent="0.4">
      <c r="A1335" s="1">
        <v>202650001143</v>
      </c>
      <c r="B1335" s="1">
        <v>1224096</v>
      </c>
      <c r="C1335" s="2">
        <v>46113</v>
      </c>
      <c r="D1335" t="s">
        <v>17</v>
      </c>
      <c r="E1335" t="s">
        <v>8</v>
      </c>
      <c r="F1335" t="s">
        <v>47</v>
      </c>
      <c r="G1335" t="s">
        <v>9</v>
      </c>
      <c r="L1335">
        <f t="shared" si="101"/>
        <v>0</v>
      </c>
      <c r="M1335">
        <f t="shared" si="102"/>
        <v>0</v>
      </c>
      <c r="N1335">
        <f t="shared" si="103"/>
        <v>0</v>
      </c>
      <c r="O1335">
        <f t="shared" si="105"/>
        <v>1</v>
      </c>
      <c r="P1335" t="str">
        <f t="shared" si="104"/>
        <v/>
      </c>
      <c r="Q1335">
        <f>COUNTIF('責任職　企業局→市長部局'!A:A,SQLデータ!B1335)</f>
        <v>0</v>
      </c>
      <c r="R1335">
        <f>COUNTIF('一般職員　企業局→市長部局'!A:F,SQLデータ!B1335)</f>
        <v>0</v>
      </c>
    </row>
    <row r="1336" spans="1:18" x14ac:dyDescent="0.4">
      <c r="A1336" s="1">
        <v>202650001144</v>
      </c>
      <c r="B1336" s="1">
        <v>1246026</v>
      </c>
      <c r="C1336" s="2">
        <v>46116</v>
      </c>
      <c r="D1336" t="s">
        <v>17</v>
      </c>
      <c r="E1336" t="s">
        <v>10</v>
      </c>
      <c r="G1336" t="s">
        <v>9</v>
      </c>
      <c r="L1336">
        <f t="shared" si="101"/>
        <v>0</v>
      </c>
      <c r="M1336">
        <f t="shared" si="102"/>
        <v>0</v>
      </c>
      <c r="N1336">
        <f t="shared" si="103"/>
        <v>0</v>
      </c>
      <c r="O1336">
        <f t="shared" si="105"/>
        <v>1</v>
      </c>
      <c r="P1336" t="str">
        <f t="shared" si="104"/>
        <v/>
      </c>
      <c r="Q1336">
        <f>COUNTIF('責任職　企業局→市長部局'!A:A,SQLデータ!B1336)</f>
        <v>0</v>
      </c>
      <c r="R1336">
        <f>COUNTIF('一般職員　企業局→市長部局'!A:F,SQLデータ!B1336)</f>
        <v>0</v>
      </c>
    </row>
    <row r="1337" spans="1:18" x14ac:dyDescent="0.4">
      <c r="A1337" s="1">
        <v>202650001145</v>
      </c>
      <c r="B1337" s="1">
        <v>1196087</v>
      </c>
      <c r="C1337" s="2">
        <v>46116</v>
      </c>
      <c r="D1337" t="s">
        <v>17</v>
      </c>
      <c r="E1337" t="s">
        <v>15</v>
      </c>
      <c r="G1337" t="s">
        <v>9</v>
      </c>
      <c r="L1337">
        <f t="shared" si="101"/>
        <v>0</v>
      </c>
      <c r="M1337">
        <f t="shared" si="102"/>
        <v>0</v>
      </c>
      <c r="N1337">
        <f t="shared" si="103"/>
        <v>0</v>
      </c>
      <c r="O1337">
        <f t="shared" si="105"/>
        <v>1</v>
      </c>
      <c r="P1337" t="str">
        <f t="shared" si="104"/>
        <v/>
      </c>
      <c r="Q1337">
        <f>COUNTIF('責任職　企業局→市長部局'!A:A,SQLデータ!B1337)</f>
        <v>0</v>
      </c>
      <c r="R1337">
        <f>COUNTIF('一般職員　企業局→市長部局'!A:F,SQLデータ!B1337)</f>
        <v>0</v>
      </c>
    </row>
    <row r="1338" spans="1:18" x14ac:dyDescent="0.4">
      <c r="A1338" s="1">
        <v>202650001146</v>
      </c>
      <c r="B1338" s="1">
        <v>1236059</v>
      </c>
      <c r="C1338" s="2">
        <v>46116</v>
      </c>
      <c r="D1338" t="s">
        <v>17</v>
      </c>
      <c r="E1338" t="s">
        <v>10</v>
      </c>
      <c r="G1338" t="s">
        <v>9</v>
      </c>
      <c r="L1338">
        <f t="shared" si="101"/>
        <v>0</v>
      </c>
      <c r="M1338">
        <f t="shared" si="102"/>
        <v>0</v>
      </c>
      <c r="N1338">
        <f t="shared" si="103"/>
        <v>0</v>
      </c>
      <c r="O1338">
        <f t="shared" si="105"/>
        <v>1</v>
      </c>
      <c r="P1338" t="str">
        <f t="shared" si="104"/>
        <v/>
      </c>
      <c r="Q1338">
        <f>COUNTIF('責任職　企業局→市長部局'!A:A,SQLデータ!B1338)</f>
        <v>0</v>
      </c>
      <c r="R1338">
        <f>COUNTIF('一般職員　企業局→市長部局'!A:F,SQLデータ!B1338)</f>
        <v>0</v>
      </c>
    </row>
    <row r="1339" spans="1:18" x14ac:dyDescent="0.4">
      <c r="A1339" s="1">
        <v>202650001147</v>
      </c>
      <c r="B1339" s="1">
        <v>1056047</v>
      </c>
      <c r="C1339" s="2">
        <v>46116</v>
      </c>
      <c r="D1339" t="s">
        <v>17</v>
      </c>
      <c r="E1339" t="s">
        <v>15</v>
      </c>
      <c r="G1339" t="s">
        <v>9</v>
      </c>
      <c r="L1339">
        <f t="shared" si="101"/>
        <v>0</v>
      </c>
      <c r="M1339">
        <f t="shared" si="102"/>
        <v>0</v>
      </c>
      <c r="N1339">
        <f t="shared" si="103"/>
        <v>0</v>
      </c>
      <c r="O1339">
        <f t="shared" si="105"/>
        <v>1</v>
      </c>
      <c r="P1339" t="str">
        <f t="shared" si="104"/>
        <v/>
      </c>
      <c r="Q1339">
        <f>COUNTIF('責任職　企業局→市長部局'!A:A,SQLデータ!B1339)</f>
        <v>0</v>
      </c>
      <c r="R1339">
        <f>COUNTIF('一般職員　企業局→市長部局'!A:F,SQLデータ!B1339)</f>
        <v>0</v>
      </c>
    </row>
    <row r="1340" spans="1:18" x14ac:dyDescent="0.4">
      <c r="A1340" s="1">
        <v>202650001148</v>
      </c>
      <c r="B1340" s="1">
        <v>870129</v>
      </c>
      <c r="C1340" s="2">
        <v>46116</v>
      </c>
      <c r="D1340" t="s">
        <v>17</v>
      </c>
      <c r="E1340" t="s">
        <v>10</v>
      </c>
      <c r="G1340" t="s">
        <v>9</v>
      </c>
      <c r="L1340">
        <f t="shared" si="101"/>
        <v>0</v>
      </c>
      <c r="M1340">
        <f t="shared" si="102"/>
        <v>0</v>
      </c>
      <c r="N1340">
        <f t="shared" si="103"/>
        <v>0</v>
      </c>
      <c r="O1340">
        <f t="shared" si="105"/>
        <v>1</v>
      </c>
      <c r="P1340" t="str">
        <f t="shared" si="104"/>
        <v/>
      </c>
      <c r="Q1340">
        <f>COUNTIF('責任職　企業局→市長部局'!A:A,SQLデータ!B1340)</f>
        <v>0</v>
      </c>
      <c r="R1340">
        <f>COUNTIF('一般職員　企業局→市長部局'!A:F,SQLデータ!B1340)</f>
        <v>0</v>
      </c>
    </row>
    <row r="1341" spans="1:18" x14ac:dyDescent="0.4">
      <c r="A1341" s="1">
        <v>202650001149</v>
      </c>
      <c r="B1341" s="1">
        <v>1256030</v>
      </c>
      <c r="C1341" s="2">
        <v>46116</v>
      </c>
      <c r="D1341" t="s">
        <v>17</v>
      </c>
      <c r="E1341" t="s">
        <v>10</v>
      </c>
      <c r="G1341" t="s">
        <v>9</v>
      </c>
      <c r="L1341">
        <f t="shared" si="101"/>
        <v>0</v>
      </c>
      <c r="M1341">
        <f t="shared" si="102"/>
        <v>0</v>
      </c>
      <c r="N1341">
        <f t="shared" si="103"/>
        <v>0</v>
      </c>
      <c r="O1341">
        <f t="shared" si="105"/>
        <v>1</v>
      </c>
      <c r="P1341" t="str">
        <f t="shared" si="104"/>
        <v/>
      </c>
      <c r="Q1341">
        <f>COUNTIF('責任職　企業局→市長部局'!A:A,SQLデータ!B1341)</f>
        <v>0</v>
      </c>
      <c r="R1341">
        <f>COUNTIF('一般職員　企業局→市長部局'!A:F,SQLデータ!B1341)</f>
        <v>0</v>
      </c>
    </row>
    <row r="1342" spans="1:18" x14ac:dyDescent="0.4">
      <c r="A1342" s="1">
        <v>202650001150</v>
      </c>
      <c r="B1342" s="1">
        <v>1016003</v>
      </c>
      <c r="C1342" s="2">
        <v>46116</v>
      </c>
      <c r="D1342" t="s">
        <v>17</v>
      </c>
      <c r="E1342" t="s">
        <v>8</v>
      </c>
      <c r="G1342" t="s">
        <v>9</v>
      </c>
      <c r="L1342">
        <f t="shared" si="101"/>
        <v>0</v>
      </c>
      <c r="M1342">
        <f t="shared" si="102"/>
        <v>0</v>
      </c>
      <c r="N1342">
        <f t="shared" si="103"/>
        <v>0</v>
      </c>
      <c r="O1342">
        <f t="shared" si="105"/>
        <v>1</v>
      </c>
      <c r="P1342" t="str">
        <f t="shared" si="104"/>
        <v/>
      </c>
      <c r="Q1342">
        <f>COUNTIF('責任職　企業局→市長部局'!A:A,SQLデータ!B1342)</f>
        <v>0</v>
      </c>
      <c r="R1342">
        <f>COUNTIF('一般職員　企業局→市長部局'!A:F,SQLデータ!B1342)</f>
        <v>0</v>
      </c>
    </row>
    <row r="1343" spans="1:18" x14ac:dyDescent="0.4">
      <c r="A1343" s="1">
        <v>202650001151</v>
      </c>
      <c r="B1343" s="1">
        <v>1236015</v>
      </c>
      <c r="C1343" s="2">
        <v>46116</v>
      </c>
      <c r="D1343" t="s">
        <v>17</v>
      </c>
      <c r="E1343" t="s">
        <v>10</v>
      </c>
      <c r="G1343" t="s">
        <v>9</v>
      </c>
      <c r="L1343">
        <f t="shared" si="101"/>
        <v>0</v>
      </c>
      <c r="M1343">
        <f t="shared" si="102"/>
        <v>0</v>
      </c>
      <c r="N1343">
        <f t="shared" si="103"/>
        <v>0</v>
      </c>
      <c r="O1343">
        <f t="shared" si="105"/>
        <v>1</v>
      </c>
      <c r="P1343" t="str">
        <f t="shared" si="104"/>
        <v/>
      </c>
      <c r="Q1343">
        <f>COUNTIF('責任職　企業局→市長部局'!A:A,SQLデータ!B1343)</f>
        <v>0</v>
      </c>
      <c r="R1343">
        <f>COUNTIF('一般職員　企業局→市長部局'!A:F,SQLデータ!B1343)</f>
        <v>0</v>
      </c>
    </row>
    <row r="1344" spans="1:18" x14ac:dyDescent="0.4">
      <c r="A1344" s="1">
        <v>202650001152</v>
      </c>
      <c r="B1344" s="1">
        <v>880718</v>
      </c>
      <c r="C1344" s="2">
        <v>46116</v>
      </c>
      <c r="D1344" t="s">
        <v>17</v>
      </c>
      <c r="E1344" t="s">
        <v>10</v>
      </c>
      <c r="G1344" t="s">
        <v>9</v>
      </c>
      <c r="L1344">
        <f t="shared" si="101"/>
        <v>0</v>
      </c>
      <c r="M1344">
        <f t="shared" si="102"/>
        <v>0</v>
      </c>
      <c r="N1344">
        <f t="shared" si="103"/>
        <v>0</v>
      </c>
      <c r="O1344">
        <f t="shared" si="105"/>
        <v>1</v>
      </c>
      <c r="P1344" t="str">
        <f t="shared" si="104"/>
        <v/>
      </c>
      <c r="Q1344">
        <f>COUNTIF('責任職　企業局→市長部局'!A:A,SQLデータ!B1344)</f>
        <v>0</v>
      </c>
      <c r="R1344">
        <f>COUNTIF('一般職員　企業局→市長部局'!A:F,SQLデータ!B1344)</f>
        <v>0</v>
      </c>
    </row>
    <row r="1345" spans="1:18" x14ac:dyDescent="0.4">
      <c r="A1345" s="1">
        <v>202650001153</v>
      </c>
      <c r="B1345" s="1">
        <v>1176100</v>
      </c>
      <c r="C1345" s="2">
        <v>46116</v>
      </c>
      <c r="D1345" t="s">
        <v>17</v>
      </c>
      <c r="E1345" t="s">
        <v>8</v>
      </c>
      <c r="F1345" t="s">
        <v>47</v>
      </c>
      <c r="G1345" t="s">
        <v>9</v>
      </c>
      <c r="L1345">
        <f t="shared" si="101"/>
        <v>0</v>
      </c>
      <c r="M1345">
        <f t="shared" si="102"/>
        <v>0</v>
      </c>
      <c r="N1345">
        <f t="shared" si="103"/>
        <v>0</v>
      </c>
      <c r="O1345">
        <f t="shared" si="105"/>
        <v>1</v>
      </c>
      <c r="P1345" t="str">
        <f t="shared" si="104"/>
        <v/>
      </c>
      <c r="Q1345">
        <f>COUNTIF('責任職　企業局→市長部局'!A:A,SQLデータ!B1345)</f>
        <v>0</v>
      </c>
      <c r="R1345">
        <f>COUNTIF('一般職員　企業局→市長部局'!A:F,SQLデータ!B1345)</f>
        <v>0</v>
      </c>
    </row>
    <row r="1346" spans="1:18" x14ac:dyDescent="0.4">
      <c r="A1346" s="1">
        <v>202650001155</v>
      </c>
      <c r="B1346" s="1">
        <v>900069</v>
      </c>
      <c r="C1346" s="2">
        <v>46116</v>
      </c>
      <c r="D1346" t="s">
        <v>17</v>
      </c>
      <c r="E1346" t="s">
        <v>10</v>
      </c>
      <c r="G1346" t="s">
        <v>9</v>
      </c>
      <c r="L1346">
        <f t="shared" ref="L1346:L1409" si="106">IF(ISBLANK(J1346),0,1)</f>
        <v>0</v>
      </c>
      <c r="M1346">
        <f t="shared" ref="M1346:M1409" si="107">IF(AND(L1346=0,I1346&lt;&gt;""),1,0)</f>
        <v>0</v>
      </c>
      <c r="N1346">
        <f t="shared" ref="N1346:N1409" si="108">IF(AND(L1346=0,M1346=0,K1346&lt;&gt;""),1,0)</f>
        <v>0</v>
      </c>
      <c r="O1346">
        <f t="shared" si="105"/>
        <v>1</v>
      </c>
      <c r="P1346" t="str">
        <f t="shared" ref="P1346:P1409" si="109">IF(D1346&lt;&gt;"扶養","",IF(E1346&lt;&gt;"確認待ち",1,IF(OR(AND(G1346="本人の結婚",O1346=1),AND(H1346="減",OR(N1346=1,O1346=1))),1,0)))</f>
        <v/>
      </c>
      <c r="Q1346">
        <f>COUNTIF('責任職　企業局→市長部局'!A:A,SQLデータ!B1346)</f>
        <v>0</v>
      </c>
      <c r="R1346">
        <f>COUNTIF('一般職員　企業局→市長部局'!A:F,SQLデータ!B1346)</f>
        <v>0</v>
      </c>
    </row>
    <row r="1347" spans="1:18" x14ac:dyDescent="0.4">
      <c r="A1347" s="1">
        <v>202650001156</v>
      </c>
      <c r="B1347" s="1">
        <v>1236020</v>
      </c>
      <c r="C1347" s="2">
        <v>46116</v>
      </c>
      <c r="D1347" t="s">
        <v>17</v>
      </c>
      <c r="E1347" t="s">
        <v>10</v>
      </c>
      <c r="G1347" t="s">
        <v>9</v>
      </c>
      <c r="L1347">
        <f t="shared" si="106"/>
        <v>0</v>
      </c>
      <c r="M1347">
        <f t="shared" si="107"/>
        <v>0</v>
      </c>
      <c r="N1347">
        <f t="shared" si="108"/>
        <v>0</v>
      </c>
      <c r="O1347">
        <f t="shared" si="105"/>
        <v>1</v>
      </c>
      <c r="P1347" t="str">
        <f t="shared" si="109"/>
        <v/>
      </c>
      <c r="Q1347">
        <f>COUNTIF('責任職　企業局→市長部局'!A:A,SQLデータ!B1347)</f>
        <v>0</v>
      </c>
      <c r="R1347">
        <f>COUNTIF('一般職員　企業局→市長部局'!A:F,SQLデータ!B1347)</f>
        <v>0</v>
      </c>
    </row>
    <row r="1348" spans="1:18" x14ac:dyDescent="0.4">
      <c r="A1348" s="1">
        <v>202650001157</v>
      </c>
      <c r="B1348" s="1">
        <v>1116143</v>
      </c>
      <c r="C1348" s="2">
        <v>46116</v>
      </c>
      <c r="D1348" t="s">
        <v>17</v>
      </c>
      <c r="E1348" t="s">
        <v>8</v>
      </c>
      <c r="F1348" t="s">
        <v>47</v>
      </c>
      <c r="G1348" t="s">
        <v>9</v>
      </c>
      <c r="L1348">
        <f t="shared" si="106"/>
        <v>0</v>
      </c>
      <c r="M1348">
        <f t="shared" si="107"/>
        <v>0</v>
      </c>
      <c r="N1348">
        <f t="shared" si="108"/>
        <v>0</v>
      </c>
      <c r="O1348">
        <f t="shared" si="105"/>
        <v>1</v>
      </c>
      <c r="P1348" t="str">
        <f t="shared" si="109"/>
        <v/>
      </c>
      <c r="Q1348">
        <f>COUNTIF('責任職　企業局→市長部局'!A:A,SQLデータ!B1348)</f>
        <v>0</v>
      </c>
      <c r="R1348">
        <f>COUNTIF('一般職員　企業局→市長部局'!A:F,SQLデータ!B1348)</f>
        <v>0</v>
      </c>
    </row>
    <row r="1349" spans="1:18" x14ac:dyDescent="0.4">
      <c r="A1349" s="1">
        <v>202650001158</v>
      </c>
      <c r="B1349" s="1">
        <v>1236041</v>
      </c>
      <c r="C1349" s="2">
        <v>46116</v>
      </c>
      <c r="D1349" t="s">
        <v>17</v>
      </c>
      <c r="E1349" t="s">
        <v>10</v>
      </c>
      <c r="G1349" t="s">
        <v>9</v>
      </c>
      <c r="L1349">
        <f t="shared" si="106"/>
        <v>0</v>
      </c>
      <c r="M1349">
        <f t="shared" si="107"/>
        <v>0</v>
      </c>
      <c r="N1349">
        <f t="shared" si="108"/>
        <v>0</v>
      </c>
      <c r="O1349">
        <f t="shared" si="105"/>
        <v>1</v>
      </c>
      <c r="P1349" t="str">
        <f t="shared" si="109"/>
        <v/>
      </c>
      <c r="Q1349">
        <f>COUNTIF('責任職　企業局→市長部局'!A:A,SQLデータ!B1349)</f>
        <v>0</v>
      </c>
      <c r="R1349">
        <f>COUNTIF('一般職員　企業局→市長部局'!A:F,SQLデータ!B1349)</f>
        <v>0</v>
      </c>
    </row>
    <row r="1350" spans="1:18" x14ac:dyDescent="0.4">
      <c r="A1350" s="1">
        <v>202650001159</v>
      </c>
      <c r="B1350" s="1">
        <v>1106089</v>
      </c>
      <c r="C1350" s="2">
        <v>46116</v>
      </c>
      <c r="D1350" t="s">
        <v>17</v>
      </c>
      <c r="E1350" t="s">
        <v>10</v>
      </c>
      <c r="G1350" t="s">
        <v>9</v>
      </c>
      <c r="L1350">
        <f t="shared" si="106"/>
        <v>0</v>
      </c>
      <c r="M1350">
        <f t="shared" si="107"/>
        <v>0</v>
      </c>
      <c r="N1350">
        <f t="shared" si="108"/>
        <v>0</v>
      </c>
      <c r="O1350">
        <f t="shared" si="105"/>
        <v>1</v>
      </c>
      <c r="P1350" t="str">
        <f t="shared" si="109"/>
        <v/>
      </c>
      <c r="Q1350">
        <f>COUNTIF('責任職　企業局→市長部局'!A:A,SQLデータ!B1350)</f>
        <v>0</v>
      </c>
      <c r="R1350">
        <f>COUNTIF('一般職員　企業局→市長部局'!A:F,SQLデータ!B1350)</f>
        <v>0</v>
      </c>
    </row>
    <row r="1351" spans="1:18" x14ac:dyDescent="0.4">
      <c r="A1351" s="1">
        <v>202650001160</v>
      </c>
      <c r="B1351" s="1">
        <v>1126151</v>
      </c>
      <c r="C1351" s="2">
        <v>46116</v>
      </c>
      <c r="D1351" t="s">
        <v>17</v>
      </c>
      <c r="E1351" t="s">
        <v>10</v>
      </c>
      <c r="G1351" t="s">
        <v>9</v>
      </c>
      <c r="L1351">
        <f t="shared" si="106"/>
        <v>0</v>
      </c>
      <c r="M1351">
        <f t="shared" si="107"/>
        <v>0</v>
      </c>
      <c r="N1351">
        <f t="shared" si="108"/>
        <v>0</v>
      </c>
      <c r="O1351">
        <f t="shared" si="105"/>
        <v>1</v>
      </c>
      <c r="P1351" t="str">
        <f t="shared" si="109"/>
        <v/>
      </c>
      <c r="Q1351">
        <f>COUNTIF('責任職　企業局→市長部局'!A:A,SQLデータ!B1351)</f>
        <v>0</v>
      </c>
      <c r="R1351">
        <f>COUNTIF('一般職員　企業局→市長部局'!A:F,SQLデータ!B1351)</f>
        <v>0</v>
      </c>
    </row>
    <row r="1352" spans="1:18" x14ac:dyDescent="0.4">
      <c r="A1352" s="1">
        <v>202650001161</v>
      </c>
      <c r="B1352" s="1">
        <v>1206126</v>
      </c>
      <c r="C1352" s="2">
        <v>46116</v>
      </c>
      <c r="D1352" t="s">
        <v>17</v>
      </c>
      <c r="E1352" t="s">
        <v>8</v>
      </c>
      <c r="G1352" t="s">
        <v>9</v>
      </c>
      <c r="L1352">
        <f t="shared" si="106"/>
        <v>0</v>
      </c>
      <c r="M1352">
        <f t="shared" si="107"/>
        <v>0</v>
      </c>
      <c r="N1352">
        <f t="shared" si="108"/>
        <v>0</v>
      </c>
      <c r="O1352">
        <f t="shared" si="105"/>
        <v>1</v>
      </c>
      <c r="P1352" t="str">
        <f t="shared" si="109"/>
        <v/>
      </c>
      <c r="Q1352">
        <f>COUNTIF('責任職　企業局→市長部局'!A:A,SQLデータ!B1352)</f>
        <v>0</v>
      </c>
      <c r="R1352">
        <f>COUNTIF('一般職員　企業局→市長部局'!A:F,SQLデータ!B1352)</f>
        <v>0</v>
      </c>
    </row>
    <row r="1353" spans="1:18" x14ac:dyDescent="0.4">
      <c r="A1353" s="1">
        <v>202650001162</v>
      </c>
      <c r="B1353" s="1">
        <v>1191381</v>
      </c>
      <c r="C1353" s="2">
        <v>46116</v>
      </c>
      <c r="D1353" t="s">
        <v>17</v>
      </c>
      <c r="E1353" t="s">
        <v>8</v>
      </c>
      <c r="F1353" t="s">
        <v>47</v>
      </c>
      <c r="G1353" t="s">
        <v>9</v>
      </c>
      <c r="L1353">
        <f t="shared" si="106"/>
        <v>0</v>
      </c>
      <c r="M1353">
        <f t="shared" si="107"/>
        <v>0</v>
      </c>
      <c r="N1353">
        <f t="shared" si="108"/>
        <v>0</v>
      </c>
      <c r="O1353">
        <f t="shared" ref="O1353:O1416" si="110">IF(COUNTIF(L1353:N1353,0)=3,1,0)</f>
        <v>1</v>
      </c>
      <c r="P1353" t="str">
        <f t="shared" si="109"/>
        <v/>
      </c>
      <c r="Q1353">
        <f>COUNTIF('責任職　企業局→市長部局'!A:A,SQLデータ!B1353)</f>
        <v>0</v>
      </c>
      <c r="R1353">
        <f>COUNTIF('一般職員　企業局→市長部局'!A:F,SQLデータ!B1353)</f>
        <v>0</v>
      </c>
    </row>
    <row r="1354" spans="1:18" x14ac:dyDescent="0.4">
      <c r="A1354" s="1">
        <v>202650001163</v>
      </c>
      <c r="B1354" s="1">
        <v>1216078</v>
      </c>
      <c r="C1354" s="2">
        <v>46116</v>
      </c>
      <c r="D1354" t="s">
        <v>17</v>
      </c>
      <c r="E1354" t="s">
        <v>10</v>
      </c>
      <c r="G1354" t="s">
        <v>9</v>
      </c>
      <c r="L1354">
        <f t="shared" si="106"/>
        <v>0</v>
      </c>
      <c r="M1354">
        <f t="shared" si="107"/>
        <v>0</v>
      </c>
      <c r="N1354">
        <f t="shared" si="108"/>
        <v>0</v>
      </c>
      <c r="O1354">
        <f t="shared" si="110"/>
        <v>1</v>
      </c>
      <c r="P1354" t="str">
        <f t="shared" si="109"/>
        <v/>
      </c>
      <c r="Q1354">
        <f>COUNTIF('責任職　企業局→市長部局'!A:A,SQLデータ!B1354)</f>
        <v>0</v>
      </c>
      <c r="R1354">
        <f>COUNTIF('一般職員　企業局→市長部局'!A:F,SQLデータ!B1354)</f>
        <v>0</v>
      </c>
    </row>
    <row r="1355" spans="1:18" x14ac:dyDescent="0.4">
      <c r="A1355" s="1">
        <v>202650001164</v>
      </c>
      <c r="B1355" s="1">
        <v>1206076</v>
      </c>
      <c r="C1355" s="2">
        <v>46116</v>
      </c>
      <c r="D1355" t="s">
        <v>17</v>
      </c>
      <c r="E1355" t="s">
        <v>10</v>
      </c>
      <c r="G1355" t="s">
        <v>9</v>
      </c>
      <c r="L1355">
        <f t="shared" si="106"/>
        <v>0</v>
      </c>
      <c r="M1355">
        <f t="shared" si="107"/>
        <v>0</v>
      </c>
      <c r="N1355">
        <f t="shared" si="108"/>
        <v>0</v>
      </c>
      <c r="O1355">
        <f t="shared" si="110"/>
        <v>1</v>
      </c>
      <c r="P1355" t="str">
        <f t="shared" si="109"/>
        <v/>
      </c>
      <c r="Q1355">
        <f>COUNTIF('責任職　企業局→市長部局'!A:A,SQLデータ!B1355)</f>
        <v>0</v>
      </c>
      <c r="R1355">
        <f>COUNTIF('一般職員　企業局→市長部局'!A:F,SQLデータ!B1355)</f>
        <v>0</v>
      </c>
    </row>
    <row r="1356" spans="1:18" x14ac:dyDescent="0.4">
      <c r="A1356" s="1">
        <v>202650001165</v>
      </c>
      <c r="B1356" s="1">
        <v>1226119</v>
      </c>
      <c r="C1356" s="2">
        <v>46116</v>
      </c>
      <c r="D1356" t="s">
        <v>17</v>
      </c>
      <c r="E1356" t="s">
        <v>10</v>
      </c>
      <c r="G1356" t="s">
        <v>9</v>
      </c>
      <c r="L1356">
        <f t="shared" si="106"/>
        <v>0</v>
      </c>
      <c r="M1356">
        <f t="shared" si="107"/>
        <v>0</v>
      </c>
      <c r="N1356">
        <f t="shared" si="108"/>
        <v>0</v>
      </c>
      <c r="O1356">
        <f t="shared" si="110"/>
        <v>1</v>
      </c>
      <c r="P1356" t="str">
        <f t="shared" si="109"/>
        <v/>
      </c>
      <c r="Q1356">
        <f>COUNTIF('責任職　企業局→市長部局'!A:A,SQLデータ!B1356)</f>
        <v>0</v>
      </c>
      <c r="R1356">
        <f>COUNTIF('一般職員　企業局→市長部局'!A:F,SQLデータ!B1356)</f>
        <v>0</v>
      </c>
    </row>
    <row r="1357" spans="1:18" x14ac:dyDescent="0.4">
      <c r="A1357" s="1">
        <v>202650001166</v>
      </c>
      <c r="B1357" s="1">
        <v>1186151</v>
      </c>
      <c r="C1357" s="2">
        <v>46116</v>
      </c>
      <c r="D1357" t="s">
        <v>17</v>
      </c>
      <c r="E1357" t="s">
        <v>8</v>
      </c>
      <c r="G1357" t="s">
        <v>9</v>
      </c>
      <c r="L1357">
        <f t="shared" si="106"/>
        <v>0</v>
      </c>
      <c r="M1357">
        <f t="shared" si="107"/>
        <v>0</v>
      </c>
      <c r="N1357">
        <f t="shared" si="108"/>
        <v>0</v>
      </c>
      <c r="O1357">
        <f t="shared" si="110"/>
        <v>1</v>
      </c>
      <c r="P1357" t="str">
        <f t="shared" si="109"/>
        <v/>
      </c>
      <c r="Q1357">
        <f>COUNTIF('責任職　企業局→市長部局'!A:A,SQLデータ!B1357)</f>
        <v>0</v>
      </c>
      <c r="R1357">
        <f>COUNTIF('一般職員　企業局→市長部局'!A:F,SQLデータ!B1357)</f>
        <v>0</v>
      </c>
    </row>
    <row r="1358" spans="1:18" x14ac:dyDescent="0.4">
      <c r="A1358" s="1">
        <v>202650001167</v>
      </c>
      <c r="B1358" s="1">
        <v>920026</v>
      </c>
      <c r="C1358" s="2">
        <v>46116</v>
      </c>
      <c r="D1358" t="s">
        <v>17</v>
      </c>
      <c r="E1358" t="s">
        <v>8</v>
      </c>
      <c r="F1358" t="s">
        <v>47</v>
      </c>
      <c r="G1358" t="s">
        <v>9</v>
      </c>
      <c r="L1358">
        <f t="shared" si="106"/>
        <v>0</v>
      </c>
      <c r="M1358">
        <f t="shared" si="107"/>
        <v>0</v>
      </c>
      <c r="N1358">
        <f t="shared" si="108"/>
        <v>0</v>
      </c>
      <c r="O1358">
        <f t="shared" si="110"/>
        <v>1</v>
      </c>
      <c r="P1358" t="str">
        <f t="shared" si="109"/>
        <v/>
      </c>
      <c r="Q1358">
        <f>COUNTIF('責任職　企業局→市長部局'!A:A,SQLデータ!B1358)</f>
        <v>0</v>
      </c>
      <c r="R1358">
        <f>COUNTIF('一般職員　企業局→市長部局'!A:F,SQLデータ!B1358)</f>
        <v>0</v>
      </c>
    </row>
    <row r="1359" spans="1:18" x14ac:dyDescent="0.4">
      <c r="A1359" s="1">
        <v>202650001168</v>
      </c>
      <c r="B1359" s="1">
        <v>1226114</v>
      </c>
      <c r="C1359" s="2">
        <v>46116</v>
      </c>
      <c r="D1359" t="s">
        <v>17</v>
      </c>
      <c r="E1359" t="s">
        <v>10</v>
      </c>
      <c r="G1359" t="s">
        <v>9</v>
      </c>
      <c r="L1359">
        <f t="shared" si="106"/>
        <v>0</v>
      </c>
      <c r="M1359">
        <f t="shared" si="107"/>
        <v>0</v>
      </c>
      <c r="N1359">
        <f t="shared" si="108"/>
        <v>0</v>
      </c>
      <c r="O1359">
        <f t="shared" si="110"/>
        <v>1</v>
      </c>
      <c r="P1359" t="str">
        <f t="shared" si="109"/>
        <v/>
      </c>
      <c r="Q1359">
        <f>COUNTIF('責任職　企業局→市長部局'!A:A,SQLデータ!B1359)</f>
        <v>0</v>
      </c>
      <c r="R1359">
        <f>COUNTIF('一般職員　企業局→市長部局'!A:F,SQLデータ!B1359)</f>
        <v>0</v>
      </c>
    </row>
    <row r="1360" spans="1:18" x14ac:dyDescent="0.4">
      <c r="A1360" s="1">
        <v>202650001169</v>
      </c>
      <c r="B1360" s="1">
        <v>1246003</v>
      </c>
      <c r="C1360" s="2">
        <v>46116</v>
      </c>
      <c r="D1360" t="s">
        <v>17</v>
      </c>
      <c r="E1360" t="s">
        <v>8</v>
      </c>
      <c r="G1360" t="s">
        <v>9</v>
      </c>
      <c r="L1360">
        <f t="shared" si="106"/>
        <v>0</v>
      </c>
      <c r="M1360">
        <f t="shared" si="107"/>
        <v>0</v>
      </c>
      <c r="N1360">
        <f t="shared" si="108"/>
        <v>0</v>
      </c>
      <c r="O1360">
        <f t="shared" si="110"/>
        <v>1</v>
      </c>
      <c r="P1360" t="str">
        <f t="shared" si="109"/>
        <v/>
      </c>
      <c r="Q1360">
        <f>COUNTIF('責任職　企業局→市長部局'!A:A,SQLデータ!B1360)</f>
        <v>0</v>
      </c>
      <c r="R1360">
        <f>COUNTIF('一般職員　企業局→市長部局'!A:F,SQLデータ!B1360)</f>
        <v>0</v>
      </c>
    </row>
    <row r="1361" spans="1:18" x14ac:dyDescent="0.4">
      <c r="A1361" s="1">
        <v>202650001170</v>
      </c>
      <c r="B1361" s="1">
        <v>1226137</v>
      </c>
      <c r="C1361" s="2">
        <v>46116</v>
      </c>
      <c r="D1361" t="s">
        <v>17</v>
      </c>
      <c r="E1361" t="s">
        <v>8</v>
      </c>
      <c r="F1361" t="s">
        <v>47</v>
      </c>
      <c r="G1361" t="s">
        <v>9</v>
      </c>
      <c r="L1361">
        <f t="shared" si="106"/>
        <v>0</v>
      </c>
      <c r="M1361">
        <f t="shared" si="107"/>
        <v>0</v>
      </c>
      <c r="N1361">
        <f t="shared" si="108"/>
        <v>0</v>
      </c>
      <c r="O1361">
        <f t="shared" si="110"/>
        <v>1</v>
      </c>
      <c r="P1361" t="str">
        <f t="shared" si="109"/>
        <v/>
      </c>
      <c r="Q1361">
        <f>COUNTIF('責任職　企業局→市長部局'!A:A,SQLデータ!B1361)</f>
        <v>0</v>
      </c>
      <c r="R1361">
        <f>COUNTIF('一般職員　企業局→市長部局'!A:F,SQLデータ!B1361)</f>
        <v>0</v>
      </c>
    </row>
    <row r="1362" spans="1:18" x14ac:dyDescent="0.4">
      <c r="A1362" s="1">
        <v>202650001171</v>
      </c>
      <c r="B1362" s="1">
        <v>1076083</v>
      </c>
      <c r="C1362" s="2">
        <v>46116</v>
      </c>
      <c r="D1362" t="s">
        <v>17</v>
      </c>
      <c r="E1362" t="s">
        <v>10</v>
      </c>
      <c r="G1362" t="s">
        <v>9</v>
      </c>
      <c r="L1362">
        <f t="shared" si="106"/>
        <v>0</v>
      </c>
      <c r="M1362">
        <f t="shared" si="107"/>
        <v>0</v>
      </c>
      <c r="N1362">
        <f t="shared" si="108"/>
        <v>0</v>
      </c>
      <c r="O1362">
        <f t="shared" si="110"/>
        <v>1</v>
      </c>
      <c r="P1362" t="str">
        <f t="shared" si="109"/>
        <v/>
      </c>
      <c r="Q1362">
        <f>COUNTIF('責任職　企業局→市長部局'!A:A,SQLデータ!B1362)</f>
        <v>0</v>
      </c>
      <c r="R1362">
        <f>COUNTIF('一般職員　企業局→市長部局'!A:F,SQLデータ!B1362)</f>
        <v>0</v>
      </c>
    </row>
    <row r="1363" spans="1:18" x14ac:dyDescent="0.4">
      <c r="A1363" s="1">
        <v>202650001172</v>
      </c>
      <c r="B1363" s="1">
        <v>1256044</v>
      </c>
      <c r="C1363" s="2">
        <v>46116</v>
      </c>
      <c r="D1363" t="s">
        <v>17</v>
      </c>
      <c r="E1363" t="s">
        <v>10</v>
      </c>
      <c r="G1363" t="s">
        <v>9</v>
      </c>
      <c r="L1363">
        <f t="shared" si="106"/>
        <v>0</v>
      </c>
      <c r="M1363">
        <f t="shared" si="107"/>
        <v>0</v>
      </c>
      <c r="N1363">
        <f t="shared" si="108"/>
        <v>0</v>
      </c>
      <c r="O1363">
        <f t="shared" si="110"/>
        <v>1</v>
      </c>
      <c r="P1363" t="str">
        <f t="shared" si="109"/>
        <v/>
      </c>
      <c r="Q1363">
        <f>COUNTIF('責任職　企業局→市長部局'!A:A,SQLデータ!B1363)</f>
        <v>0</v>
      </c>
      <c r="R1363">
        <f>COUNTIF('一般職員　企業局→市長部局'!A:F,SQLデータ!B1363)</f>
        <v>0</v>
      </c>
    </row>
    <row r="1364" spans="1:18" x14ac:dyDescent="0.4">
      <c r="A1364" s="1">
        <v>202650001173</v>
      </c>
      <c r="B1364" s="1">
        <v>940045</v>
      </c>
      <c r="C1364" s="2">
        <v>46116</v>
      </c>
      <c r="D1364" t="s">
        <v>17</v>
      </c>
      <c r="E1364" t="s">
        <v>10</v>
      </c>
      <c r="G1364" t="s">
        <v>9</v>
      </c>
      <c r="L1364">
        <f t="shared" si="106"/>
        <v>0</v>
      </c>
      <c r="M1364">
        <f t="shared" si="107"/>
        <v>0</v>
      </c>
      <c r="N1364">
        <f t="shared" si="108"/>
        <v>0</v>
      </c>
      <c r="O1364">
        <f t="shared" si="110"/>
        <v>1</v>
      </c>
      <c r="P1364" t="str">
        <f t="shared" si="109"/>
        <v/>
      </c>
      <c r="Q1364">
        <f>COUNTIF('責任職　企業局→市長部局'!A:A,SQLデータ!B1364)</f>
        <v>0</v>
      </c>
      <c r="R1364">
        <f>COUNTIF('一般職員　企業局→市長部局'!A:F,SQLデータ!B1364)</f>
        <v>0</v>
      </c>
    </row>
    <row r="1365" spans="1:18" x14ac:dyDescent="0.4">
      <c r="A1365" s="1">
        <v>202650001174</v>
      </c>
      <c r="B1365" s="1">
        <v>1166096</v>
      </c>
      <c r="C1365" s="2">
        <v>46116</v>
      </c>
      <c r="D1365" t="s">
        <v>17</v>
      </c>
      <c r="E1365" t="s">
        <v>10</v>
      </c>
      <c r="G1365" t="s">
        <v>9</v>
      </c>
      <c r="L1365">
        <f t="shared" si="106"/>
        <v>0</v>
      </c>
      <c r="M1365">
        <f t="shared" si="107"/>
        <v>0</v>
      </c>
      <c r="N1365">
        <f t="shared" si="108"/>
        <v>0</v>
      </c>
      <c r="O1365">
        <f t="shared" si="110"/>
        <v>1</v>
      </c>
      <c r="P1365" t="str">
        <f t="shared" si="109"/>
        <v/>
      </c>
      <c r="Q1365">
        <f>COUNTIF('責任職　企業局→市長部局'!A:A,SQLデータ!B1365)</f>
        <v>0</v>
      </c>
      <c r="R1365">
        <f>COUNTIF('一般職員　企業局→市長部局'!A:F,SQLデータ!B1365)</f>
        <v>0</v>
      </c>
    </row>
    <row r="1366" spans="1:18" x14ac:dyDescent="0.4">
      <c r="A1366" s="1">
        <v>202650001175</v>
      </c>
      <c r="B1366" s="1">
        <v>1246091</v>
      </c>
      <c r="C1366" s="2">
        <v>46116</v>
      </c>
      <c r="D1366" t="s">
        <v>17</v>
      </c>
      <c r="E1366" t="s">
        <v>8</v>
      </c>
      <c r="F1366" t="s">
        <v>47</v>
      </c>
      <c r="G1366" t="s">
        <v>9</v>
      </c>
      <c r="L1366">
        <f t="shared" si="106"/>
        <v>0</v>
      </c>
      <c r="M1366">
        <f t="shared" si="107"/>
        <v>0</v>
      </c>
      <c r="N1366">
        <f t="shared" si="108"/>
        <v>0</v>
      </c>
      <c r="O1366">
        <f t="shared" si="110"/>
        <v>1</v>
      </c>
      <c r="P1366" t="str">
        <f t="shared" si="109"/>
        <v/>
      </c>
      <c r="Q1366">
        <f>COUNTIF('責任職　企業局→市長部局'!A:A,SQLデータ!B1366)</f>
        <v>0</v>
      </c>
      <c r="R1366">
        <f>COUNTIF('一般職員　企業局→市長部局'!A:F,SQLデータ!B1366)</f>
        <v>0</v>
      </c>
    </row>
    <row r="1367" spans="1:18" x14ac:dyDescent="0.4">
      <c r="A1367" s="1">
        <v>202650001176</v>
      </c>
      <c r="B1367" s="1">
        <v>890722</v>
      </c>
      <c r="C1367" s="2">
        <v>46116</v>
      </c>
      <c r="D1367" t="s">
        <v>17</v>
      </c>
      <c r="E1367" t="s">
        <v>10</v>
      </c>
      <c r="G1367" t="s">
        <v>9</v>
      </c>
      <c r="L1367">
        <f t="shared" si="106"/>
        <v>0</v>
      </c>
      <c r="M1367">
        <f t="shared" si="107"/>
        <v>0</v>
      </c>
      <c r="N1367">
        <f t="shared" si="108"/>
        <v>0</v>
      </c>
      <c r="O1367">
        <f t="shared" si="110"/>
        <v>1</v>
      </c>
      <c r="P1367" t="str">
        <f t="shared" si="109"/>
        <v/>
      </c>
      <c r="Q1367">
        <f>COUNTIF('責任職　企業局→市長部局'!A:A,SQLデータ!B1367)</f>
        <v>0</v>
      </c>
      <c r="R1367">
        <f>COUNTIF('一般職員　企業局→市長部局'!A:F,SQLデータ!B1367)</f>
        <v>0</v>
      </c>
    </row>
    <row r="1368" spans="1:18" x14ac:dyDescent="0.4">
      <c r="A1368" s="1">
        <v>202650001178</v>
      </c>
      <c r="B1368" s="1">
        <v>1076053</v>
      </c>
      <c r="C1368" s="2">
        <v>46116</v>
      </c>
      <c r="D1368" t="s">
        <v>17</v>
      </c>
      <c r="E1368" t="s">
        <v>10</v>
      </c>
      <c r="G1368" t="s">
        <v>9</v>
      </c>
      <c r="L1368">
        <f t="shared" si="106"/>
        <v>0</v>
      </c>
      <c r="M1368">
        <f t="shared" si="107"/>
        <v>0</v>
      </c>
      <c r="N1368">
        <f t="shared" si="108"/>
        <v>0</v>
      </c>
      <c r="O1368">
        <f t="shared" si="110"/>
        <v>1</v>
      </c>
      <c r="P1368" t="str">
        <f t="shared" si="109"/>
        <v/>
      </c>
      <c r="Q1368">
        <f>COUNTIF('責任職　企業局→市長部局'!A:A,SQLデータ!B1368)</f>
        <v>0</v>
      </c>
      <c r="R1368">
        <f>COUNTIF('一般職員　企業局→市長部局'!A:F,SQLデータ!B1368)</f>
        <v>0</v>
      </c>
    </row>
    <row r="1369" spans="1:18" x14ac:dyDescent="0.4">
      <c r="A1369" s="1">
        <v>202650001179</v>
      </c>
      <c r="B1369" s="1">
        <v>1186076</v>
      </c>
      <c r="C1369" s="2">
        <v>46116</v>
      </c>
      <c r="D1369" t="s">
        <v>17</v>
      </c>
      <c r="E1369" t="s">
        <v>10</v>
      </c>
      <c r="G1369" t="s">
        <v>9</v>
      </c>
      <c r="L1369">
        <f t="shared" si="106"/>
        <v>0</v>
      </c>
      <c r="M1369">
        <f t="shared" si="107"/>
        <v>0</v>
      </c>
      <c r="N1369">
        <f t="shared" si="108"/>
        <v>0</v>
      </c>
      <c r="O1369">
        <f t="shared" si="110"/>
        <v>1</v>
      </c>
      <c r="P1369" t="str">
        <f t="shared" si="109"/>
        <v/>
      </c>
      <c r="Q1369">
        <f>COUNTIF('責任職　企業局→市長部局'!A:A,SQLデータ!B1369)</f>
        <v>0</v>
      </c>
      <c r="R1369">
        <f>COUNTIF('一般職員　企業局→市長部局'!A:F,SQLデータ!B1369)</f>
        <v>0</v>
      </c>
    </row>
    <row r="1370" spans="1:18" x14ac:dyDescent="0.4">
      <c r="A1370" s="1">
        <v>202650001180</v>
      </c>
      <c r="B1370" s="1">
        <v>1256026</v>
      </c>
      <c r="C1370" s="2">
        <v>46116</v>
      </c>
      <c r="D1370" t="s">
        <v>17</v>
      </c>
      <c r="E1370" t="s">
        <v>15</v>
      </c>
      <c r="G1370" t="s">
        <v>9</v>
      </c>
      <c r="L1370">
        <f t="shared" si="106"/>
        <v>0</v>
      </c>
      <c r="M1370">
        <f t="shared" si="107"/>
        <v>0</v>
      </c>
      <c r="N1370">
        <f t="shared" si="108"/>
        <v>0</v>
      </c>
      <c r="O1370">
        <f t="shared" si="110"/>
        <v>1</v>
      </c>
      <c r="P1370" t="str">
        <f t="shared" si="109"/>
        <v/>
      </c>
      <c r="Q1370">
        <f>COUNTIF('責任職　企業局→市長部局'!A:A,SQLデータ!B1370)</f>
        <v>0</v>
      </c>
      <c r="R1370">
        <f>COUNTIF('一般職員　企業局→市長部局'!A:F,SQLデータ!B1370)</f>
        <v>0</v>
      </c>
    </row>
    <row r="1371" spans="1:18" x14ac:dyDescent="0.4">
      <c r="A1371" s="1">
        <v>202650001181</v>
      </c>
      <c r="B1371" s="1">
        <v>1256011</v>
      </c>
      <c r="C1371" s="2">
        <v>46116</v>
      </c>
      <c r="D1371" t="s">
        <v>17</v>
      </c>
      <c r="E1371" t="s">
        <v>10</v>
      </c>
      <c r="G1371" t="s">
        <v>9</v>
      </c>
      <c r="L1371">
        <f t="shared" si="106"/>
        <v>0</v>
      </c>
      <c r="M1371">
        <f t="shared" si="107"/>
        <v>0</v>
      </c>
      <c r="N1371">
        <f t="shared" si="108"/>
        <v>0</v>
      </c>
      <c r="O1371">
        <f t="shared" si="110"/>
        <v>1</v>
      </c>
      <c r="P1371" t="str">
        <f t="shared" si="109"/>
        <v/>
      </c>
      <c r="Q1371">
        <f>COUNTIF('責任職　企業局→市長部局'!A:A,SQLデータ!B1371)</f>
        <v>0</v>
      </c>
      <c r="R1371">
        <f>COUNTIF('一般職員　企業局→市長部局'!A:F,SQLデータ!B1371)</f>
        <v>0</v>
      </c>
    </row>
    <row r="1372" spans="1:18" x14ac:dyDescent="0.4">
      <c r="A1372" s="1">
        <v>202650001182</v>
      </c>
      <c r="B1372" s="1">
        <v>1006038</v>
      </c>
      <c r="C1372" s="2">
        <v>46116</v>
      </c>
      <c r="D1372" t="s">
        <v>17</v>
      </c>
      <c r="E1372" t="s">
        <v>10</v>
      </c>
      <c r="F1372" t="s">
        <v>54</v>
      </c>
      <c r="G1372" t="s">
        <v>9</v>
      </c>
      <c r="L1372">
        <f t="shared" si="106"/>
        <v>0</v>
      </c>
      <c r="M1372">
        <f t="shared" si="107"/>
        <v>0</v>
      </c>
      <c r="N1372">
        <f t="shared" si="108"/>
        <v>0</v>
      </c>
      <c r="O1372">
        <f t="shared" si="110"/>
        <v>1</v>
      </c>
      <c r="P1372" t="str">
        <f t="shared" si="109"/>
        <v/>
      </c>
      <c r="Q1372">
        <f>COUNTIF('責任職　企業局→市長部局'!A:A,SQLデータ!B1372)</f>
        <v>0</v>
      </c>
      <c r="R1372">
        <f>COUNTIF('一般職員　企業局→市長部局'!A:F,SQLデータ!B1372)</f>
        <v>0</v>
      </c>
    </row>
    <row r="1373" spans="1:18" x14ac:dyDescent="0.4">
      <c r="A1373" s="1">
        <v>202650001183</v>
      </c>
      <c r="B1373" s="1">
        <v>1156045</v>
      </c>
      <c r="C1373" s="2">
        <v>46116</v>
      </c>
      <c r="D1373" t="s">
        <v>17</v>
      </c>
      <c r="E1373" t="s">
        <v>10</v>
      </c>
      <c r="G1373" t="s">
        <v>9</v>
      </c>
      <c r="L1373">
        <f t="shared" si="106"/>
        <v>0</v>
      </c>
      <c r="M1373">
        <f t="shared" si="107"/>
        <v>0</v>
      </c>
      <c r="N1373">
        <f t="shared" si="108"/>
        <v>0</v>
      </c>
      <c r="O1373">
        <f t="shared" si="110"/>
        <v>1</v>
      </c>
      <c r="P1373" t="str">
        <f t="shared" si="109"/>
        <v/>
      </c>
      <c r="Q1373">
        <f>COUNTIF('責任職　企業局→市長部局'!A:A,SQLデータ!B1373)</f>
        <v>0</v>
      </c>
      <c r="R1373">
        <f>COUNTIF('一般職員　企業局→市長部局'!A:F,SQLデータ!B1373)</f>
        <v>0</v>
      </c>
    </row>
    <row r="1374" spans="1:18" x14ac:dyDescent="0.4">
      <c r="A1374" s="1">
        <v>202650001184</v>
      </c>
      <c r="B1374" s="1">
        <v>1256117</v>
      </c>
      <c r="C1374" s="2">
        <v>46116</v>
      </c>
      <c r="D1374" t="s">
        <v>17</v>
      </c>
      <c r="E1374" t="s">
        <v>10</v>
      </c>
      <c r="G1374" t="s">
        <v>9</v>
      </c>
      <c r="L1374">
        <f t="shared" si="106"/>
        <v>0</v>
      </c>
      <c r="M1374">
        <f t="shared" si="107"/>
        <v>0</v>
      </c>
      <c r="N1374">
        <f t="shared" si="108"/>
        <v>0</v>
      </c>
      <c r="O1374">
        <f t="shared" si="110"/>
        <v>1</v>
      </c>
      <c r="P1374" t="str">
        <f t="shared" si="109"/>
        <v/>
      </c>
      <c r="Q1374">
        <f>COUNTIF('責任職　企業局→市長部局'!A:A,SQLデータ!B1374)</f>
        <v>0</v>
      </c>
      <c r="R1374">
        <f>COUNTIF('一般職員　企業局→市長部局'!A:F,SQLデータ!B1374)</f>
        <v>0</v>
      </c>
    </row>
    <row r="1375" spans="1:18" x14ac:dyDescent="0.4">
      <c r="A1375" s="1">
        <v>202650001185</v>
      </c>
      <c r="B1375" s="1">
        <v>1016065</v>
      </c>
      <c r="C1375" s="2">
        <v>46116</v>
      </c>
      <c r="D1375" t="s">
        <v>17</v>
      </c>
      <c r="E1375" t="s">
        <v>10</v>
      </c>
      <c r="G1375" t="s">
        <v>9</v>
      </c>
      <c r="L1375">
        <f t="shared" si="106"/>
        <v>0</v>
      </c>
      <c r="M1375">
        <f t="shared" si="107"/>
        <v>0</v>
      </c>
      <c r="N1375">
        <f t="shared" si="108"/>
        <v>0</v>
      </c>
      <c r="O1375">
        <f t="shared" si="110"/>
        <v>1</v>
      </c>
      <c r="P1375" t="str">
        <f t="shared" si="109"/>
        <v/>
      </c>
      <c r="Q1375">
        <f>COUNTIF('責任職　企業局→市長部局'!A:A,SQLデータ!B1375)</f>
        <v>0</v>
      </c>
      <c r="R1375">
        <f>COUNTIF('一般職員　企業局→市長部局'!A:F,SQLデータ!B1375)</f>
        <v>0</v>
      </c>
    </row>
    <row r="1376" spans="1:18" x14ac:dyDescent="0.4">
      <c r="A1376" s="1">
        <v>202650001186</v>
      </c>
      <c r="B1376" s="1">
        <v>1186028</v>
      </c>
      <c r="C1376" s="2">
        <v>46116</v>
      </c>
      <c r="D1376" t="s">
        <v>17</v>
      </c>
      <c r="E1376" t="s">
        <v>10</v>
      </c>
      <c r="G1376" t="s">
        <v>9</v>
      </c>
      <c r="L1376">
        <f t="shared" si="106"/>
        <v>0</v>
      </c>
      <c r="M1376">
        <f t="shared" si="107"/>
        <v>0</v>
      </c>
      <c r="N1376">
        <f t="shared" si="108"/>
        <v>0</v>
      </c>
      <c r="O1376">
        <f t="shared" si="110"/>
        <v>1</v>
      </c>
      <c r="P1376" t="str">
        <f t="shared" si="109"/>
        <v/>
      </c>
      <c r="Q1376">
        <f>COUNTIF('責任職　企業局→市長部局'!A:A,SQLデータ!B1376)</f>
        <v>0</v>
      </c>
      <c r="R1376">
        <f>COUNTIF('一般職員　企業局→市長部局'!A:F,SQLデータ!B1376)</f>
        <v>0</v>
      </c>
    </row>
    <row r="1377" spans="1:18" x14ac:dyDescent="0.4">
      <c r="A1377" s="1">
        <v>202650001187</v>
      </c>
      <c r="B1377" s="1">
        <v>1014048</v>
      </c>
      <c r="C1377" s="2">
        <v>46116</v>
      </c>
      <c r="D1377" t="s">
        <v>17</v>
      </c>
      <c r="E1377" t="s">
        <v>10</v>
      </c>
      <c r="G1377" t="s">
        <v>9</v>
      </c>
      <c r="L1377">
        <f t="shared" si="106"/>
        <v>0</v>
      </c>
      <c r="M1377">
        <f t="shared" si="107"/>
        <v>0</v>
      </c>
      <c r="N1377">
        <f t="shared" si="108"/>
        <v>0</v>
      </c>
      <c r="O1377">
        <f t="shared" si="110"/>
        <v>1</v>
      </c>
      <c r="P1377" t="str">
        <f t="shared" si="109"/>
        <v/>
      </c>
      <c r="Q1377">
        <f>COUNTIF('責任職　企業局→市長部局'!A:A,SQLデータ!B1377)</f>
        <v>0</v>
      </c>
      <c r="R1377">
        <f>COUNTIF('一般職員　企業局→市長部局'!A:F,SQLデータ!B1377)</f>
        <v>0</v>
      </c>
    </row>
    <row r="1378" spans="1:18" x14ac:dyDescent="0.4">
      <c r="A1378" s="1">
        <v>202650001188</v>
      </c>
      <c r="B1378" s="1">
        <v>1216005</v>
      </c>
      <c r="C1378" s="2">
        <v>46116</v>
      </c>
      <c r="D1378" t="s">
        <v>17</v>
      </c>
      <c r="E1378" t="s">
        <v>10</v>
      </c>
      <c r="G1378" t="s">
        <v>9</v>
      </c>
      <c r="L1378">
        <f t="shared" si="106"/>
        <v>0</v>
      </c>
      <c r="M1378">
        <f t="shared" si="107"/>
        <v>0</v>
      </c>
      <c r="N1378">
        <f t="shared" si="108"/>
        <v>0</v>
      </c>
      <c r="O1378">
        <f t="shared" si="110"/>
        <v>1</v>
      </c>
      <c r="P1378" t="str">
        <f t="shared" si="109"/>
        <v/>
      </c>
      <c r="Q1378">
        <f>COUNTIF('責任職　企業局→市長部局'!A:A,SQLデータ!B1378)</f>
        <v>0</v>
      </c>
      <c r="R1378">
        <f>COUNTIF('一般職員　企業局→市長部局'!A:F,SQLデータ!B1378)</f>
        <v>0</v>
      </c>
    </row>
    <row r="1379" spans="1:18" x14ac:dyDescent="0.4">
      <c r="A1379" s="1">
        <v>202650001189</v>
      </c>
      <c r="B1379" s="1">
        <v>1176016</v>
      </c>
      <c r="C1379" s="2">
        <v>46116</v>
      </c>
      <c r="D1379" t="s">
        <v>17</v>
      </c>
      <c r="E1379" t="s">
        <v>10</v>
      </c>
      <c r="G1379" t="s">
        <v>9</v>
      </c>
      <c r="L1379">
        <f t="shared" si="106"/>
        <v>0</v>
      </c>
      <c r="M1379">
        <f t="shared" si="107"/>
        <v>0</v>
      </c>
      <c r="N1379">
        <f t="shared" si="108"/>
        <v>0</v>
      </c>
      <c r="O1379">
        <f t="shared" si="110"/>
        <v>1</v>
      </c>
      <c r="P1379" t="str">
        <f t="shared" si="109"/>
        <v/>
      </c>
      <c r="Q1379">
        <f>COUNTIF('責任職　企業局→市長部局'!A:A,SQLデータ!B1379)</f>
        <v>0</v>
      </c>
      <c r="R1379">
        <f>COUNTIF('一般職員　企業局→市長部局'!A:F,SQLデータ!B1379)</f>
        <v>0</v>
      </c>
    </row>
    <row r="1380" spans="1:18" x14ac:dyDescent="0.4">
      <c r="A1380" s="1">
        <v>202650001190</v>
      </c>
      <c r="B1380" s="1">
        <v>1226128</v>
      </c>
      <c r="C1380" s="2">
        <v>46116</v>
      </c>
      <c r="D1380" t="s">
        <v>17</v>
      </c>
      <c r="E1380" t="s">
        <v>10</v>
      </c>
      <c r="G1380" t="s">
        <v>9</v>
      </c>
      <c r="L1380">
        <f t="shared" si="106"/>
        <v>0</v>
      </c>
      <c r="M1380">
        <f t="shared" si="107"/>
        <v>0</v>
      </c>
      <c r="N1380">
        <f t="shared" si="108"/>
        <v>0</v>
      </c>
      <c r="O1380">
        <f t="shared" si="110"/>
        <v>1</v>
      </c>
      <c r="P1380" t="str">
        <f t="shared" si="109"/>
        <v/>
      </c>
      <c r="Q1380">
        <f>COUNTIF('責任職　企業局→市長部局'!A:A,SQLデータ!B1380)</f>
        <v>0</v>
      </c>
      <c r="R1380">
        <f>COUNTIF('一般職員　企業局→市長部局'!A:F,SQLデータ!B1380)</f>
        <v>0</v>
      </c>
    </row>
    <row r="1381" spans="1:18" x14ac:dyDescent="0.4">
      <c r="A1381" s="1">
        <v>202650001191</v>
      </c>
      <c r="B1381" s="1">
        <v>1206065</v>
      </c>
      <c r="C1381" s="2">
        <v>46116</v>
      </c>
      <c r="D1381" t="s">
        <v>17</v>
      </c>
      <c r="E1381" t="s">
        <v>8</v>
      </c>
      <c r="G1381" t="s">
        <v>9</v>
      </c>
      <c r="L1381">
        <f t="shared" si="106"/>
        <v>0</v>
      </c>
      <c r="M1381">
        <f t="shared" si="107"/>
        <v>0</v>
      </c>
      <c r="N1381">
        <f t="shared" si="108"/>
        <v>0</v>
      </c>
      <c r="O1381">
        <f t="shared" si="110"/>
        <v>1</v>
      </c>
      <c r="P1381" t="str">
        <f t="shared" si="109"/>
        <v/>
      </c>
      <c r="Q1381">
        <f>COUNTIF('責任職　企業局→市長部局'!A:A,SQLデータ!B1381)</f>
        <v>0</v>
      </c>
      <c r="R1381">
        <f>COUNTIF('一般職員　企業局→市長部局'!A:F,SQLデータ!B1381)</f>
        <v>0</v>
      </c>
    </row>
    <row r="1382" spans="1:18" x14ac:dyDescent="0.4">
      <c r="A1382" s="1">
        <v>202650001192</v>
      </c>
      <c r="B1382" s="1">
        <v>1176090</v>
      </c>
      <c r="C1382" s="2">
        <v>46116</v>
      </c>
      <c r="D1382" t="s">
        <v>17</v>
      </c>
      <c r="E1382" t="s">
        <v>15</v>
      </c>
      <c r="G1382" t="s">
        <v>9</v>
      </c>
      <c r="L1382">
        <f t="shared" si="106"/>
        <v>0</v>
      </c>
      <c r="M1382">
        <f t="shared" si="107"/>
        <v>0</v>
      </c>
      <c r="N1382">
        <f t="shared" si="108"/>
        <v>0</v>
      </c>
      <c r="O1382">
        <f t="shared" si="110"/>
        <v>1</v>
      </c>
      <c r="P1382" t="str">
        <f t="shared" si="109"/>
        <v/>
      </c>
      <c r="Q1382">
        <f>COUNTIF('責任職　企業局→市長部局'!A:A,SQLデータ!B1382)</f>
        <v>0</v>
      </c>
      <c r="R1382">
        <f>COUNTIF('一般職員　企業局→市長部局'!A:F,SQLデータ!B1382)</f>
        <v>0</v>
      </c>
    </row>
    <row r="1383" spans="1:18" x14ac:dyDescent="0.4">
      <c r="A1383" s="1">
        <v>202650001193</v>
      </c>
      <c r="B1383" s="1">
        <v>1106073</v>
      </c>
      <c r="C1383" s="2">
        <v>46116</v>
      </c>
      <c r="D1383" t="s">
        <v>17</v>
      </c>
      <c r="E1383" t="s">
        <v>10</v>
      </c>
      <c r="G1383" t="s">
        <v>9</v>
      </c>
      <c r="L1383">
        <f t="shared" si="106"/>
        <v>0</v>
      </c>
      <c r="M1383">
        <f t="shared" si="107"/>
        <v>0</v>
      </c>
      <c r="N1383">
        <f t="shared" si="108"/>
        <v>0</v>
      </c>
      <c r="O1383">
        <f t="shared" si="110"/>
        <v>1</v>
      </c>
      <c r="P1383" t="str">
        <f t="shared" si="109"/>
        <v/>
      </c>
      <c r="Q1383">
        <f>COUNTIF('責任職　企業局→市長部局'!A:A,SQLデータ!B1383)</f>
        <v>0</v>
      </c>
      <c r="R1383">
        <f>COUNTIF('一般職員　企業局→市長部局'!A:F,SQLデータ!B1383)</f>
        <v>0</v>
      </c>
    </row>
    <row r="1384" spans="1:18" x14ac:dyDescent="0.4">
      <c r="A1384" s="1">
        <v>202650001194</v>
      </c>
      <c r="B1384" s="1">
        <v>920031</v>
      </c>
      <c r="C1384" s="2">
        <v>46116</v>
      </c>
      <c r="D1384" t="s">
        <v>17</v>
      </c>
      <c r="E1384" t="s">
        <v>8</v>
      </c>
      <c r="G1384" t="s">
        <v>9</v>
      </c>
      <c r="L1384">
        <f t="shared" si="106"/>
        <v>0</v>
      </c>
      <c r="M1384">
        <f t="shared" si="107"/>
        <v>0</v>
      </c>
      <c r="N1384">
        <f t="shared" si="108"/>
        <v>0</v>
      </c>
      <c r="O1384">
        <f t="shared" si="110"/>
        <v>1</v>
      </c>
      <c r="P1384" t="str">
        <f t="shared" si="109"/>
        <v/>
      </c>
      <c r="Q1384">
        <f>COUNTIF('責任職　企業局→市長部局'!A:A,SQLデータ!B1384)</f>
        <v>0</v>
      </c>
      <c r="R1384">
        <f>COUNTIF('一般職員　企業局→市長部局'!A:F,SQLデータ!B1384)</f>
        <v>0</v>
      </c>
    </row>
    <row r="1385" spans="1:18" x14ac:dyDescent="0.4">
      <c r="A1385" s="1">
        <v>202650001195</v>
      </c>
      <c r="B1385" s="1">
        <v>910087</v>
      </c>
      <c r="C1385" s="2">
        <v>46116</v>
      </c>
      <c r="D1385" t="s">
        <v>17</v>
      </c>
      <c r="E1385" t="s">
        <v>10</v>
      </c>
      <c r="G1385" t="s">
        <v>9</v>
      </c>
      <c r="L1385">
        <f t="shared" si="106"/>
        <v>0</v>
      </c>
      <c r="M1385">
        <f t="shared" si="107"/>
        <v>0</v>
      </c>
      <c r="N1385">
        <f t="shared" si="108"/>
        <v>0</v>
      </c>
      <c r="O1385">
        <f t="shared" si="110"/>
        <v>1</v>
      </c>
      <c r="P1385" t="str">
        <f t="shared" si="109"/>
        <v/>
      </c>
      <c r="Q1385">
        <f>COUNTIF('責任職　企業局→市長部局'!A:A,SQLデータ!B1385)</f>
        <v>0</v>
      </c>
      <c r="R1385">
        <f>COUNTIF('一般職員　企業局→市長部局'!A:F,SQLデータ!B1385)</f>
        <v>0</v>
      </c>
    </row>
    <row r="1386" spans="1:18" x14ac:dyDescent="0.4">
      <c r="A1386" s="1">
        <v>202650001196</v>
      </c>
      <c r="B1386" s="1">
        <v>930120</v>
      </c>
      <c r="C1386" s="2">
        <v>46116</v>
      </c>
      <c r="D1386" t="s">
        <v>17</v>
      </c>
      <c r="E1386" t="s">
        <v>10</v>
      </c>
      <c r="G1386" t="s">
        <v>9</v>
      </c>
      <c r="L1386">
        <f t="shared" si="106"/>
        <v>0</v>
      </c>
      <c r="M1386">
        <f t="shared" si="107"/>
        <v>0</v>
      </c>
      <c r="N1386">
        <f t="shared" si="108"/>
        <v>0</v>
      </c>
      <c r="O1386">
        <f t="shared" si="110"/>
        <v>1</v>
      </c>
      <c r="P1386" t="str">
        <f t="shared" si="109"/>
        <v/>
      </c>
      <c r="Q1386">
        <f>COUNTIF('責任職　企業局→市長部局'!A:A,SQLデータ!B1386)</f>
        <v>0</v>
      </c>
      <c r="R1386">
        <f>COUNTIF('一般職員　企業局→市長部局'!A:F,SQLデータ!B1386)</f>
        <v>0</v>
      </c>
    </row>
    <row r="1387" spans="1:18" x14ac:dyDescent="0.4">
      <c r="A1387" s="1">
        <v>202650001197</v>
      </c>
      <c r="B1387" s="1">
        <v>1206111</v>
      </c>
      <c r="C1387" s="2">
        <v>46116</v>
      </c>
      <c r="D1387" t="s">
        <v>17</v>
      </c>
      <c r="E1387" t="s">
        <v>10</v>
      </c>
      <c r="G1387" t="s">
        <v>9</v>
      </c>
      <c r="L1387">
        <f t="shared" si="106"/>
        <v>0</v>
      </c>
      <c r="M1387">
        <f t="shared" si="107"/>
        <v>0</v>
      </c>
      <c r="N1387">
        <f t="shared" si="108"/>
        <v>0</v>
      </c>
      <c r="O1387">
        <f t="shared" si="110"/>
        <v>1</v>
      </c>
      <c r="P1387" t="str">
        <f t="shared" si="109"/>
        <v/>
      </c>
      <c r="Q1387">
        <f>COUNTIF('責任職　企業局→市長部局'!A:A,SQLデータ!B1387)</f>
        <v>0</v>
      </c>
      <c r="R1387">
        <f>COUNTIF('一般職員　企業局→市長部局'!A:F,SQLデータ!B1387)</f>
        <v>0</v>
      </c>
    </row>
    <row r="1388" spans="1:18" x14ac:dyDescent="0.4">
      <c r="A1388" s="1">
        <v>202650001198</v>
      </c>
      <c r="B1388" s="1">
        <v>1106115</v>
      </c>
      <c r="C1388" s="2">
        <v>46116</v>
      </c>
      <c r="D1388" t="s">
        <v>17</v>
      </c>
      <c r="E1388" t="s">
        <v>10</v>
      </c>
      <c r="G1388" t="s">
        <v>9</v>
      </c>
      <c r="L1388">
        <f t="shared" si="106"/>
        <v>0</v>
      </c>
      <c r="M1388">
        <f t="shared" si="107"/>
        <v>0</v>
      </c>
      <c r="N1388">
        <f t="shared" si="108"/>
        <v>0</v>
      </c>
      <c r="O1388">
        <f t="shared" si="110"/>
        <v>1</v>
      </c>
      <c r="P1388" t="str">
        <f t="shared" si="109"/>
        <v/>
      </c>
      <c r="Q1388">
        <f>COUNTIF('責任職　企業局→市長部局'!A:A,SQLデータ!B1388)</f>
        <v>0</v>
      </c>
      <c r="R1388">
        <f>COUNTIF('一般職員　企業局→市長部局'!A:F,SQLデータ!B1388)</f>
        <v>0</v>
      </c>
    </row>
    <row r="1389" spans="1:18" x14ac:dyDescent="0.4">
      <c r="A1389" s="1">
        <v>202650001200</v>
      </c>
      <c r="B1389" s="1">
        <v>1186140</v>
      </c>
      <c r="C1389" s="2">
        <v>46116</v>
      </c>
      <c r="D1389" t="s">
        <v>17</v>
      </c>
      <c r="E1389" t="s">
        <v>10</v>
      </c>
      <c r="G1389" t="s">
        <v>9</v>
      </c>
      <c r="L1389">
        <f t="shared" si="106"/>
        <v>0</v>
      </c>
      <c r="M1389">
        <f t="shared" si="107"/>
        <v>0</v>
      </c>
      <c r="N1389">
        <f t="shared" si="108"/>
        <v>0</v>
      </c>
      <c r="O1389">
        <f t="shared" si="110"/>
        <v>1</v>
      </c>
      <c r="P1389" t="str">
        <f t="shared" si="109"/>
        <v/>
      </c>
      <c r="Q1389">
        <f>COUNTIF('責任職　企業局→市長部局'!A:A,SQLデータ!B1389)</f>
        <v>0</v>
      </c>
      <c r="R1389">
        <f>COUNTIF('一般職員　企業局→市長部局'!A:F,SQLデータ!B1389)</f>
        <v>0</v>
      </c>
    </row>
    <row r="1390" spans="1:18" x14ac:dyDescent="0.4">
      <c r="A1390" s="1">
        <v>202650001201</v>
      </c>
      <c r="B1390" s="1">
        <v>1066073</v>
      </c>
      <c r="C1390" s="2">
        <v>46116</v>
      </c>
      <c r="D1390" t="s">
        <v>17</v>
      </c>
      <c r="E1390" t="s">
        <v>10</v>
      </c>
      <c r="G1390" t="s">
        <v>9</v>
      </c>
      <c r="L1390">
        <f t="shared" si="106"/>
        <v>0</v>
      </c>
      <c r="M1390">
        <f t="shared" si="107"/>
        <v>0</v>
      </c>
      <c r="N1390">
        <f t="shared" si="108"/>
        <v>0</v>
      </c>
      <c r="O1390">
        <f t="shared" si="110"/>
        <v>1</v>
      </c>
      <c r="P1390" t="str">
        <f t="shared" si="109"/>
        <v/>
      </c>
      <c r="Q1390">
        <f>COUNTIF('責任職　企業局→市長部局'!A:A,SQLデータ!B1390)</f>
        <v>0</v>
      </c>
      <c r="R1390">
        <f>COUNTIF('一般職員　企業局→市長部局'!A:F,SQLデータ!B1390)</f>
        <v>0</v>
      </c>
    </row>
    <row r="1391" spans="1:18" x14ac:dyDescent="0.4">
      <c r="A1391" s="1">
        <v>202650001202</v>
      </c>
      <c r="B1391" s="1">
        <v>1176079</v>
      </c>
      <c r="C1391" s="2">
        <v>46116</v>
      </c>
      <c r="D1391" t="s">
        <v>17</v>
      </c>
      <c r="E1391" t="s">
        <v>10</v>
      </c>
      <c r="G1391" t="s">
        <v>9</v>
      </c>
      <c r="L1391">
        <f t="shared" si="106"/>
        <v>0</v>
      </c>
      <c r="M1391">
        <f t="shared" si="107"/>
        <v>0</v>
      </c>
      <c r="N1391">
        <f t="shared" si="108"/>
        <v>0</v>
      </c>
      <c r="O1391">
        <f t="shared" si="110"/>
        <v>1</v>
      </c>
      <c r="P1391" t="str">
        <f t="shared" si="109"/>
        <v/>
      </c>
      <c r="Q1391">
        <f>COUNTIF('責任職　企業局→市長部局'!A:A,SQLデータ!B1391)</f>
        <v>0</v>
      </c>
      <c r="R1391">
        <f>COUNTIF('一般職員　企業局→市長部局'!A:F,SQLデータ!B1391)</f>
        <v>0</v>
      </c>
    </row>
    <row r="1392" spans="1:18" x14ac:dyDescent="0.4">
      <c r="A1392" s="1">
        <v>202650001203</v>
      </c>
      <c r="B1392" s="1">
        <v>1246032</v>
      </c>
      <c r="C1392" s="2">
        <v>46116</v>
      </c>
      <c r="D1392" t="s">
        <v>17</v>
      </c>
      <c r="E1392" t="s">
        <v>10</v>
      </c>
      <c r="G1392" t="s">
        <v>9</v>
      </c>
      <c r="L1392">
        <f t="shared" si="106"/>
        <v>0</v>
      </c>
      <c r="M1392">
        <f t="shared" si="107"/>
        <v>0</v>
      </c>
      <c r="N1392">
        <f t="shared" si="108"/>
        <v>0</v>
      </c>
      <c r="O1392">
        <f t="shared" si="110"/>
        <v>1</v>
      </c>
      <c r="P1392" t="str">
        <f t="shared" si="109"/>
        <v/>
      </c>
      <c r="Q1392">
        <f>COUNTIF('責任職　企業局→市長部局'!A:A,SQLデータ!B1392)</f>
        <v>0</v>
      </c>
      <c r="R1392">
        <f>COUNTIF('一般職員　企業局→市長部局'!A:F,SQLデータ!B1392)</f>
        <v>0</v>
      </c>
    </row>
    <row r="1393" spans="1:18" x14ac:dyDescent="0.4">
      <c r="A1393" s="1">
        <v>202650001204</v>
      </c>
      <c r="B1393" s="1">
        <v>1226086</v>
      </c>
      <c r="C1393" s="2">
        <v>46116</v>
      </c>
      <c r="D1393" t="s">
        <v>17</v>
      </c>
      <c r="E1393" t="s">
        <v>8</v>
      </c>
      <c r="F1393" t="s">
        <v>47</v>
      </c>
      <c r="G1393" t="s">
        <v>9</v>
      </c>
      <c r="L1393">
        <f t="shared" si="106"/>
        <v>0</v>
      </c>
      <c r="M1393">
        <f t="shared" si="107"/>
        <v>0</v>
      </c>
      <c r="N1393">
        <f t="shared" si="108"/>
        <v>0</v>
      </c>
      <c r="O1393">
        <f t="shared" si="110"/>
        <v>1</v>
      </c>
      <c r="P1393" t="str">
        <f t="shared" si="109"/>
        <v/>
      </c>
      <c r="Q1393">
        <f>COUNTIF('責任職　企業局→市長部局'!A:A,SQLデータ!B1393)</f>
        <v>0</v>
      </c>
      <c r="R1393">
        <f>COUNTIF('一般職員　企業局→市長部局'!A:F,SQLデータ!B1393)</f>
        <v>0</v>
      </c>
    </row>
    <row r="1394" spans="1:18" x14ac:dyDescent="0.4">
      <c r="A1394" s="1">
        <v>202650001205</v>
      </c>
      <c r="B1394" s="1">
        <v>1086111</v>
      </c>
      <c r="C1394" s="2">
        <v>46116</v>
      </c>
      <c r="D1394" t="s">
        <v>17</v>
      </c>
      <c r="E1394" t="s">
        <v>8</v>
      </c>
      <c r="G1394" t="s">
        <v>9</v>
      </c>
      <c r="L1394">
        <f t="shared" si="106"/>
        <v>0</v>
      </c>
      <c r="M1394">
        <f t="shared" si="107"/>
        <v>0</v>
      </c>
      <c r="N1394">
        <f t="shared" si="108"/>
        <v>0</v>
      </c>
      <c r="O1394">
        <f t="shared" si="110"/>
        <v>1</v>
      </c>
      <c r="P1394" t="str">
        <f t="shared" si="109"/>
        <v/>
      </c>
      <c r="Q1394">
        <f>COUNTIF('責任職　企業局→市長部局'!A:A,SQLデータ!B1394)</f>
        <v>0</v>
      </c>
      <c r="R1394">
        <f>COUNTIF('一般職員　企業局→市長部局'!A:F,SQLデータ!B1394)</f>
        <v>0</v>
      </c>
    </row>
    <row r="1395" spans="1:18" x14ac:dyDescent="0.4">
      <c r="A1395" s="1">
        <v>202650001206</v>
      </c>
      <c r="B1395" s="1">
        <v>1106129</v>
      </c>
      <c r="C1395" s="2">
        <v>46116</v>
      </c>
      <c r="D1395" t="s">
        <v>17</v>
      </c>
      <c r="E1395" t="s">
        <v>10</v>
      </c>
      <c r="G1395" t="s">
        <v>9</v>
      </c>
      <c r="L1395">
        <f t="shared" si="106"/>
        <v>0</v>
      </c>
      <c r="M1395">
        <f t="shared" si="107"/>
        <v>0</v>
      </c>
      <c r="N1395">
        <f t="shared" si="108"/>
        <v>0</v>
      </c>
      <c r="O1395">
        <f t="shared" si="110"/>
        <v>1</v>
      </c>
      <c r="P1395" t="str">
        <f t="shared" si="109"/>
        <v/>
      </c>
      <c r="Q1395">
        <f>COUNTIF('責任職　企業局→市長部局'!A:A,SQLデータ!B1395)</f>
        <v>0</v>
      </c>
      <c r="R1395">
        <f>COUNTIF('一般職員　企業局→市長部局'!A:F,SQLデータ!B1395)</f>
        <v>0</v>
      </c>
    </row>
    <row r="1396" spans="1:18" x14ac:dyDescent="0.4">
      <c r="A1396" s="1">
        <v>202650001207</v>
      </c>
      <c r="B1396" s="1">
        <v>1126146</v>
      </c>
      <c r="C1396" s="2">
        <v>46116</v>
      </c>
      <c r="D1396" t="s">
        <v>17</v>
      </c>
      <c r="E1396" t="s">
        <v>10</v>
      </c>
      <c r="G1396" t="s">
        <v>9</v>
      </c>
      <c r="L1396">
        <f t="shared" si="106"/>
        <v>0</v>
      </c>
      <c r="M1396">
        <f t="shared" si="107"/>
        <v>0</v>
      </c>
      <c r="N1396">
        <f t="shared" si="108"/>
        <v>0</v>
      </c>
      <c r="O1396">
        <f t="shared" si="110"/>
        <v>1</v>
      </c>
      <c r="P1396" t="str">
        <f t="shared" si="109"/>
        <v/>
      </c>
      <c r="Q1396">
        <f>COUNTIF('責任職　企業局→市長部局'!A:A,SQLデータ!B1396)</f>
        <v>0</v>
      </c>
      <c r="R1396">
        <f>COUNTIF('一般職員　企業局→市長部局'!A:F,SQLデータ!B1396)</f>
        <v>0</v>
      </c>
    </row>
    <row r="1397" spans="1:18" x14ac:dyDescent="0.4">
      <c r="A1397" s="1">
        <v>202650001208</v>
      </c>
      <c r="B1397" s="1">
        <v>1176017</v>
      </c>
      <c r="C1397" s="2">
        <v>46116</v>
      </c>
      <c r="D1397" t="s">
        <v>17</v>
      </c>
      <c r="E1397" t="s">
        <v>10</v>
      </c>
      <c r="G1397" t="s">
        <v>9</v>
      </c>
      <c r="L1397">
        <f t="shared" si="106"/>
        <v>0</v>
      </c>
      <c r="M1397">
        <f t="shared" si="107"/>
        <v>0</v>
      </c>
      <c r="N1397">
        <f t="shared" si="108"/>
        <v>0</v>
      </c>
      <c r="O1397">
        <f t="shared" si="110"/>
        <v>1</v>
      </c>
      <c r="P1397" t="str">
        <f t="shared" si="109"/>
        <v/>
      </c>
      <c r="Q1397">
        <f>COUNTIF('責任職　企業局→市長部局'!A:A,SQLデータ!B1397)</f>
        <v>0</v>
      </c>
      <c r="R1397">
        <f>COUNTIF('一般職員　企業局→市長部局'!A:F,SQLデータ!B1397)</f>
        <v>0</v>
      </c>
    </row>
    <row r="1398" spans="1:18" x14ac:dyDescent="0.4">
      <c r="A1398" s="1">
        <v>202650001209</v>
      </c>
      <c r="B1398" s="1">
        <v>1146100</v>
      </c>
      <c r="C1398" s="2">
        <v>46116</v>
      </c>
      <c r="D1398" t="s">
        <v>17</v>
      </c>
      <c r="E1398" t="s">
        <v>8</v>
      </c>
      <c r="G1398" t="s">
        <v>9</v>
      </c>
      <c r="L1398">
        <f t="shared" si="106"/>
        <v>0</v>
      </c>
      <c r="M1398">
        <f t="shared" si="107"/>
        <v>0</v>
      </c>
      <c r="N1398">
        <f t="shared" si="108"/>
        <v>0</v>
      </c>
      <c r="O1398">
        <f t="shared" si="110"/>
        <v>1</v>
      </c>
      <c r="P1398" t="str">
        <f t="shared" si="109"/>
        <v/>
      </c>
      <c r="Q1398">
        <f>COUNTIF('責任職　企業局→市長部局'!A:A,SQLデータ!B1398)</f>
        <v>0</v>
      </c>
      <c r="R1398">
        <f>COUNTIF('一般職員　企業局→市長部局'!A:F,SQLデータ!B1398)</f>
        <v>0</v>
      </c>
    </row>
    <row r="1399" spans="1:18" x14ac:dyDescent="0.4">
      <c r="A1399" s="1">
        <v>202650001210</v>
      </c>
      <c r="B1399" s="1">
        <v>1106044</v>
      </c>
      <c r="C1399" s="2">
        <v>46116</v>
      </c>
      <c r="D1399" t="s">
        <v>17</v>
      </c>
      <c r="E1399" t="s">
        <v>10</v>
      </c>
      <c r="G1399" t="s">
        <v>9</v>
      </c>
      <c r="L1399">
        <f t="shared" si="106"/>
        <v>0</v>
      </c>
      <c r="M1399">
        <f t="shared" si="107"/>
        <v>0</v>
      </c>
      <c r="N1399">
        <f t="shared" si="108"/>
        <v>0</v>
      </c>
      <c r="O1399">
        <f t="shared" si="110"/>
        <v>1</v>
      </c>
      <c r="P1399" t="str">
        <f t="shared" si="109"/>
        <v/>
      </c>
      <c r="Q1399">
        <f>COUNTIF('責任職　企業局→市長部局'!A:A,SQLデータ!B1399)</f>
        <v>0</v>
      </c>
      <c r="R1399">
        <f>COUNTIF('一般職員　企業局→市長部局'!A:F,SQLデータ!B1399)</f>
        <v>0</v>
      </c>
    </row>
    <row r="1400" spans="1:18" x14ac:dyDescent="0.4">
      <c r="A1400" s="1">
        <v>202650001211</v>
      </c>
      <c r="B1400" s="1">
        <v>940053</v>
      </c>
      <c r="C1400" s="2">
        <v>46116</v>
      </c>
      <c r="D1400" t="s">
        <v>17</v>
      </c>
      <c r="E1400" t="s">
        <v>10</v>
      </c>
      <c r="G1400" t="s">
        <v>9</v>
      </c>
      <c r="L1400">
        <f t="shared" si="106"/>
        <v>0</v>
      </c>
      <c r="M1400">
        <f t="shared" si="107"/>
        <v>0</v>
      </c>
      <c r="N1400">
        <f t="shared" si="108"/>
        <v>0</v>
      </c>
      <c r="O1400">
        <f t="shared" si="110"/>
        <v>1</v>
      </c>
      <c r="P1400" t="str">
        <f t="shared" si="109"/>
        <v/>
      </c>
      <c r="Q1400">
        <f>COUNTIF('責任職　企業局→市長部局'!A:A,SQLデータ!B1400)</f>
        <v>0</v>
      </c>
      <c r="R1400">
        <f>COUNTIF('一般職員　企業局→市長部局'!A:F,SQLデータ!B1400)</f>
        <v>0</v>
      </c>
    </row>
    <row r="1401" spans="1:18" x14ac:dyDescent="0.4">
      <c r="A1401" s="1">
        <v>202650001212</v>
      </c>
      <c r="B1401" s="1">
        <v>1246062</v>
      </c>
      <c r="C1401" s="2">
        <v>46116</v>
      </c>
      <c r="D1401" t="s">
        <v>17</v>
      </c>
      <c r="E1401" t="s">
        <v>10</v>
      </c>
      <c r="G1401" t="s">
        <v>9</v>
      </c>
      <c r="L1401">
        <f t="shared" si="106"/>
        <v>0</v>
      </c>
      <c r="M1401">
        <f t="shared" si="107"/>
        <v>0</v>
      </c>
      <c r="N1401">
        <f t="shared" si="108"/>
        <v>0</v>
      </c>
      <c r="O1401">
        <f t="shared" si="110"/>
        <v>1</v>
      </c>
      <c r="P1401" t="str">
        <f t="shared" si="109"/>
        <v/>
      </c>
      <c r="Q1401">
        <f>COUNTIF('責任職　企業局→市長部局'!A:A,SQLデータ!B1401)</f>
        <v>0</v>
      </c>
      <c r="R1401">
        <f>COUNTIF('一般職員　企業局→市長部局'!A:F,SQLデータ!B1401)</f>
        <v>0</v>
      </c>
    </row>
    <row r="1402" spans="1:18" x14ac:dyDescent="0.4">
      <c r="A1402" s="1">
        <v>202650001213</v>
      </c>
      <c r="B1402" s="1">
        <v>810791</v>
      </c>
      <c r="C1402" s="2">
        <v>46116</v>
      </c>
      <c r="D1402" t="s">
        <v>17</v>
      </c>
      <c r="E1402" t="s">
        <v>8</v>
      </c>
      <c r="F1402" t="s">
        <v>47</v>
      </c>
      <c r="G1402" t="s">
        <v>9</v>
      </c>
      <c r="L1402">
        <f t="shared" si="106"/>
        <v>0</v>
      </c>
      <c r="M1402">
        <f t="shared" si="107"/>
        <v>0</v>
      </c>
      <c r="N1402">
        <f t="shared" si="108"/>
        <v>0</v>
      </c>
      <c r="O1402">
        <f t="shared" si="110"/>
        <v>1</v>
      </c>
      <c r="P1402" t="str">
        <f t="shared" si="109"/>
        <v/>
      </c>
      <c r="Q1402">
        <f>COUNTIF('責任職　企業局→市長部局'!A:A,SQLデータ!B1402)</f>
        <v>0</v>
      </c>
      <c r="R1402">
        <f>COUNTIF('一般職員　企業局→市長部局'!A:F,SQLデータ!B1402)</f>
        <v>0</v>
      </c>
    </row>
    <row r="1403" spans="1:18" x14ac:dyDescent="0.4">
      <c r="A1403" s="1">
        <v>202650001214</v>
      </c>
      <c r="B1403" s="1">
        <v>1176076</v>
      </c>
      <c r="C1403" s="2">
        <v>46116</v>
      </c>
      <c r="D1403" t="s">
        <v>17</v>
      </c>
      <c r="E1403" t="s">
        <v>10</v>
      </c>
      <c r="G1403" t="s">
        <v>9</v>
      </c>
      <c r="L1403">
        <f t="shared" si="106"/>
        <v>0</v>
      </c>
      <c r="M1403">
        <f t="shared" si="107"/>
        <v>0</v>
      </c>
      <c r="N1403">
        <f t="shared" si="108"/>
        <v>0</v>
      </c>
      <c r="O1403">
        <f t="shared" si="110"/>
        <v>1</v>
      </c>
      <c r="P1403" t="str">
        <f t="shared" si="109"/>
        <v/>
      </c>
      <c r="Q1403">
        <f>COUNTIF('責任職　企業局→市長部局'!A:A,SQLデータ!B1403)</f>
        <v>0</v>
      </c>
      <c r="R1403">
        <f>COUNTIF('一般職員　企業局→市長部局'!A:F,SQLデータ!B1403)</f>
        <v>0</v>
      </c>
    </row>
    <row r="1404" spans="1:18" x14ac:dyDescent="0.4">
      <c r="A1404" s="1">
        <v>202650001215</v>
      </c>
      <c r="B1404" s="1">
        <v>1156051</v>
      </c>
      <c r="C1404" s="2">
        <v>46116</v>
      </c>
      <c r="D1404" t="s">
        <v>17</v>
      </c>
      <c r="E1404" t="s">
        <v>8</v>
      </c>
      <c r="F1404" t="s">
        <v>47</v>
      </c>
      <c r="G1404" t="s">
        <v>9</v>
      </c>
      <c r="L1404">
        <f t="shared" si="106"/>
        <v>0</v>
      </c>
      <c r="M1404">
        <f t="shared" si="107"/>
        <v>0</v>
      </c>
      <c r="N1404">
        <f t="shared" si="108"/>
        <v>0</v>
      </c>
      <c r="O1404">
        <f t="shared" si="110"/>
        <v>1</v>
      </c>
      <c r="P1404" t="str">
        <f t="shared" si="109"/>
        <v/>
      </c>
      <c r="Q1404">
        <f>COUNTIF('責任職　企業局→市長部局'!A:A,SQLデータ!B1404)</f>
        <v>0</v>
      </c>
      <c r="R1404">
        <f>COUNTIF('一般職員　企業局→市長部局'!A:F,SQLデータ!B1404)</f>
        <v>0</v>
      </c>
    </row>
    <row r="1405" spans="1:18" x14ac:dyDescent="0.4">
      <c r="A1405" s="1">
        <v>202650001216</v>
      </c>
      <c r="B1405" s="1">
        <v>950054</v>
      </c>
      <c r="C1405" s="2">
        <v>46116</v>
      </c>
      <c r="D1405" t="s">
        <v>17</v>
      </c>
      <c r="E1405" t="s">
        <v>10</v>
      </c>
      <c r="G1405" t="s">
        <v>9</v>
      </c>
      <c r="L1405">
        <f t="shared" si="106"/>
        <v>0</v>
      </c>
      <c r="M1405">
        <f t="shared" si="107"/>
        <v>0</v>
      </c>
      <c r="N1405">
        <f t="shared" si="108"/>
        <v>0</v>
      </c>
      <c r="O1405">
        <f t="shared" si="110"/>
        <v>1</v>
      </c>
      <c r="P1405" t="str">
        <f t="shared" si="109"/>
        <v/>
      </c>
      <c r="Q1405">
        <f>COUNTIF('責任職　企業局→市長部局'!A:A,SQLデータ!B1405)</f>
        <v>0</v>
      </c>
      <c r="R1405">
        <f>COUNTIF('一般職員　企業局→市長部局'!A:F,SQLデータ!B1405)</f>
        <v>0</v>
      </c>
    </row>
    <row r="1406" spans="1:18" x14ac:dyDescent="0.4">
      <c r="A1406" s="1">
        <v>202650001217</v>
      </c>
      <c r="B1406" s="1">
        <v>1226016</v>
      </c>
      <c r="C1406" s="2">
        <v>46118</v>
      </c>
      <c r="D1406" t="s">
        <v>17</v>
      </c>
      <c r="E1406" t="s">
        <v>10</v>
      </c>
      <c r="G1406" t="s">
        <v>9</v>
      </c>
      <c r="L1406">
        <f t="shared" si="106"/>
        <v>0</v>
      </c>
      <c r="M1406">
        <f t="shared" si="107"/>
        <v>0</v>
      </c>
      <c r="N1406">
        <f t="shared" si="108"/>
        <v>0</v>
      </c>
      <c r="O1406">
        <f t="shared" si="110"/>
        <v>1</v>
      </c>
      <c r="P1406" t="str">
        <f t="shared" si="109"/>
        <v/>
      </c>
      <c r="Q1406">
        <f>COUNTIF('責任職　企業局→市長部局'!A:A,SQLデータ!B1406)</f>
        <v>0</v>
      </c>
      <c r="R1406">
        <f>COUNTIF('一般職員　企業局→市長部局'!A:F,SQLデータ!B1406)</f>
        <v>0</v>
      </c>
    </row>
    <row r="1407" spans="1:18" x14ac:dyDescent="0.4">
      <c r="A1407" s="1">
        <v>202650001218</v>
      </c>
      <c r="B1407" s="1">
        <v>1076075</v>
      </c>
      <c r="C1407" s="2">
        <v>46116</v>
      </c>
      <c r="D1407" t="s">
        <v>17</v>
      </c>
      <c r="E1407" t="s">
        <v>10</v>
      </c>
      <c r="G1407" t="s">
        <v>9</v>
      </c>
      <c r="L1407">
        <f t="shared" si="106"/>
        <v>0</v>
      </c>
      <c r="M1407">
        <f t="shared" si="107"/>
        <v>0</v>
      </c>
      <c r="N1407">
        <f t="shared" si="108"/>
        <v>0</v>
      </c>
      <c r="O1407">
        <f t="shared" si="110"/>
        <v>1</v>
      </c>
      <c r="P1407" t="str">
        <f t="shared" si="109"/>
        <v/>
      </c>
      <c r="Q1407">
        <f>COUNTIF('責任職　企業局→市長部局'!A:A,SQLデータ!B1407)</f>
        <v>0</v>
      </c>
      <c r="R1407">
        <f>COUNTIF('一般職員　企業局→市長部局'!A:F,SQLデータ!B1407)</f>
        <v>0</v>
      </c>
    </row>
    <row r="1408" spans="1:18" x14ac:dyDescent="0.4">
      <c r="A1408" s="1">
        <v>202650001219</v>
      </c>
      <c r="B1408" s="1">
        <v>1186024</v>
      </c>
      <c r="C1408" s="2">
        <v>46116</v>
      </c>
      <c r="D1408" t="s">
        <v>17</v>
      </c>
      <c r="E1408" t="s">
        <v>10</v>
      </c>
      <c r="G1408" t="s">
        <v>9</v>
      </c>
      <c r="L1408">
        <f t="shared" si="106"/>
        <v>0</v>
      </c>
      <c r="M1408">
        <f t="shared" si="107"/>
        <v>0</v>
      </c>
      <c r="N1408">
        <f t="shared" si="108"/>
        <v>0</v>
      </c>
      <c r="O1408">
        <f t="shared" si="110"/>
        <v>1</v>
      </c>
      <c r="P1408" t="str">
        <f t="shared" si="109"/>
        <v/>
      </c>
      <c r="Q1408">
        <f>COUNTIF('責任職　企業局→市長部局'!A:A,SQLデータ!B1408)</f>
        <v>0</v>
      </c>
      <c r="R1408">
        <f>COUNTIF('一般職員　企業局→市長部局'!A:F,SQLデータ!B1408)</f>
        <v>0</v>
      </c>
    </row>
    <row r="1409" spans="1:18" x14ac:dyDescent="0.4">
      <c r="A1409" s="1">
        <v>202650001220</v>
      </c>
      <c r="B1409" s="1">
        <v>1106132</v>
      </c>
      <c r="C1409" s="2">
        <v>46116</v>
      </c>
      <c r="D1409" t="s">
        <v>17</v>
      </c>
      <c r="E1409" t="s">
        <v>15</v>
      </c>
      <c r="G1409" t="s">
        <v>9</v>
      </c>
      <c r="L1409">
        <f t="shared" si="106"/>
        <v>0</v>
      </c>
      <c r="M1409">
        <f t="shared" si="107"/>
        <v>0</v>
      </c>
      <c r="N1409">
        <f t="shared" si="108"/>
        <v>0</v>
      </c>
      <c r="O1409">
        <f t="shared" si="110"/>
        <v>1</v>
      </c>
      <c r="P1409" t="str">
        <f t="shared" si="109"/>
        <v/>
      </c>
      <c r="Q1409">
        <f>COUNTIF('責任職　企業局→市長部局'!A:A,SQLデータ!B1409)</f>
        <v>0</v>
      </c>
      <c r="R1409">
        <f>COUNTIF('一般職員　企業局→市長部局'!A:F,SQLデータ!B1409)</f>
        <v>0</v>
      </c>
    </row>
    <row r="1410" spans="1:18" x14ac:dyDescent="0.4">
      <c r="A1410" s="1">
        <v>202650001221</v>
      </c>
      <c r="B1410" s="1">
        <v>1156095</v>
      </c>
      <c r="C1410" s="2">
        <v>46116</v>
      </c>
      <c r="D1410" t="s">
        <v>17</v>
      </c>
      <c r="E1410" t="s">
        <v>10</v>
      </c>
      <c r="G1410" t="s">
        <v>9</v>
      </c>
      <c r="L1410">
        <f t="shared" ref="L1410:L1473" si="111">IF(ISBLANK(J1410),0,1)</f>
        <v>0</v>
      </c>
      <c r="M1410">
        <f t="shared" ref="M1410:M1473" si="112">IF(AND(L1410=0,I1410&lt;&gt;""),1,0)</f>
        <v>0</v>
      </c>
      <c r="N1410">
        <f t="shared" ref="N1410:N1473" si="113">IF(AND(L1410=0,M1410=0,K1410&lt;&gt;""),1,0)</f>
        <v>0</v>
      </c>
      <c r="O1410">
        <f t="shared" si="110"/>
        <v>1</v>
      </c>
      <c r="P1410" t="str">
        <f t="shared" ref="P1410:P1473" si="114">IF(D1410&lt;&gt;"扶養","",IF(E1410&lt;&gt;"確認待ち",1,IF(OR(AND(G1410="本人の結婚",O1410=1),AND(H1410="減",OR(N1410=1,O1410=1))),1,0)))</f>
        <v/>
      </c>
      <c r="Q1410">
        <f>COUNTIF('責任職　企業局→市長部局'!A:A,SQLデータ!B1410)</f>
        <v>0</v>
      </c>
      <c r="R1410">
        <f>COUNTIF('一般職員　企業局→市長部局'!A:F,SQLデータ!B1410)</f>
        <v>0</v>
      </c>
    </row>
    <row r="1411" spans="1:18" x14ac:dyDescent="0.4">
      <c r="A1411" s="1">
        <v>202650001222</v>
      </c>
      <c r="B1411" s="1">
        <v>1236052</v>
      </c>
      <c r="C1411" s="2">
        <v>46116</v>
      </c>
      <c r="D1411" t="s">
        <v>17</v>
      </c>
      <c r="E1411" t="s">
        <v>10</v>
      </c>
      <c r="G1411" t="s">
        <v>9</v>
      </c>
      <c r="L1411">
        <f t="shared" si="111"/>
        <v>0</v>
      </c>
      <c r="M1411">
        <f t="shared" si="112"/>
        <v>0</v>
      </c>
      <c r="N1411">
        <f t="shared" si="113"/>
        <v>0</v>
      </c>
      <c r="O1411">
        <f t="shared" si="110"/>
        <v>1</v>
      </c>
      <c r="P1411" t="str">
        <f t="shared" si="114"/>
        <v/>
      </c>
      <c r="Q1411">
        <f>COUNTIF('責任職　企業局→市長部局'!A:A,SQLデータ!B1411)</f>
        <v>0</v>
      </c>
      <c r="R1411">
        <f>COUNTIF('一般職員　企業局→市長部局'!A:F,SQLデータ!B1411)</f>
        <v>0</v>
      </c>
    </row>
    <row r="1412" spans="1:18" x14ac:dyDescent="0.4">
      <c r="A1412" s="1">
        <v>202650001223</v>
      </c>
      <c r="B1412" s="1">
        <v>1116028</v>
      </c>
      <c r="C1412" s="2">
        <v>46116</v>
      </c>
      <c r="D1412" t="s">
        <v>17</v>
      </c>
      <c r="E1412" t="s">
        <v>8</v>
      </c>
      <c r="F1412" t="s">
        <v>47</v>
      </c>
      <c r="G1412" t="s">
        <v>9</v>
      </c>
      <c r="L1412">
        <f t="shared" si="111"/>
        <v>0</v>
      </c>
      <c r="M1412">
        <f t="shared" si="112"/>
        <v>0</v>
      </c>
      <c r="N1412">
        <f t="shared" si="113"/>
        <v>0</v>
      </c>
      <c r="O1412">
        <f t="shared" si="110"/>
        <v>1</v>
      </c>
      <c r="P1412" t="str">
        <f t="shared" si="114"/>
        <v/>
      </c>
      <c r="Q1412">
        <f>COUNTIF('責任職　企業局→市長部局'!A:A,SQLデータ!B1412)</f>
        <v>0</v>
      </c>
      <c r="R1412">
        <f>COUNTIF('一般職員　企業局→市長部局'!A:F,SQLデータ!B1412)</f>
        <v>0</v>
      </c>
    </row>
    <row r="1413" spans="1:18" x14ac:dyDescent="0.4">
      <c r="A1413" s="1">
        <v>202650001224</v>
      </c>
      <c r="B1413" s="1">
        <v>1196041</v>
      </c>
      <c r="C1413" s="2">
        <v>46116</v>
      </c>
      <c r="D1413" t="s">
        <v>17</v>
      </c>
      <c r="E1413" t="s">
        <v>10</v>
      </c>
      <c r="G1413" t="s">
        <v>9</v>
      </c>
      <c r="L1413">
        <f t="shared" si="111"/>
        <v>0</v>
      </c>
      <c r="M1413">
        <f t="shared" si="112"/>
        <v>0</v>
      </c>
      <c r="N1413">
        <f t="shared" si="113"/>
        <v>0</v>
      </c>
      <c r="O1413">
        <f t="shared" si="110"/>
        <v>1</v>
      </c>
      <c r="P1413" t="str">
        <f t="shared" si="114"/>
        <v/>
      </c>
      <c r="Q1413">
        <f>COUNTIF('責任職　企業局→市長部局'!A:A,SQLデータ!B1413)</f>
        <v>0</v>
      </c>
      <c r="R1413">
        <f>COUNTIF('一般職員　企業局→市長部局'!A:F,SQLデータ!B1413)</f>
        <v>0</v>
      </c>
    </row>
    <row r="1414" spans="1:18" x14ac:dyDescent="0.4">
      <c r="A1414" s="1">
        <v>202650001225</v>
      </c>
      <c r="B1414" s="1">
        <v>1246017</v>
      </c>
      <c r="C1414" s="2">
        <v>46116</v>
      </c>
      <c r="D1414" t="s">
        <v>17</v>
      </c>
      <c r="E1414" t="s">
        <v>10</v>
      </c>
      <c r="G1414" t="s">
        <v>9</v>
      </c>
      <c r="L1414">
        <f t="shared" si="111"/>
        <v>0</v>
      </c>
      <c r="M1414">
        <f t="shared" si="112"/>
        <v>0</v>
      </c>
      <c r="N1414">
        <f t="shared" si="113"/>
        <v>0</v>
      </c>
      <c r="O1414">
        <f t="shared" si="110"/>
        <v>1</v>
      </c>
      <c r="P1414" t="str">
        <f t="shared" si="114"/>
        <v/>
      </c>
      <c r="Q1414">
        <f>COUNTIF('責任職　企業局→市長部局'!A:A,SQLデータ!B1414)</f>
        <v>0</v>
      </c>
      <c r="R1414">
        <f>COUNTIF('一般職員　企業局→市長部局'!A:F,SQLデータ!B1414)</f>
        <v>0</v>
      </c>
    </row>
    <row r="1415" spans="1:18" x14ac:dyDescent="0.4">
      <c r="A1415" s="1">
        <v>202650001226</v>
      </c>
      <c r="B1415" s="1">
        <v>1136014</v>
      </c>
      <c r="C1415" s="2">
        <v>46116</v>
      </c>
      <c r="D1415" t="s">
        <v>17</v>
      </c>
      <c r="E1415" t="s">
        <v>10</v>
      </c>
      <c r="G1415" t="s">
        <v>9</v>
      </c>
      <c r="L1415">
        <f t="shared" si="111"/>
        <v>0</v>
      </c>
      <c r="M1415">
        <f t="shared" si="112"/>
        <v>0</v>
      </c>
      <c r="N1415">
        <f t="shared" si="113"/>
        <v>0</v>
      </c>
      <c r="O1415">
        <f t="shared" si="110"/>
        <v>1</v>
      </c>
      <c r="P1415" t="str">
        <f t="shared" si="114"/>
        <v/>
      </c>
      <c r="Q1415">
        <f>COUNTIF('責任職　企業局→市長部局'!A:A,SQLデータ!B1415)</f>
        <v>0</v>
      </c>
      <c r="R1415">
        <f>COUNTIF('一般職員　企業局→市長部局'!A:F,SQLデータ!B1415)</f>
        <v>0</v>
      </c>
    </row>
    <row r="1416" spans="1:18" x14ac:dyDescent="0.4">
      <c r="A1416" s="1">
        <v>202650001227</v>
      </c>
      <c r="B1416" s="1">
        <v>1076068</v>
      </c>
      <c r="C1416" s="2">
        <v>46116</v>
      </c>
      <c r="D1416" t="s">
        <v>17</v>
      </c>
      <c r="E1416" t="s">
        <v>11</v>
      </c>
      <c r="G1416" t="s">
        <v>9</v>
      </c>
      <c r="L1416">
        <f t="shared" si="111"/>
        <v>0</v>
      </c>
      <c r="M1416">
        <f t="shared" si="112"/>
        <v>0</v>
      </c>
      <c r="N1416">
        <f t="shared" si="113"/>
        <v>0</v>
      </c>
      <c r="O1416">
        <f t="shared" si="110"/>
        <v>1</v>
      </c>
      <c r="P1416" t="str">
        <f t="shared" si="114"/>
        <v/>
      </c>
      <c r="Q1416">
        <f>COUNTIF('責任職　企業局→市長部局'!A:A,SQLデータ!B1416)</f>
        <v>0</v>
      </c>
      <c r="R1416">
        <f>COUNTIF('一般職員　企業局→市長部局'!A:F,SQLデータ!B1416)</f>
        <v>0</v>
      </c>
    </row>
    <row r="1417" spans="1:18" x14ac:dyDescent="0.4">
      <c r="A1417" s="1">
        <v>202650001228</v>
      </c>
      <c r="B1417" s="1">
        <v>1256084</v>
      </c>
      <c r="C1417" s="2">
        <v>46116</v>
      </c>
      <c r="D1417" t="s">
        <v>17</v>
      </c>
      <c r="E1417" t="s">
        <v>11</v>
      </c>
      <c r="G1417" t="s">
        <v>9</v>
      </c>
      <c r="L1417">
        <f t="shared" si="111"/>
        <v>0</v>
      </c>
      <c r="M1417">
        <f t="shared" si="112"/>
        <v>0</v>
      </c>
      <c r="N1417">
        <f t="shared" si="113"/>
        <v>0</v>
      </c>
      <c r="O1417">
        <f t="shared" ref="O1417:O1480" si="115">IF(COUNTIF(L1417:N1417,0)=3,1,0)</f>
        <v>1</v>
      </c>
      <c r="P1417" t="str">
        <f t="shared" si="114"/>
        <v/>
      </c>
      <c r="Q1417">
        <f>COUNTIF('責任職　企業局→市長部局'!A:A,SQLデータ!B1417)</f>
        <v>0</v>
      </c>
      <c r="R1417">
        <f>COUNTIF('一般職員　企業局→市長部局'!A:F,SQLデータ!B1417)</f>
        <v>0</v>
      </c>
    </row>
    <row r="1418" spans="1:18" x14ac:dyDescent="0.4">
      <c r="A1418" s="1">
        <v>202650001229</v>
      </c>
      <c r="B1418" s="1">
        <v>1076010</v>
      </c>
      <c r="C1418" s="2">
        <v>46116</v>
      </c>
      <c r="D1418" t="s">
        <v>17</v>
      </c>
      <c r="E1418" t="s">
        <v>10</v>
      </c>
      <c r="G1418" t="s">
        <v>9</v>
      </c>
      <c r="L1418">
        <f t="shared" si="111"/>
        <v>0</v>
      </c>
      <c r="M1418">
        <f t="shared" si="112"/>
        <v>0</v>
      </c>
      <c r="N1418">
        <f t="shared" si="113"/>
        <v>0</v>
      </c>
      <c r="O1418">
        <f t="shared" si="115"/>
        <v>1</v>
      </c>
      <c r="P1418" t="str">
        <f t="shared" si="114"/>
        <v/>
      </c>
      <c r="Q1418">
        <f>COUNTIF('責任職　企業局→市長部局'!A:A,SQLデータ!B1418)</f>
        <v>0</v>
      </c>
      <c r="R1418">
        <f>COUNTIF('一般職員　企業局→市長部局'!A:F,SQLデータ!B1418)</f>
        <v>0</v>
      </c>
    </row>
    <row r="1419" spans="1:18" x14ac:dyDescent="0.4">
      <c r="A1419" s="1">
        <v>202650001230</v>
      </c>
      <c r="B1419" s="1">
        <v>940076</v>
      </c>
      <c r="C1419" s="2">
        <v>46116</v>
      </c>
      <c r="D1419" t="s">
        <v>17</v>
      </c>
      <c r="E1419" t="s">
        <v>10</v>
      </c>
      <c r="G1419" t="s">
        <v>9</v>
      </c>
      <c r="L1419">
        <f t="shared" si="111"/>
        <v>0</v>
      </c>
      <c r="M1419">
        <f t="shared" si="112"/>
        <v>0</v>
      </c>
      <c r="N1419">
        <f t="shared" si="113"/>
        <v>0</v>
      </c>
      <c r="O1419">
        <f t="shared" si="115"/>
        <v>1</v>
      </c>
      <c r="P1419" t="str">
        <f t="shared" si="114"/>
        <v/>
      </c>
      <c r="Q1419">
        <f>COUNTIF('責任職　企業局→市長部局'!A:A,SQLデータ!B1419)</f>
        <v>0</v>
      </c>
      <c r="R1419">
        <f>COUNTIF('一般職員　企業局→市長部局'!A:F,SQLデータ!B1419)</f>
        <v>0</v>
      </c>
    </row>
    <row r="1420" spans="1:18" x14ac:dyDescent="0.4">
      <c r="A1420" s="1">
        <v>202650001231</v>
      </c>
      <c r="B1420" s="1">
        <v>1076042</v>
      </c>
      <c r="C1420" s="2">
        <v>46116</v>
      </c>
      <c r="D1420" t="s">
        <v>17</v>
      </c>
      <c r="E1420" t="s">
        <v>10</v>
      </c>
      <c r="G1420" t="s">
        <v>9</v>
      </c>
      <c r="L1420">
        <f t="shared" si="111"/>
        <v>0</v>
      </c>
      <c r="M1420">
        <f t="shared" si="112"/>
        <v>0</v>
      </c>
      <c r="N1420">
        <f t="shared" si="113"/>
        <v>0</v>
      </c>
      <c r="O1420">
        <f t="shared" si="115"/>
        <v>1</v>
      </c>
      <c r="P1420" t="str">
        <f t="shared" si="114"/>
        <v/>
      </c>
      <c r="Q1420">
        <f>COUNTIF('責任職　企業局→市長部局'!A:A,SQLデータ!B1420)</f>
        <v>0</v>
      </c>
      <c r="R1420">
        <f>COUNTIF('一般職員　企業局→市長部局'!A:F,SQLデータ!B1420)</f>
        <v>0</v>
      </c>
    </row>
    <row r="1421" spans="1:18" x14ac:dyDescent="0.4">
      <c r="A1421" s="1">
        <v>202650001232</v>
      </c>
      <c r="B1421" s="1">
        <v>1086107</v>
      </c>
      <c r="C1421" s="2">
        <v>46116</v>
      </c>
      <c r="D1421" t="s">
        <v>17</v>
      </c>
      <c r="E1421" t="s">
        <v>10</v>
      </c>
      <c r="G1421" t="s">
        <v>9</v>
      </c>
      <c r="L1421">
        <f t="shared" si="111"/>
        <v>0</v>
      </c>
      <c r="M1421">
        <f t="shared" si="112"/>
        <v>0</v>
      </c>
      <c r="N1421">
        <f t="shared" si="113"/>
        <v>0</v>
      </c>
      <c r="O1421">
        <f t="shared" si="115"/>
        <v>1</v>
      </c>
      <c r="P1421" t="str">
        <f t="shared" si="114"/>
        <v/>
      </c>
      <c r="Q1421">
        <f>COUNTIF('責任職　企業局→市長部局'!A:A,SQLデータ!B1421)</f>
        <v>0</v>
      </c>
      <c r="R1421">
        <f>COUNTIF('一般職員　企業局→市長部局'!A:F,SQLデータ!B1421)</f>
        <v>0</v>
      </c>
    </row>
    <row r="1422" spans="1:18" x14ac:dyDescent="0.4">
      <c r="A1422" s="1">
        <v>202650001233</v>
      </c>
      <c r="B1422" s="1">
        <v>1256029</v>
      </c>
      <c r="C1422" s="2">
        <v>46116</v>
      </c>
      <c r="D1422" t="s">
        <v>17</v>
      </c>
      <c r="E1422" t="s">
        <v>10</v>
      </c>
      <c r="G1422" t="s">
        <v>9</v>
      </c>
      <c r="L1422">
        <f t="shared" si="111"/>
        <v>0</v>
      </c>
      <c r="M1422">
        <f t="shared" si="112"/>
        <v>0</v>
      </c>
      <c r="N1422">
        <f t="shared" si="113"/>
        <v>0</v>
      </c>
      <c r="O1422">
        <f t="shared" si="115"/>
        <v>1</v>
      </c>
      <c r="P1422" t="str">
        <f t="shared" si="114"/>
        <v/>
      </c>
      <c r="Q1422">
        <f>COUNTIF('責任職　企業局→市長部局'!A:A,SQLデータ!B1422)</f>
        <v>0</v>
      </c>
      <c r="R1422">
        <f>COUNTIF('一般職員　企業局→市長部局'!A:F,SQLデータ!B1422)</f>
        <v>0</v>
      </c>
    </row>
    <row r="1423" spans="1:18" x14ac:dyDescent="0.4">
      <c r="A1423" s="1">
        <v>202650001234</v>
      </c>
      <c r="B1423" s="1">
        <v>1106118</v>
      </c>
      <c r="C1423" s="2">
        <v>46116</v>
      </c>
      <c r="D1423" t="s">
        <v>17</v>
      </c>
      <c r="E1423" t="s">
        <v>11</v>
      </c>
      <c r="G1423" t="s">
        <v>9</v>
      </c>
      <c r="L1423">
        <f t="shared" si="111"/>
        <v>0</v>
      </c>
      <c r="M1423">
        <f t="shared" si="112"/>
        <v>0</v>
      </c>
      <c r="N1423">
        <f t="shared" si="113"/>
        <v>0</v>
      </c>
      <c r="O1423">
        <f t="shared" si="115"/>
        <v>1</v>
      </c>
      <c r="P1423" t="str">
        <f t="shared" si="114"/>
        <v/>
      </c>
      <c r="Q1423">
        <f>COUNTIF('責任職　企業局→市長部局'!A:A,SQLデータ!B1423)</f>
        <v>0</v>
      </c>
      <c r="R1423">
        <f>COUNTIF('一般職員　企業局→市長部局'!A:F,SQLデータ!B1423)</f>
        <v>0</v>
      </c>
    </row>
    <row r="1424" spans="1:18" x14ac:dyDescent="0.4">
      <c r="A1424" s="1">
        <v>202650001235</v>
      </c>
      <c r="B1424" s="1">
        <v>1136096</v>
      </c>
      <c r="C1424" s="2">
        <v>46116</v>
      </c>
      <c r="D1424" t="s">
        <v>17</v>
      </c>
      <c r="E1424" t="s">
        <v>10</v>
      </c>
      <c r="G1424" t="s">
        <v>9</v>
      </c>
      <c r="L1424">
        <f t="shared" si="111"/>
        <v>0</v>
      </c>
      <c r="M1424">
        <f t="shared" si="112"/>
        <v>0</v>
      </c>
      <c r="N1424">
        <f t="shared" si="113"/>
        <v>0</v>
      </c>
      <c r="O1424">
        <f t="shared" si="115"/>
        <v>1</v>
      </c>
      <c r="P1424" t="str">
        <f t="shared" si="114"/>
        <v/>
      </c>
      <c r="Q1424">
        <f>COUNTIF('責任職　企業局→市長部局'!A:A,SQLデータ!B1424)</f>
        <v>0</v>
      </c>
      <c r="R1424">
        <f>COUNTIF('一般職員　企業局→市長部局'!A:F,SQLデータ!B1424)</f>
        <v>0</v>
      </c>
    </row>
    <row r="1425" spans="1:18" x14ac:dyDescent="0.4">
      <c r="A1425" s="1">
        <v>202650001236</v>
      </c>
      <c r="B1425" s="1">
        <v>1151478</v>
      </c>
      <c r="C1425" s="2">
        <v>46116</v>
      </c>
      <c r="D1425" t="s">
        <v>17</v>
      </c>
      <c r="E1425" t="s">
        <v>10</v>
      </c>
      <c r="G1425" t="s">
        <v>9</v>
      </c>
      <c r="L1425">
        <f t="shared" si="111"/>
        <v>0</v>
      </c>
      <c r="M1425">
        <f t="shared" si="112"/>
        <v>0</v>
      </c>
      <c r="N1425">
        <f t="shared" si="113"/>
        <v>0</v>
      </c>
      <c r="O1425">
        <f t="shared" si="115"/>
        <v>1</v>
      </c>
      <c r="P1425" t="str">
        <f t="shared" si="114"/>
        <v/>
      </c>
      <c r="Q1425">
        <f>COUNTIF('責任職　企業局→市長部局'!A:A,SQLデータ!B1425)</f>
        <v>0</v>
      </c>
      <c r="R1425">
        <f>COUNTIF('一般職員　企業局→市長部局'!A:F,SQLデータ!B1425)</f>
        <v>0</v>
      </c>
    </row>
    <row r="1426" spans="1:18" x14ac:dyDescent="0.4">
      <c r="A1426" s="1">
        <v>202650001237</v>
      </c>
      <c r="B1426" s="1">
        <v>976022</v>
      </c>
      <c r="C1426" s="2">
        <v>46116</v>
      </c>
      <c r="D1426" t="s">
        <v>17</v>
      </c>
      <c r="E1426" t="s">
        <v>10</v>
      </c>
      <c r="G1426" t="s">
        <v>9</v>
      </c>
      <c r="L1426">
        <f t="shared" si="111"/>
        <v>0</v>
      </c>
      <c r="M1426">
        <f t="shared" si="112"/>
        <v>0</v>
      </c>
      <c r="N1426">
        <f t="shared" si="113"/>
        <v>0</v>
      </c>
      <c r="O1426">
        <f t="shared" si="115"/>
        <v>1</v>
      </c>
      <c r="P1426" t="str">
        <f t="shared" si="114"/>
        <v/>
      </c>
      <c r="Q1426">
        <f>COUNTIF('責任職　企業局→市長部局'!A:A,SQLデータ!B1426)</f>
        <v>0</v>
      </c>
      <c r="R1426">
        <f>COUNTIF('一般職員　企業局→市長部局'!A:F,SQLデータ!B1426)</f>
        <v>0</v>
      </c>
    </row>
    <row r="1427" spans="1:18" x14ac:dyDescent="0.4">
      <c r="A1427" s="1">
        <v>202650001238</v>
      </c>
      <c r="B1427" s="1">
        <v>920132</v>
      </c>
      <c r="C1427" s="2">
        <v>46116</v>
      </c>
      <c r="D1427" t="s">
        <v>17</v>
      </c>
      <c r="E1427" t="s">
        <v>10</v>
      </c>
      <c r="G1427" t="s">
        <v>9</v>
      </c>
      <c r="L1427">
        <f t="shared" si="111"/>
        <v>0</v>
      </c>
      <c r="M1427">
        <f t="shared" si="112"/>
        <v>0</v>
      </c>
      <c r="N1427">
        <f t="shared" si="113"/>
        <v>0</v>
      </c>
      <c r="O1427">
        <f t="shared" si="115"/>
        <v>1</v>
      </c>
      <c r="P1427" t="str">
        <f t="shared" si="114"/>
        <v/>
      </c>
      <c r="Q1427">
        <f>COUNTIF('責任職　企業局→市長部局'!A:A,SQLデータ!B1427)</f>
        <v>0</v>
      </c>
      <c r="R1427">
        <f>COUNTIF('一般職員　企業局→市長部局'!A:F,SQLデータ!B1427)</f>
        <v>0</v>
      </c>
    </row>
    <row r="1428" spans="1:18" x14ac:dyDescent="0.4">
      <c r="A1428" s="1">
        <v>202650001239</v>
      </c>
      <c r="B1428" s="1">
        <v>1186110</v>
      </c>
      <c r="C1428" s="2">
        <v>46116</v>
      </c>
      <c r="D1428" t="s">
        <v>17</v>
      </c>
      <c r="E1428" t="s">
        <v>10</v>
      </c>
      <c r="G1428" t="s">
        <v>9</v>
      </c>
      <c r="L1428">
        <f t="shared" si="111"/>
        <v>0</v>
      </c>
      <c r="M1428">
        <f t="shared" si="112"/>
        <v>0</v>
      </c>
      <c r="N1428">
        <f t="shared" si="113"/>
        <v>0</v>
      </c>
      <c r="O1428">
        <f t="shared" si="115"/>
        <v>1</v>
      </c>
      <c r="P1428" t="str">
        <f t="shared" si="114"/>
        <v/>
      </c>
      <c r="Q1428">
        <f>COUNTIF('責任職　企業局→市長部局'!A:A,SQLデータ!B1428)</f>
        <v>0</v>
      </c>
      <c r="R1428">
        <f>COUNTIF('一般職員　企業局→市長部局'!A:F,SQLデータ!B1428)</f>
        <v>0</v>
      </c>
    </row>
    <row r="1429" spans="1:18" x14ac:dyDescent="0.4">
      <c r="A1429" s="1">
        <v>202650001240</v>
      </c>
      <c r="B1429" s="1">
        <v>1226092</v>
      </c>
      <c r="C1429" s="2">
        <v>46116</v>
      </c>
      <c r="D1429" t="s">
        <v>17</v>
      </c>
      <c r="E1429" t="s">
        <v>10</v>
      </c>
      <c r="G1429" t="s">
        <v>9</v>
      </c>
      <c r="L1429">
        <f t="shared" si="111"/>
        <v>0</v>
      </c>
      <c r="M1429">
        <f t="shared" si="112"/>
        <v>0</v>
      </c>
      <c r="N1429">
        <f t="shared" si="113"/>
        <v>0</v>
      </c>
      <c r="O1429">
        <f t="shared" si="115"/>
        <v>1</v>
      </c>
      <c r="P1429" t="str">
        <f t="shared" si="114"/>
        <v/>
      </c>
      <c r="Q1429">
        <f>COUNTIF('責任職　企業局→市長部局'!A:A,SQLデータ!B1429)</f>
        <v>0</v>
      </c>
      <c r="R1429">
        <f>COUNTIF('一般職員　企業局→市長部局'!A:F,SQLデータ!B1429)</f>
        <v>0</v>
      </c>
    </row>
    <row r="1430" spans="1:18" x14ac:dyDescent="0.4">
      <c r="A1430" s="1">
        <v>202650001241</v>
      </c>
      <c r="B1430" s="1">
        <v>1256050</v>
      </c>
      <c r="C1430" s="2">
        <v>46116</v>
      </c>
      <c r="D1430" t="s">
        <v>17</v>
      </c>
      <c r="E1430" t="s">
        <v>10</v>
      </c>
      <c r="G1430" t="s">
        <v>9</v>
      </c>
      <c r="L1430">
        <f t="shared" si="111"/>
        <v>0</v>
      </c>
      <c r="M1430">
        <f t="shared" si="112"/>
        <v>0</v>
      </c>
      <c r="N1430">
        <f t="shared" si="113"/>
        <v>0</v>
      </c>
      <c r="O1430">
        <f t="shared" si="115"/>
        <v>1</v>
      </c>
      <c r="P1430" t="str">
        <f t="shared" si="114"/>
        <v/>
      </c>
      <c r="Q1430">
        <f>COUNTIF('責任職　企業局→市長部局'!A:A,SQLデータ!B1430)</f>
        <v>0</v>
      </c>
      <c r="R1430">
        <f>COUNTIF('一般職員　企業局→市長部局'!A:F,SQLデータ!B1430)</f>
        <v>0</v>
      </c>
    </row>
    <row r="1431" spans="1:18" x14ac:dyDescent="0.4">
      <c r="A1431" s="1">
        <v>202650001242</v>
      </c>
      <c r="B1431" s="1">
        <v>1144081</v>
      </c>
      <c r="C1431" s="2">
        <v>46116</v>
      </c>
      <c r="D1431" t="s">
        <v>17</v>
      </c>
      <c r="E1431" t="s">
        <v>10</v>
      </c>
      <c r="G1431" t="s">
        <v>9</v>
      </c>
      <c r="L1431">
        <f t="shared" si="111"/>
        <v>0</v>
      </c>
      <c r="M1431">
        <f t="shared" si="112"/>
        <v>0</v>
      </c>
      <c r="N1431">
        <f t="shared" si="113"/>
        <v>0</v>
      </c>
      <c r="O1431">
        <f t="shared" si="115"/>
        <v>1</v>
      </c>
      <c r="P1431" t="str">
        <f t="shared" si="114"/>
        <v/>
      </c>
      <c r="Q1431">
        <f>COUNTIF('責任職　企業局→市長部局'!A:A,SQLデータ!B1431)</f>
        <v>0</v>
      </c>
      <c r="R1431">
        <f>COUNTIF('一般職員　企業局→市長部局'!A:F,SQLデータ!B1431)</f>
        <v>0</v>
      </c>
    </row>
    <row r="1432" spans="1:18" x14ac:dyDescent="0.4">
      <c r="A1432" s="1">
        <v>202650001243</v>
      </c>
      <c r="B1432" s="1">
        <v>1226109</v>
      </c>
      <c r="C1432" s="2">
        <v>46116</v>
      </c>
      <c r="D1432" t="s">
        <v>17</v>
      </c>
      <c r="E1432" t="s">
        <v>10</v>
      </c>
      <c r="G1432" t="s">
        <v>9</v>
      </c>
      <c r="L1432">
        <f t="shared" si="111"/>
        <v>0</v>
      </c>
      <c r="M1432">
        <f t="shared" si="112"/>
        <v>0</v>
      </c>
      <c r="N1432">
        <f t="shared" si="113"/>
        <v>0</v>
      </c>
      <c r="O1432">
        <f t="shared" si="115"/>
        <v>1</v>
      </c>
      <c r="P1432" t="str">
        <f t="shared" si="114"/>
        <v/>
      </c>
      <c r="Q1432">
        <f>COUNTIF('責任職　企業局→市長部局'!A:A,SQLデータ!B1432)</f>
        <v>0</v>
      </c>
      <c r="R1432">
        <f>COUNTIF('一般職員　企業局→市長部局'!A:F,SQLデータ!B1432)</f>
        <v>0</v>
      </c>
    </row>
    <row r="1433" spans="1:18" x14ac:dyDescent="0.4">
      <c r="A1433" s="1">
        <v>202650001244</v>
      </c>
      <c r="B1433" s="1">
        <v>1256060</v>
      </c>
      <c r="C1433" s="2">
        <v>46116</v>
      </c>
      <c r="D1433" t="s">
        <v>17</v>
      </c>
      <c r="E1433" t="s">
        <v>10</v>
      </c>
      <c r="G1433" t="s">
        <v>9</v>
      </c>
      <c r="L1433">
        <f t="shared" si="111"/>
        <v>0</v>
      </c>
      <c r="M1433">
        <f t="shared" si="112"/>
        <v>0</v>
      </c>
      <c r="N1433">
        <f t="shared" si="113"/>
        <v>0</v>
      </c>
      <c r="O1433">
        <f t="shared" si="115"/>
        <v>1</v>
      </c>
      <c r="P1433" t="str">
        <f t="shared" si="114"/>
        <v/>
      </c>
      <c r="Q1433">
        <f>COUNTIF('責任職　企業局→市長部局'!A:A,SQLデータ!B1433)</f>
        <v>0</v>
      </c>
      <c r="R1433">
        <f>COUNTIF('一般職員　企業局→市長部局'!A:F,SQLデータ!B1433)</f>
        <v>0</v>
      </c>
    </row>
    <row r="1434" spans="1:18" x14ac:dyDescent="0.4">
      <c r="A1434" s="1">
        <v>202650001245</v>
      </c>
      <c r="B1434" s="1">
        <v>1154061</v>
      </c>
      <c r="C1434" s="2">
        <v>46116</v>
      </c>
      <c r="D1434" t="s">
        <v>17</v>
      </c>
      <c r="E1434" t="s">
        <v>10</v>
      </c>
      <c r="G1434" t="s">
        <v>9</v>
      </c>
      <c r="L1434">
        <f t="shared" si="111"/>
        <v>0</v>
      </c>
      <c r="M1434">
        <f t="shared" si="112"/>
        <v>0</v>
      </c>
      <c r="N1434">
        <f t="shared" si="113"/>
        <v>0</v>
      </c>
      <c r="O1434">
        <f t="shared" si="115"/>
        <v>1</v>
      </c>
      <c r="P1434" t="str">
        <f t="shared" si="114"/>
        <v/>
      </c>
      <c r="Q1434">
        <f>COUNTIF('責任職　企業局→市長部局'!A:A,SQLデータ!B1434)</f>
        <v>0</v>
      </c>
      <c r="R1434">
        <f>COUNTIF('一般職員　企業局→市長部局'!A:F,SQLデータ!B1434)</f>
        <v>0</v>
      </c>
    </row>
    <row r="1435" spans="1:18" x14ac:dyDescent="0.4">
      <c r="A1435" s="1">
        <v>202650001246</v>
      </c>
      <c r="B1435" s="1">
        <v>1056065</v>
      </c>
      <c r="C1435" s="2">
        <v>46116</v>
      </c>
      <c r="D1435" t="s">
        <v>17</v>
      </c>
      <c r="E1435" t="s">
        <v>10</v>
      </c>
      <c r="G1435" t="s">
        <v>9</v>
      </c>
      <c r="L1435">
        <f t="shared" si="111"/>
        <v>0</v>
      </c>
      <c r="M1435">
        <f t="shared" si="112"/>
        <v>0</v>
      </c>
      <c r="N1435">
        <f t="shared" si="113"/>
        <v>0</v>
      </c>
      <c r="O1435">
        <f t="shared" si="115"/>
        <v>1</v>
      </c>
      <c r="P1435" t="str">
        <f t="shared" si="114"/>
        <v/>
      </c>
      <c r="Q1435">
        <f>COUNTIF('責任職　企業局→市長部局'!A:A,SQLデータ!B1435)</f>
        <v>0</v>
      </c>
      <c r="R1435">
        <f>COUNTIF('一般職員　企業局→市長部局'!A:F,SQLデータ!B1435)</f>
        <v>0</v>
      </c>
    </row>
    <row r="1436" spans="1:18" x14ac:dyDescent="0.4">
      <c r="A1436" s="1">
        <v>202650001247</v>
      </c>
      <c r="B1436" s="1">
        <v>1146124</v>
      </c>
      <c r="C1436" s="2">
        <v>46116</v>
      </c>
      <c r="D1436" t="s">
        <v>17</v>
      </c>
      <c r="E1436" t="s">
        <v>8</v>
      </c>
      <c r="G1436" t="s">
        <v>9</v>
      </c>
      <c r="L1436">
        <f t="shared" si="111"/>
        <v>0</v>
      </c>
      <c r="M1436">
        <f t="shared" si="112"/>
        <v>0</v>
      </c>
      <c r="N1436">
        <f t="shared" si="113"/>
        <v>0</v>
      </c>
      <c r="O1436">
        <f t="shared" si="115"/>
        <v>1</v>
      </c>
      <c r="P1436" t="str">
        <f t="shared" si="114"/>
        <v/>
      </c>
      <c r="Q1436">
        <f>COUNTIF('責任職　企業局→市長部局'!A:A,SQLデータ!B1436)</f>
        <v>0</v>
      </c>
      <c r="R1436">
        <f>COUNTIF('一般職員　企業局→市長部局'!A:F,SQLデータ!B1436)</f>
        <v>0</v>
      </c>
    </row>
    <row r="1437" spans="1:18" x14ac:dyDescent="0.4">
      <c r="A1437" s="1">
        <v>202650001248</v>
      </c>
      <c r="B1437" s="1">
        <v>976031</v>
      </c>
      <c r="C1437" s="2">
        <v>46116</v>
      </c>
      <c r="D1437" t="s">
        <v>17</v>
      </c>
      <c r="E1437" t="s">
        <v>10</v>
      </c>
      <c r="G1437" t="s">
        <v>9</v>
      </c>
      <c r="L1437">
        <f t="shared" si="111"/>
        <v>0</v>
      </c>
      <c r="M1437">
        <f t="shared" si="112"/>
        <v>0</v>
      </c>
      <c r="N1437">
        <f t="shared" si="113"/>
        <v>0</v>
      </c>
      <c r="O1437">
        <f t="shared" si="115"/>
        <v>1</v>
      </c>
      <c r="P1437" t="str">
        <f t="shared" si="114"/>
        <v/>
      </c>
      <c r="Q1437">
        <f>COUNTIF('責任職　企業局→市長部局'!A:A,SQLデータ!B1437)</f>
        <v>0</v>
      </c>
      <c r="R1437">
        <f>COUNTIF('一般職員　企業局→市長部局'!A:F,SQLデータ!B1437)</f>
        <v>0</v>
      </c>
    </row>
    <row r="1438" spans="1:18" x14ac:dyDescent="0.4">
      <c r="A1438" s="1">
        <v>202650001249</v>
      </c>
      <c r="B1438" s="1">
        <v>1126056</v>
      </c>
      <c r="C1438" s="2">
        <v>46125</v>
      </c>
      <c r="D1438" t="s">
        <v>17</v>
      </c>
      <c r="E1438" t="s">
        <v>10</v>
      </c>
      <c r="G1438" t="s">
        <v>9</v>
      </c>
      <c r="L1438">
        <f t="shared" si="111"/>
        <v>0</v>
      </c>
      <c r="M1438">
        <f t="shared" si="112"/>
        <v>0</v>
      </c>
      <c r="N1438">
        <f t="shared" si="113"/>
        <v>0</v>
      </c>
      <c r="O1438">
        <f t="shared" si="115"/>
        <v>1</v>
      </c>
      <c r="P1438" t="str">
        <f t="shared" si="114"/>
        <v/>
      </c>
      <c r="Q1438">
        <f>COUNTIF('責任職　企業局→市長部局'!A:A,SQLデータ!B1438)</f>
        <v>0</v>
      </c>
      <c r="R1438">
        <f>COUNTIF('一般職員　企業局→市長部局'!A:F,SQLデータ!B1438)</f>
        <v>0</v>
      </c>
    </row>
    <row r="1439" spans="1:18" x14ac:dyDescent="0.4">
      <c r="A1439" s="1">
        <v>202650001250</v>
      </c>
      <c r="B1439" s="1">
        <v>1186154</v>
      </c>
      <c r="C1439" s="2">
        <v>46116</v>
      </c>
      <c r="D1439" t="s">
        <v>17</v>
      </c>
      <c r="E1439" t="s">
        <v>10</v>
      </c>
      <c r="G1439" t="s">
        <v>9</v>
      </c>
      <c r="L1439">
        <f t="shared" si="111"/>
        <v>0</v>
      </c>
      <c r="M1439">
        <f t="shared" si="112"/>
        <v>0</v>
      </c>
      <c r="N1439">
        <f t="shared" si="113"/>
        <v>0</v>
      </c>
      <c r="O1439">
        <f t="shared" si="115"/>
        <v>1</v>
      </c>
      <c r="P1439" t="str">
        <f t="shared" si="114"/>
        <v/>
      </c>
      <c r="Q1439">
        <f>COUNTIF('責任職　企業局→市長部局'!A:A,SQLデータ!B1439)</f>
        <v>0</v>
      </c>
      <c r="R1439">
        <f>COUNTIF('一般職員　企業局→市長部局'!A:F,SQLデータ!B1439)</f>
        <v>0</v>
      </c>
    </row>
    <row r="1440" spans="1:18" x14ac:dyDescent="0.4">
      <c r="A1440" s="1">
        <v>202650001251</v>
      </c>
      <c r="B1440" s="1">
        <v>1051004</v>
      </c>
      <c r="C1440" s="2">
        <v>46116</v>
      </c>
      <c r="D1440" t="s">
        <v>17</v>
      </c>
      <c r="E1440" t="s">
        <v>10</v>
      </c>
      <c r="G1440" t="s">
        <v>9</v>
      </c>
      <c r="L1440">
        <f t="shared" si="111"/>
        <v>0</v>
      </c>
      <c r="M1440">
        <f t="shared" si="112"/>
        <v>0</v>
      </c>
      <c r="N1440">
        <f t="shared" si="113"/>
        <v>0</v>
      </c>
      <c r="O1440">
        <f t="shared" si="115"/>
        <v>1</v>
      </c>
      <c r="P1440" t="str">
        <f t="shared" si="114"/>
        <v/>
      </c>
      <c r="Q1440">
        <f>COUNTIF('責任職　企業局→市長部局'!A:A,SQLデータ!B1440)</f>
        <v>0</v>
      </c>
      <c r="R1440">
        <f>COUNTIF('一般職員　企業局→市長部局'!A:F,SQLデータ!B1440)</f>
        <v>0</v>
      </c>
    </row>
    <row r="1441" spans="1:18" x14ac:dyDescent="0.4">
      <c r="A1441" s="1">
        <v>202650001252</v>
      </c>
      <c r="B1441" s="1">
        <v>1196125</v>
      </c>
      <c r="C1441" s="2">
        <v>46116</v>
      </c>
      <c r="D1441" t="s">
        <v>17</v>
      </c>
      <c r="E1441" t="s">
        <v>10</v>
      </c>
      <c r="G1441" t="s">
        <v>9</v>
      </c>
      <c r="L1441">
        <f t="shared" si="111"/>
        <v>0</v>
      </c>
      <c r="M1441">
        <f t="shared" si="112"/>
        <v>0</v>
      </c>
      <c r="N1441">
        <f t="shared" si="113"/>
        <v>0</v>
      </c>
      <c r="O1441">
        <f t="shared" si="115"/>
        <v>1</v>
      </c>
      <c r="P1441" t="str">
        <f t="shared" si="114"/>
        <v/>
      </c>
      <c r="Q1441">
        <f>COUNTIF('責任職　企業局→市長部局'!A:A,SQLデータ!B1441)</f>
        <v>0</v>
      </c>
      <c r="R1441">
        <f>COUNTIF('一般職員　企業局→市長部局'!A:F,SQLデータ!B1441)</f>
        <v>0</v>
      </c>
    </row>
    <row r="1442" spans="1:18" x14ac:dyDescent="0.4">
      <c r="A1442" s="1">
        <v>202650001253</v>
      </c>
      <c r="B1442" s="1">
        <v>900080</v>
      </c>
      <c r="C1442" s="2">
        <v>46116</v>
      </c>
      <c r="D1442" t="s">
        <v>17</v>
      </c>
      <c r="E1442" t="s">
        <v>10</v>
      </c>
      <c r="G1442" t="s">
        <v>9</v>
      </c>
      <c r="L1442">
        <f t="shared" si="111"/>
        <v>0</v>
      </c>
      <c r="M1442">
        <f t="shared" si="112"/>
        <v>0</v>
      </c>
      <c r="N1442">
        <f t="shared" si="113"/>
        <v>0</v>
      </c>
      <c r="O1442">
        <f t="shared" si="115"/>
        <v>1</v>
      </c>
      <c r="P1442" t="str">
        <f t="shared" si="114"/>
        <v/>
      </c>
      <c r="Q1442">
        <f>COUNTIF('責任職　企業局→市長部局'!A:A,SQLデータ!B1442)</f>
        <v>0</v>
      </c>
      <c r="R1442">
        <f>COUNTIF('一般職員　企業局→市長部局'!A:F,SQLデータ!B1442)</f>
        <v>0</v>
      </c>
    </row>
    <row r="1443" spans="1:18" x14ac:dyDescent="0.4">
      <c r="A1443" s="1">
        <v>202650001254</v>
      </c>
      <c r="B1443" s="1">
        <v>1216058</v>
      </c>
      <c r="C1443" s="2">
        <v>46116</v>
      </c>
      <c r="D1443" t="s">
        <v>17</v>
      </c>
      <c r="E1443" t="s">
        <v>10</v>
      </c>
      <c r="G1443" t="s">
        <v>9</v>
      </c>
      <c r="L1443">
        <f t="shared" si="111"/>
        <v>0</v>
      </c>
      <c r="M1443">
        <f t="shared" si="112"/>
        <v>0</v>
      </c>
      <c r="N1443">
        <f t="shared" si="113"/>
        <v>0</v>
      </c>
      <c r="O1443">
        <f t="shared" si="115"/>
        <v>1</v>
      </c>
      <c r="P1443" t="str">
        <f t="shared" si="114"/>
        <v/>
      </c>
      <c r="Q1443">
        <f>COUNTIF('責任職　企業局→市長部局'!A:A,SQLデータ!B1443)</f>
        <v>0</v>
      </c>
      <c r="R1443">
        <f>COUNTIF('一般職員　企業局→市長部局'!A:F,SQLデータ!B1443)</f>
        <v>0</v>
      </c>
    </row>
    <row r="1444" spans="1:18" x14ac:dyDescent="0.4">
      <c r="A1444" s="1">
        <v>202650001255</v>
      </c>
      <c r="B1444" s="1">
        <v>890710</v>
      </c>
      <c r="C1444" s="2">
        <v>46116</v>
      </c>
      <c r="D1444" t="s">
        <v>17</v>
      </c>
      <c r="E1444" t="s">
        <v>10</v>
      </c>
      <c r="G1444" t="s">
        <v>9</v>
      </c>
      <c r="L1444">
        <f t="shared" si="111"/>
        <v>0</v>
      </c>
      <c r="M1444">
        <f t="shared" si="112"/>
        <v>0</v>
      </c>
      <c r="N1444">
        <f t="shared" si="113"/>
        <v>0</v>
      </c>
      <c r="O1444">
        <f t="shared" si="115"/>
        <v>1</v>
      </c>
      <c r="P1444" t="str">
        <f t="shared" si="114"/>
        <v/>
      </c>
      <c r="Q1444">
        <f>COUNTIF('責任職　企業局→市長部局'!A:A,SQLデータ!B1444)</f>
        <v>0</v>
      </c>
      <c r="R1444">
        <f>COUNTIF('一般職員　企業局→市長部局'!A:F,SQLデータ!B1444)</f>
        <v>0</v>
      </c>
    </row>
    <row r="1445" spans="1:18" x14ac:dyDescent="0.4">
      <c r="A1445" s="1">
        <v>202650001256</v>
      </c>
      <c r="B1445" s="1">
        <v>1216033</v>
      </c>
      <c r="C1445" s="2">
        <v>46118</v>
      </c>
      <c r="D1445" t="s">
        <v>17</v>
      </c>
      <c r="E1445" t="s">
        <v>10</v>
      </c>
      <c r="G1445" t="s">
        <v>9</v>
      </c>
      <c r="L1445">
        <f t="shared" si="111"/>
        <v>0</v>
      </c>
      <c r="M1445">
        <f t="shared" si="112"/>
        <v>0</v>
      </c>
      <c r="N1445">
        <f t="shared" si="113"/>
        <v>0</v>
      </c>
      <c r="O1445">
        <f t="shared" si="115"/>
        <v>1</v>
      </c>
      <c r="P1445" t="str">
        <f t="shared" si="114"/>
        <v/>
      </c>
      <c r="Q1445">
        <f>COUNTIF('責任職　企業局→市長部局'!A:A,SQLデータ!B1445)</f>
        <v>0</v>
      </c>
      <c r="R1445">
        <f>COUNTIF('一般職員　企業局→市長部局'!A:F,SQLデータ!B1445)</f>
        <v>0</v>
      </c>
    </row>
    <row r="1446" spans="1:18" x14ac:dyDescent="0.4">
      <c r="A1446" s="1">
        <v>202650001257</v>
      </c>
      <c r="B1446" s="1">
        <v>1016006</v>
      </c>
      <c r="C1446" s="2">
        <v>46116</v>
      </c>
      <c r="D1446" t="s">
        <v>17</v>
      </c>
      <c r="E1446" t="s">
        <v>10</v>
      </c>
      <c r="G1446" t="s">
        <v>9</v>
      </c>
      <c r="L1446">
        <f t="shared" si="111"/>
        <v>0</v>
      </c>
      <c r="M1446">
        <f t="shared" si="112"/>
        <v>0</v>
      </c>
      <c r="N1446">
        <f t="shared" si="113"/>
        <v>0</v>
      </c>
      <c r="O1446">
        <f t="shared" si="115"/>
        <v>1</v>
      </c>
      <c r="P1446" t="str">
        <f t="shared" si="114"/>
        <v/>
      </c>
      <c r="Q1446">
        <f>COUNTIF('責任職　企業局→市長部局'!A:A,SQLデータ!B1446)</f>
        <v>0</v>
      </c>
      <c r="R1446">
        <f>COUNTIF('一般職員　企業局→市長部局'!A:F,SQLデータ!B1446)</f>
        <v>0</v>
      </c>
    </row>
    <row r="1447" spans="1:18" x14ac:dyDescent="0.4">
      <c r="A1447" s="1">
        <v>202650001258</v>
      </c>
      <c r="B1447" s="1">
        <v>1086085</v>
      </c>
      <c r="C1447" s="2">
        <v>46116</v>
      </c>
      <c r="D1447" t="s">
        <v>17</v>
      </c>
      <c r="E1447" t="s">
        <v>10</v>
      </c>
      <c r="G1447" t="s">
        <v>9</v>
      </c>
      <c r="L1447">
        <f t="shared" si="111"/>
        <v>0</v>
      </c>
      <c r="M1447">
        <f t="shared" si="112"/>
        <v>0</v>
      </c>
      <c r="N1447">
        <f t="shared" si="113"/>
        <v>0</v>
      </c>
      <c r="O1447">
        <f t="shared" si="115"/>
        <v>1</v>
      </c>
      <c r="P1447" t="str">
        <f t="shared" si="114"/>
        <v/>
      </c>
      <c r="Q1447">
        <f>COUNTIF('責任職　企業局→市長部局'!A:A,SQLデータ!B1447)</f>
        <v>0</v>
      </c>
      <c r="R1447">
        <f>COUNTIF('一般職員　企業局→市長部局'!A:F,SQLデータ!B1447)</f>
        <v>0</v>
      </c>
    </row>
    <row r="1448" spans="1:18" x14ac:dyDescent="0.4">
      <c r="A1448" s="1">
        <v>202650001259</v>
      </c>
      <c r="B1448" s="1">
        <v>930103</v>
      </c>
      <c r="C1448" s="2">
        <v>46116</v>
      </c>
      <c r="D1448" t="s">
        <v>17</v>
      </c>
      <c r="E1448" t="s">
        <v>10</v>
      </c>
      <c r="G1448" t="s">
        <v>9</v>
      </c>
      <c r="L1448">
        <f t="shared" si="111"/>
        <v>0</v>
      </c>
      <c r="M1448">
        <f t="shared" si="112"/>
        <v>0</v>
      </c>
      <c r="N1448">
        <f t="shared" si="113"/>
        <v>0</v>
      </c>
      <c r="O1448">
        <f t="shared" si="115"/>
        <v>1</v>
      </c>
      <c r="P1448" t="str">
        <f t="shared" si="114"/>
        <v/>
      </c>
      <c r="Q1448">
        <f>COUNTIF('責任職　企業局→市長部局'!A:A,SQLデータ!B1448)</f>
        <v>0</v>
      </c>
      <c r="R1448">
        <f>COUNTIF('一般職員　企業局→市長部局'!A:F,SQLデータ!B1448)</f>
        <v>0</v>
      </c>
    </row>
    <row r="1449" spans="1:18" x14ac:dyDescent="0.4">
      <c r="A1449" s="1">
        <v>202650001260</v>
      </c>
      <c r="B1449" s="1">
        <v>940147</v>
      </c>
      <c r="C1449" s="2">
        <v>46116</v>
      </c>
      <c r="D1449" t="s">
        <v>17</v>
      </c>
      <c r="E1449" t="s">
        <v>10</v>
      </c>
      <c r="G1449" t="s">
        <v>9</v>
      </c>
      <c r="L1449">
        <f t="shared" si="111"/>
        <v>0</v>
      </c>
      <c r="M1449">
        <f t="shared" si="112"/>
        <v>0</v>
      </c>
      <c r="N1449">
        <f t="shared" si="113"/>
        <v>0</v>
      </c>
      <c r="O1449">
        <f t="shared" si="115"/>
        <v>1</v>
      </c>
      <c r="P1449" t="str">
        <f t="shared" si="114"/>
        <v/>
      </c>
      <c r="Q1449">
        <f>COUNTIF('責任職　企業局→市長部局'!A:A,SQLデータ!B1449)</f>
        <v>0</v>
      </c>
      <c r="R1449">
        <f>COUNTIF('一般職員　企業局→市長部局'!A:F,SQLデータ!B1449)</f>
        <v>0</v>
      </c>
    </row>
    <row r="1450" spans="1:18" x14ac:dyDescent="0.4">
      <c r="A1450" s="1">
        <v>202650001261</v>
      </c>
      <c r="B1450" s="1">
        <v>1206057</v>
      </c>
      <c r="C1450" s="2">
        <v>46116</v>
      </c>
      <c r="D1450" t="s">
        <v>17</v>
      </c>
      <c r="E1450" t="s">
        <v>10</v>
      </c>
      <c r="G1450" t="s">
        <v>9</v>
      </c>
      <c r="L1450">
        <f t="shared" si="111"/>
        <v>0</v>
      </c>
      <c r="M1450">
        <f t="shared" si="112"/>
        <v>0</v>
      </c>
      <c r="N1450">
        <f t="shared" si="113"/>
        <v>0</v>
      </c>
      <c r="O1450">
        <f t="shared" si="115"/>
        <v>1</v>
      </c>
      <c r="P1450" t="str">
        <f t="shared" si="114"/>
        <v/>
      </c>
      <c r="Q1450">
        <f>COUNTIF('責任職　企業局→市長部局'!A:A,SQLデータ!B1450)</f>
        <v>0</v>
      </c>
      <c r="R1450">
        <f>COUNTIF('一般職員　企業局→市長部局'!A:F,SQLデータ!B1450)</f>
        <v>0</v>
      </c>
    </row>
    <row r="1451" spans="1:18" x14ac:dyDescent="0.4">
      <c r="A1451" s="1">
        <v>202650001262</v>
      </c>
      <c r="B1451" s="1">
        <v>1226138</v>
      </c>
      <c r="C1451" s="2">
        <v>46116</v>
      </c>
      <c r="D1451" t="s">
        <v>17</v>
      </c>
      <c r="E1451" t="s">
        <v>10</v>
      </c>
      <c r="G1451" t="s">
        <v>9</v>
      </c>
      <c r="L1451">
        <f t="shared" si="111"/>
        <v>0</v>
      </c>
      <c r="M1451">
        <f t="shared" si="112"/>
        <v>0</v>
      </c>
      <c r="N1451">
        <f t="shared" si="113"/>
        <v>0</v>
      </c>
      <c r="O1451">
        <f t="shared" si="115"/>
        <v>1</v>
      </c>
      <c r="P1451" t="str">
        <f t="shared" si="114"/>
        <v/>
      </c>
      <c r="Q1451">
        <f>COUNTIF('責任職　企業局→市長部局'!A:A,SQLデータ!B1451)</f>
        <v>0</v>
      </c>
      <c r="R1451">
        <f>COUNTIF('一般職員　企業局→市長部局'!A:F,SQLデータ!B1451)</f>
        <v>0</v>
      </c>
    </row>
    <row r="1452" spans="1:18" x14ac:dyDescent="0.4">
      <c r="A1452" s="1">
        <v>202650001264</v>
      </c>
      <c r="B1452" s="1">
        <v>1086134</v>
      </c>
      <c r="C1452" s="2">
        <v>46116</v>
      </c>
      <c r="D1452" t="s">
        <v>17</v>
      </c>
      <c r="E1452" t="s">
        <v>10</v>
      </c>
      <c r="G1452" t="s">
        <v>9</v>
      </c>
      <c r="L1452">
        <f t="shared" si="111"/>
        <v>0</v>
      </c>
      <c r="M1452">
        <f t="shared" si="112"/>
        <v>0</v>
      </c>
      <c r="N1452">
        <f t="shared" si="113"/>
        <v>0</v>
      </c>
      <c r="O1452">
        <f t="shared" si="115"/>
        <v>1</v>
      </c>
      <c r="P1452" t="str">
        <f t="shared" si="114"/>
        <v/>
      </c>
      <c r="Q1452">
        <f>COUNTIF('責任職　企業局→市長部局'!A:A,SQLデータ!B1452)</f>
        <v>0</v>
      </c>
      <c r="R1452">
        <f>COUNTIF('一般職員　企業局→市長部局'!A:F,SQLデータ!B1452)</f>
        <v>0</v>
      </c>
    </row>
    <row r="1453" spans="1:18" x14ac:dyDescent="0.4">
      <c r="A1453" s="1">
        <v>202650001265</v>
      </c>
      <c r="B1453" s="1">
        <v>1196066</v>
      </c>
      <c r="C1453" s="2">
        <v>46116</v>
      </c>
      <c r="D1453" t="s">
        <v>17</v>
      </c>
      <c r="E1453" t="s">
        <v>8</v>
      </c>
      <c r="F1453" t="s">
        <v>47</v>
      </c>
      <c r="G1453" t="s">
        <v>9</v>
      </c>
      <c r="L1453">
        <f t="shared" si="111"/>
        <v>0</v>
      </c>
      <c r="M1453">
        <f t="shared" si="112"/>
        <v>0</v>
      </c>
      <c r="N1453">
        <f t="shared" si="113"/>
        <v>0</v>
      </c>
      <c r="O1453">
        <f t="shared" si="115"/>
        <v>1</v>
      </c>
      <c r="P1453" t="str">
        <f t="shared" si="114"/>
        <v/>
      </c>
      <c r="Q1453">
        <f>COUNTIF('責任職　企業局→市長部局'!A:A,SQLデータ!B1453)</f>
        <v>0</v>
      </c>
      <c r="R1453">
        <f>COUNTIF('一般職員　企業局→市長部局'!A:F,SQLデータ!B1453)</f>
        <v>0</v>
      </c>
    </row>
    <row r="1454" spans="1:18" x14ac:dyDescent="0.4">
      <c r="A1454" s="1">
        <v>202650001266</v>
      </c>
      <c r="B1454" s="1">
        <v>1096026</v>
      </c>
      <c r="C1454" s="2">
        <v>46116</v>
      </c>
      <c r="D1454" t="s">
        <v>17</v>
      </c>
      <c r="E1454" t="s">
        <v>10</v>
      </c>
      <c r="G1454" t="s">
        <v>9</v>
      </c>
      <c r="L1454">
        <f t="shared" si="111"/>
        <v>0</v>
      </c>
      <c r="M1454">
        <f t="shared" si="112"/>
        <v>0</v>
      </c>
      <c r="N1454">
        <f t="shared" si="113"/>
        <v>0</v>
      </c>
      <c r="O1454">
        <f t="shared" si="115"/>
        <v>1</v>
      </c>
      <c r="P1454" t="str">
        <f t="shared" si="114"/>
        <v/>
      </c>
      <c r="Q1454">
        <f>COUNTIF('責任職　企業局→市長部局'!A:A,SQLデータ!B1454)</f>
        <v>0</v>
      </c>
      <c r="R1454">
        <f>COUNTIF('一般職員　企業局→市長部局'!A:F,SQLデータ!B1454)</f>
        <v>0</v>
      </c>
    </row>
    <row r="1455" spans="1:18" x14ac:dyDescent="0.4">
      <c r="A1455" s="1">
        <v>202650001268</v>
      </c>
      <c r="B1455" s="1">
        <v>1226018</v>
      </c>
      <c r="C1455" s="2">
        <v>46116</v>
      </c>
      <c r="D1455" t="s">
        <v>17</v>
      </c>
      <c r="E1455" t="s">
        <v>10</v>
      </c>
      <c r="G1455" t="s">
        <v>9</v>
      </c>
      <c r="L1455">
        <f t="shared" si="111"/>
        <v>0</v>
      </c>
      <c r="M1455">
        <f t="shared" si="112"/>
        <v>0</v>
      </c>
      <c r="N1455">
        <f t="shared" si="113"/>
        <v>0</v>
      </c>
      <c r="O1455">
        <f t="shared" si="115"/>
        <v>1</v>
      </c>
      <c r="P1455" t="str">
        <f t="shared" si="114"/>
        <v/>
      </c>
      <c r="Q1455">
        <f>COUNTIF('責任職　企業局→市長部局'!A:A,SQLデータ!B1455)</f>
        <v>0</v>
      </c>
      <c r="R1455">
        <f>COUNTIF('一般職員　企業局→市長部局'!A:F,SQLデータ!B1455)</f>
        <v>0</v>
      </c>
    </row>
    <row r="1456" spans="1:18" x14ac:dyDescent="0.4">
      <c r="A1456" s="1">
        <v>202650001269</v>
      </c>
      <c r="B1456" s="1">
        <v>1146036</v>
      </c>
      <c r="C1456" s="2">
        <v>46116</v>
      </c>
      <c r="D1456" t="s">
        <v>17</v>
      </c>
      <c r="E1456" t="s">
        <v>10</v>
      </c>
      <c r="G1456" t="s">
        <v>9</v>
      </c>
      <c r="L1456">
        <f t="shared" si="111"/>
        <v>0</v>
      </c>
      <c r="M1456">
        <f t="shared" si="112"/>
        <v>0</v>
      </c>
      <c r="N1456">
        <f t="shared" si="113"/>
        <v>0</v>
      </c>
      <c r="O1456">
        <f t="shared" si="115"/>
        <v>1</v>
      </c>
      <c r="P1456" t="str">
        <f t="shared" si="114"/>
        <v/>
      </c>
      <c r="Q1456">
        <f>COUNTIF('責任職　企業局→市長部局'!A:A,SQLデータ!B1456)</f>
        <v>0</v>
      </c>
      <c r="R1456">
        <f>COUNTIF('一般職員　企業局→市長部局'!A:F,SQLデータ!B1456)</f>
        <v>0</v>
      </c>
    </row>
    <row r="1457" spans="1:18" x14ac:dyDescent="0.4">
      <c r="A1457" s="1">
        <v>202650001270</v>
      </c>
      <c r="B1457" s="1">
        <v>1056021</v>
      </c>
      <c r="C1457" s="2">
        <v>46116</v>
      </c>
      <c r="D1457" t="s">
        <v>17</v>
      </c>
      <c r="E1457" t="s">
        <v>8</v>
      </c>
      <c r="G1457" t="s">
        <v>9</v>
      </c>
      <c r="L1457">
        <f t="shared" si="111"/>
        <v>0</v>
      </c>
      <c r="M1457">
        <f t="shared" si="112"/>
        <v>0</v>
      </c>
      <c r="N1457">
        <f t="shared" si="113"/>
        <v>0</v>
      </c>
      <c r="O1457">
        <f t="shared" si="115"/>
        <v>1</v>
      </c>
      <c r="P1457" t="str">
        <f t="shared" si="114"/>
        <v/>
      </c>
      <c r="Q1457">
        <f>COUNTIF('責任職　企業局→市長部局'!A:A,SQLデータ!B1457)</f>
        <v>0</v>
      </c>
      <c r="R1457">
        <f>COUNTIF('一般職員　企業局→市長部局'!A:F,SQLデータ!B1457)</f>
        <v>0</v>
      </c>
    </row>
    <row r="1458" spans="1:18" x14ac:dyDescent="0.4">
      <c r="A1458" s="1">
        <v>202650001271</v>
      </c>
      <c r="B1458" s="1">
        <v>976053</v>
      </c>
      <c r="C1458" s="2">
        <v>46116</v>
      </c>
      <c r="D1458" t="s">
        <v>17</v>
      </c>
      <c r="E1458" t="s">
        <v>8</v>
      </c>
      <c r="F1458" t="s">
        <v>47</v>
      </c>
      <c r="G1458" t="s">
        <v>9</v>
      </c>
      <c r="L1458">
        <f t="shared" si="111"/>
        <v>0</v>
      </c>
      <c r="M1458">
        <f t="shared" si="112"/>
        <v>0</v>
      </c>
      <c r="N1458">
        <f t="shared" si="113"/>
        <v>0</v>
      </c>
      <c r="O1458">
        <f t="shared" si="115"/>
        <v>1</v>
      </c>
      <c r="P1458" t="str">
        <f t="shared" si="114"/>
        <v/>
      </c>
      <c r="Q1458">
        <f>COUNTIF('責任職　企業局→市長部局'!A:A,SQLデータ!B1458)</f>
        <v>0</v>
      </c>
      <c r="R1458">
        <f>COUNTIF('一般職員　企業局→市長部局'!A:F,SQLデータ!B1458)</f>
        <v>0</v>
      </c>
    </row>
    <row r="1459" spans="1:18" x14ac:dyDescent="0.4">
      <c r="A1459" s="1">
        <v>202650001272</v>
      </c>
      <c r="B1459" s="1">
        <v>900067</v>
      </c>
      <c r="C1459" s="2">
        <v>46116</v>
      </c>
      <c r="D1459" t="s">
        <v>17</v>
      </c>
      <c r="E1459" t="s">
        <v>8</v>
      </c>
      <c r="G1459" t="s">
        <v>9</v>
      </c>
      <c r="L1459">
        <f t="shared" si="111"/>
        <v>0</v>
      </c>
      <c r="M1459">
        <f t="shared" si="112"/>
        <v>0</v>
      </c>
      <c r="N1459">
        <f t="shared" si="113"/>
        <v>0</v>
      </c>
      <c r="O1459">
        <f t="shared" si="115"/>
        <v>1</v>
      </c>
      <c r="P1459" t="str">
        <f t="shared" si="114"/>
        <v/>
      </c>
      <c r="Q1459">
        <f>COUNTIF('責任職　企業局→市長部局'!A:A,SQLデータ!B1459)</f>
        <v>0</v>
      </c>
      <c r="R1459">
        <f>COUNTIF('一般職員　企業局→市長部局'!A:F,SQLデータ!B1459)</f>
        <v>0</v>
      </c>
    </row>
    <row r="1460" spans="1:18" x14ac:dyDescent="0.4">
      <c r="A1460" s="1">
        <v>202650001274</v>
      </c>
      <c r="B1460" s="1">
        <v>1166059</v>
      </c>
      <c r="C1460" s="2">
        <v>46116</v>
      </c>
      <c r="D1460" t="s">
        <v>17</v>
      </c>
      <c r="E1460" t="s">
        <v>10</v>
      </c>
      <c r="G1460" t="s">
        <v>9</v>
      </c>
      <c r="L1460">
        <f t="shared" si="111"/>
        <v>0</v>
      </c>
      <c r="M1460">
        <f t="shared" si="112"/>
        <v>0</v>
      </c>
      <c r="N1460">
        <f t="shared" si="113"/>
        <v>0</v>
      </c>
      <c r="O1460">
        <f t="shared" si="115"/>
        <v>1</v>
      </c>
      <c r="P1460" t="str">
        <f t="shared" si="114"/>
        <v/>
      </c>
      <c r="Q1460">
        <f>COUNTIF('責任職　企業局→市長部局'!A:A,SQLデータ!B1460)</f>
        <v>0</v>
      </c>
      <c r="R1460">
        <f>COUNTIF('一般職員　企業局→市長部局'!A:F,SQLデータ!B1460)</f>
        <v>0</v>
      </c>
    </row>
    <row r="1461" spans="1:18" x14ac:dyDescent="0.4">
      <c r="A1461" s="1">
        <v>202650001275</v>
      </c>
      <c r="B1461" s="1">
        <v>870098</v>
      </c>
      <c r="C1461" s="2">
        <v>46116</v>
      </c>
      <c r="D1461" t="s">
        <v>17</v>
      </c>
      <c r="E1461" t="s">
        <v>8</v>
      </c>
      <c r="G1461" t="s">
        <v>9</v>
      </c>
      <c r="L1461">
        <f t="shared" si="111"/>
        <v>0</v>
      </c>
      <c r="M1461">
        <f t="shared" si="112"/>
        <v>0</v>
      </c>
      <c r="N1461">
        <f t="shared" si="113"/>
        <v>0</v>
      </c>
      <c r="O1461">
        <f t="shared" si="115"/>
        <v>1</v>
      </c>
      <c r="P1461" t="str">
        <f t="shared" si="114"/>
        <v/>
      </c>
      <c r="Q1461">
        <f>COUNTIF('責任職　企業局→市長部局'!A:A,SQLデータ!B1461)</f>
        <v>0</v>
      </c>
      <c r="R1461">
        <f>COUNTIF('一般職員　企業局→市長部局'!A:F,SQLデータ!B1461)</f>
        <v>0</v>
      </c>
    </row>
    <row r="1462" spans="1:18" x14ac:dyDescent="0.4">
      <c r="A1462" s="1">
        <v>202650001276</v>
      </c>
      <c r="B1462" s="1">
        <v>976055</v>
      </c>
      <c r="C1462" s="2">
        <v>46116</v>
      </c>
      <c r="D1462" t="s">
        <v>17</v>
      </c>
      <c r="E1462" t="s">
        <v>10</v>
      </c>
      <c r="G1462" t="s">
        <v>9</v>
      </c>
      <c r="L1462">
        <f t="shared" si="111"/>
        <v>0</v>
      </c>
      <c r="M1462">
        <f t="shared" si="112"/>
        <v>0</v>
      </c>
      <c r="N1462">
        <f t="shared" si="113"/>
        <v>0</v>
      </c>
      <c r="O1462">
        <f t="shared" si="115"/>
        <v>1</v>
      </c>
      <c r="P1462" t="str">
        <f t="shared" si="114"/>
        <v/>
      </c>
      <c r="Q1462">
        <f>COUNTIF('責任職　企業局→市長部局'!A:A,SQLデータ!B1462)</f>
        <v>0</v>
      </c>
      <c r="R1462">
        <f>COUNTIF('一般職員　企業局→市長部局'!A:F,SQLデータ!B1462)</f>
        <v>0</v>
      </c>
    </row>
    <row r="1463" spans="1:18" x14ac:dyDescent="0.4">
      <c r="A1463" s="1">
        <v>202650001277</v>
      </c>
      <c r="B1463" s="1">
        <v>940032</v>
      </c>
      <c r="C1463" s="2">
        <v>46116</v>
      </c>
      <c r="D1463" t="s">
        <v>17</v>
      </c>
      <c r="E1463" t="s">
        <v>10</v>
      </c>
      <c r="G1463" t="s">
        <v>9</v>
      </c>
      <c r="L1463">
        <f t="shared" si="111"/>
        <v>0</v>
      </c>
      <c r="M1463">
        <f t="shared" si="112"/>
        <v>0</v>
      </c>
      <c r="N1463">
        <f t="shared" si="113"/>
        <v>0</v>
      </c>
      <c r="O1463">
        <f t="shared" si="115"/>
        <v>1</v>
      </c>
      <c r="P1463" t="str">
        <f t="shared" si="114"/>
        <v/>
      </c>
      <c r="Q1463">
        <f>COUNTIF('責任職　企業局→市長部局'!A:A,SQLデータ!B1463)</f>
        <v>0</v>
      </c>
      <c r="R1463">
        <f>COUNTIF('一般職員　企業局→市長部局'!A:F,SQLデータ!B1463)</f>
        <v>0</v>
      </c>
    </row>
    <row r="1464" spans="1:18" x14ac:dyDescent="0.4">
      <c r="A1464" s="1">
        <v>202650001278</v>
      </c>
      <c r="B1464" s="1">
        <v>1206038</v>
      </c>
      <c r="C1464" s="2">
        <v>46116</v>
      </c>
      <c r="D1464" t="s">
        <v>17</v>
      </c>
      <c r="E1464" t="s">
        <v>10</v>
      </c>
      <c r="G1464" t="s">
        <v>9</v>
      </c>
      <c r="L1464">
        <f t="shared" si="111"/>
        <v>0</v>
      </c>
      <c r="M1464">
        <f t="shared" si="112"/>
        <v>0</v>
      </c>
      <c r="N1464">
        <f t="shared" si="113"/>
        <v>0</v>
      </c>
      <c r="O1464">
        <f t="shared" si="115"/>
        <v>1</v>
      </c>
      <c r="P1464" t="str">
        <f t="shared" si="114"/>
        <v/>
      </c>
      <c r="Q1464">
        <f>COUNTIF('責任職　企業局→市長部局'!A:A,SQLデータ!B1464)</f>
        <v>0</v>
      </c>
      <c r="R1464">
        <f>COUNTIF('一般職員　企業局→市長部局'!A:F,SQLデータ!B1464)</f>
        <v>0</v>
      </c>
    </row>
    <row r="1465" spans="1:18" x14ac:dyDescent="0.4">
      <c r="A1465" s="1">
        <v>202650001279</v>
      </c>
      <c r="B1465" s="1">
        <v>850109</v>
      </c>
      <c r="C1465" s="2">
        <v>46118</v>
      </c>
      <c r="D1465" t="s">
        <v>17</v>
      </c>
      <c r="E1465" t="s">
        <v>10</v>
      </c>
      <c r="G1465" t="s">
        <v>9</v>
      </c>
      <c r="L1465">
        <f t="shared" si="111"/>
        <v>0</v>
      </c>
      <c r="M1465">
        <f t="shared" si="112"/>
        <v>0</v>
      </c>
      <c r="N1465">
        <f t="shared" si="113"/>
        <v>0</v>
      </c>
      <c r="O1465">
        <f t="shared" si="115"/>
        <v>1</v>
      </c>
      <c r="P1465" t="str">
        <f t="shared" si="114"/>
        <v/>
      </c>
      <c r="Q1465">
        <f>COUNTIF('責任職　企業局→市長部局'!A:A,SQLデータ!B1465)</f>
        <v>0</v>
      </c>
      <c r="R1465">
        <f>COUNTIF('一般職員　企業局→市長部局'!A:F,SQLデータ!B1465)</f>
        <v>0</v>
      </c>
    </row>
    <row r="1466" spans="1:18" x14ac:dyDescent="0.4">
      <c r="A1466" s="1">
        <v>202650001280</v>
      </c>
      <c r="B1466" s="1">
        <v>1206015</v>
      </c>
      <c r="C1466" s="2">
        <v>46116</v>
      </c>
      <c r="D1466" t="s">
        <v>17</v>
      </c>
      <c r="E1466" t="s">
        <v>8</v>
      </c>
      <c r="F1466" t="s">
        <v>47</v>
      </c>
      <c r="G1466" t="s">
        <v>9</v>
      </c>
      <c r="L1466">
        <f t="shared" si="111"/>
        <v>0</v>
      </c>
      <c r="M1466">
        <f t="shared" si="112"/>
        <v>0</v>
      </c>
      <c r="N1466">
        <f t="shared" si="113"/>
        <v>0</v>
      </c>
      <c r="O1466">
        <f t="shared" si="115"/>
        <v>1</v>
      </c>
      <c r="P1466" t="str">
        <f t="shared" si="114"/>
        <v/>
      </c>
      <c r="Q1466">
        <f>COUNTIF('責任職　企業局→市長部局'!A:A,SQLデータ!B1466)</f>
        <v>0</v>
      </c>
      <c r="R1466">
        <f>COUNTIF('一般職員　企業局→市長部局'!A:F,SQLデータ!B1466)</f>
        <v>0</v>
      </c>
    </row>
    <row r="1467" spans="1:18" x14ac:dyDescent="0.4">
      <c r="A1467" s="1">
        <v>202650001281</v>
      </c>
      <c r="B1467" s="1">
        <v>840193</v>
      </c>
      <c r="C1467" s="2">
        <v>46116</v>
      </c>
      <c r="D1467" t="s">
        <v>17</v>
      </c>
      <c r="E1467" t="s">
        <v>10</v>
      </c>
      <c r="G1467" t="s">
        <v>9</v>
      </c>
      <c r="L1467">
        <f t="shared" si="111"/>
        <v>0</v>
      </c>
      <c r="M1467">
        <f t="shared" si="112"/>
        <v>0</v>
      </c>
      <c r="N1467">
        <f t="shared" si="113"/>
        <v>0</v>
      </c>
      <c r="O1467">
        <f t="shared" si="115"/>
        <v>1</v>
      </c>
      <c r="P1467" t="str">
        <f t="shared" si="114"/>
        <v/>
      </c>
      <c r="Q1467">
        <f>COUNTIF('責任職　企業局→市長部局'!A:A,SQLデータ!B1467)</f>
        <v>0</v>
      </c>
      <c r="R1467">
        <f>COUNTIF('一般職員　企業局→市長部局'!A:F,SQLデータ!B1467)</f>
        <v>0</v>
      </c>
    </row>
    <row r="1468" spans="1:18" x14ac:dyDescent="0.4">
      <c r="A1468" s="1">
        <v>202650001282</v>
      </c>
      <c r="B1468" s="1">
        <v>1116105</v>
      </c>
      <c r="C1468" s="2">
        <v>46116</v>
      </c>
      <c r="D1468" t="s">
        <v>17</v>
      </c>
      <c r="E1468" t="s">
        <v>10</v>
      </c>
      <c r="G1468" t="s">
        <v>9</v>
      </c>
      <c r="L1468">
        <f t="shared" si="111"/>
        <v>0</v>
      </c>
      <c r="M1468">
        <f t="shared" si="112"/>
        <v>0</v>
      </c>
      <c r="N1468">
        <f t="shared" si="113"/>
        <v>0</v>
      </c>
      <c r="O1468">
        <f t="shared" si="115"/>
        <v>1</v>
      </c>
      <c r="P1468" t="str">
        <f t="shared" si="114"/>
        <v/>
      </c>
      <c r="Q1468">
        <f>COUNTIF('責任職　企業局→市長部局'!A:A,SQLデータ!B1468)</f>
        <v>0</v>
      </c>
      <c r="R1468">
        <f>COUNTIF('一般職員　企業局→市長部局'!A:F,SQLデータ!B1468)</f>
        <v>0</v>
      </c>
    </row>
    <row r="1469" spans="1:18" x14ac:dyDescent="0.4">
      <c r="A1469" s="1">
        <v>202650001283</v>
      </c>
      <c r="B1469" s="1">
        <v>890717</v>
      </c>
      <c r="C1469" s="2">
        <v>46116</v>
      </c>
      <c r="D1469" t="s">
        <v>17</v>
      </c>
      <c r="E1469" t="s">
        <v>10</v>
      </c>
      <c r="F1469" t="s">
        <v>54</v>
      </c>
      <c r="G1469" t="s">
        <v>9</v>
      </c>
      <c r="L1469">
        <f t="shared" si="111"/>
        <v>0</v>
      </c>
      <c r="M1469">
        <f t="shared" si="112"/>
        <v>0</v>
      </c>
      <c r="N1469">
        <f t="shared" si="113"/>
        <v>0</v>
      </c>
      <c r="O1469">
        <f t="shared" si="115"/>
        <v>1</v>
      </c>
      <c r="P1469" t="str">
        <f t="shared" si="114"/>
        <v/>
      </c>
      <c r="Q1469">
        <f>COUNTIF('責任職　企業局→市長部局'!A:A,SQLデータ!B1469)</f>
        <v>0</v>
      </c>
      <c r="R1469">
        <f>COUNTIF('一般職員　企業局→市長部局'!A:F,SQLデータ!B1469)</f>
        <v>0</v>
      </c>
    </row>
    <row r="1470" spans="1:18" x14ac:dyDescent="0.4">
      <c r="A1470" s="1">
        <v>202650001284</v>
      </c>
      <c r="B1470" s="1">
        <v>1226038</v>
      </c>
      <c r="C1470" s="2">
        <v>46116</v>
      </c>
      <c r="D1470" t="s">
        <v>17</v>
      </c>
      <c r="E1470" t="s">
        <v>10</v>
      </c>
      <c r="G1470" t="s">
        <v>9</v>
      </c>
      <c r="L1470">
        <f t="shared" si="111"/>
        <v>0</v>
      </c>
      <c r="M1470">
        <f t="shared" si="112"/>
        <v>0</v>
      </c>
      <c r="N1470">
        <f t="shared" si="113"/>
        <v>0</v>
      </c>
      <c r="O1470">
        <f t="shared" si="115"/>
        <v>1</v>
      </c>
      <c r="P1470" t="str">
        <f t="shared" si="114"/>
        <v/>
      </c>
      <c r="Q1470">
        <f>COUNTIF('責任職　企業局→市長部局'!A:A,SQLデータ!B1470)</f>
        <v>0</v>
      </c>
      <c r="R1470">
        <f>COUNTIF('一般職員　企業局→市長部局'!A:F,SQLデータ!B1470)</f>
        <v>0</v>
      </c>
    </row>
    <row r="1471" spans="1:18" x14ac:dyDescent="0.4">
      <c r="A1471" s="1">
        <v>202650001285</v>
      </c>
      <c r="B1471" s="1">
        <v>1156118</v>
      </c>
      <c r="C1471" s="2">
        <v>46116</v>
      </c>
      <c r="D1471" t="s">
        <v>17</v>
      </c>
      <c r="E1471" t="s">
        <v>10</v>
      </c>
      <c r="G1471" t="s">
        <v>9</v>
      </c>
      <c r="L1471">
        <f t="shared" si="111"/>
        <v>0</v>
      </c>
      <c r="M1471">
        <f t="shared" si="112"/>
        <v>0</v>
      </c>
      <c r="N1471">
        <f t="shared" si="113"/>
        <v>0</v>
      </c>
      <c r="O1471">
        <f t="shared" si="115"/>
        <v>1</v>
      </c>
      <c r="P1471" t="str">
        <f t="shared" si="114"/>
        <v/>
      </c>
      <c r="Q1471">
        <f>COUNTIF('責任職　企業局→市長部局'!A:A,SQLデータ!B1471)</f>
        <v>0</v>
      </c>
      <c r="R1471">
        <f>COUNTIF('一般職員　企業局→市長部局'!A:F,SQLデータ!B1471)</f>
        <v>0</v>
      </c>
    </row>
    <row r="1472" spans="1:18" x14ac:dyDescent="0.4">
      <c r="A1472" s="1">
        <v>202650001286</v>
      </c>
      <c r="B1472" s="1">
        <v>1186109</v>
      </c>
      <c r="C1472" s="2">
        <v>46116</v>
      </c>
      <c r="D1472" t="s">
        <v>17</v>
      </c>
      <c r="E1472" t="s">
        <v>10</v>
      </c>
      <c r="G1472" t="s">
        <v>9</v>
      </c>
      <c r="L1472">
        <f t="shared" si="111"/>
        <v>0</v>
      </c>
      <c r="M1472">
        <f t="shared" si="112"/>
        <v>0</v>
      </c>
      <c r="N1472">
        <f t="shared" si="113"/>
        <v>0</v>
      </c>
      <c r="O1472">
        <f t="shared" si="115"/>
        <v>1</v>
      </c>
      <c r="P1472" t="str">
        <f t="shared" si="114"/>
        <v/>
      </c>
      <c r="Q1472">
        <f>COUNTIF('責任職　企業局→市長部局'!A:A,SQLデータ!B1472)</f>
        <v>0</v>
      </c>
      <c r="R1472">
        <f>COUNTIF('一般職員　企業局→市長部局'!A:F,SQLデータ!B1472)</f>
        <v>0</v>
      </c>
    </row>
    <row r="1473" spans="1:18" x14ac:dyDescent="0.4">
      <c r="A1473" s="1">
        <v>202650001287</v>
      </c>
      <c r="B1473" s="1">
        <v>1176091</v>
      </c>
      <c r="C1473" s="2">
        <v>46116</v>
      </c>
      <c r="D1473" t="s">
        <v>17</v>
      </c>
      <c r="E1473" t="s">
        <v>10</v>
      </c>
      <c r="G1473" t="s">
        <v>9</v>
      </c>
      <c r="L1473">
        <f t="shared" si="111"/>
        <v>0</v>
      </c>
      <c r="M1473">
        <f t="shared" si="112"/>
        <v>0</v>
      </c>
      <c r="N1473">
        <f t="shared" si="113"/>
        <v>0</v>
      </c>
      <c r="O1473">
        <f t="shared" si="115"/>
        <v>1</v>
      </c>
      <c r="P1473" t="str">
        <f t="shared" si="114"/>
        <v/>
      </c>
      <c r="Q1473">
        <f>COUNTIF('責任職　企業局→市長部局'!A:A,SQLデータ!B1473)</f>
        <v>0</v>
      </c>
      <c r="R1473">
        <f>COUNTIF('一般職員　企業局→市長部局'!A:F,SQLデータ!B1473)</f>
        <v>0</v>
      </c>
    </row>
    <row r="1474" spans="1:18" x14ac:dyDescent="0.4">
      <c r="A1474" s="1">
        <v>202650001288</v>
      </c>
      <c r="B1474" s="1">
        <v>976049</v>
      </c>
      <c r="C1474" s="2">
        <v>46116</v>
      </c>
      <c r="D1474" t="s">
        <v>17</v>
      </c>
      <c r="E1474" t="s">
        <v>10</v>
      </c>
      <c r="G1474" t="s">
        <v>9</v>
      </c>
      <c r="L1474">
        <f t="shared" ref="L1474:L1537" si="116">IF(ISBLANK(J1474),0,1)</f>
        <v>0</v>
      </c>
      <c r="M1474">
        <f t="shared" ref="M1474:M1537" si="117">IF(AND(L1474=0,I1474&lt;&gt;""),1,0)</f>
        <v>0</v>
      </c>
      <c r="N1474">
        <f t="shared" ref="N1474:N1537" si="118">IF(AND(L1474=0,M1474=0,K1474&lt;&gt;""),1,0)</f>
        <v>0</v>
      </c>
      <c r="O1474">
        <f t="shared" si="115"/>
        <v>1</v>
      </c>
      <c r="P1474" t="str">
        <f t="shared" ref="P1474:P1537" si="119">IF(D1474&lt;&gt;"扶養","",IF(E1474&lt;&gt;"確認待ち",1,IF(OR(AND(G1474="本人の結婚",O1474=1),AND(H1474="減",OR(N1474=1,O1474=1))),1,0)))</f>
        <v/>
      </c>
      <c r="Q1474">
        <f>COUNTIF('責任職　企業局→市長部局'!A:A,SQLデータ!B1474)</f>
        <v>0</v>
      </c>
      <c r="R1474">
        <f>COUNTIF('一般職員　企業局→市長部局'!A:F,SQLデータ!B1474)</f>
        <v>0</v>
      </c>
    </row>
    <row r="1475" spans="1:18" x14ac:dyDescent="0.4">
      <c r="A1475" s="1">
        <v>202650001289</v>
      </c>
      <c r="B1475" s="1">
        <v>1136042</v>
      </c>
      <c r="C1475" s="2">
        <v>46116</v>
      </c>
      <c r="D1475" t="s">
        <v>17</v>
      </c>
      <c r="E1475" t="s">
        <v>10</v>
      </c>
      <c r="G1475" t="s">
        <v>9</v>
      </c>
      <c r="L1475">
        <f t="shared" si="116"/>
        <v>0</v>
      </c>
      <c r="M1475">
        <f t="shared" si="117"/>
        <v>0</v>
      </c>
      <c r="N1475">
        <f t="shared" si="118"/>
        <v>0</v>
      </c>
      <c r="O1475">
        <f t="shared" si="115"/>
        <v>1</v>
      </c>
      <c r="P1475" t="str">
        <f t="shared" si="119"/>
        <v/>
      </c>
      <c r="Q1475">
        <f>COUNTIF('責任職　企業局→市長部局'!A:A,SQLデータ!B1475)</f>
        <v>0</v>
      </c>
      <c r="R1475">
        <f>COUNTIF('一般職員　企業局→市長部局'!A:F,SQLデータ!B1475)</f>
        <v>0</v>
      </c>
    </row>
    <row r="1476" spans="1:18" x14ac:dyDescent="0.4">
      <c r="A1476" s="1">
        <v>202650001290</v>
      </c>
      <c r="B1476" s="1">
        <v>1221508</v>
      </c>
      <c r="C1476" s="2">
        <v>46116</v>
      </c>
      <c r="D1476" t="s">
        <v>17</v>
      </c>
      <c r="E1476" t="s">
        <v>10</v>
      </c>
      <c r="G1476" t="s">
        <v>9</v>
      </c>
      <c r="L1476">
        <f t="shared" si="116"/>
        <v>0</v>
      </c>
      <c r="M1476">
        <f t="shared" si="117"/>
        <v>0</v>
      </c>
      <c r="N1476">
        <f t="shared" si="118"/>
        <v>0</v>
      </c>
      <c r="O1476">
        <f t="shared" si="115"/>
        <v>1</v>
      </c>
      <c r="P1476" t="str">
        <f t="shared" si="119"/>
        <v/>
      </c>
      <c r="Q1476">
        <f>COUNTIF('責任職　企業局→市長部局'!A:A,SQLデータ!B1476)</f>
        <v>0</v>
      </c>
      <c r="R1476">
        <f>COUNTIF('一般職員　企業局→市長部局'!A:F,SQLデータ!B1476)</f>
        <v>0</v>
      </c>
    </row>
    <row r="1477" spans="1:18" x14ac:dyDescent="0.4">
      <c r="A1477" s="1">
        <v>202650001291</v>
      </c>
      <c r="B1477" s="1">
        <v>1126143</v>
      </c>
      <c r="C1477" s="2">
        <v>46116</v>
      </c>
      <c r="D1477" t="s">
        <v>17</v>
      </c>
      <c r="E1477" t="s">
        <v>15</v>
      </c>
      <c r="G1477" t="s">
        <v>9</v>
      </c>
      <c r="L1477">
        <f t="shared" si="116"/>
        <v>0</v>
      </c>
      <c r="M1477">
        <f t="shared" si="117"/>
        <v>0</v>
      </c>
      <c r="N1477">
        <f t="shared" si="118"/>
        <v>0</v>
      </c>
      <c r="O1477">
        <f t="shared" si="115"/>
        <v>1</v>
      </c>
      <c r="P1477" t="str">
        <f t="shared" si="119"/>
        <v/>
      </c>
      <c r="Q1477">
        <f>COUNTIF('責任職　企業局→市長部局'!A:A,SQLデータ!B1477)</f>
        <v>0</v>
      </c>
      <c r="R1477">
        <f>COUNTIF('一般職員　企業局→市長部局'!A:F,SQLデータ!B1477)</f>
        <v>0</v>
      </c>
    </row>
    <row r="1478" spans="1:18" x14ac:dyDescent="0.4">
      <c r="A1478" s="1">
        <v>202650001292</v>
      </c>
      <c r="B1478" s="1">
        <v>1236050</v>
      </c>
      <c r="C1478" s="2">
        <v>46116</v>
      </c>
      <c r="D1478" t="s">
        <v>17</v>
      </c>
      <c r="E1478" t="s">
        <v>8</v>
      </c>
      <c r="F1478" t="s">
        <v>52</v>
      </c>
      <c r="G1478" t="s">
        <v>9</v>
      </c>
      <c r="L1478">
        <f t="shared" si="116"/>
        <v>0</v>
      </c>
      <c r="M1478">
        <f t="shared" si="117"/>
        <v>0</v>
      </c>
      <c r="N1478">
        <f t="shared" si="118"/>
        <v>0</v>
      </c>
      <c r="O1478">
        <f t="shared" si="115"/>
        <v>1</v>
      </c>
      <c r="P1478" t="str">
        <f t="shared" si="119"/>
        <v/>
      </c>
      <c r="Q1478">
        <f>COUNTIF('責任職　企業局→市長部局'!A:A,SQLデータ!B1478)</f>
        <v>0</v>
      </c>
      <c r="R1478">
        <f>COUNTIF('一般職員　企業局→市長部局'!A:F,SQLデータ!B1478)</f>
        <v>0</v>
      </c>
    </row>
    <row r="1479" spans="1:18" x14ac:dyDescent="0.4">
      <c r="A1479" s="1">
        <v>202650001293</v>
      </c>
      <c r="B1479" s="1">
        <v>910055</v>
      </c>
      <c r="C1479" s="2">
        <v>46116</v>
      </c>
      <c r="D1479" t="s">
        <v>17</v>
      </c>
      <c r="E1479" t="s">
        <v>8</v>
      </c>
      <c r="F1479" t="s">
        <v>47</v>
      </c>
      <c r="G1479" t="s">
        <v>9</v>
      </c>
      <c r="L1479">
        <f t="shared" si="116"/>
        <v>0</v>
      </c>
      <c r="M1479">
        <f t="shared" si="117"/>
        <v>0</v>
      </c>
      <c r="N1479">
        <f t="shared" si="118"/>
        <v>0</v>
      </c>
      <c r="O1479">
        <f t="shared" si="115"/>
        <v>1</v>
      </c>
      <c r="P1479" t="str">
        <f t="shared" si="119"/>
        <v/>
      </c>
      <c r="Q1479">
        <f>COUNTIF('責任職　企業局→市長部局'!A:A,SQLデータ!B1479)</f>
        <v>0</v>
      </c>
      <c r="R1479">
        <f>COUNTIF('一般職員　企業局→市長部局'!A:F,SQLデータ!B1479)</f>
        <v>0</v>
      </c>
    </row>
    <row r="1480" spans="1:18" x14ac:dyDescent="0.4">
      <c r="A1480" s="1">
        <v>202650001294</v>
      </c>
      <c r="B1480" s="1">
        <v>1166127</v>
      </c>
      <c r="C1480" s="2">
        <v>46116</v>
      </c>
      <c r="D1480" t="s">
        <v>17</v>
      </c>
      <c r="E1480" t="s">
        <v>8</v>
      </c>
      <c r="F1480" t="s">
        <v>47</v>
      </c>
      <c r="G1480" t="s">
        <v>9</v>
      </c>
      <c r="L1480">
        <f t="shared" si="116"/>
        <v>0</v>
      </c>
      <c r="M1480">
        <f t="shared" si="117"/>
        <v>0</v>
      </c>
      <c r="N1480">
        <f t="shared" si="118"/>
        <v>0</v>
      </c>
      <c r="O1480">
        <f t="shared" si="115"/>
        <v>1</v>
      </c>
      <c r="P1480" t="str">
        <f t="shared" si="119"/>
        <v/>
      </c>
      <c r="Q1480">
        <f>COUNTIF('責任職　企業局→市長部局'!A:A,SQLデータ!B1480)</f>
        <v>0</v>
      </c>
      <c r="R1480">
        <f>COUNTIF('一般職員　企業局→市長部局'!A:F,SQLデータ!B1480)</f>
        <v>0</v>
      </c>
    </row>
    <row r="1481" spans="1:18" x14ac:dyDescent="0.4">
      <c r="A1481" s="1">
        <v>202650001295</v>
      </c>
      <c r="B1481" s="1">
        <v>1156093</v>
      </c>
      <c r="C1481" s="2">
        <v>46116</v>
      </c>
      <c r="D1481" t="s">
        <v>17</v>
      </c>
      <c r="E1481" t="s">
        <v>10</v>
      </c>
      <c r="G1481" t="s">
        <v>9</v>
      </c>
      <c r="L1481">
        <f t="shared" si="116"/>
        <v>0</v>
      </c>
      <c r="M1481">
        <f t="shared" si="117"/>
        <v>0</v>
      </c>
      <c r="N1481">
        <f t="shared" si="118"/>
        <v>0</v>
      </c>
      <c r="O1481">
        <f t="shared" ref="O1481:O1544" si="120">IF(COUNTIF(L1481:N1481,0)=3,1,0)</f>
        <v>1</v>
      </c>
      <c r="P1481" t="str">
        <f t="shared" si="119"/>
        <v/>
      </c>
      <c r="Q1481">
        <f>COUNTIF('責任職　企業局→市長部局'!A:A,SQLデータ!B1481)</f>
        <v>0</v>
      </c>
      <c r="R1481">
        <f>COUNTIF('一般職員　企業局→市長部局'!A:F,SQLデータ!B1481)</f>
        <v>0</v>
      </c>
    </row>
    <row r="1482" spans="1:18" x14ac:dyDescent="0.4">
      <c r="A1482" s="1">
        <v>202650001296</v>
      </c>
      <c r="B1482" s="1">
        <v>976024</v>
      </c>
      <c r="C1482" s="2">
        <v>46116</v>
      </c>
      <c r="D1482" t="s">
        <v>17</v>
      </c>
      <c r="E1482" t="s">
        <v>10</v>
      </c>
      <c r="G1482" t="s">
        <v>9</v>
      </c>
      <c r="L1482">
        <f t="shared" si="116"/>
        <v>0</v>
      </c>
      <c r="M1482">
        <f t="shared" si="117"/>
        <v>0</v>
      </c>
      <c r="N1482">
        <f t="shared" si="118"/>
        <v>0</v>
      </c>
      <c r="O1482">
        <f t="shared" si="120"/>
        <v>1</v>
      </c>
      <c r="P1482" t="str">
        <f t="shared" si="119"/>
        <v/>
      </c>
      <c r="Q1482">
        <f>COUNTIF('責任職　企業局→市長部局'!A:A,SQLデータ!B1482)</f>
        <v>0</v>
      </c>
      <c r="R1482">
        <f>COUNTIF('一般職員　企業局→市長部局'!A:F,SQLデータ!B1482)</f>
        <v>0</v>
      </c>
    </row>
    <row r="1483" spans="1:18" x14ac:dyDescent="0.4">
      <c r="A1483" s="1">
        <v>202650001297</v>
      </c>
      <c r="B1483" s="1">
        <v>940166</v>
      </c>
      <c r="C1483" s="2">
        <v>46116</v>
      </c>
      <c r="D1483" t="s">
        <v>17</v>
      </c>
      <c r="E1483" t="s">
        <v>10</v>
      </c>
      <c r="G1483" t="s">
        <v>9</v>
      </c>
      <c r="L1483">
        <f t="shared" si="116"/>
        <v>0</v>
      </c>
      <c r="M1483">
        <f t="shared" si="117"/>
        <v>0</v>
      </c>
      <c r="N1483">
        <f t="shared" si="118"/>
        <v>0</v>
      </c>
      <c r="O1483">
        <f t="shared" si="120"/>
        <v>1</v>
      </c>
      <c r="P1483" t="str">
        <f t="shared" si="119"/>
        <v/>
      </c>
      <c r="Q1483">
        <f>COUNTIF('責任職　企業局→市長部局'!A:A,SQLデータ!B1483)</f>
        <v>0</v>
      </c>
      <c r="R1483">
        <f>COUNTIF('一般職員　企業局→市長部局'!A:F,SQLデータ!B1483)</f>
        <v>0</v>
      </c>
    </row>
    <row r="1484" spans="1:18" x14ac:dyDescent="0.4">
      <c r="A1484" s="1">
        <v>202650001298</v>
      </c>
      <c r="B1484" s="1">
        <v>1086064</v>
      </c>
      <c r="C1484" s="2">
        <v>46116</v>
      </c>
      <c r="D1484" t="s">
        <v>17</v>
      </c>
      <c r="E1484" t="s">
        <v>15</v>
      </c>
      <c r="G1484" t="s">
        <v>9</v>
      </c>
      <c r="L1484">
        <f t="shared" si="116"/>
        <v>0</v>
      </c>
      <c r="M1484">
        <f t="shared" si="117"/>
        <v>0</v>
      </c>
      <c r="N1484">
        <f t="shared" si="118"/>
        <v>0</v>
      </c>
      <c r="O1484">
        <f t="shared" si="120"/>
        <v>1</v>
      </c>
      <c r="P1484" t="str">
        <f t="shared" si="119"/>
        <v/>
      </c>
      <c r="Q1484">
        <f>COUNTIF('責任職　企業局→市長部局'!A:A,SQLデータ!B1484)</f>
        <v>0</v>
      </c>
      <c r="R1484">
        <f>COUNTIF('一般職員　企業局→市長部局'!A:F,SQLデータ!B1484)</f>
        <v>0</v>
      </c>
    </row>
    <row r="1485" spans="1:18" x14ac:dyDescent="0.4">
      <c r="A1485" s="1">
        <v>202650001299</v>
      </c>
      <c r="B1485" s="1">
        <v>1086061</v>
      </c>
      <c r="C1485" s="2">
        <v>46116</v>
      </c>
      <c r="D1485" t="s">
        <v>17</v>
      </c>
      <c r="E1485" t="s">
        <v>15</v>
      </c>
      <c r="G1485" t="s">
        <v>9</v>
      </c>
      <c r="L1485">
        <f t="shared" si="116"/>
        <v>0</v>
      </c>
      <c r="M1485">
        <f t="shared" si="117"/>
        <v>0</v>
      </c>
      <c r="N1485">
        <f t="shared" si="118"/>
        <v>0</v>
      </c>
      <c r="O1485">
        <f t="shared" si="120"/>
        <v>1</v>
      </c>
      <c r="P1485" t="str">
        <f t="shared" si="119"/>
        <v/>
      </c>
      <c r="Q1485">
        <f>COUNTIF('責任職　企業局→市長部局'!A:A,SQLデータ!B1485)</f>
        <v>0</v>
      </c>
      <c r="R1485">
        <f>COUNTIF('一般職員　企業局→市長部局'!A:F,SQLデータ!B1485)</f>
        <v>0</v>
      </c>
    </row>
    <row r="1486" spans="1:18" x14ac:dyDescent="0.4">
      <c r="A1486" s="1">
        <v>202650001300</v>
      </c>
      <c r="B1486" s="1">
        <v>1076078</v>
      </c>
      <c r="C1486" s="2">
        <v>46116</v>
      </c>
      <c r="D1486" t="s">
        <v>17</v>
      </c>
      <c r="E1486" t="s">
        <v>8</v>
      </c>
      <c r="G1486" t="s">
        <v>9</v>
      </c>
      <c r="L1486">
        <f t="shared" si="116"/>
        <v>0</v>
      </c>
      <c r="M1486">
        <f t="shared" si="117"/>
        <v>0</v>
      </c>
      <c r="N1486">
        <f t="shared" si="118"/>
        <v>0</v>
      </c>
      <c r="O1486">
        <f t="shared" si="120"/>
        <v>1</v>
      </c>
      <c r="P1486" t="str">
        <f t="shared" si="119"/>
        <v/>
      </c>
      <c r="Q1486">
        <f>COUNTIF('責任職　企業局→市長部局'!A:A,SQLデータ!B1486)</f>
        <v>0</v>
      </c>
      <c r="R1486">
        <f>COUNTIF('一般職員　企業局→市長部局'!A:F,SQLデータ!B1486)</f>
        <v>0</v>
      </c>
    </row>
    <row r="1487" spans="1:18" x14ac:dyDescent="0.4">
      <c r="A1487" s="1">
        <v>202650001301</v>
      </c>
      <c r="B1487" s="1">
        <v>1176051</v>
      </c>
      <c r="C1487" s="2">
        <v>46116</v>
      </c>
      <c r="D1487" t="s">
        <v>17</v>
      </c>
      <c r="E1487" t="s">
        <v>10</v>
      </c>
      <c r="G1487" t="s">
        <v>9</v>
      </c>
      <c r="L1487">
        <f t="shared" si="116"/>
        <v>0</v>
      </c>
      <c r="M1487">
        <f t="shared" si="117"/>
        <v>0</v>
      </c>
      <c r="N1487">
        <f t="shared" si="118"/>
        <v>0</v>
      </c>
      <c r="O1487">
        <f t="shared" si="120"/>
        <v>1</v>
      </c>
      <c r="P1487" t="str">
        <f t="shared" si="119"/>
        <v/>
      </c>
      <c r="Q1487">
        <f>COUNTIF('責任職　企業局→市長部局'!A:A,SQLデータ!B1487)</f>
        <v>0</v>
      </c>
      <c r="R1487">
        <f>COUNTIF('一般職員　企業局→市長部局'!A:F,SQLデータ!B1487)</f>
        <v>0</v>
      </c>
    </row>
    <row r="1488" spans="1:18" x14ac:dyDescent="0.4">
      <c r="A1488" s="1">
        <v>202650001302</v>
      </c>
      <c r="B1488" s="1">
        <v>930174</v>
      </c>
      <c r="C1488" s="2">
        <v>46116</v>
      </c>
      <c r="D1488" t="s">
        <v>17</v>
      </c>
      <c r="E1488" t="s">
        <v>10</v>
      </c>
      <c r="G1488" t="s">
        <v>9</v>
      </c>
      <c r="L1488">
        <f t="shared" si="116"/>
        <v>0</v>
      </c>
      <c r="M1488">
        <f t="shared" si="117"/>
        <v>0</v>
      </c>
      <c r="N1488">
        <f t="shared" si="118"/>
        <v>0</v>
      </c>
      <c r="O1488">
        <f t="shared" si="120"/>
        <v>1</v>
      </c>
      <c r="P1488" t="str">
        <f t="shared" si="119"/>
        <v/>
      </c>
      <c r="Q1488">
        <f>COUNTIF('責任職　企業局→市長部局'!A:A,SQLデータ!B1488)</f>
        <v>0</v>
      </c>
      <c r="R1488">
        <f>COUNTIF('一般職員　企業局→市長部局'!A:F,SQLデータ!B1488)</f>
        <v>0</v>
      </c>
    </row>
    <row r="1489" spans="1:18" x14ac:dyDescent="0.4">
      <c r="A1489" s="1">
        <v>202650001303</v>
      </c>
      <c r="B1489" s="1">
        <v>1136028</v>
      </c>
      <c r="C1489" s="2">
        <v>46116</v>
      </c>
      <c r="D1489" t="s">
        <v>17</v>
      </c>
      <c r="E1489" t="s">
        <v>8</v>
      </c>
      <c r="F1489" t="s">
        <v>47</v>
      </c>
      <c r="G1489" t="s">
        <v>9</v>
      </c>
      <c r="L1489">
        <f t="shared" si="116"/>
        <v>0</v>
      </c>
      <c r="M1489">
        <f t="shared" si="117"/>
        <v>0</v>
      </c>
      <c r="N1489">
        <f t="shared" si="118"/>
        <v>0</v>
      </c>
      <c r="O1489">
        <f t="shared" si="120"/>
        <v>1</v>
      </c>
      <c r="P1489" t="str">
        <f t="shared" si="119"/>
        <v/>
      </c>
      <c r="Q1489">
        <f>COUNTIF('責任職　企業局→市長部局'!A:A,SQLデータ!B1489)</f>
        <v>0</v>
      </c>
      <c r="R1489">
        <f>COUNTIF('一般職員　企業局→市長部局'!A:F,SQLデータ!B1489)</f>
        <v>0</v>
      </c>
    </row>
    <row r="1490" spans="1:18" x14ac:dyDescent="0.4">
      <c r="A1490" s="1">
        <v>202650001304</v>
      </c>
      <c r="B1490" s="1">
        <v>1126104</v>
      </c>
      <c r="C1490" s="2">
        <v>46118</v>
      </c>
      <c r="D1490" t="s">
        <v>17</v>
      </c>
      <c r="E1490" t="s">
        <v>15</v>
      </c>
      <c r="G1490" t="s">
        <v>9</v>
      </c>
      <c r="L1490">
        <f t="shared" si="116"/>
        <v>0</v>
      </c>
      <c r="M1490">
        <f t="shared" si="117"/>
        <v>0</v>
      </c>
      <c r="N1490">
        <f t="shared" si="118"/>
        <v>0</v>
      </c>
      <c r="O1490">
        <f t="shared" si="120"/>
        <v>1</v>
      </c>
      <c r="P1490" t="str">
        <f t="shared" si="119"/>
        <v/>
      </c>
      <c r="Q1490">
        <f>COUNTIF('責任職　企業局→市長部局'!A:A,SQLデータ!B1490)</f>
        <v>0</v>
      </c>
      <c r="R1490">
        <f>COUNTIF('一般職員　企業局→市長部局'!A:F,SQLデータ!B1490)</f>
        <v>0</v>
      </c>
    </row>
    <row r="1491" spans="1:18" x14ac:dyDescent="0.4">
      <c r="A1491" s="1">
        <v>202650001305</v>
      </c>
      <c r="B1491" s="1">
        <v>1046019</v>
      </c>
      <c r="C1491" s="2">
        <v>46116</v>
      </c>
      <c r="D1491" t="s">
        <v>17</v>
      </c>
      <c r="E1491" t="s">
        <v>10</v>
      </c>
      <c r="G1491" t="s">
        <v>9</v>
      </c>
      <c r="L1491">
        <f t="shared" si="116"/>
        <v>0</v>
      </c>
      <c r="M1491">
        <f t="shared" si="117"/>
        <v>0</v>
      </c>
      <c r="N1491">
        <f t="shared" si="118"/>
        <v>0</v>
      </c>
      <c r="O1491">
        <f t="shared" si="120"/>
        <v>1</v>
      </c>
      <c r="P1491" t="str">
        <f t="shared" si="119"/>
        <v/>
      </c>
      <c r="Q1491">
        <f>COUNTIF('責任職　企業局→市長部局'!A:A,SQLデータ!B1491)</f>
        <v>0</v>
      </c>
      <c r="R1491">
        <f>COUNTIF('一般職員　企業局→市長部局'!A:F,SQLデータ!B1491)</f>
        <v>0</v>
      </c>
    </row>
    <row r="1492" spans="1:18" x14ac:dyDescent="0.4">
      <c r="A1492" s="1">
        <v>202650001306</v>
      </c>
      <c r="B1492" s="1">
        <v>1196084</v>
      </c>
      <c r="C1492" s="2">
        <v>46116</v>
      </c>
      <c r="D1492" t="s">
        <v>17</v>
      </c>
      <c r="E1492" t="s">
        <v>15</v>
      </c>
      <c r="G1492" t="s">
        <v>9</v>
      </c>
      <c r="L1492">
        <f t="shared" si="116"/>
        <v>0</v>
      </c>
      <c r="M1492">
        <f t="shared" si="117"/>
        <v>0</v>
      </c>
      <c r="N1492">
        <f t="shared" si="118"/>
        <v>0</v>
      </c>
      <c r="O1492">
        <f t="shared" si="120"/>
        <v>1</v>
      </c>
      <c r="P1492" t="str">
        <f t="shared" si="119"/>
        <v/>
      </c>
      <c r="Q1492">
        <f>COUNTIF('責任職　企業局→市長部局'!A:A,SQLデータ!B1492)</f>
        <v>0</v>
      </c>
      <c r="R1492">
        <f>COUNTIF('一般職員　企業局→市長部局'!A:F,SQLデータ!B1492)</f>
        <v>0</v>
      </c>
    </row>
    <row r="1493" spans="1:18" x14ac:dyDescent="0.4">
      <c r="A1493" s="1">
        <v>202650001307</v>
      </c>
      <c r="B1493" s="1">
        <v>1106094</v>
      </c>
      <c r="C1493" s="2">
        <v>46116</v>
      </c>
      <c r="D1493" t="s">
        <v>17</v>
      </c>
      <c r="E1493" t="s">
        <v>10</v>
      </c>
      <c r="G1493" t="s">
        <v>9</v>
      </c>
      <c r="L1493">
        <f t="shared" si="116"/>
        <v>0</v>
      </c>
      <c r="M1493">
        <f t="shared" si="117"/>
        <v>0</v>
      </c>
      <c r="N1493">
        <f t="shared" si="118"/>
        <v>0</v>
      </c>
      <c r="O1493">
        <f t="shared" si="120"/>
        <v>1</v>
      </c>
      <c r="P1493" t="str">
        <f t="shared" si="119"/>
        <v/>
      </c>
      <c r="Q1493">
        <f>COUNTIF('責任職　企業局→市長部局'!A:A,SQLデータ!B1493)</f>
        <v>0</v>
      </c>
      <c r="R1493">
        <f>COUNTIF('一般職員　企業局→市長部局'!A:F,SQLデータ!B1493)</f>
        <v>0</v>
      </c>
    </row>
    <row r="1494" spans="1:18" x14ac:dyDescent="0.4">
      <c r="A1494" s="1">
        <v>202650001308</v>
      </c>
      <c r="B1494" s="1">
        <v>1256024</v>
      </c>
      <c r="C1494" s="2">
        <v>46117</v>
      </c>
      <c r="D1494" t="s">
        <v>17</v>
      </c>
      <c r="E1494" t="s">
        <v>10</v>
      </c>
      <c r="G1494" t="s">
        <v>9</v>
      </c>
      <c r="L1494">
        <f t="shared" si="116"/>
        <v>0</v>
      </c>
      <c r="M1494">
        <f t="shared" si="117"/>
        <v>0</v>
      </c>
      <c r="N1494">
        <f t="shared" si="118"/>
        <v>0</v>
      </c>
      <c r="O1494">
        <f t="shared" si="120"/>
        <v>1</v>
      </c>
      <c r="P1494" t="str">
        <f t="shared" si="119"/>
        <v/>
      </c>
      <c r="Q1494">
        <f>COUNTIF('責任職　企業局→市長部局'!A:A,SQLデータ!B1494)</f>
        <v>0</v>
      </c>
      <c r="R1494">
        <f>COUNTIF('一般職員　企業局→市長部局'!A:F,SQLデータ!B1494)</f>
        <v>0</v>
      </c>
    </row>
    <row r="1495" spans="1:18" x14ac:dyDescent="0.4">
      <c r="A1495" s="1">
        <v>202650001309</v>
      </c>
      <c r="B1495" s="1">
        <v>1216001</v>
      </c>
      <c r="C1495" s="2">
        <v>46116</v>
      </c>
      <c r="D1495" t="s">
        <v>17</v>
      </c>
      <c r="E1495" t="s">
        <v>10</v>
      </c>
      <c r="G1495" t="s">
        <v>9</v>
      </c>
      <c r="L1495">
        <f t="shared" si="116"/>
        <v>0</v>
      </c>
      <c r="M1495">
        <f t="shared" si="117"/>
        <v>0</v>
      </c>
      <c r="N1495">
        <f t="shared" si="118"/>
        <v>0</v>
      </c>
      <c r="O1495">
        <f t="shared" si="120"/>
        <v>1</v>
      </c>
      <c r="P1495" t="str">
        <f t="shared" si="119"/>
        <v/>
      </c>
      <c r="Q1495">
        <f>COUNTIF('責任職　企業局→市長部局'!A:A,SQLデータ!B1495)</f>
        <v>0</v>
      </c>
      <c r="R1495">
        <f>COUNTIF('一般職員　企業局→市長部局'!A:F,SQLデータ!B1495)</f>
        <v>0</v>
      </c>
    </row>
    <row r="1496" spans="1:18" x14ac:dyDescent="0.4">
      <c r="A1496" s="1">
        <v>202650001310</v>
      </c>
      <c r="B1496" s="1">
        <v>1126110</v>
      </c>
      <c r="C1496" s="2">
        <v>46116</v>
      </c>
      <c r="D1496" t="s">
        <v>17</v>
      </c>
      <c r="E1496" t="s">
        <v>10</v>
      </c>
      <c r="G1496" t="s">
        <v>9</v>
      </c>
      <c r="L1496">
        <f t="shared" si="116"/>
        <v>0</v>
      </c>
      <c r="M1496">
        <f t="shared" si="117"/>
        <v>0</v>
      </c>
      <c r="N1496">
        <f t="shared" si="118"/>
        <v>0</v>
      </c>
      <c r="O1496">
        <f t="shared" si="120"/>
        <v>1</v>
      </c>
      <c r="P1496" t="str">
        <f t="shared" si="119"/>
        <v/>
      </c>
      <c r="Q1496">
        <f>COUNTIF('責任職　企業局→市長部局'!A:A,SQLデータ!B1496)</f>
        <v>0</v>
      </c>
      <c r="R1496">
        <f>COUNTIF('一般職員　企業局→市長部局'!A:F,SQLデータ!B1496)</f>
        <v>0</v>
      </c>
    </row>
    <row r="1497" spans="1:18" x14ac:dyDescent="0.4">
      <c r="A1497" s="1">
        <v>202650001311</v>
      </c>
      <c r="B1497" s="1">
        <v>940065</v>
      </c>
      <c r="C1497" s="2">
        <v>46116</v>
      </c>
      <c r="D1497" t="s">
        <v>17</v>
      </c>
      <c r="E1497" t="s">
        <v>10</v>
      </c>
      <c r="G1497" t="s">
        <v>9</v>
      </c>
      <c r="L1497">
        <f t="shared" si="116"/>
        <v>0</v>
      </c>
      <c r="M1497">
        <f t="shared" si="117"/>
        <v>0</v>
      </c>
      <c r="N1497">
        <f t="shared" si="118"/>
        <v>0</v>
      </c>
      <c r="O1497">
        <f t="shared" si="120"/>
        <v>1</v>
      </c>
      <c r="P1497" t="str">
        <f t="shared" si="119"/>
        <v/>
      </c>
      <c r="Q1497">
        <f>COUNTIF('責任職　企業局→市長部局'!A:A,SQLデータ!B1497)</f>
        <v>0</v>
      </c>
      <c r="R1497">
        <f>COUNTIF('一般職員　企業局→市長部局'!A:F,SQLデータ!B1497)</f>
        <v>0</v>
      </c>
    </row>
    <row r="1498" spans="1:18" x14ac:dyDescent="0.4">
      <c r="A1498" s="1">
        <v>202650001312</v>
      </c>
      <c r="B1498" s="1">
        <v>840179</v>
      </c>
      <c r="C1498" s="2">
        <v>46116</v>
      </c>
      <c r="D1498" t="s">
        <v>17</v>
      </c>
      <c r="E1498" t="s">
        <v>10</v>
      </c>
      <c r="G1498" t="s">
        <v>9</v>
      </c>
      <c r="L1498">
        <f t="shared" si="116"/>
        <v>0</v>
      </c>
      <c r="M1498">
        <f t="shared" si="117"/>
        <v>0</v>
      </c>
      <c r="N1498">
        <f t="shared" si="118"/>
        <v>0</v>
      </c>
      <c r="O1498">
        <f t="shared" si="120"/>
        <v>1</v>
      </c>
      <c r="P1498" t="str">
        <f t="shared" si="119"/>
        <v/>
      </c>
      <c r="Q1498">
        <f>COUNTIF('責任職　企業局→市長部局'!A:A,SQLデータ!B1498)</f>
        <v>0</v>
      </c>
      <c r="R1498">
        <f>COUNTIF('一般職員　企業局→市長部局'!A:F,SQLデータ!B1498)</f>
        <v>0</v>
      </c>
    </row>
    <row r="1499" spans="1:18" x14ac:dyDescent="0.4">
      <c r="A1499" s="1">
        <v>202650001313</v>
      </c>
      <c r="B1499" s="1">
        <v>1086043</v>
      </c>
      <c r="C1499" s="2">
        <v>46116</v>
      </c>
      <c r="D1499" t="s">
        <v>17</v>
      </c>
      <c r="E1499" t="s">
        <v>10</v>
      </c>
      <c r="G1499" t="s">
        <v>9</v>
      </c>
      <c r="L1499">
        <f t="shared" si="116"/>
        <v>0</v>
      </c>
      <c r="M1499">
        <f t="shared" si="117"/>
        <v>0</v>
      </c>
      <c r="N1499">
        <f t="shared" si="118"/>
        <v>0</v>
      </c>
      <c r="O1499">
        <f t="shared" si="120"/>
        <v>1</v>
      </c>
      <c r="P1499" t="str">
        <f t="shared" si="119"/>
        <v/>
      </c>
      <c r="Q1499">
        <f>COUNTIF('責任職　企業局→市長部局'!A:A,SQLデータ!B1499)</f>
        <v>0</v>
      </c>
      <c r="R1499">
        <f>COUNTIF('一般職員　企業局→市長部局'!A:F,SQLデータ!B1499)</f>
        <v>0</v>
      </c>
    </row>
    <row r="1500" spans="1:18" x14ac:dyDescent="0.4">
      <c r="A1500" s="1">
        <v>202650001314</v>
      </c>
      <c r="B1500" s="1">
        <v>1226106</v>
      </c>
      <c r="C1500" s="2">
        <v>46116</v>
      </c>
      <c r="D1500" t="s">
        <v>17</v>
      </c>
      <c r="E1500" t="s">
        <v>10</v>
      </c>
      <c r="G1500" t="s">
        <v>9</v>
      </c>
      <c r="L1500">
        <f t="shared" si="116"/>
        <v>0</v>
      </c>
      <c r="M1500">
        <f t="shared" si="117"/>
        <v>0</v>
      </c>
      <c r="N1500">
        <f t="shared" si="118"/>
        <v>0</v>
      </c>
      <c r="O1500">
        <f t="shared" si="120"/>
        <v>1</v>
      </c>
      <c r="P1500" t="str">
        <f t="shared" si="119"/>
        <v/>
      </c>
      <c r="Q1500">
        <f>COUNTIF('責任職　企業局→市長部局'!A:A,SQLデータ!B1500)</f>
        <v>0</v>
      </c>
      <c r="R1500">
        <f>COUNTIF('一般職員　企業局→市長部局'!A:F,SQLデータ!B1500)</f>
        <v>0</v>
      </c>
    </row>
    <row r="1501" spans="1:18" x14ac:dyDescent="0.4">
      <c r="A1501" s="1">
        <v>202650001315</v>
      </c>
      <c r="B1501" s="1">
        <v>1216021</v>
      </c>
      <c r="C1501" s="2">
        <v>46116</v>
      </c>
      <c r="D1501" t="s">
        <v>17</v>
      </c>
      <c r="E1501" t="s">
        <v>10</v>
      </c>
      <c r="G1501" t="s">
        <v>9</v>
      </c>
      <c r="L1501">
        <f t="shared" si="116"/>
        <v>0</v>
      </c>
      <c r="M1501">
        <f t="shared" si="117"/>
        <v>0</v>
      </c>
      <c r="N1501">
        <f t="shared" si="118"/>
        <v>0</v>
      </c>
      <c r="O1501">
        <f t="shared" si="120"/>
        <v>1</v>
      </c>
      <c r="P1501" t="str">
        <f t="shared" si="119"/>
        <v/>
      </c>
      <c r="Q1501">
        <f>COUNTIF('責任職　企業局→市長部局'!A:A,SQLデータ!B1501)</f>
        <v>0</v>
      </c>
      <c r="R1501">
        <f>COUNTIF('一般職員　企業局→市長部局'!A:F,SQLデータ!B1501)</f>
        <v>0</v>
      </c>
    </row>
    <row r="1502" spans="1:18" x14ac:dyDescent="0.4">
      <c r="A1502" s="1">
        <v>202650001316</v>
      </c>
      <c r="B1502" s="1">
        <v>1136094</v>
      </c>
      <c r="C1502" s="2">
        <v>46117</v>
      </c>
      <c r="D1502" t="s">
        <v>17</v>
      </c>
      <c r="E1502" t="s">
        <v>10</v>
      </c>
      <c r="G1502" t="s">
        <v>9</v>
      </c>
      <c r="L1502">
        <f t="shared" si="116"/>
        <v>0</v>
      </c>
      <c r="M1502">
        <f t="shared" si="117"/>
        <v>0</v>
      </c>
      <c r="N1502">
        <f t="shared" si="118"/>
        <v>0</v>
      </c>
      <c r="O1502">
        <f t="shared" si="120"/>
        <v>1</v>
      </c>
      <c r="P1502" t="str">
        <f t="shared" si="119"/>
        <v/>
      </c>
      <c r="Q1502">
        <f>COUNTIF('責任職　企業局→市長部局'!A:A,SQLデータ!B1502)</f>
        <v>0</v>
      </c>
      <c r="R1502">
        <f>COUNTIF('一般職員　企業局→市長部局'!A:F,SQLデータ!B1502)</f>
        <v>0</v>
      </c>
    </row>
    <row r="1503" spans="1:18" x14ac:dyDescent="0.4">
      <c r="A1503" s="1">
        <v>202650001317</v>
      </c>
      <c r="B1503" s="1">
        <v>1176013</v>
      </c>
      <c r="C1503" s="2">
        <v>46117</v>
      </c>
      <c r="D1503" t="s">
        <v>17</v>
      </c>
      <c r="E1503" t="s">
        <v>10</v>
      </c>
      <c r="G1503" t="s">
        <v>9</v>
      </c>
      <c r="L1503">
        <f t="shared" si="116"/>
        <v>0</v>
      </c>
      <c r="M1503">
        <f t="shared" si="117"/>
        <v>0</v>
      </c>
      <c r="N1503">
        <f t="shared" si="118"/>
        <v>0</v>
      </c>
      <c r="O1503">
        <f t="shared" si="120"/>
        <v>1</v>
      </c>
      <c r="P1503" t="str">
        <f t="shared" si="119"/>
        <v/>
      </c>
      <c r="Q1503">
        <f>COUNTIF('責任職　企業局→市長部局'!A:A,SQLデータ!B1503)</f>
        <v>0</v>
      </c>
      <c r="R1503">
        <f>COUNTIF('一般職員　企業局→市長部局'!A:F,SQLデータ!B1503)</f>
        <v>0</v>
      </c>
    </row>
    <row r="1504" spans="1:18" x14ac:dyDescent="0.4">
      <c r="A1504" s="1">
        <v>202650001318</v>
      </c>
      <c r="B1504" s="1">
        <v>1106055</v>
      </c>
      <c r="C1504" s="2">
        <v>46117</v>
      </c>
      <c r="D1504" t="s">
        <v>17</v>
      </c>
      <c r="E1504" t="s">
        <v>10</v>
      </c>
      <c r="G1504" t="s">
        <v>9</v>
      </c>
      <c r="L1504">
        <f t="shared" si="116"/>
        <v>0</v>
      </c>
      <c r="M1504">
        <f t="shared" si="117"/>
        <v>0</v>
      </c>
      <c r="N1504">
        <f t="shared" si="118"/>
        <v>0</v>
      </c>
      <c r="O1504">
        <f t="shared" si="120"/>
        <v>1</v>
      </c>
      <c r="P1504" t="str">
        <f t="shared" si="119"/>
        <v/>
      </c>
      <c r="Q1504">
        <f>COUNTIF('責任職　企業局→市長部局'!A:A,SQLデータ!B1504)</f>
        <v>0</v>
      </c>
      <c r="R1504">
        <f>COUNTIF('一般職員　企業局→市長部局'!A:F,SQLデータ!B1504)</f>
        <v>0</v>
      </c>
    </row>
    <row r="1505" spans="1:18" x14ac:dyDescent="0.4">
      <c r="A1505" s="1">
        <v>202650001319</v>
      </c>
      <c r="B1505" s="1">
        <v>1226090</v>
      </c>
      <c r="C1505" s="2">
        <v>46117</v>
      </c>
      <c r="D1505" t="s">
        <v>17</v>
      </c>
      <c r="E1505" t="s">
        <v>10</v>
      </c>
      <c r="G1505" t="s">
        <v>9</v>
      </c>
      <c r="L1505">
        <f t="shared" si="116"/>
        <v>0</v>
      </c>
      <c r="M1505">
        <f t="shared" si="117"/>
        <v>0</v>
      </c>
      <c r="N1505">
        <f t="shared" si="118"/>
        <v>0</v>
      </c>
      <c r="O1505">
        <f t="shared" si="120"/>
        <v>1</v>
      </c>
      <c r="P1505" t="str">
        <f t="shared" si="119"/>
        <v/>
      </c>
      <c r="Q1505">
        <f>COUNTIF('責任職　企業局→市長部局'!A:A,SQLデータ!B1505)</f>
        <v>0</v>
      </c>
      <c r="R1505">
        <f>COUNTIF('一般職員　企業局→市長部局'!A:F,SQLデータ!B1505)</f>
        <v>0</v>
      </c>
    </row>
    <row r="1506" spans="1:18" x14ac:dyDescent="0.4">
      <c r="A1506" s="1">
        <v>202650001320</v>
      </c>
      <c r="B1506" s="1">
        <v>1146130</v>
      </c>
      <c r="C1506" s="2">
        <v>46117</v>
      </c>
      <c r="D1506" t="s">
        <v>17</v>
      </c>
      <c r="E1506" t="s">
        <v>15</v>
      </c>
      <c r="G1506" t="s">
        <v>9</v>
      </c>
      <c r="L1506">
        <f t="shared" si="116"/>
        <v>0</v>
      </c>
      <c r="M1506">
        <f t="shared" si="117"/>
        <v>0</v>
      </c>
      <c r="N1506">
        <f t="shared" si="118"/>
        <v>0</v>
      </c>
      <c r="O1506">
        <f t="shared" si="120"/>
        <v>1</v>
      </c>
      <c r="P1506" t="str">
        <f t="shared" si="119"/>
        <v/>
      </c>
      <c r="Q1506">
        <f>COUNTIF('責任職　企業局→市長部局'!A:A,SQLデータ!B1506)</f>
        <v>0</v>
      </c>
      <c r="R1506">
        <f>COUNTIF('一般職員　企業局→市長部局'!A:F,SQLデータ!B1506)</f>
        <v>0</v>
      </c>
    </row>
    <row r="1507" spans="1:18" x14ac:dyDescent="0.4">
      <c r="A1507" s="1">
        <v>202650001321</v>
      </c>
      <c r="B1507" s="1">
        <v>1166027</v>
      </c>
      <c r="C1507" s="2">
        <v>46117</v>
      </c>
      <c r="D1507" t="s">
        <v>17</v>
      </c>
      <c r="E1507" t="s">
        <v>10</v>
      </c>
      <c r="G1507" t="s">
        <v>9</v>
      </c>
      <c r="L1507">
        <f t="shared" si="116"/>
        <v>0</v>
      </c>
      <c r="M1507">
        <f t="shared" si="117"/>
        <v>0</v>
      </c>
      <c r="N1507">
        <f t="shared" si="118"/>
        <v>0</v>
      </c>
      <c r="O1507">
        <f t="shared" si="120"/>
        <v>1</v>
      </c>
      <c r="P1507" t="str">
        <f t="shared" si="119"/>
        <v/>
      </c>
      <c r="Q1507">
        <f>COUNTIF('責任職　企業局→市長部局'!A:A,SQLデータ!B1507)</f>
        <v>0</v>
      </c>
      <c r="R1507">
        <f>COUNTIF('一般職員　企業局→市長部局'!A:F,SQLデータ!B1507)</f>
        <v>0</v>
      </c>
    </row>
    <row r="1508" spans="1:18" x14ac:dyDescent="0.4">
      <c r="A1508" s="1">
        <v>202650001322</v>
      </c>
      <c r="B1508" s="1">
        <v>1116129</v>
      </c>
      <c r="C1508" s="2">
        <v>46117</v>
      </c>
      <c r="D1508" t="s">
        <v>17</v>
      </c>
      <c r="E1508" t="s">
        <v>10</v>
      </c>
      <c r="G1508" t="s">
        <v>9</v>
      </c>
      <c r="L1508">
        <f t="shared" si="116"/>
        <v>0</v>
      </c>
      <c r="M1508">
        <f t="shared" si="117"/>
        <v>0</v>
      </c>
      <c r="N1508">
        <f t="shared" si="118"/>
        <v>0</v>
      </c>
      <c r="O1508">
        <f t="shared" si="120"/>
        <v>1</v>
      </c>
      <c r="P1508" t="str">
        <f t="shared" si="119"/>
        <v/>
      </c>
      <c r="Q1508">
        <f>COUNTIF('責任職　企業局→市長部局'!A:A,SQLデータ!B1508)</f>
        <v>0</v>
      </c>
      <c r="R1508">
        <f>COUNTIF('一般職員　企業局→市長部局'!A:F,SQLデータ!B1508)</f>
        <v>0</v>
      </c>
    </row>
    <row r="1509" spans="1:18" x14ac:dyDescent="0.4">
      <c r="A1509" s="1">
        <v>202650001323</v>
      </c>
      <c r="B1509" s="1">
        <v>1236005</v>
      </c>
      <c r="C1509" s="2">
        <v>46117</v>
      </c>
      <c r="D1509" t="s">
        <v>17</v>
      </c>
      <c r="E1509" t="s">
        <v>10</v>
      </c>
      <c r="G1509" t="s">
        <v>9</v>
      </c>
      <c r="L1509">
        <f t="shared" si="116"/>
        <v>0</v>
      </c>
      <c r="M1509">
        <f t="shared" si="117"/>
        <v>0</v>
      </c>
      <c r="N1509">
        <f t="shared" si="118"/>
        <v>0</v>
      </c>
      <c r="O1509">
        <f t="shared" si="120"/>
        <v>1</v>
      </c>
      <c r="P1509" t="str">
        <f t="shared" si="119"/>
        <v/>
      </c>
      <c r="Q1509">
        <f>COUNTIF('責任職　企業局→市長部局'!A:A,SQLデータ!B1509)</f>
        <v>0</v>
      </c>
      <c r="R1509">
        <f>COUNTIF('一般職員　企業局→市長部局'!A:F,SQLデータ!B1509)</f>
        <v>0</v>
      </c>
    </row>
    <row r="1510" spans="1:18" x14ac:dyDescent="0.4">
      <c r="A1510" s="1">
        <v>202650001324</v>
      </c>
      <c r="B1510" s="1">
        <v>1096009</v>
      </c>
      <c r="C1510" s="2">
        <v>46117</v>
      </c>
      <c r="D1510" t="s">
        <v>17</v>
      </c>
      <c r="E1510" t="s">
        <v>10</v>
      </c>
      <c r="G1510" t="s">
        <v>9</v>
      </c>
      <c r="L1510">
        <f t="shared" si="116"/>
        <v>0</v>
      </c>
      <c r="M1510">
        <f t="shared" si="117"/>
        <v>0</v>
      </c>
      <c r="N1510">
        <f t="shared" si="118"/>
        <v>0</v>
      </c>
      <c r="O1510">
        <f t="shared" si="120"/>
        <v>1</v>
      </c>
      <c r="P1510" t="str">
        <f t="shared" si="119"/>
        <v/>
      </c>
      <c r="Q1510">
        <f>COUNTIF('責任職　企業局→市長部局'!A:A,SQLデータ!B1510)</f>
        <v>0</v>
      </c>
      <c r="R1510">
        <f>COUNTIF('一般職員　企業局→市長部局'!A:F,SQLデータ!B1510)</f>
        <v>0</v>
      </c>
    </row>
    <row r="1511" spans="1:18" x14ac:dyDescent="0.4">
      <c r="A1511" s="1">
        <v>202650001325</v>
      </c>
      <c r="B1511" s="1">
        <v>986037</v>
      </c>
      <c r="C1511" s="2">
        <v>46117</v>
      </c>
      <c r="D1511" t="s">
        <v>17</v>
      </c>
      <c r="E1511" t="s">
        <v>10</v>
      </c>
      <c r="G1511" t="s">
        <v>9</v>
      </c>
      <c r="L1511">
        <f t="shared" si="116"/>
        <v>0</v>
      </c>
      <c r="M1511">
        <f t="shared" si="117"/>
        <v>0</v>
      </c>
      <c r="N1511">
        <f t="shared" si="118"/>
        <v>0</v>
      </c>
      <c r="O1511">
        <f t="shared" si="120"/>
        <v>1</v>
      </c>
      <c r="P1511" t="str">
        <f t="shared" si="119"/>
        <v/>
      </c>
      <c r="Q1511">
        <f>COUNTIF('責任職　企業局→市長部局'!A:A,SQLデータ!B1511)</f>
        <v>0</v>
      </c>
      <c r="R1511">
        <f>COUNTIF('一般職員　企業局→市長部局'!A:F,SQLデータ!B1511)</f>
        <v>0</v>
      </c>
    </row>
    <row r="1512" spans="1:18" x14ac:dyDescent="0.4">
      <c r="A1512" s="1">
        <v>202650001326</v>
      </c>
      <c r="B1512" s="1">
        <v>1036044</v>
      </c>
      <c r="C1512" s="2">
        <v>46117</v>
      </c>
      <c r="D1512" t="s">
        <v>17</v>
      </c>
      <c r="E1512" t="s">
        <v>10</v>
      </c>
      <c r="G1512" t="s">
        <v>9</v>
      </c>
      <c r="L1512">
        <f t="shared" si="116"/>
        <v>0</v>
      </c>
      <c r="M1512">
        <f t="shared" si="117"/>
        <v>0</v>
      </c>
      <c r="N1512">
        <f t="shared" si="118"/>
        <v>0</v>
      </c>
      <c r="O1512">
        <f t="shared" si="120"/>
        <v>1</v>
      </c>
      <c r="P1512" t="str">
        <f t="shared" si="119"/>
        <v/>
      </c>
      <c r="Q1512">
        <f>COUNTIF('責任職　企業局→市長部局'!A:A,SQLデータ!B1512)</f>
        <v>0</v>
      </c>
      <c r="R1512">
        <f>COUNTIF('一般職員　企業局→市長部局'!A:F,SQLデータ!B1512)</f>
        <v>0</v>
      </c>
    </row>
    <row r="1513" spans="1:18" x14ac:dyDescent="0.4">
      <c r="A1513" s="1">
        <v>202650001327</v>
      </c>
      <c r="B1513" s="1">
        <v>1026009</v>
      </c>
      <c r="C1513" s="2">
        <v>46117</v>
      </c>
      <c r="D1513" t="s">
        <v>17</v>
      </c>
      <c r="E1513" t="s">
        <v>10</v>
      </c>
      <c r="G1513" t="s">
        <v>9</v>
      </c>
      <c r="L1513">
        <f t="shared" si="116"/>
        <v>0</v>
      </c>
      <c r="M1513">
        <f t="shared" si="117"/>
        <v>0</v>
      </c>
      <c r="N1513">
        <f t="shared" si="118"/>
        <v>0</v>
      </c>
      <c r="O1513">
        <f t="shared" si="120"/>
        <v>1</v>
      </c>
      <c r="P1513" t="str">
        <f t="shared" si="119"/>
        <v/>
      </c>
      <c r="Q1513">
        <f>COUNTIF('責任職　企業局→市長部局'!A:A,SQLデータ!B1513)</f>
        <v>0</v>
      </c>
      <c r="R1513">
        <f>COUNTIF('一般職員　企業局→市長部局'!A:F,SQLデータ!B1513)</f>
        <v>0</v>
      </c>
    </row>
    <row r="1514" spans="1:18" x14ac:dyDescent="0.4">
      <c r="A1514" s="1">
        <v>202650001328</v>
      </c>
      <c r="B1514" s="1">
        <v>1236053</v>
      </c>
      <c r="C1514" s="2">
        <v>46117</v>
      </c>
      <c r="D1514" t="s">
        <v>17</v>
      </c>
      <c r="E1514" t="s">
        <v>10</v>
      </c>
      <c r="G1514" t="s">
        <v>9</v>
      </c>
      <c r="L1514">
        <f t="shared" si="116"/>
        <v>0</v>
      </c>
      <c r="M1514">
        <f t="shared" si="117"/>
        <v>0</v>
      </c>
      <c r="N1514">
        <f t="shared" si="118"/>
        <v>0</v>
      </c>
      <c r="O1514">
        <f t="shared" si="120"/>
        <v>1</v>
      </c>
      <c r="P1514" t="str">
        <f t="shared" si="119"/>
        <v/>
      </c>
      <c r="Q1514">
        <f>COUNTIF('責任職　企業局→市長部局'!A:A,SQLデータ!B1514)</f>
        <v>0</v>
      </c>
      <c r="R1514">
        <f>COUNTIF('一般職員　企業局→市長部局'!A:F,SQLデータ!B1514)</f>
        <v>0</v>
      </c>
    </row>
    <row r="1515" spans="1:18" x14ac:dyDescent="0.4">
      <c r="A1515" s="1">
        <v>202650001329</v>
      </c>
      <c r="B1515" s="1">
        <v>1136084</v>
      </c>
      <c r="C1515" s="2">
        <v>46117</v>
      </c>
      <c r="D1515" t="s">
        <v>17</v>
      </c>
      <c r="E1515" t="s">
        <v>10</v>
      </c>
      <c r="G1515" t="s">
        <v>9</v>
      </c>
      <c r="L1515">
        <f t="shared" si="116"/>
        <v>0</v>
      </c>
      <c r="M1515">
        <f t="shared" si="117"/>
        <v>0</v>
      </c>
      <c r="N1515">
        <f t="shared" si="118"/>
        <v>0</v>
      </c>
      <c r="O1515">
        <f t="shared" si="120"/>
        <v>1</v>
      </c>
      <c r="P1515" t="str">
        <f t="shared" si="119"/>
        <v/>
      </c>
      <c r="Q1515">
        <f>COUNTIF('責任職　企業局→市長部局'!A:A,SQLデータ!B1515)</f>
        <v>0</v>
      </c>
      <c r="R1515">
        <f>COUNTIF('一般職員　企業局→市長部局'!A:F,SQLデータ!B1515)</f>
        <v>0</v>
      </c>
    </row>
    <row r="1516" spans="1:18" x14ac:dyDescent="0.4">
      <c r="A1516" s="1">
        <v>202650001330</v>
      </c>
      <c r="B1516" s="1">
        <v>1066040</v>
      </c>
      <c r="C1516" s="2">
        <v>46117</v>
      </c>
      <c r="D1516" t="s">
        <v>17</v>
      </c>
      <c r="E1516" t="s">
        <v>8</v>
      </c>
      <c r="F1516" t="s">
        <v>47</v>
      </c>
      <c r="G1516" t="s">
        <v>9</v>
      </c>
      <c r="L1516">
        <f t="shared" si="116"/>
        <v>0</v>
      </c>
      <c r="M1516">
        <f t="shared" si="117"/>
        <v>0</v>
      </c>
      <c r="N1516">
        <f t="shared" si="118"/>
        <v>0</v>
      </c>
      <c r="O1516">
        <f t="shared" si="120"/>
        <v>1</v>
      </c>
      <c r="P1516" t="str">
        <f t="shared" si="119"/>
        <v/>
      </c>
      <c r="Q1516">
        <f>COUNTIF('責任職　企業局→市長部局'!A:A,SQLデータ!B1516)</f>
        <v>0</v>
      </c>
      <c r="R1516">
        <f>COUNTIF('一般職員　企業局→市長部局'!A:F,SQLデータ!B1516)</f>
        <v>0</v>
      </c>
    </row>
    <row r="1517" spans="1:18" x14ac:dyDescent="0.4">
      <c r="A1517" s="1">
        <v>202650001331</v>
      </c>
      <c r="B1517" s="1">
        <v>930169</v>
      </c>
      <c r="C1517" s="2">
        <v>46117</v>
      </c>
      <c r="D1517" t="s">
        <v>17</v>
      </c>
      <c r="E1517" t="s">
        <v>8</v>
      </c>
      <c r="F1517" t="s">
        <v>47</v>
      </c>
      <c r="G1517" t="s">
        <v>9</v>
      </c>
      <c r="L1517">
        <f t="shared" si="116"/>
        <v>0</v>
      </c>
      <c r="M1517">
        <f t="shared" si="117"/>
        <v>0</v>
      </c>
      <c r="N1517">
        <f t="shared" si="118"/>
        <v>0</v>
      </c>
      <c r="O1517">
        <f t="shared" si="120"/>
        <v>1</v>
      </c>
      <c r="P1517" t="str">
        <f t="shared" si="119"/>
        <v/>
      </c>
      <c r="Q1517">
        <f>COUNTIF('責任職　企業局→市長部局'!A:A,SQLデータ!B1517)</f>
        <v>0</v>
      </c>
      <c r="R1517">
        <f>COUNTIF('一般職員　企業局→市長部局'!A:F,SQLデータ!B1517)</f>
        <v>0</v>
      </c>
    </row>
    <row r="1518" spans="1:18" x14ac:dyDescent="0.4">
      <c r="A1518" s="1">
        <v>202650001332</v>
      </c>
      <c r="B1518" s="1">
        <v>1106107</v>
      </c>
      <c r="C1518" s="2">
        <v>46117</v>
      </c>
      <c r="D1518" t="s">
        <v>17</v>
      </c>
      <c r="E1518" t="s">
        <v>10</v>
      </c>
      <c r="G1518" t="s">
        <v>9</v>
      </c>
      <c r="L1518">
        <f t="shared" si="116"/>
        <v>0</v>
      </c>
      <c r="M1518">
        <f t="shared" si="117"/>
        <v>0</v>
      </c>
      <c r="N1518">
        <f t="shared" si="118"/>
        <v>0</v>
      </c>
      <c r="O1518">
        <f t="shared" si="120"/>
        <v>1</v>
      </c>
      <c r="P1518" t="str">
        <f t="shared" si="119"/>
        <v/>
      </c>
      <c r="Q1518">
        <f>COUNTIF('責任職　企業局→市長部局'!A:A,SQLデータ!B1518)</f>
        <v>0</v>
      </c>
      <c r="R1518">
        <f>COUNTIF('一般職員　企業局→市長部局'!A:F,SQLデータ!B1518)</f>
        <v>0</v>
      </c>
    </row>
    <row r="1519" spans="1:18" x14ac:dyDescent="0.4">
      <c r="A1519" s="1">
        <v>202650001333</v>
      </c>
      <c r="B1519" s="1">
        <v>1046022</v>
      </c>
      <c r="C1519" s="2">
        <v>46117</v>
      </c>
      <c r="D1519" t="s">
        <v>17</v>
      </c>
      <c r="E1519" t="s">
        <v>10</v>
      </c>
      <c r="G1519" t="s">
        <v>9</v>
      </c>
      <c r="L1519">
        <f t="shared" si="116"/>
        <v>0</v>
      </c>
      <c r="M1519">
        <f t="shared" si="117"/>
        <v>0</v>
      </c>
      <c r="N1519">
        <f t="shared" si="118"/>
        <v>0</v>
      </c>
      <c r="O1519">
        <f t="shared" si="120"/>
        <v>1</v>
      </c>
      <c r="P1519" t="str">
        <f t="shared" si="119"/>
        <v/>
      </c>
      <c r="Q1519">
        <f>COUNTIF('責任職　企業局→市長部局'!A:A,SQLデータ!B1519)</f>
        <v>0</v>
      </c>
      <c r="R1519">
        <f>COUNTIF('一般職員　企業局→市長部局'!A:F,SQLデータ!B1519)</f>
        <v>0</v>
      </c>
    </row>
    <row r="1520" spans="1:18" x14ac:dyDescent="0.4">
      <c r="A1520" s="1">
        <v>202650001334</v>
      </c>
      <c r="B1520" s="1">
        <v>1086029</v>
      </c>
      <c r="C1520" s="2">
        <v>46119</v>
      </c>
      <c r="D1520" t="s">
        <v>17</v>
      </c>
      <c r="E1520" t="s">
        <v>10</v>
      </c>
      <c r="G1520" t="s">
        <v>9</v>
      </c>
      <c r="L1520">
        <f t="shared" si="116"/>
        <v>0</v>
      </c>
      <c r="M1520">
        <f t="shared" si="117"/>
        <v>0</v>
      </c>
      <c r="N1520">
        <f t="shared" si="118"/>
        <v>0</v>
      </c>
      <c r="O1520">
        <f t="shared" si="120"/>
        <v>1</v>
      </c>
      <c r="P1520" t="str">
        <f t="shared" si="119"/>
        <v/>
      </c>
      <c r="Q1520">
        <f>COUNTIF('責任職　企業局→市長部局'!A:A,SQLデータ!B1520)</f>
        <v>0</v>
      </c>
      <c r="R1520">
        <f>COUNTIF('一般職員　企業局→市長部局'!A:F,SQLデータ!B1520)</f>
        <v>0</v>
      </c>
    </row>
    <row r="1521" spans="1:18" x14ac:dyDescent="0.4">
      <c r="A1521" s="1">
        <v>202650001335</v>
      </c>
      <c r="B1521" s="1">
        <v>1076047</v>
      </c>
      <c r="C1521" s="2">
        <v>46117</v>
      </c>
      <c r="D1521" t="s">
        <v>17</v>
      </c>
      <c r="E1521" t="s">
        <v>10</v>
      </c>
      <c r="G1521" t="s">
        <v>9</v>
      </c>
      <c r="L1521">
        <f t="shared" si="116"/>
        <v>0</v>
      </c>
      <c r="M1521">
        <f t="shared" si="117"/>
        <v>0</v>
      </c>
      <c r="N1521">
        <f t="shared" si="118"/>
        <v>0</v>
      </c>
      <c r="O1521">
        <f t="shared" si="120"/>
        <v>1</v>
      </c>
      <c r="P1521" t="str">
        <f t="shared" si="119"/>
        <v/>
      </c>
      <c r="Q1521">
        <f>COUNTIF('責任職　企業局→市長部局'!A:A,SQLデータ!B1521)</f>
        <v>0</v>
      </c>
      <c r="R1521">
        <f>COUNTIF('一般職員　企業局→市長部局'!A:F,SQLデータ!B1521)</f>
        <v>0</v>
      </c>
    </row>
    <row r="1522" spans="1:18" x14ac:dyDescent="0.4">
      <c r="A1522" s="1">
        <v>202650001336</v>
      </c>
      <c r="B1522" s="1">
        <v>1096036</v>
      </c>
      <c r="C1522" s="2">
        <v>46117</v>
      </c>
      <c r="D1522" t="s">
        <v>17</v>
      </c>
      <c r="E1522" t="s">
        <v>10</v>
      </c>
      <c r="G1522" t="s">
        <v>9</v>
      </c>
      <c r="L1522">
        <f t="shared" si="116"/>
        <v>0</v>
      </c>
      <c r="M1522">
        <f t="shared" si="117"/>
        <v>0</v>
      </c>
      <c r="N1522">
        <f t="shared" si="118"/>
        <v>0</v>
      </c>
      <c r="O1522">
        <f t="shared" si="120"/>
        <v>1</v>
      </c>
      <c r="P1522" t="str">
        <f t="shared" si="119"/>
        <v/>
      </c>
      <c r="Q1522">
        <f>COUNTIF('責任職　企業局→市長部局'!A:A,SQLデータ!B1522)</f>
        <v>0</v>
      </c>
      <c r="R1522">
        <f>COUNTIF('一般職員　企業局→市長部局'!A:F,SQLデータ!B1522)</f>
        <v>0</v>
      </c>
    </row>
    <row r="1523" spans="1:18" x14ac:dyDescent="0.4">
      <c r="A1523" s="1">
        <v>202650001337</v>
      </c>
      <c r="B1523" s="1">
        <v>1066055</v>
      </c>
      <c r="C1523" s="2">
        <v>46117</v>
      </c>
      <c r="D1523" t="s">
        <v>17</v>
      </c>
      <c r="E1523" t="s">
        <v>10</v>
      </c>
      <c r="G1523" t="s">
        <v>9</v>
      </c>
      <c r="L1523">
        <f t="shared" si="116"/>
        <v>0</v>
      </c>
      <c r="M1523">
        <f t="shared" si="117"/>
        <v>0</v>
      </c>
      <c r="N1523">
        <f t="shared" si="118"/>
        <v>0</v>
      </c>
      <c r="O1523">
        <f t="shared" si="120"/>
        <v>1</v>
      </c>
      <c r="P1523" t="str">
        <f t="shared" si="119"/>
        <v/>
      </c>
      <c r="Q1523">
        <f>COUNTIF('責任職　企業局→市長部局'!A:A,SQLデータ!B1523)</f>
        <v>0</v>
      </c>
      <c r="R1523">
        <f>COUNTIF('一般職員　企業局→市長部局'!A:F,SQLデータ!B1523)</f>
        <v>0</v>
      </c>
    </row>
    <row r="1524" spans="1:18" x14ac:dyDescent="0.4">
      <c r="A1524" s="1">
        <v>202650001338</v>
      </c>
      <c r="B1524" s="1">
        <v>1026054</v>
      </c>
      <c r="C1524" s="2">
        <v>46117</v>
      </c>
      <c r="D1524" t="s">
        <v>17</v>
      </c>
      <c r="E1524" t="s">
        <v>8</v>
      </c>
      <c r="F1524" t="s">
        <v>47</v>
      </c>
      <c r="G1524" t="s">
        <v>9</v>
      </c>
      <c r="L1524">
        <f t="shared" si="116"/>
        <v>0</v>
      </c>
      <c r="M1524">
        <f t="shared" si="117"/>
        <v>0</v>
      </c>
      <c r="N1524">
        <f t="shared" si="118"/>
        <v>0</v>
      </c>
      <c r="O1524">
        <f t="shared" si="120"/>
        <v>1</v>
      </c>
      <c r="P1524" t="str">
        <f t="shared" si="119"/>
        <v/>
      </c>
      <c r="Q1524">
        <f>COUNTIF('責任職　企業局→市長部局'!A:A,SQLデータ!B1524)</f>
        <v>0</v>
      </c>
      <c r="R1524">
        <f>COUNTIF('一般職員　企業局→市長部局'!A:F,SQLデータ!B1524)</f>
        <v>0</v>
      </c>
    </row>
    <row r="1525" spans="1:18" x14ac:dyDescent="0.4">
      <c r="A1525" s="1">
        <v>202650001339</v>
      </c>
      <c r="B1525" s="1">
        <v>860089</v>
      </c>
      <c r="C1525" s="2">
        <v>46117</v>
      </c>
      <c r="D1525" t="s">
        <v>17</v>
      </c>
      <c r="E1525" t="s">
        <v>10</v>
      </c>
      <c r="G1525" t="s">
        <v>9</v>
      </c>
      <c r="L1525">
        <f t="shared" si="116"/>
        <v>0</v>
      </c>
      <c r="M1525">
        <f t="shared" si="117"/>
        <v>0</v>
      </c>
      <c r="N1525">
        <f t="shared" si="118"/>
        <v>0</v>
      </c>
      <c r="O1525">
        <f t="shared" si="120"/>
        <v>1</v>
      </c>
      <c r="P1525" t="str">
        <f t="shared" si="119"/>
        <v/>
      </c>
      <c r="Q1525">
        <f>COUNTIF('責任職　企業局→市長部局'!A:A,SQLデータ!B1525)</f>
        <v>0</v>
      </c>
      <c r="R1525">
        <f>COUNTIF('一般職員　企業局→市長部局'!A:F,SQLデータ!B1525)</f>
        <v>0</v>
      </c>
    </row>
    <row r="1526" spans="1:18" x14ac:dyDescent="0.4">
      <c r="A1526" s="1">
        <v>202650001340</v>
      </c>
      <c r="B1526" s="1">
        <v>1146042</v>
      </c>
      <c r="C1526" s="2">
        <v>46117</v>
      </c>
      <c r="D1526" t="s">
        <v>17</v>
      </c>
      <c r="E1526" t="s">
        <v>10</v>
      </c>
      <c r="G1526" t="s">
        <v>9</v>
      </c>
      <c r="L1526">
        <f t="shared" si="116"/>
        <v>0</v>
      </c>
      <c r="M1526">
        <f t="shared" si="117"/>
        <v>0</v>
      </c>
      <c r="N1526">
        <f t="shared" si="118"/>
        <v>0</v>
      </c>
      <c r="O1526">
        <f t="shared" si="120"/>
        <v>1</v>
      </c>
      <c r="P1526" t="str">
        <f t="shared" si="119"/>
        <v/>
      </c>
      <c r="Q1526">
        <f>COUNTIF('責任職　企業局→市長部局'!A:A,SQLデータ!B1526)</f>
        <v>0</v>
      </c>
      <c r="R1526">
        <f>COUNTIF('一般職員　企業局→市長部局'!A:F,SQLデータ!B1526)</f>
        <v>0</v>
      </c>
    </row>
    <row r="1527" spans="1:18" x14ac:dyDescent="0.4">
      <c r="A1527" s="1">
        <v>202650001341</v>
      </c>
      <c r="B1527" s="1">
        <v>1086092</v>
      </c>
      <c r="C1527" s="2">
        <v>46117</v>
      </c>
      <c r="D1527" t="s">
        <v>17</v>
      </c>
      <c r="E1527" t="s">
        <v>10</v>
      </c>
      <c r="G1527" t="s">
        <v>9</v>
      </c>
      <c r="L1527">
        <f t="shared" si="116"/>
        <v>0</v>
      </c>
      <c r="M1527">
        <f t="shared" si="117"/>
        <v>0</v>
      </c>
      <c r="N1527">
        <f t="shared" si="118"/>
        <v>0</v>
      </c>
      <c r="O1527">
        <f t="shared" si="120"/>
        <v>1</v>
      </c>
      <c r="P1527" t="str">
        <f t="shared" si="119"/>
        <v/>
      </c>
      <c r="Q1527">
        <f>COUNTIF('責任職　企業局→市長部局'!A:A,SQLデータ!B1527)</f>
        <v>0</v>
      </c>
      <c r="R1527">
        <f>COUNTIF('一般職員　企業局→市長部局'!A:F,SQLデータ!B1527)</f>
        <v>0</v>
      </c>
    </row>
    <row r="1528" spans="1:18" x14ac:dyDescent="0.4">
      <c r="A1528" s="1">
        <v>202650001342</v>
      </c>
      <c r="B1528" s="1">
        <v>1056042</v>
      </c>
      <c r="C1528" s="2">
        <v>46117</v>
      </c>
      <c r="D1528" t="s">
        <v>17</v>
      </c>
      <c r="E1528" t="s">
        <v>10</v>
      </c>
      <c r="G1528" t="s">
        <v>9</v>
      </c>
      <c r="L1528">
        <f t="shared" si="116"/>
        <v>0</v>
      </c>
      <c r="M1528">
        <f t="shared" si="117"/>
        <v>0</v>
      </c>
      <c r="N1528">
        <f t="shared" si="118"/>
        <v>0</v>
      </c>
      <c r="O1528">
        <f t="shared" si="120"/>
        <v>1</v>
      </c>
      <c r="P1528" t="str">
        <f t="shared" si="119"/>
        <v/>
      </c>
      <c r="Q1528">
        <f>COUNTIF('責任職　企業局→市長部局'!A:A,SQLデータ!B1528)</f>
        <v>0</v>
      </c>
      <c r="R1528">
        <f>COUNTIF('一般職員　企業局→市長部局'!A:F,SQLデータ!B1528)</f>
        <v>0</v>
      </c>
    </row>
    <row r="1529" spans="1:18" x14ac:dyDescent="0.4">
      <c r="A1529" s="1">
        <v>202650001343</v>
      </c>
      <c r="B1529" s="1">
        <v>890730</v>
      </c>
      <c r="C1529" s="2">
        <v>46117</v>
      </c>
      <c r="D1529" t="s">
        <v>17</v>
      </c>
      <c r="E1529" t="s">
        <v>10</v>
      </c>
      <c r="G1529" t="s">
        <v>9</v>
      </c>
      <c r="L1529">
        <f t="shared" si="116"/>
        <v>0</v>
      </c>
      <c r="M1529">
        <f t="shared" si="117"/>
        <v>0</v>
      </c>
      <c r="N1529">
        <f t="shared" si="118"/>
        <v>0</v>
      </c>
      <c r="O1529">
        <f t="shared" si="120"/>
        <v>1</v>
      </c>
      <c r="P1529" t="str">
        <f t="shared" si="119"/>
        <v/>
      </c>
      <c r="Q1529">
        <f>COUNTIF('責任職　企業局→市長部局'!A:A,SQLデータ!B1529)</f>
        <v>0</v>
      </c>
      <c r="R1529">
        <f>COUNTIF('一般職員　企業局→市長部局'!A:F,SQLデータ!B1529)</f>
        <v>0</v>
      </c>
    </row>
    <row r="1530" spans="1:18" x14ac:dyDescent="0.4">
      <c r="A1530" s="1">
        <v>202650001344</v>
      </c>
      <c r="B1530" s="1">
        <v>1246041</v>
      </c>
      <c r="C1530" s="2">
        <v>46117</v>
      </c>
      <c r="D1530" t="s">
        <v>17</v>
      </c>
      <c r="E1530" t="s">
        <v>10</v>
      </c>
      <c r="G1530" t="s">
        <v>9</v>
      </c>
      <c r="L1530">
        <f t="shared" si="116"/>
        <v>0</v>
      </c>
      <c r="M1530">
        <f t="shared" si="117"/>
        <v>0</v>
      </c>
      <c r="N1530">
        <f t="shared" si="118"/>
        <v>0</v>
      </c>
      <c r="O1530">
        <f t="shared" si="120"/>
        <v>1</v>
      </c>
      <c r="P1530" t="str">
        <f t="shared" si="119"/>
        <v/>
      </c>
      <c r="Q1530">
        <f>COUNTIF('責任職　企業局→市長部局'!A:A,SQLデータ!B1530)</f>
        <v>0</v>
      </c>
      <c r="R1530">
        <f>COUNTIF('一般職員　企業局→市長部局'!A:F,SQLデータ!B1530)</f>
        <v>0</v>
      </c>
    </row>
    <row r="1531" spans="1:18" x14ac:dyDescent="0.4">
      <c r="A1531" s="1">
        <v>202650001345</v>
      </c>
      <c r="B1531" s="1">
        <v>1166035</v>
      </c>
      <c r="C1531" s="2">
        <v>46117</v>
      </c>
      <c r="D1531" t="s">
        <v>17</v>
      </c>
      <c r="E1531" t="s">
        <v>10</v>
      </c>
      <c r="G1531" t="s">
        <v>9</v>
      </c>
      <c r="L1531">
        <f t="shared" si="116"/>
        <v>0</v>
      </c>
      <c r="M1531">
        <f t="shared" si="117"/>
        <v>0</v>
      </c>
      <c r="N1531">
        <f t="shared" si="118"/>
        <v>0</v>
      </c>
      <c r="O1531">
        <f t="shared" si="120"/>
        <v>1</v>
      </c>
      <c r="P1531" t="str">
        <f t="shared" si="119"/>
        <v/>
      </c>
      <c r="Q1531">
        <f>COUNTIF('責任職　企業局→市長部局'!A:A,SQLデータ!B1531)</f>
        <v>0</v>
      </c>
      <c r="R1531">
        <f>COUNTIF('一般職員　企業局→市長部局'!A:F,SQLデータ!B1531)</f>
        <v>0</v>
      </c>
    </row>
    <row r="1532" spans="1:18" x14ac:dyDescent="0.4">
      <c r="A1532" s="1">
        <v>202650001346</v>
      </c>
      <c r="B1532" s="1">
        <v>1216134</v>
      </c>
      <c r="C1532" s="2">
        <v>46117</v>
      </c>
      <c r="D1532" t="s">
        <v>17</v>
      </c>
      <c r="E1532" t="s">
        <v>10</v>
      </c>
      <c r="G1532" t="s">
        <v>9</v>
      </c>
      <c r="L1532">
        <f t="shared" si="116"/>
        <v>0</v>
      </c>
      <c r="M1532">
        <f t="shared" si="117"/>
        <v>0</v>
      </c>
      <c r="N1532">
        <f t="shared" si="118"/>
        <v>0</v>
      </c>
      <c r="O1532">
        <f t="shared" si="120"/>
        <v>1</v>
      </c>
      <c r="P1532" t="str">
        <f t="shared" si="119"/>
        <v/>
      </c>
      <c r="Q1532">
        <f>COUNTIF('責任職　企業局→市長部局'!A:A,SQLデータ!B1532)</f>
        <v>0</v>
      </c>
      <c r="R1532">
        <f>COUNTIF('一般職員　企業局→市長部局'!A:F,SQLデータ!B1532)</f>
        <v>0</v>
      </c>
    </row>
    <row r="1533" spans="1:18" x14ac:dyDescent="0.4">
      <c r="A1533" s="1">
        <v>202650001347</v>
      </c>
      <c r="B1533" s="1">
        <v>880743</v>
      </c>
      <c r="C1533" s="2">
        <v>46117</v>
      </c>
      <c r="D1533" t="s">
        <v>17</v>
      </c>
      <c r="E1533" t="s">
        <v>10</v>
      </c>
      <c r="G1533" t="s">
        <v>9</v>
      </c>
      <c r="L1533">
        <f t="shared" si="116"/>
        <v>0</v>
      </c>
      <c r="M1533">
        <f t="shared" si="117"/>
        <v>0</v>
      </c>
      <c r="N1533">
        <f t="shared" si="118"/>
        <v>0</v>
      </c>
      <c r="O1533">
        <f t="shared" si="120"/>
        <v>1</v>
      </c>
      <c r="P1533" t="str">
        <f t="shared" si="119"/>
        <v/>
      </c>
      <c r="Q1533">
        <f>COUNTIF('責任職　企業局→市長部局'!A:A,SQLデータ!B1533)</f>
        <v>0</v>
      </c>
      <c r="R1533">
        <f>COUNTIF('一般職員　企業局→市長部局'!A:F,SQLデータ!B1533)</f>
        <v>0</v>
      </c>
    </row>
    <row r="1534" spans="1:18" x14ac:dyDescent="0.4">
      <c r="A1534" s="1">
        <v>202650001348</v>
      </c>
      <c r="B1534" s="1">
        <v>1186108</v>
      </c>
      <c r="C1534" s="2">
        <v>46117</v>
      </c>
      <c r="D1534" t="s">
        <v>17</v>
      </c>
      <c r="E1534" t="s">
        <v>10</v>
      </c>
      <c r="G1534" t="s">
        <v>9</v>
      </c>
      <c r="L1534">
        <f t="shared" si="116"/>
        <v>0</v>
      </c>
      <c r="M1534">
        <f t="shared" si="117"/>
        <v>0</v>
      </c>
      <c r="N1534">
        <f t="shared" si="118"/>
        <v>0</v>
      </c>
      <c r="O1534">
        <f t="shared" si="120"/>
        <v>1</v>
      </c>
      <c r="P1534" t="str">
        <f t="shared" si="119"/>
        <v/>
      </c>
      <c r="Q1534">
        <f>COUNTIF('責任職　企業局→市長部局'!A:A,SQLデータ!B1534)</f>
        <v>0</v>
      </c>
      <c r="R1534">
        <f>COUNTIF('一般職員　企業局→市長部局'!A:F,SQLデータ!B1534)</f>
        <v>0</v>
      </c>
    </row>
    <row r="1535" spans="1:18" x14ac:dyDescent="0.4">
      <c r="A1535" s="1">
        <v>202650001349</v>
      </c>
      <c r="B1535" s="1">
        <v>986013</v>
      </c>
      <c r="C1535" s="2">
        <v>46117</v>
      </c>
      <c r="D1535" t="s">
        <v>17</v>
      </c>
      <c r="E1535" t="s">
        <v>10</v>
      </c>
      <c r="G1535" t="s">
        <v>9</v>
      </c>
      <c r="L1535">
        <f t="shared" si="116"/>
        <v>0</v>
      </c>
      <c r="M1535">
        <f t="shared" si="117"/>
        <v>0</v>
      </c>
      <c r="N1535">
        <f t="shared" si="118"/>
        <v>0</v>
      </c>
      <c r="O1535">
        <f t="shared" si="120"/>
        <v>1</v>
      </c>
      <c r="P1535" t="str">
        <f t="shared" si="119"/>
        <v/>
      </c>
      <c r="Q1535">
        <f>COUNTIF('責任職　企業局→市長部局'!A:A,SQLデータ!B1535)</f>
        <v>0</v>
      </c>
      <c r="R1535">
        <f>COUNTIF('一般職員　企業局→市長部局'!A:F,SQLデータ!B1535)</f>
        <v>0</v>
      </c>
    </row>
    <row r="1536" spans="1:18" x14ac:dyDescent="0.4">
      <c r="A1536" s="1">
        <v>202650001350</v>
      </c>
      <c r="B1536" s="1">
        <v>996001</v>
      </c>
      <c r="C1536" s="2">
        <v>46117</v>
      </c>
      <c r="D1536" t="s">
        <v>17</v>
      </c>
      <c r="E1536" t="s">
        <v>10</v>
      </c>
      <c r="G1536" t="s">
        <v>9</v>
      </c>
      <c r="L1536">
        <f t="shared" si="116"/>
        <v>0</v>
      </c>
      <c r="M1536">
        <f t="shared" si="117"/>
        <v>0</v>
      </c>
      <c r="N1536">
        <f t="shared" si="118"/>
        <v>0</v>
      </c>
      <c r="O1536">
        <f t="shared" si="120"/>
        <v>1</v>
      </c>
      <c r="P1536" t="str">
        <f t="shared" si="119"/>
        <v/>
      </c>
      <c r="Q1536">
        <f>COUNTIF('責任職　企業局→市長部局'!A:A,SQLデータ!B1536)</f>
        <v>0</v>
      </c>
      <c r="R1536">
        <f>COUNTIF('一般職員　企業局→市長部局'!A:F,SQLデータ!B1536)</f>
        <v>0</v>
      </c>
    </row>
    <row r="1537" spans="1:18" x14ac:dyDescent="0.4">
      <c r="A1537" s="1">
        <v>202650001351</v>
      </c>
      <c r="B1537" s="1">
        <v>1006034</v>
      </c>
      <c r="C1537" s="2">
        <v>46117</v>
      </c>
      <c r="D1537" t="s">
        <v>17</v>
      </c>
      <c r="E1537" t="s">
        <v>8</v>
      </c>
      <c r="G1537" t="s">
        <v>9</v>
      </c>
      <c r="L1537">
        <f t="shared" si="116"/>
        <v>0</v>
      </c>
      <c r="M1537">
        <f t="shared" si="117"/>
        <v>0</v>
      </c>
      <c r="N1537">
        <f t="shared" si="118"/>
        <v>0</v>
      </c>
      <c r="O1537">
        <f t="shared" si="120"/>
        <v>1</v>
      </c>
      <c r="P1537" t="str">
        <f t="shared" si="119"/>
        <v/>
      </c>
      <c r="Q1537">
        <f>COUNTIF('責任職　企業局→市長部局'!A:A,SQLデータ!B1537)</f>
        <v>0</v>
      </c>
      <c r="R1537">
        <f>COUNTIF('一般職員　企業局→市長部局'!A:F,SQLデータ!B1537)</f>
        <v>0</v>
      </c>
    </row>
    <row r="1538" spans="1:18" x14ac:dyDescent="0.4">
      <c r="A1538" s="1">
        <v>202650001352</v>
      </c>
      <c r="B1538" s="1">
        <v>1246022</v>
      </c>
      <c r="C1538" s="2">
        <v>46117</v>
      </c>
      <c r="D1538" t="s">
        <v>17</v>
      </c>
      <c r="E1538" t="s">
        <v>10</v>
      </c>
      <c r="G1538" t="s">
        <v>9</v>
      </c>
      <c r="L1538">
        <f t="shared" ref="L1538:L1601" si="121">IF(ISBLANK(J1538),0,1)</f>
        <v>0</v>
      </c>
      <c r="M1538">
        <f t="shared" ref="M1538:M1601" si="122">IF(AND(L1538=0,I1538&lt;&gt;""),1,0)</f>
        <v>0</v>
      </c>
      <c r="N1538">
        <f t="shared" ref="N1538:N1601" si="123">IF(AND(L1538=0,M1538=0,K1538&lt;&gt;""),1,0)</f>
        <v>0</v>
      </c>
      <c r="O1538">
        <f t="shared" si="120"/>
        <v>1</v>
      </c>
      <c r="P1538" t="str">
        <f t="shared" ref="P1538:P1601" si="124">IF(D1538&lt;&gt;"扶養","",IF(E1538&lt;&gt;"確認待ち",1,IF(OR(AND(G1538="本人の結婚",O1538=1),AND(H1538="減",OR(N1538=1,O1538=1))),1,0)))</f>
        <v/>
      </c>
      <c r="Q1538">
        <f>COUNTIF('責任職　企業局→市長部局'!A:A,SQLデータ!B1538)</f>
        <v>0</v>
      </c>
      <c r="R1538">
        <f>COUNTIF('一般職員　企業局→市長部局'!A:F,SQLデータ!B1538)</f>
        <v>0</v>
      </c>
    </row>
    <row r="1539" spans="1:18" x14ac:dyDescent="0.4">
      <c r="A1539" s="1">
        <v>202650001353</v>
      </c>
      <c r="B1539" s="1">
        <v>1206072</v>
      </c>
      <c r="C1539" s="2">
        <v>46117</v>
      </c>
      <c r="D1539" t="s">
        <v>17</v>
      </c>
      <c r="E1539" t="s">
        <v>10</v>
      </c>
      <c r="G1539" t="s">
        <v>9</v>
      </c>
      <c r="L1539">
        <f t="shared" si="121"/>
        <v>0</v>
      </c>
      <c r="M1539">
        <f t="shared" si="122"/>
        <v>0</v>
      </c>
      <c r="N1539">
        <f t="shared" si="123"/>
        <v>0</v>
      </c>
      <c r="O1539">
        <f t="shared" si="120"/>
        <v>1</v>
      </c>
      <c r="P1539" t="str">
        <f t="shared" si="124"/>
        <v/>
      </c>
      <c r="Q1539">
        <f>COUNTIF('責任職　企業局→市長部局'!A:A,SQLデータ!B1539)</f>
        <v>0</v>
      </c>
      <c r="R1539">
        <f>COUNTIF('一般職員　企業局→市長部局'!A:F,SQLデータ!B1539)</f>
        <v>0</v>
      </c>
    </row>
    <row r="1540" spans="1:18" x14ac:dyDescent="0.4">
      <c r="A1540" s="1">
        <v>202650001354</v>
      </c>
      <c r="B1540" s="1">
        <v>1006050</v>
      </c>
      <c r="C1540" s="2">
        <v>46117</v>
      </c>
      <c r="D1540" t="s">
        <v>17</v>
      </c>
      <c r="E1540" t="s">
        <v>10</v>
      </c>
      <c r="G1540" t="s">
        <v>9</v>
      </c>
      <c r="L1540">
        <f t="shared" si="121"/>
        <v>0</v>
      </c>
      <c r="M1540">
        <f t="shared" si="122"/>
        <v>0</v>
      </c>
      <c r="N1540">
        <f t="shared" si="123"/>
        <v>0</v>
      </c>
      <c r="O1540">
        <f t="shared" si="120"/>
        <v>1</v>
      </c>
      <c r="P1540" t="str">
        <f t="shared" si="124"/>
        <v/>
      </c>
      <c r="Q1540">
        <f>COUNTIF('責任職　企業局→市長部局'!A:A,SQLデータ!B1540)</f>
        <v>0</v>
      </c>
      <c r="R1540">
        <f>COUNTIF('一般職員　企業局→市長部局'!A:F,SQLデータ!B1540)</f>
        <v>0</v>
      </c>
    </row>
    <row r="1541" spans="1:18" x14ac:dyDescent="0.4">
      <c r="A1541" s="1">
        <v>202650001355</v>
      </c>
      <c r="B1541" s="1">
        <v>1076069</v>
      </c>
      <c r="C1541" s="2">
        <v>46118</v>
      </c>
      <c r="D1541" t="s">
        <v>17</v>
      </c>
      <c r="E1541" t="s">
        <v>10</v>
      </c>
      <c r="G1541" t="s">
        <v>9</v>
      </c>
      <c r="L1541">
        <f t="shared" si="121"/>
        <v>0</v>
      </c>
      <c r="M1541">
        <f t="shared" si="122"/>
        <v>0</v>
      </c>
      <c r="N1541">
        <f t="shared" si="123"/>
        <v>0</v>
      </c>
      <c r="O1541">
        <f t="shared" si="120"/>
        <v>1</v>
      </c>
      <c r="P1541" t="str">
        <f t="shared" si="124"/>
        <v/>
      </c>
      <c r="Q1541">
        <f>COUNTIF('責任職　企業局→市長部局'!A:A,SQLデータ!B1541)</f>
        <v>0</v>
      </c>
      <c r="R1541">
        <f>COUNTIF('一般職員　企業局→市長部局'!A:F,SQLデータ!B1541)</f>
        <v>0</v>
      </c>
    </row>
    <row r="1542" spans="1:18" x14ac:dyDescent="0.4">
      <c r="A1542" s="1">
        <v>202650001356</v>
      </c>
      <c r="B1542" s="1">
        <v>1216133</v>
      </c>
      <c r="C1542" s="2">
        <v>46117</v>
      </c>
      <c r="D1542" t="s">
        <v>17</v>
      </c>
      <c r="E1542" t="s">
        <v>10</v>
      </c>
      <c r="G1542" t="s">
        <v>9</v>
      </c>
      <c r="L1542">
        <f t="shared" si="121"/>
        <v>0</v>
      </c>
      <c r="M1542">
        <f t="shared" si="122"/>
        <v>0</v>
      </c>
      <c r="N1542">
        <f t="shared" si="123"/>
        <v>0</v>
      </c>
      <c r="O1542">
        <f t="shared" si="120"/>
        <v>1</v>
      </c>
      <c r="P1542" t="str">
        <f t="shared" si="124"/>
        <v/>
      </c>
      <c r="Q1542">
        <f>COUNTIF('責任職　企業局→市長部局'!A:A,SQLデータ!B1542)</f>
        <v>0</v>
      </c>
      <c r="R1542">
        <f>COUNTIF('一般職員　企業局→市長部局'!A:F,SQLデータ!B1542)</f>
        <v>0</v>
      </c>
    </row>
    <row r="1543" spans="1:18" x14ac:dyDescent="0.4">
      <c r="A1543" s="1">
        <v>202650001357</v>
      </c>
      <c r="B1543" s="1">
        <v>976029</v>
      </c>
      <c r="C1543" s="2">
        <v>46117</v>
      </c>
      <c r="D1543" t="s">
        <v>17</v>
      </c>
      <c r="E1543" t="s">
        <v>10</v>
      </c>
      <c r="G1543" t="s">
        <v>9</v>
      </c>
      <c r="L1543">
        <f t="shared" si="121"/>
        <v>0</v>
      </c>
      <c r="M1543">
        <f t="shared" si="122"/>
        <v>0</v>
      </c>
      <c r="N1543">
        <f t="shared" si="123"/>
        <v>0</v>
      </c>
      <c r="O1543">
        <f t="shared" si="120"/>
        <v>1</v>
      </c>
      <c r="P1543" t="str">
        <f t="shared" si="124"/>
        <v/>
      </c>
      <c r="Q1543">
        <f>COUNTIF('責任職　企業局→市長部局'!A:A,SQLデータ!B1543)</f>
        <v>0</v>
      </c>
      <c r="R1543">
        <f>COUNTIF('一般職員　企業局→市長部局'!A:F,SQLデータ!B1543)</f>
        <v>0</v>
      </c>
    </row>
    <row r="1544" spans="1:18" x14ac:dyDescent="0.4">
      <c r="A1544" s="1">
        <v>202650001358</v>
      </c>
      <c r="B1544" s="1">
        <v>1226012</v>
      </c>
      <c r="C1544" s="2">
        <v>46117</v>
      </c>
      <c r="D1544" t="s">
        <v>17</v>
      </c>
      <c r="E1544" t="s">
        <v>10</v>
      </c>
      <c r="G1544" t="s">
        <v>9</v>
      </c>
      <c r="L1544">
        <f t="shared" si="121"/>
        <v>0</v>
      </c>
      <c r="M1544">
        <f t="shared" si="122"/>
        <v>0</v>
      </c>
      <c r="N1544">
        <f t="shared" si="123"/>
        <v>0</v>
      </c>
      <c r="O1544">
        <f t="shared" si="120"/>
        <v>1</v>
      </c>
      <c r="P1544" t="str">
        <f t="shared" si="124"/>
        <v/>
      </c>
      <c r="Q1544">
        <f>COUNTIF('責任職　企業局→市長部局'!A:A,SQLデータ!B1544)</f>
        <v>0</v>
      </c>
      <c r="R1544">
        <f>COUNTIF('一般職員　企業局→市長部局'!A:F,SQLデータ!B1544)</f>
        <v>0</v>
      </c>
    </row>
    <row r="1545" spans="1:18" x14ac:dyDescent="0.4">
      <c r="A1545" s="1">
        <v>202650001359</v>
      </c>
      <c r="B1545" s="1">
        <v>1046033</v>
      </c>
      <c r="C1545" s="2">
        <v>46117</v>
      </c>
      <c r="D1545" t="s">
        <v>17</v>
      </c>
      <c r="E1545" t="s">
        <v>10</v>
      </c>
      <c r="G1545" t="s">
        <v>9</v>
      </c>
      <c r="L1545">
        <f t="shared" si="121"/>
        <v>0</v>
      </c>
      <c r="M1545">
        <f t="shared" si="122"/>
        <v>0</v>
      </c>
      <c r="N1545">
        <f t="shared" si="123"/>
        <v>0</v>
      </c>
      <c r="O1545">
        <f t="shared" ref="O1545:O1608" si="125">IF(COUNTIF(L1545:N1545,0)=3,1,0)</f>
        <v>1</v>
      </c>
      <c r="P1545" t="str">
        <f t="shared" si="124"/>
        <v/>
      </c>
      <c r="Q1545">
        <f>COUNTIF('責任職　企業局→市長部局'!A:A,SQLデータ!B1545)</f>
        <v>0</v>
      </c>
      <c r="R1545">
        <f>COUNTIF('一般職員　企業局→市長部局'!A:F,SQLデータ!B1545)</f>
        <v>0</v>
      </c>
    </row>
    <row r="1546" spans="1:18" x14ac:dyDescent="0.4">
      <c r="A1546" s="1">
        <v>202650001360</v>
      </c>
      <c r="B1546" s="1">
        <v>1176112</v>
      </c>
      <c r="C1546" s="2">
        <v>46117</v>
      </c>
      <c r="D1546" t="s">
        <v>17</v>
      </c>
      <c r="E1546" t="s">
        <v>15</v>
      </c>
      <c r="G1546" t="s">
        <v>9</v>
      </c>
      <c r="L1546">
        <f t="shared" si="121"/>
        <v>0</v>
      </c>
      <c r="M1546">
        <f t="shared" si="122"/>
        <v>0</v>
      </c>
      <c r="N1546">
        <f t="shared" si="123"/>
        <v>0</v>
      </c>
      <c r="O1546">
        <f t="shared" si="125"/>
        <v>1</v>
      </c>
      <c r="P1546" t="str">
        <f t="shared" si="124"/>
        <v/>
      </c>
      <c r="Q1546">
        <f>COUNTIF('責任職　企業局→市長部局'!A:A,SQLデータ!B1546)</f>
        <v>0</v>
      </c>
      <c r="R1546">
        <f>COUNTIF('一般職員　企業局→市長部局'!A:F,SQLデータ!B1546)</f>
        <v>0</v>
      </c>
    </row>
    <row r="1547" spans="1:18" x14ac:dyDescent="0.4">
      <c r="A1547" s="1">
        <v>202650001361</v>
      </c>
      <c r="B1547" s="1">
        <v>1176028</v>
      </c>
      <c r="C1547" s="2">
        <v>46117</v>
      </c>
      <c r="D1547" t="s">
        <v>17</v>
      </c>
      <c r="E1547" t="s">
        <v>8</v>
      </c>
      <c r="F1547" t="s">
        <v>47</v>
      </c>
      <c r="G1547" t="s">
        <v>9</v>
      </c>
      <c r="L1547">
        <f t="shared" si="121"/>
        <v>0</v>
      </c>
      <c r="M1547">
        <f t="shared" si="122"/>
        <v>0</v>
      </c>
      <c r="N1547">
        <f t="shared" si="123"/>
        <v>0</v>
      </c>
      <c r="O1547">
        <f t="shared" si="125"/>
        <v>1</v>
      </c>
      <c r="P1547" t="str">
        <f t="shared" si="124"/>
        <v/>
      </c>
      <c r="Q1547">
        <f>COUNTIF('責任職　企業局→市長部局'!A:A,SQLデータ!B1547)</f>
        <v>0</v>
      </c>
      <c r="R1547">
        <f>COUNTIF('一般職員　企業局→市長部局'!A:F,SQLデータ!B1547)</f>
        <v>0</v>
      </c>
    </row>
    <row r="1548" spans="1:18" x14ac:dyDescent="0.4">
      <c r="A1548" s="1">
        <v>202650001362</v>
      </c>
      <c r="B1548" s="1">
        <v>870085</v>
      </c>
      <c r="C1548" s="2">
        <v>46117</v>
      </c>
      <c r="D1548" t="s">
        <v>17</v>
      </c>
      <c r="E1548" t="s">
        <v>15</v>
      </c>
      <c r="G1548" t="s">
        <v>9</v>
      </c>
      <c r="L1548">
        <f t="shared" si="121"/>
        <v>0</v>
      </c>
      <c r="M1548">
        <f t="shared" si="122"/>
        <v>0</v>
      </c>
      <c r="N1548">
        <f t="shared" si="123"/>
        <v>0</v>
      </c>
      <c r="O1548">
        <f t="shared" si="125"/>
        <v>1</v>
      </c>
      <c r="P1548" t="str">
        <f t="shared" si="124"/>
        <v/>
      </c>
      <c r="Q1548">
        <f>COUNTIF('責任職　企業局→市長部局'!A:A,SQLデータ!B1548)</f>
        <v>0</v>
      </c>
      <c r="R1548">
        <f>COUNTIF('一般職員　企業局→市長部局'!A:F,SQLデータ!B1548)</f>
        <v>0</v>
      </c>
    </row>
    <row r="1549" spans="1:18" x14ac:dyDescent="0.4">
      <c r="A1549" s="1">
        <v>202650001363</v>
      </c>
      <c r="B1549" s="1">
        <v>1086059</v>
      </c>
      <c r="C1549" s="2">
        <v>46117</v>
      </c>
      <c r="D1549" t="s">
        <v>17</v>
      </c>
      <c r="E1549" t="s">
        <v>15</v>
      </c>
      <c r="G1549" t="s">
        <v>9</v>
      </c>
      <c r="L1549">
        <f t="shared" si="121"/>
        <v>0</v>
      </c>
      <c r="M1549">
        <f t="shared" si="122"/>
        <v>0</v>
      </c>
      <c r="N1549">
        <f t="shared" si="123"/>
        <v>0</v>
      </c>
      <c r="O1549">
        <f t="shared" si="125"/>
        <v>1</v>
      </c>
      <c r="P1549" t="str">
        <f t="shared" si="124"/>
        <v/>
      </c>
      <c r="Q1549">
        <f>COUNTIF('責任職　企業局→市長部局'!A:A,SQLデータ!B1549)</f>
        <v>0</v>
      </c>
      <c r="R1549">
        <f>COUNTIF('一般職員　企業局→市長部局'!A:F,SQLデータ!B1549)</f>
        <v>0</v>
      </c>
    </row>
    <row r="1550" spans="1:18" x14ac:dyDescent="0.4">
      <c r="A1550" s="1">
        <v>202650001364</v>
      </c>
      <c r="B1550" s="1">
        <v>1116025</v>
      </c>
      <c r="C1550" s="2">
        <v>46117</v>
      </c>
      <c r="D1550" t="s">
        <v>17</v>
      </c>
      <c r="E1550" t="s">
        <v>15</v>
      </c>
      <c r="G1550" t="s">
        <v>9</v>
      </c>
      <c r="L1550">
        <f t="shared" si="121"/>
        <v>0</v>
      </c>
      <c r="M1550">
        <f t="shared" si="122"/>
        <v>0</v>
      </c>
      <c r="N1550">
        <f t="shared" si="123"/>
        <v>0</v>
      </c>
      <c r="O1550">
        <f t="shared" si="125"/>
        <v>1</v>
      </c>
      <c r="P1550" t="str">
        <f t="shared" si="124"/>
        <v/>
      </c>
      <c r="Q1550">
        <f>COUNTIF('責任職　企業局→市長部局'!A:A,SQLデータ!B1550)</f>
        <v>0</v>
      </c>
      <c r="R1550">
        <f>COUNTIF('一般職員　企業局→市長部局'!A:F,SQLデータ!B1550)</f>
        <v>0</v>
      </c>
    </row>
    <row r="1551" spans="1:18" x14ac:dyDescent="0.4">
      <c r="A1551" s="1">
        <v>202650001365</v>
      </c>
      <c r="B1551" s="1">
        <v>1026070</v>
      </c>
      <c r="C1551" s="2">
        <v>46117</v>
      </c>
      <c r="D1551" t="s">
        <v>17</v>
      </c>
      <c r="E1551" t="s">
        <v>10</v>
      </c>
      <c r="G1551" t="s">
        <v>9</v>
      </c>
      <c r="L1551">
        <f t="shared" si="121"/>
        <v>0</v>
      </c>
      <c r="M1551">
        <f t="shared" si="122"/>
        <v>0</v>
      </c>
      <c r="N1551">
        <f t="shared" si="123"/>
        <v>0</v>
      </c>
      <c r="O1551">
        <f t="shared" si="125"/>
        <v>1</v>
      </c>
      <c r="P1551" t="str">
        <f t="shared" si="124"/>
        <v/>
      </c>
      <c r="Q1551">
        <f>COUNTIF('責任職　企業局→市長部局'!A:A,SQLデータ!B1551)</f>
        <v>0</v>
      </c>
      <c r="R1551">
        <f>COUNTIF('一般職員　企業局→市長部局'!A:F,SQLデータ!B1551)</f>
        <v>0</v>
      </c>
    </row>
    <row r="1552" spans="1:18" x14ac:dyDescent="0.4">
      <c r="A1552" s="1">
        <v>202650001366</v>
      </c>
      <c r="B1552" s="1">
        <v>1146008</v>
      </c>
      <c r="C1552" s="2">
        <v>46117</v>
      </c>
      <c r="D1552" t="s">
        <v>17</v>
      </c>
      <c r="E1552" t="s">
        <v>10</v>
      </c>
      <c r="G1552" t="s">
        <v>9</v>
      </c>
      <c r="L1552">
        <f t="shared" si="121"/>
        <v>0</v>
      </c>
      <c r="M1552">
        <f t="shared" si="122"/>
        <v>0</v>
      </c>
      <c r="N1552">
        <f t="shared" si="123"/>
        <v>0</v>
      </c>
      <c r="O1552">
        <f t="shared" si="125"/>
        <v>1</v>
      </c>
      <c r="P1552" t="str">
        <f t="shared" si="124"/>
        <v/>
      </c>
      <c r="Q1552">
        <f>COUNTIF('責任職　企業局→市長部局'!A:A,SQLデータ!B1552)</f>
        <v>0</v>
      </c>
      <c r="R1552">
        <f>COUNTIF('一般職員　企業局→市長部局'!A:F,SQLデータ!B1552)</f>
        <v>0</v>
      </c>
    </row>
    <row r="1553" spans="1:18" x14ac:dyDescent="0.4">
      <c r="A1553" s="1">
        <v>202650001367</v>
      </c>
      <c r="B1553" s="1">
        <v>1236049</v>
      </c>
      <c r="C1553" s="2">
        <v>46117</v>
      </c>
      <c r="D1553" t="s">
        <v>17</v>
      </c>
      <c r="E1553" t="s">
        <v>15</v>
      </c>
      <c r="G1553" t="s">
        <v>9</v>
      </c>
      <c r="L1553">
        <f t="shared" si="121"/>
        <v>0</v>
      </c>
      <c r="M1553">
        <f t="shared" si="122"/>
        <v>0</v>
      </c>
      <c r="N1553">
        <f t="shared" si="123"/>
        <v>0</v>
      </c>
      <c r="O1553">
        <f t="shared" si="125"/>
        <v>1</v>
      </c>
      <c r="P1553" t="str">
        <f t="shared" si="124"/>
        <v/>
      </c>
      <c r="Q1553">
        <f>COUNTIF('責任職　企業局→市長部局'!A:A,SQLデータ!B1553)</f>
        <v>0</v>
      </c>
      <c r="R1553">
        <f>COUNTIF('一般職員　企業局→市長部局'!A:F,SQLデータ!B1553)</f>
        <v>0</v>
      </c>
    </row>
    <row r="1554" spans="1:18" x14ac:dyDescent="0.4">
      <c r="A1554" s="1">
        <v>202650001368</v>
      </c>
      <c r="B1554" s="1">
        <v>1076045</v>
      </c>
      <c r="C1554" s="2">
        <v>46117</v>
      </c>
      <c r="D1554" t="s">
        <v>17</v>
      </c>
      <c r="E1554" t="s">
        <v>15</v>
      </c>
      <c r="G1554" t="s">
        <v>9</v>
      </c>
      <c r="L1554">
        <f t="shared" si="121"/>
        <v>0</v>
      </c>
      <c r="M1554">
        <f t="shared" si="122"/>
        <v>0</v>
      </c>
      <c r="N1554">
        <f t="shared" si="123"/>
        <v>0</v>
      </c>
      <c r="O1554">
        <f t="shared" si="125"/>
        <v>1</v>
      </c>
      <c r="P1554" t="str">
        <f t="shared" si="124"/>
        <v/>
      </c>
      <c r="Q1554">
        <f>COUNTIF('責任職　企業局→市長部局'!A:A,SQLデータ!B1554)</f>
        <v>0</v>
      </c>
      <c r="R1554">
        <f>COUNTIF('一般職員　企業局→市長部局'!A:F,SQLデータ!B1554)</f>
        <v>0</v>
      </c>
    </row>
    <row r="1555" spans="1:18" x14ac:dyDescent="0.4">
      <c r="A1555" s="1">
        <v>202650001369</v>
      </c>
      <c r="B1555" s="1">
        <v>1091342</v>
      </c>
      <c r="C1555" s="2">
        <v>46117</v>
      </c>
      <c r="D1555" t="s">
        <v>17</v>
      </c>
      <c r="E1555" t="s">
        <v>15</v>
      </c>
      <c r="G1555" t="s">
        <v>9</v>
      </c>
      <c r="L1555">
        <f t="shared" si="121"/>
        <v>0</v>
      </c>
      <c r="M1555">
        <f t="shared" si="122"/>
        <v>0</v>
      </c>
      <c r="N1555">
        <f t="shared" si="123"/>
        <v>0</v>
      </c>
      <c r="O1555">
        <f t="shared" si="125"/>
        <v>1</v>
      </c>
      <c r="P1555" t="str">
        <f t="shared" si="124"/>
        <v/>
      </c>
      <c r="Q1555">
        <f>COUNTIF('責任職　企業局→市長部局'!A:A,SQLデータ!B1555)</f>
        <v>0</v>
      </c>
      <c r="R1555">
        <f>COUNTIF('一般職員　企業局→市長部局'!A:F,SQLデータ!B1555)</f>
        <v>0</v>
      </c>
    </row>
    <row r="1556" spans="1:18" x14ac:dyDescent="0.4">
      <c r="A1556" s="1">
        <v>202650001370</v>
      </c>
      <c r="B1556" s="1">
        <v>1046064</v>
      </c>
      <c r="C1556" s="2">
        <v>46117</v>
      </c>
      <c r="D1556" t="s">
        <v>17</v>
      </c>
      <c r="E1556" t="s">
        <v>10</v>
      </c>
      <c r="G1556" t="s">
        <v>9</v>
      </c>
      <c r="L1556">
        <f t="shared" si="121"/>
        <v>0</v>
      </c>
      <c r="M1556">
        <f t="shared" si="122"/>
        <v>0</v>
      </c>
      <c r="N1556">
        <f t="shared" si="123"/>
        <v>0</v>
      </c>
      <c r="O1556">
        <f t="shared" si="125"/>
        <v>1</v>
      </c>
      <c r="P1556" t="str">
        <f t="shared" si="124"/>
        <v/>
      </c>
      <c r="Q1556">
        <f>COUNTIF('責任職　企業局→市長部局'!A:A,SQLデータ!B1556)</f>
        <v>0</v>
      </c>
      <c r="R1556">
        <f>COUNTIF('一般職員　企業局→市長部局'!A:F,SQLデータ!B1556)</f>
        <v>0</v>
      </c>
    </row>
    <row r="1557" spans="1:18" x14ac:dyDescent="0.4">
      <c r="A1557" s="1">
        <v>202650001371</v>
      </c>
      <c r="B1557" s="1">
        <v>1086044</v>
      </c>
      <c r="C1557" s="2">
        <v>46117</v>
      </c>
      <c r="D1557" t="s">
        <v>17</v>
      </c>
      <c r="E1557" t="s">
        <v>15</v>
      </c>
      <c r="G1557" t="s">
        <v>9</v>
      </c>
      <c r="L1557">
        <f t="shared" si="121"/>
        <v>0</v>
      </c>
      <c r="M1557">
        <f t="shared" si="122"/>
        <v>0</v>
      </c>
      <c r="N1557">
        <f t="shared" si="123"/>
        <v>0</v>
      </c>
      <c r="O1557">
        <f t="shared" si="125"/>
        <v>1</v>
      </c>
      <c r="P1557" t="str">
        <f t="shared" si="124"/>
        <v/>
      </c>
      <c r="Q1557">
        <f>COUNTIF('責任職　企業局→市長部局'!A:A,SQLデータ!B1557)</f>
        <v>0</v>
      </c>
      <c r="R1557">
        <f>COUNTIF('一般職員　企業局→市長部局'!A:F,SQLデータ!B1557)</f>
        <v>0</v>
      </c>
    </row>
    <row r="1558" spans="1:18" x14ac:dyDescent="0.4">
      <c r="A1558" s="1">
        <v>202650001372</v>
      </c>
      <c r="B1558" s="1">
        <v>1146067</v>
      </c>
      <c r="C1558" s="2">
        <v>46117</v>
      </c>
      <c r="D1558" t="s">
        <v>17</v>
      </c>
      <c r="E1558" t="s">
        <v>10</v>
      </c>
      <c r="G1558" t="s">
        <v>9</v>
      </c>
      <c r="L1558">
        <f t="shared" si="121"/>
        <v>0</v>
      </c>
      <c r="M1558">
        <f t="shared" si="122"/>
        <v>0</v>
      </c>
      <c r="N1558">
        <f t="shared" si="123"/>
        <v>0</v>
      </c>
      <c r="O1558">
        <f t="shared" si="125"/>
        <v>1</v>
      </c>
      <c r="P1558" t="str">
        <f t="shared" si="124"/>
        <v/>
      </c>
      <c r="Q1558">
        <f>COUNTIF('責任職　企業局→市長部局'!A:A,SQLデータ!B1558)</f>
        <v>0</v>
      </c>
      <c r="R1558">
        <f>COUNTIF('一般職員　企業局→市長部局'!A:F,SQLデータ!B1558)</f>
        <v>0</v>
      </c>
    </row>
    <row r="1559" spans="1:18" x14ac:dyDescent="0.4">
      <c r="A1559" s="1">
        <v>202650001373</v>
      </c>
      <c r="B1559" s="1">
        <v>1216016</v>
      </c>
      <c r="C1559" s="2">
        <v>46123</v>
      </c>
      <c r="D1559" t="s">
        <v>17</v>
      </c>
      <c r="E1559" t="s">
        <v>8</v>
      </c>
      <c r="F1559" t="s">
        <v>47</v>
      </c>
      <c r="G1559" t="s">
        <v>9</v>
      </c>
      <c r="L1559">
        <f t="shared" si="121"/>
        <v>0</v>
      </c>
      <c r="M1559">
        <f t="shared" si="122"/>
        <v>0</v>
      </c>
      <c r="N1559">
        <f t="shared" si="123"/>
        <v>0</v>
      </c>
      <c r="O1559">
        <f t="shared" si="125"/>
        <v>1</v>
      </c>
      <c r="P1559" t="str">
        <f t="shared" si="124"/>
        <v/>
      </c>
      <c r="Q1559">
        <f>COUNTIF('責任職　企業局→市長部局'!A:A,SQLデータ!B1559)</f>
        <v>0</v>
      </c>
      <c r="R1559">
        <f>COUNTIF('一般職員　企業局→市長部局'!A:F,SQLデータ!B1559)</f>
        <v>0</v>
      </c>
    </row>
    <row r="1560" spans="1:18" x14ac:dyDescent="0.4">
      <c r="A1560" s="1">
        <v>202650001374</v>
      </c>
      <c r="B1560" s="1">
        <v>1236084</v>
      </c>
      <c r="C1560" s="2">
        <v>46117</v>
      </c>
      <c r="D1560" t="s">
        <v>17</v>
      </c>
      <c r="E1560" t="s">
        <v>15</v>
      </c>
      <c r="G1560" t="s">
        <v>9</v>
      </c>
      <c r="L1560">
        <f t="shared" si="121"/>
        <v>0</v>
      </c>
      <c r="M1560">
        <f t="shared" si="122"/>
        <v>0</v>
      </c>
      <c r="N1560">
        <f t="shared" si="123"/>
        <v>0</v>
      </c>
      <c r="O1560">
        <f t="shared" si="125"/>
        <v>1</v>
      </c>
      <c r="P1560" t="str">
        <f t="shared" si="124"/>
        <v/>
      </c>
      <c r="Q1560">
        <f>COUNTIF('責任職　企業局→市長部局'!A:A,SQLデータ!B1560)</f>
        <v>0</v>
      </c>
      <c r="R1560">
        <f>COUNTIF('一般職員　企業局→市長部局'!A:F,SQLデータ!B1560)</f>
        <v>0</v>
      </c>
    </row>
    <row r="1561" spans="1:18" x14ac:dyDescent="0.4">
      <c r="A1561" s="1">
        <v>202650001375</v>
      </c>
      <c r="B1561" s="1">
        <v>1086108</v>
      </c>
      <c r="C1561" s="2">
        <v>46117</v>
      </c>
      <c r="D1561" t="s">
        <v>17</v>
      </c>
      <c r="E1561" t="s">
        <v>15</v>
      </c>
      <c r="G1561" t="s">
        <v>9</v>
      </c>
      <c r="L1561">
        <f t="shared" si="121"/>
        <v>0</v>
      </c>
      <c r="M1561">
        <f t="shared" si="122"/>
        <v>0</v>
      </c>
      <c r="N1561">
        <f t="shared" si="123"/>
        <v>0</v>
      </c>
      <c r="O1561">
        <f t="shared" si="125"/>
        <v>1</v>
      </c>
      <c r="P1561" t="str">
        <f t="shared" si="124"/>
        <v/>
      </c>
      <c r="Q1561">
        <f>COUNTIF('責任職　企業局→市長部局'!A:A,SQLデータ!B1561)</f>
        <v>0</v>
      </c>
      <c r="R1561">
        <f>COUNTIF('一般職員　企業局→市長部局'!A:F,SQLデータ!B1561)</f>
        <v>0</v>
      </c>
    </row>
    <row r="1562" spans="1:18" x14ac:dyDescent="0.4">
      <c r="A1562" s="1">
        <v>202650001378</v>
      </c>
      <c r="B1562" s="1">
        <v>986046</v>
      </c>
      <c r="C1562" s="2">
        <v>46117</v>
      </c>
      <c r="D1562" t="s">
        <v>17</v>
      </c>
      <c r="E1562" t="s">
        <v>15</v>
      </c>
      <c r="G1562" t="s">
        <v>9</v>
      </c>
      <c r="L1562">
        <f t="shared" si="121"/>
        <v>0</v>
      </c>
      <c r="M1562">
        <f t="shared" si="122"/>
        <v>0</v>
      </c>
      <c r="N1562">
        <f t="shared" si="123"/>
        <v>0</v>
      </c>
      <c r="O1562">
        <f t="shared" si="125"/>
        <v>1</v>
      </c>
      <c r="P1562" t="str">
        <f t="shared" si="124"/>
        <v/>
      </c>
      <c r="Q1562">
        <f>COUNTIF('責任職　企業局→市長部局'!A:A,SQLデータ!B1562)</f>
        <v>0</v>
      </c>
      <c r="R1562">
        <f>COUNTIF('一般職員　企業局→市長部局'!A:F,SQLデータ!B1562)</f>
        <v>0</v>
      </c>
    </row>
    <row r="1563" spans="1:18" x14ac:dyDescent="0.4">
      <c r="A1563" s="1">
        <v>202650001379</v>
      </c>
      <c r="B1563" s="1">
        <v>1016045</v>
      </c>
      <c r="C1563" s="2">
        <v>46117</v>
      </c>
      <c r="D1563" t="s">
        <v>17</v>
      </c>
      <c r="E1563" t="s">
        <v>10</v>
      </c>
      <c r="G1563" t="s">
        <v>9</v>
      </c>
      <c r="L1563">
        <f t="shared" si="121"/>
        <v>0</v>
      </c>
      <c r="M1563">
        <f t="shared" si="122"/>
        <v>0</v>
      </c>
      <c r="N1563">
        <f t="shared" si="123"/>
        <v>0</v>
      </c>
      <c r="O1563">
        <f t="shared" si="125"/>
        <v>1</v>
      </c>
      <c r="P1563" t="str">
        <f t="shared" si="124"/>
        <v/>
      </c>
      <c r="Q1563">
        <f>COUNTIF('責任職　企業局→市長部局'!A:A,SQLデータ!B1563)</f>
        <v>0</v>
      </c>
      <c r="R1563">
        <f>COUNTIF('一般職員　企業局→市長部局'!A:F,SQLデータ!B1563)</f>
        <v>0</v>
      </c>
    </row>
    <row r="1564" spans="1:18" x14ac:dyDescent="0.4">
      <c r="A1564" s="1">
        <v>202650001380</v>
      </c>
      <c r="B1564" s="1">
        <v>1196014</v>
      </c>
      <c r="C1564" s="2">
        <v>46117</v>
      </c>
      <c r="D1564" t="s">
        <v>17</v>
      </c>
      <c r="E1564" t="s">
        <v>15</v>
      </c>
      <c r="G1564" t="s">
        <v>9</v>
      </c>
      <c r="L1564">
        <f t="shared" si="121"/>
        <v>0</v>
      </c>
      <c r="M1564">
        <f t="shared" si="122"/>
        <v>0</v>
      </c>
      <c r="N1564">
        <f t="shared" si="123"/>
        <v>0</v>
      </c>
      <c r="O1564">
        <f t="shared" si="125"/>
        <v>1</v>
      </c>
      <c r="P1564" t="str">
        <f t="shared" si="124"/>
        <v/>
      </c>
      <c r="Q1564">
        <f>COUNTIF('責任職　企業局→市長部局'!A:A,SQLデータ!B1564)</f>
        <v>0</v>
      </c>
      <c r="R1564">
        <f>COUNTIF('一般職員　企業局→市長部局'!A:F,SQLデータ!B1564)</f>
        <v>0</v>
      </c>
    </row>
    <row r="1565" spans="1:18" x14ac:dyDescent="0.4">
      <c r="A1565" s="1">
        <v>202650001381</v>
      </c>
      <c r="B1565" s="1">
        <v>880710</v>
      </c>
      <c r="C1565" s="2">
        <v>46117</v>
      </c>
      <c r="D1565" t="s">
        <v>17</v>
      </c>
      <c r="E1565" t="s">
        <v>15</v>
      </c>
      <c r="G1565" t="s">
        <v>9</v>
      </c>
      <c r="L1565">
        <f t="shared" si="121"/>
        <v>0</v>
      </c>
      <c r="M1565">
        <f t="shared" si="122"/>
        <v>0</v>
      </c>
      <c r="N1565">
        <f t="shared" si="123"/>
        <v>0</v>
      </c>
      <c r="O1565">
        <f t="shared" si="125"/>
        <v>1</v>
      </c>
      <c r="P1565" t="str">
        <f t="shared" si="124"/>
        <v/>
      </c>
      <c r="Q1565">
        <f>COUNTIF('責任職　企業局→市長部局'!A:A,SQLデータ!B1565)</f>
        <v>0</v>
      </c>
      <c r="R1565">
        <f>COUNTIF('一般職員　企業局→市長部局'!A:F,SQLデータ!B1565)</f>
        <v>0</v>
      </c>
    </row>
    <row r="1566" spans="1:18" x14ac:dyDescent="0.4">
      <c r="A1566" s="1">
        <v>202650001382</v>
      </c>
      <c r="B1566" s="1">
        <v>1146097</v>
      </c>
      <c r="C1566" s="2">
        <v>46117</v>
      </c>
      <c r="D1566" t="s">
        <v>17</v>
      </c>
      <c r="E1566" t="s">
        <v>15</v>
      </c>
      <c r="G1566" t="s">
        <v>9</v>
      </c>
      <c r="L1566">
        <f t="shared" si="121"/>
        <v>0</v>
      </c>
      <c r="M1566">
        <f t="shared" si="122"/>
        <v>0</v>
      </c>
      <c r="N1566">
        <f t="shared" si="123"/>
        <v>0</v>
      </c>
      <c r="O1566">
        <f t="shared" si="125"/>
        <v>1</v>
      </c>
      <c r="P1566" t="str">
        <f t="shared" si="124"/>
        <v/>
      </c>
      <c r="Q1566">
        <f>COUNTIF('責任職　企業局→市長部局'!A:A,SQLデータ!B1566)</f>
        <v>0</v>
      </c>
      <c r="R1566">
        <f>COUNTIF('一般職員　企業局→市長部局'!A:F,SQLデータ!B1566)</f>
        <v>0</v>
      </c>
    </row>
    <row r="1567" spans="1:18" x14ac:dyDescent="0.4">
      <c r="A1567" s="1">
        <v>202650001383</v>
      </c>
      <c r="B1567" s="1">
        <v>1166018</v>
      </c>
      <c r="C1567" s="2">
        <v>46117</v>
      </c>
      <c r="D1567" t="s">
        <v>17</v>
      </c>
      <c r="E1567" t="s">
        <v>10</v>
      </c>
      <c r="G1567" t="s">
        <v>9</v>
      </c>
      <c r="L1567">
        <f t="shared" si="121"/>
        <v>0</v>
      </c>
      <c r="M1567">
        <f t="shared" si="122"/>
        <v>0</v>
      </c>
      <c r="N1567">
        <f t="shared" si="123"/>
        <v>0</v>
      </c>
      <c r="O1567">
        <f t="shared" si="125"/>
        <v>1</v>
      </c>
      <c r="P1567" t="str">
        <f t="shared" si="124"/>
        <v/>
      </c>
      <c r="Q1567">
        <f>COUNTIF('責任職　企業局→市長部局'!A:A,SQLデータ!B1567)</f>
        <v>0</v>
      </c>
      <c r="R1567">
        <f>COUNTIF('一般職員　企業局→市長部局'!A:F,SQLデータ!B1567)</f>
        <v>0</v>
      </c>
    </row>
    <row r="1568" spans="1:18" x14ac:dyDescent="0.4">
      <c r="A1568" s="1">
        <v>202650001384</v>
      </c>
      <c r="B1568" s="1">
        <v>1106077</v>
      </c>
      <c r="C1568" s="2">
        <v>46117</v>
      </c>
      <c r="D1568" t="s">
        <v>17</v>
      </c>
      <c r="E1568" t="s">
        <v>15</v>
      </c>
      <c r="G1568" t="s">
        <v>9</v>
      </c>
      <c r="L1568">
        <f t="shared" si="121"/>
        <v>0</v>
      </c>
      <c r="M1568">
        <f t="shared" si="122"/>
        <v>0</v>
      </c>
      <c r="N1568">
        <f t="shared" si="123"/>
        <v>0</v>
      </c>
      <c r="O1568">
        <f t="shared" si="125"/>
        <v>1</v>
      </c>
      <c r="P1568" t="str">
        <f t="shared" si="124"/>
        <v/>
      </c>
      <c r="Q1568">
        <f>COUNTIF('責任職　企業局→市長部局'!A:A,SQLデータ!B1568)</f>
        <v>0</v>
      </c>
      <c r="R1568">
        <f>COUNTIF('一般職員　企業局→市長部局'!A:F,SQLデータ!B1568)</f>
        <v>0</v>
      </c>
    </row>
    <row r="1569" spans="1:18" x14ac:dyDescent="0.4">
      <c r="A1569" s="1">
        <v>202650001385</v>
      </c>
      <c r="B1569" s="1">
        <v>1256041</v>
      </c>
      <c r="C1569" s="2">
        <v>46117</v>
      </c>
      <c r="D1569" t="s">
        <v>17</v>
      </c>
      <c r="E1569" t="s">
        <v>15</v>
      </c>
      <c r="G1569" t="s">
        <v>9</v>
      </c>
      <c r="L1569">
        <f t="shared" si="121"/>
        <v>0</v>
      </c>
      <c r="M1569">
        <f t="shared" si="122"/>
        <v>0</v>
      </c>
      <c r="N1569">
        <f t="shared" si="123"/>
        <v>0</v>
      </c>
      <c r="O1569">
        <f t="shared" si="125"/>
        <v>1</v>
      </c>
      <c r="P1569" t="str">
        <f t="shared" si="124"/>
        <v/>
      </c>
      <c r="Q1569">
        <f>COUNTIF('責任職　企業局→市長部局'!A:A,SQLデータ!B1569)</f>
        <v>0</v>
      </c>
      <c r="R1569">
        <f>COUNTIF('一般職員　企業局→市長部局'!A:F,SQLデータ!B1569)</f>
        <v>0</v>
      </c>
    </row>
    <row r="1570" spans="1:18" x14ac:dyDescent="0.4">
      <c r="A1570" s="1">
        <v>202650001386</v>
      </c>
      <c r="B1570" s="1">
        <v>1136070</v>
      </c>
      <c r="C1570" s="2">
        <v>46117</v>
      </c>
      <c r="D1570" t="s">
        <v>17</v>
      </c>
      <c r="E1570" t="s">
        <v>15</v>
      </c>
      <c r="G1570" t="s">
        <v>9</v>
      </c>
      <c r="L1570">
        <f t="shared" si="121"/>
        <v>0</v>
      </c>
      <c r="M1570">
        <f t="shared" si="122"/>
        <v>0</v>
      </c>
      <c r="N1570">
        <f t="shared" si="123"/>
        <v>0</v>
      </c>
      <c r="O1570">
        <f t="shared" si="125"/>
        <v>1</v>
      </c>
      <c r="P1570" t="str">
        <f t="shared" si="124"/>
        <v/>
      </c>
      <c r="Q1570">
        <f>COUNTIF('責任職　企業局→市長部局'!A:A,SQLデータ!B1570)</f>
        <v>0</v>
      </c>
      <c r="R1570">
        <f>COUNTIF('一般職員　企業局→市長部局'!A:F,SQLデータ!B1570)</f>
        <v>0</v>
      </c>
    </row>
    <row r="1571" spans="1:18" x14ac:dyDescent="0.4">
      <c r="A1571" s="1">
        <v>202650001387</v>
      </c>
      <c r="B1571" s="1">
        <v>1226126</v>
      </c>
      <c r="C1571" s="2">
        <v>46117</v>
      </c>
      <c r="D1571" t="s">
        <v>17</v>
      </c>
      <c r="E1571" t="s">
        <v>15</v>
      </c>
      <c r="G1571" t="s">
        <v>9</v>
      </c>
      <c r="L1571">
        <f t="shared" si="121"/>
        <v>0</v>
      </c>
      <c r="M1571">
        <f t="shared" si="122"/>
        <v>0</v>
      </c>
      <c r="N1571">
        <f t="shared" si="123"/>
        <v>0</v>
      </c>
      <c r="O1571">
        <f t="shared" si="125"/>
        <v>1</v>
      </c>
      <c r="P1571" t="str">
        <f t="shared" si="124"/>
        <v/>
      </c>
      <c r="Q1571">
        <f>COUNTIF('責任職　企業局→市長部局'!A:A,SQLデータ!B1571)</f>
        <v>0</v>
      </c>
      <c r="R1571">
        <f>COUNTIF('一般職員　企業局→市長部局'!A:F,SQLデータ!B1571)</f>
        <v>0</v>
      </c>
    </row>
    <row r="1572" spans="1:18" x14ac:dyDescent="0.4">
      <c r="A1572" s="1">
        <v>202650001388</v>
      </c>
      <c r="B1572" s="1">
        <v>976036</v>
      </c>
      <c r="C1572" s="2">
        <v>46117</v>
      </c>
      <c r="D1572" t="s">
        <v>17</v>
      </c>
      <c r="E1572" t="s">
        <v>10</v>
      </c>
      <c r="G1572" t="s">
        <v>9</v>
      </c>
      <c r="L1572">
        <f t="shared" si="121"/>
        <v>0</v>
      </c>
      <c r="M1572">
        <f t="shared" si="122"/>
        <v>0</v>
      </c>
      <c r="N1572">
        <f t="shared" si="123"/>
        <v>0</v>
      </c>
      <c r="O1572">
        <f t="shared" si="125"/>
        <v>1</v>
      </c>
      <c r="P1572" t="str">
        <f t="shared" si="124"/>
        <v/>
      </c>
      <c r="Q1572">
        <f>COUNTIF('責任職　企業局→市長部局'!A:A,SQLデータ!B1572)</f>
        <v>0</v>
      </c>
      <c r="R1572">
        <f>COUNTIF('一般職員　企業局→市長部局'!A:F,SQLデータ!B1572)</f>
        <v>0</v>
      </c>
    </row>
    <row r="1573" spans="1:18" x14ac:dyDescent="0.4">
      <c r="A1573" s="1">
        <v>202650001389</v>
      </c>
      <c r="B1573" s="1">
        <v>1196108</v>
      </c>
      <c r="C1573" s="2">
        <v>46117</v>
      </c>
      <c r="D1573" t="s">
        <v>17</v>
      </c>
      <c r="E1573" t="s">
        <v>10</v>
      </c>
      <c r="G1573" t="s">
        <v>9</v>
      </c>
      <c r="L1573">
        <f t="shared" si="121"/>
        <v>0</v>
      </c>
      <c r="M1573">
        <f t="shared" si="122"/>
        <v>0</v>
      </c>
      <c r="N1573">
        <f t="shared" si="123"/>
        <v>0</v>
      </c>
      <c r="O1573">
        <f t="shared" si="125"/>
        <v>1</v>
      </c>
      <c r="P1573" t="str">
        <f t="shared" si="124"/>
        <v/>
      </c>
      <c r="Q1573">
        <f>COUNTIF('責任職　企業局→市長部局'!A:A,SQLデータ!B1573)</f>
        <v>0</v>
      </c>
      <c r="R1573">
        <f>COUNTIF('一般職員　企業局→市長部局'!A:F,SQLデータ!B1573)</f>
        <v>0</v>
      </c>
    </row>
    <row r="1574" spans="1:18" x14ac:dyDescent="0.4">
      <c r="A1574" s="1">
        <v>202650001390</v>
      </c>
      <c r="B1574" s="1">
        <v>930181</v>
      </c>
      <c r="C1574" s="2">
        <v>46117</v>
      </c>
      <c r="D1574" t="s">
        <v>17</v>
      </c>
      <c r="E1574" t="s">
        <v>15</v>
      </c>
      <c r="G1574" t="s">
        <v>9</v>
      </c>
      <c r="L1574">
        <f t="shared" si="121"/>
        <v>0</v>
      </c>
      <c r="M1574">
        <f t="shared" si="122"/>
        <v>0</v>
      </c>
      <c r="N1574">
        <f t="shared" si="123"/>
        <v>0</v>
      </c>
      <c r="O1574">
        <f t="shared" si="125"/>
        <v>1</v>
      </c>
      <c r="P1574" t="str">
        <f t="shared" si="124"/>
        <v/>
      </c>
      <c r="Q1574">
        <f>COUNTIF('責任職　企業局→市長部局'!A:A,SQLデータ!B1574)</f>
        <v>0</v>
      </c>
      <c r="R1574">
        <f>COUNTIF('一般職員　企業局→市長部局'!A:F,SQLデータ!B1574)</f>
        <v>0</v>
      </c>
    </row>
    <row r="1575" spans="1:18" x14ac:dyDescent="0.4">
      <c r="A1575" s="1">
        <v>202650001391</v>
      </c>
      <c r="B1575" s="1">
        <v>1206035</v>
      </c>
      <c r="C1575" s="2">
        <v>46117</v>
      </c>
      <c r="D1575" t="s">
        <v>17</v>
      </c>
      <c r="E1575" t="s">
        <v>15</v>
      </c>
      <c r="G1575" t="s">
        <v>9</v>
      </c>
      <c r="L1575">
        <f t="shared" si="121"/>
        <v>0</v>
      </c>
      <c r="M1575">
        <f t="shared" si="122"/>
        <v>0</v>
      </c>
      <c r="N1575">
        <f t="shared" si="123"/>
        <v>0</v>
      </c>
      <c r="O1575">
        <f t="shared" si="125"/>
        <v>1</v>
      </c>
      <c r="P1575" t="str">
        <f t="shared" si="124"/>
        <v/>
      </c>
      <c r="Q1575">
        <f>COUNTIF('責任職　企業局→市長部局'!A:A,SQLデータ!B1575)</f>
        <v>0</v>
      </c>
      <c r="R1575">
        <f>COUNTIF('一般職員　企業局→市長部局'!A:F,SQLデータ!B1575)</f>
        <v>0</v>
      </c>
    </row>
    <row r="1576" spans="1:18" x14ac:dyDescent="0.4">
      <c r="A1576" s="1">
        <v>202650001392</v>
      </c>
      <c r="B1576" s="1">
        <v>930052</v>
      </c>
      <c r="C1576" s="2">
        <v>46118</v>
      </c>
      <c r="D1576" t="s">
        <v>17</v>
      </c>
      <c r="E1576" t="s">
        <v>8</v>
      </c>
      <c r="G1576" t="s">
        <v>9</v>
      </c>
      <c r="L1576">
        <f t="shared" si="121"/>
        <v>0</v>
      </c>
      <c r="M1576">
        <f t="shared" si="122"/>
        <v>0</v>
      </c>
      <c r="N1576">
        <f t="shared" si="123"/>
        <v>0</v>
      </c>
      <c r="O1576">
        <f t="shared" si="125"/>
        <v>1</v>
      </c>
      <c r="P1576" t="str">
        <f t="shared" si="124"/>
        <v/>
      </c>
      <c r="Q1576">
        <f>COUNTIF('責任職　企業局→市長部局'!A:A,SQLデータ!B1576)</f>
        <v>0</v>
      </c>
      <c r="R1576">
        <f>COUNTIF('一般職員　企業局→市長部局'!A:F,SQLデータ!B1576)</f>
        <v>0</v>
      </c>
    </row>
    <row r="1577" spans="1:18" x14ac:dyDescent="0.4">
      <c r="A1577" s="1">
        <v>202650001393</v>
      </c>
      <c r="B1577" s="1">
        <v>1216028</v>
      </c>
      <c r="C1577" s="2">
        <v>46117</v>
      </c>
      <c r="D1577" t="s">
        <v>17</v>
      </c>
      <c r="E1577" t="s">
        <v>15</v>
      </c>
      <c r="G1577" t="s">
        <v>9</v>
      </c>
      <c r="L1577">
        <f t="shared" si="121"/>
        <v>0</v>
      </c>
      <c r="M1577">
        <f t="shared" si="122"/>
        <v>0</v>
      </c>
      <c r="N1577">
        <f t="shared" si="123"/>
        <v>0</v>
      </c>
      <c r="O1577">
        <f t="shared" si="125"/>
        <v>1</v>
      </c>
      <c r="P1577" t="str">
        <f t="shared" si="124"/>
        <v/>
      </c>
      <c r="Q1577">
        <f>COUNTIF('責任職　企業局→市長部局'!A:A,SQLデータ!B1577)</f>
        <v>0</v>
      </c>
      <c r="R1577">
        <f>COUNTIF('一般職員　企業局→市長部局'!A:F,SQLデータ!B1577)</f>
        <v>0</v>
      </c>
    </row>
    <row r="1578" spans="1:18" x14ac:dyDescent="0.4">
      <c r="A1578" s="1">
        <v>202650001394</v>
      </c>
      <c r="B1578" s="1">
        <v>1006023</v>
      </c>
      <c r="C1578" s="2">
        <v>46117</v>
      </c>
      <c r="D1578" t="s">
        <v>17</v>
      </c>
      <c r="E1578" t="s">
        <v>15</v>
      </c>
      <c r="G1578" t="s">
        <v>9</v>
      </c>
      <c r="L1578">
        <f t="shared" si="121"/>
        <v>0</v>
      </c>
      <c r="M1578">
        <f t="shared" si="122"/>
        <v>0</v>
      </c>
      <c r="N1578">
        <f t="shared" si="123"/>
        <v>0</v>
      </c>
      <c r="O1578">
        <f t="shared" si="125"/>
        <v>1</v>
      </c>
      <c r="P1578" t="str">
        <f t="shared" si="124"/>
        <v/>
      </c>
      <c r="Q1578">
        <f>COUNTIF('責任職　企業局→市長部局'!A:A,SQLデータ!B1578)</f>
        <v>0</v>
      </c>
      <c r="R1578">
        <f>COUNTIF('一般職員　企業局→市長部局'!A:F,SQLデータ!B1578)</f>
        <v>0</v>
      </c>
    </row>
    <row r="1579" spans="1:18" x14ac:dyDescent="0.4">
      <c r="A1579" s="1">
        <v>202650001395</v>
      </c>
      <c r="B1579" s="1">
        <v>950047</v>
      </c>
      <c r="C1579" s="2">
        <v>46117</v>
      </c>
      <c r="D1579" t="s">
        <v>17</v>
      </c>
      <c r="E1579" t="s">
        <v>10</v>
      </c>
      <c r="G1579" t="s">
        <v>9</v>
      </c>
      <c r="L1579">
        <f t="shared" si="121"/>
        <v>0</v>
      </c>
      <c r="M1579">
        <f t="shared" si="122"/>
        <v>0</v>
      </c>
      <c r="N1579">
        <f t="shared" si="123"/>
        <v>0</v>
      </c>
      <c r="O1579">
        <f t="shared" si="125"/>
        <v>1</v>
      </c>
      <c r="P1579" t="str">
        <f t="shared" si="124"/>
        <v/>
      </c>
      <c r="Q1579">
        <f>COUNTIF('責任職　企業局→市長部局'!A:A,SQLデータ!B1579)</f>
        <v>0</v>
      </c>
      <c r="R1579">
        <f>COUNTIF('一般職員　企業局→市長部局'!A:F,SQLデータ!B1579)</f>
        <v>0</v>
      </c>
    </row>
    <row r="1580" spans="1:18" x14ac:dyDescent="0.4">
      <c r="A1580" s="1">
        <v>202650001396</v>
      </c>
      <c r="B1580" s="1">
        <v>880740</v>
      </c>
      <c r="C1580" s="2">
        <v>46117</v>
      </c>
      <c r="D1580" t="s">
        <v>17</v>
      </c>
      <c r="E1580" t="s">
        <v>15</v>
      </c>
      <c r="G1580" t="s">
        <v>9</v>
      </c>
      <c r="L1580">
        <f t="shared" si="121"/>
        <v>0</v>
      </c>
      <c r="M1580">
        <f t="shared" si="122"/>
        <v>0</v>
      </c>
      <c r="N1580">
        <f t="shared" si="123"/>
        <v>0</v>
      </c>
      <c r="O1580">
        <f t="shared" si="125"/>
        <v>1</v>
      </c>
      <c r="P1580" t="str">
        <f t="shared" si="124"/>
        <v/>
      </c>
      <c r="Q1580">
        <f>COUNTIF('責任職　企業局→市長部局'!A:A,SQLデータ!B1580)</f>
        <v>0</v>
      </c>
      <c r="R1580">
        <f>COUNTIF('一般職員　企業局→市長部局'!A:F,SQLデータ!B1580)</f>
        <v>0</v>
      </c>
    </row>
    <row r="1581" spans="1:18" x14ac:dyDescent="0.4">
      <c r="A1581" s="1">
        <v>202650001397</v>
      </c>
      <c r="B1581" s="1">
        <v>1236068</v>
      </c>
      <c r="C1581" s="2">
        <v>46117</v>
      </c>
      <c r="D1581" t="s">
        <v>17</v>
      </c>
      <c r="E1581" t="s">
        <v>15</v>
      </c>
      <c r="G1581" t="s">
        <v>9</v>
      </c>
      <c r="L1581">
        <f t="shared" si="121"/>
        <v>0</v>
      </c>
      <c r="M1581">
        <f t="shared" si="122"/>
        <v>0</v>
      </c>
      <c r="N1581">
        <f t="shared" si="123"/>
        <v>0</v>
      </c>
      <c r="O1581">
        <f t="shared" si="125"/>
        <v>1</v>
      </c>
      <c r="P1581" t="str">
        <f t="shared" si="124"/>
        <v/>
      </c>
      <c r="Q1581">
        <f>COUNTIF('責任職　企業局→市長部局'!A:A,SQLデータ!B1581)</f>
        <v>0</v>
      </c>
      <c r="R1581">
        <f>COUNTIF('一般職員　企業局→市長部局'!A:F,SQLデータ!B1581)</f>
        <v>0</v>
      </c>
    </row>
    <row r="1582" spans="1:18" x14ac:dyDescent="0.4">
      <c r="A1582" s="1">
        <v>202650001398</v>
      </c>
      <c r="B1582" s="1">
        <v>1161005</v>
      </c>
      <c r="C1582" s="2">
        <v>46117</v>
      </c>
      <c r="D1582" t="s">
        <v>17</v>
      </c>
      <c r="E1582" t="s">
        <v>15</v>
      </c>
      <c r="G1582" t="s">
        <v>9</v>
      </c>
      <c r="L1582">
        <f t="shared" si="121"/>
        <v>0</v>
      </c>
      <c r="M1582">
        <f t="shared" si="122"/>
        <v>0</v>
      </c>
      <c r="N1582">
        <f t="shared" si="123"/>
        <v>0</v>
      </c>
      <c r="O1582">
        <f t="shared" si="125"/>
        <v>1</v>
      </c>
      <c r="P1582" t="str">
        <f t="shared" si="124"/>
        <v/>
      </c>
      <c r="Q1582">
        <f>COUNTIF('責任職　企業局→市長部局'!A:A,SQLデータ!B1582)</f>
        <v>0</v>
      </c>
      <c r="R1582">
        <f>COUNTIF('一般職員　企業局→市長部局'!A:F,SQLデータ!B1582)</f>
        <v>0</v>
      </c>
    </row>
    <row r="1583" spans="1:18" x14ac:dyDescent="0.4">
      <c r="A1583" s="1">
        <v>202650001399</v>
      </c>
      <c r="B1583" s="1">
        <v>1246076</v>
      </c>
      <c r="C1583" s="2">
        <v>46117</v>
      </c>
      <c r="D1583" t="s">
        <v>17</v>
      </c>
      <c r="E1583" t="s">
        <v>15</v>
      </c>
      <c r="G1583" t="s">
        <v>9</v>
      </c>
      <c r="L1583">
        <f t="shared" si="121"/>
        <v>0</v>
      </c>
      <c r="M1583">
        <f t="shared" si="122"/>
        <v>0</v>
      </c>
      <c r="N1583">
        <f t="shared" si="123"/>
        <v>0</v>
      </c>
      <c r="O1583">
        <f t="shared" si="125"/>
        <v>1</v>
      </c>
      <c r="P1583" t="str">
        <f t="shared" si="124"/>
        <v/>
      </c>
      <c r="Q1583">
        <f>COUNTIF('責任職　企業局→市長部局'!A:A,SQLデータ!B1583)</f>
        <v>0</v>
      </c>
      <c r="R1583">
        <f>COUNTIF('一般職員　企業局→市長部局'!A:F,SQLデータ!B1583)</f>
        <v>0</v>
      </c>
    </row>
    <row r="1584" spans="1:18" x14ac:dyDescent="0.4">
      <c r="A1584" s="1">
        <v>202650001400</v>
      </c>
      <c r="B1584" s="1">
        <v>1196060</v>
      </c>
      <c r="C1584" s="2">
        <v>46117</v>
      </c>
      <c r="D1584" t="s">
        <v>17</v>
      </c>
      <c r="E1584" t="s">
        <v>15</v>
      </c>
      <c r="G1584" t="s">
        <v>9</v>
      </c>
      <c r="L1584">
        <f t="shared" si="121"/>
        <v>0</v>
      </c>
      <c r="M1584">
        <f t="shared" si="122"/>
        <v>0</v>
      </c>
      <c r="N1584">
        <f t="shared" si="123"/>
        <v>0</v>
      </c>
      <c r="O1584">
        <f t="shared" si="125"/>
        <v>1</v>
      </c>
      <c r="P1584" t="str">
        <f t="shared" si="124"/>
        <v/>
      </c>
      <c r="Q1584">
        <f>COUNTIF('責任職　企業局→市長部局'!A:A,SQLデータ!B1584)</f>
        <v>0</v>
      </c>
      <c r="R1584">
        <f>COUNTIF('一般職員　企業局→市長部局'!A:F,SQLデータ!B1584)</f>
        <v>0</v>
      </c>
    </row>
    <row r="1585" spans="1:18" x14ac:dyDescent="0.4">
      <c r="A1585" s="1">
        <v>202650001401</v>
      </c>
      <c r="B1585" s="1">
        <v>1226139</v>
      </c>
      <c r="C1585" s="2">
        <v>46117</v>
      </c>
      <c r="D1585" t="s">
        <v>17</v>
      </c>
      <c r="E1585" t="s">
        <v>15</v>
      </c>
      <c r="G1585" t="s">
        <v>9</v>
      </c>
      <c r="L1585">
        <f t="shared" si="121"/>
        <v>0</v>
      </c>
      <c r="M1585">
        <f t="shared" si="122"/>
        <v>0</v>
      </c>
      <c r="N1585">
        <f t="shared" si="123"/>
        <v>0</v>
      </c>
      <c r="O1585">
        <f t="shared" si="125"/>
        <v>1</v>
      </c>
      <c r="P1585" t="str">
        <f t="shared" si="124"/>
        <v/>
      </c>
      <c r="Q1585">
        <f>COUNTIF('責任職　企業局→市長部局'!A:A,SQLデータ!B1585)</f>
        <v>0</v>
      </c>
      <c r="R1585">
        <f>COUNTIF('一般職員　企業局→市長部局'!A:F,SQLデータ!B1585)</f>
        <v>0</v>
      </c>
    </row>
    <row r="1586" spans="1:18" x14ac:dyDescent="0.4">
      <c r="A1586" s="1">
        <v>202650001402</v>
      </c>
      <c r="B1586" s="1">
        <v>1106121</v>
      </c>
      <c r="C1586" s="2">
        <v>46117</v>
      </c>
      <c r="D1586" t="s">
        <v>17</v>
      </c>
      <c r="E1586" t="s">
        <v>10</v>
      </c>
      <c r="G1586" t="s">
        <v>9</v>
      </c>
      <c r="L1586">
        <f t="shared" si="121"/>
        <v>0</v>
      </c>
      <c r="M1586">
        <f t="shared" si="122"/>
        <v>0</v>
      </c>
      <c r="N1586">
        <f t="shared" si="123"/>
        <v>0</v>
      </c>
      <c r="O1586">
        <f t="shared" si="125"/>
        <v>1</v>
      </c>
      <c r="P1586" t="str">
        <f t="shared" si="124"/>
        <v/>
      </c>
      <c r="Q1586">
        <f>COUNTIF('責任職　企業局→市長部局'!A:A,SQLデータ!B1586)</f>
        <v>0</v>
      </c>
      <c r="R1586">
        <f>COUNTIF('一般職員　企業局→市長部局'!A:F,SQLデータ!B1586)</f>
        <v>0</v>
      </c>
    </row>
    <row r="1587" spans="1:18" x14ac:dyDescent="0.4">
      <c r="A1587" s="1">
        <v>202650001403</v>
      </c>
      <c r="B1587" s="1">
        <v>1216010</v>
      </c>
      <c r="C1587" s="2">
        <v>46117</v>
      </c>
      <c r="D1587" t="s">
        <v>17</v>
      </c>
      <c r="E1587" t="s">
        <v>10</v>
      </c>
      <c r="G1587" t="s">
        <v>9</v>
      </c>
      <c r="L1587">
        <f t="shared" si="121"/>
        <v>0</v>
      </c>
      <c r="M1587">
        <f t="shared" si="122"/>
        <v>0</v>
      </c>
      <c r="N1587">
        <f t="shared" si="123"/>
        <v>0</v>
      </c>
      <c r="O1587">
        <f t="shared" si="125"/>
        <v>1</v>
      </c>
      <c r="P1587" t="str">
        <f t="shared" si="124"/>
        <v/>
      </c>
      <c r="Q1587">
        <f>COUNTIF('責任職　企業局→市長部局'!A:A,SQLデータ!B1587)</f>
        <v>0</v>
      </c>
      <c r="R1587">
        <f>COUNTIF('一般職員　企業局→市長部局'!A:F,SQLデータ!B1587)</f>
        <v>0</v>
      </c>
    </row>
    <row r="1588" spans="1:18" x14ac:dyDescent="0.4">
      <c r="A1588" s="1">
        <v>202650001404</v>
      </c>
      <c r="B1588" s="1">
        <v>1176041</v>
      </c>
      <c r="C1588" s="2">
        <v>46117</v>
      </c>
      <c r="D1588" t="s">
        <v>17</v>
      </c>
      <c r="E1588" t="s">
        <v>15</v>
      </c>
      <c r="G1588" t="s">
        <v>9</v>
      </c>
      <c r="L1588">
        <f t="shared" si="121"/>
        <v>0</v>
      </c>
      <c r="M1588">
        <f t="shared" si="122"/>
        <v>0</v>
      </c>
      <c r="N1588">
        <f t="shared" si="123"/>
        <v>0</v>
      </c>
      <c r="O1588">
        <f t="shared" si="125"/>
        <v>1</v>
      </c>
      <c r="P1588" t="str">
        <f t="shared" si="124"/>
        <v/>
      </c>
      <c r="Q1588">
        <f>COUNTIF('責任職　企業局→市長部局'!A:A,SQLデータ!B1588)</f>
        <v>0</v>
      </c>
      <c r="R1588">
        <f>COUNTIF('一般職員　企業局→市長部局'!A:F,SQLデータ!B1588)</f>
        <v>0</v>
      </c>
    </row>
    <row r="1589" spans="1:18" x14ac:dyDescent="0.4">
      <c r="A1589" s="1">
        <v>202650001405</v>
      </c>
      <c r="B1589" s="1">
        <v>930116</v>
      </c>
      <c r="C1589" s="2">
        <v>46117</v>
      </c>
      <c r="D1589" t="s">
        <v>17</v>
      </c>
      <c r="E1589" t="s">
        <v>15</v>
      </c>
      <c r="G1589" t="s">
        <v>9</v>
      </c>
      <c r="L1589">
        <f t="shared" si="121"/>
        <v>0</v>
      </c>
      <c r="M1589">
        <f t="shared" si="122"/>
        <v>0</v>
      </c>
      <c r="N1589">
        <f t="shared" si="123"/>
        <v>0</v>
      </c>
      <c r="O1589">
        <f t="shared" si="125"/>
        <v>1</v>
      </c>
      <c r="P1589" t="str">
        <f t="shared" si="124"/>
        <v/>
      </c>
      <c r="Q1589">
        <f>COUNTIF('責任職　企業局→市長部局'!A:A,SQLデータ!B1589)</f>
        <v>0</v>
      </c>
      <c r="R1589">
        <f>COUNTIF('一般職員　企業局→市長部局'!A:F,SQLデータ!B1589)</f>
        <v>0</v>
      </c>
    </row>
    <row r="1590" spans="1:18" x14ac:dyDescent="0.4">
      <c r="A1590" s="1">
        <v>202650001406</v>
      </c>
      <c r="B1590" s="1">
        <v>1026066</v>
      </c>
      <c r="C1590" s="2">
        <v>46117</v>
      </c>
      <c r="D1590" t="s">
        <v>17</v>
      </c>
      <c r="E1590" t="s">
        <v>15</v>
      </c>
      <c r="G1590" t="s">
        <v>9</v>
      </c>
      <c r="L1590">
        <f t="shared" si="121"/>
        <v>0</v>
      </c>
      <c r="M1590">
        <f t="shared" si="122"/>
        <v>0</v>
      </c>
      <c r="N1590">
        <f t="shared" si="123"/>
        <v>0</v>
      </c>
      <c r="O1590">
        <f t="shared" si="125"/>
        <v>1</v>
      </c>
      <c r="P1590" t="str">
        <f t="shared" si="124"/>
        <v/>
      </c>
      <c r="Q1590">
        <f>COUNTIF('責任職　企業局→市長部局'!A:A,SQLデータ!B1590)</f>
        <v>0</v>
      </c>
      <c r="R1590">
        <f>COUNTIF('一般職員　企業局→市長部局'!A:F,SQLデータ!B1590)</f>
        <v>0</v>
      </c>
    </row>
    <row r="1591" spans="1:18" x14ac:dyDescent="0.4">
      <c r="A1591" s="1">
        <v>202650001407</v>
      </c>
      <c r="B1591" s="1">
        <v>5068343</v>
      </c>
      <c r="C1591" s="2">
        <v>46117</v>
      </c>
      <c r="D1591" t="s">
        <v>17</v>
      </c>
      <c r="E1591" t="s">
        <v>10</v>
      </c>
      <c r="G1591" t="s">
        <v>9</v>
      </c>
      <c r="L1591">
        <f t="shared" si="121"/>
        <v>0</v>
      </c>
      <c r="M1591">
        <f t="shared" si="122"/>
        <v>0</v>
      </c>
      <c r="N1591">
        <f t="shared" si="123"/>
        <v>0</v>
      </c>
      <c r="O1591">
        <f t="shared" si="125"/>
        <v>1</v>
      </c>
      <c r="P1591" t="str">
        <f t="shared" si="124"/>
        <v/>
      </c>
      <c r="Q1591">
        <f>COUNTIF('責任職　企業局→市長部局'!A:A,SQLデータ!B1591)</f>
        <v>0</v>
      </c>
      <c r="R1591">
        <f>COUNTIF('一般職員　企業局→市長部局'!A:F,SQLデータ!B1591)</f>
        <v>0</v>
      </c>
    </row>
    <row r="1592" spans="1:18" x14ac:dyDescent="0.4">
      <c r="A1592" s="1">
        <v>202650001408</v>
      </c>
      <c r="B1592" s="1">
        <v>1256102</v>
      </c>
      <c r="C1592" s="2">
        <v>46117</v>
      </c>
      <c r="D1592" t="s">
        <v>17</v>
      </c>
      <c r="E1592" t="s">
        <v>15</v>
      </c>
      <c r="G1592" t="s">
        <v>9</v>
      </c>
      <c r="L1592">
        <f t="shared" si="121"/>
        <v>0</v>
      </c>
      <c r="M1592">
        <f t="shared" si="122"/>
        <v>0</v>
      </c>
      <c r="N1592">
        <f t="shared" si="123"/>
        <v>0</v>
      </c>
      <c r="O1592">
        <f t="shared" si="125"/>
        <v>1</v>
      </c>
      <c r="P1592" t="str">
        <f t="shared" si="124"/>
        <v/>
      </c>
      <c r="Q1592">
        <f>COUNTIF('責任職　企業局→市長部局'!A:A,SQLデータ!B1592)</f>
        <v>0</v>
      </c>
      <c r="R1592">
        <f>COUNTIF('一般職員　企業局→市長部局'!A:F,SQLデータ!B1592)</f>
        <v>0</v>
      </c>
    </row>
    <row r="1593" spans="1:18" x14ac:dyDescent="0.4">
      <c r="A1593" s="1">
        <v>202650001409</v>
      </c>
      <c r="B1593" s="1">
        <v>1211432</v>
      </c>
      <c r="C1593" s="2">
        <v>46117</v>
      </c>
      <c r="D1593" t="s">
        <v>17</v>
      </c>
      <c r="E1593" t="s">
        <v>15</v>
      </c>
      <c r="G1593" t="s">
        <v>9</v>
      </c>
      <c r="L1593">
        <f t="shared" si="121"/>
        <v>0</v>
      </c>
      <c r="M1593">
        <f t="shared" si="122"/>
        <v>0</v>
      </c>
      <c r="N1593">
        <f t="shared" si="123"/>
        <v>0</v>
      </c>
      <c r="O1593">
        <f t="shared" si="125"/>
        <v>1</v>
      </c>
      <c r="P1593" t="str">
        <f t="shared" si="124"/>
        <v/>
      </c>
      <c r="Q1593">
        <f>COUNTIF('責任職　企業局→市長部局'!A:A,SQLデータ!B1593)</f>
        <v>0</v>
      </c>
      <c r="R1593">
        <f>COUNTIF('一般職員　企業局→市長部局'!A:F,SQLデータ!B1593)</f>
        <v>0</v>
      </c>
    </row>
    <row r="1594" spans="1:18" x14ac:dyDescent="0.4">
      <c r="A1594" s="1">
        <v>202650001410</v>
      </c>
      <c r="B1594" s="1">
        <v>900062</v>
      </c>
      <c r="C1594" s="2">
        <v>46117</v>
      </c>
      <c r="D1594" t="s">
        <v>17</v>
      </c>
      <c r="E1594" t="s">
        <v>15</v>
      </c>
      <c r="G1594" t="s">
        <v>9</v>
      </c>
      <c r="L1594">
        <f t="shared" si="121"/>
        <v>0</v>
      </c>
      <c r="M1594">
        <f t="shared" si="122"/>
        <v>0</v>
      </c>
      <c r="N1594">
        <f t="shared" si="123"/>
        <v>0</v>
      </c>
      <c r="O1594">
        <f t="shared" si="125"/>
        <v>1</v>
      </c>
      <c r="P1594" t="str">
        <f t="shared" si="124"/>
        <v/>
      </c>
      <c r="Q1594">
        <f>COUNTIF('責任職　企業局→市長部局'!A:A,SQLデータ!B1594)</f>
        <v>0</v>
      </c>
      <c r="R1594">
        <f>COUNTIF('一般職員　企業局→市長部局'!A:F,SQLデータ!B1594)</f>
        <v>0</v>
      </c>
    </row>
    <row r="1595" spans="1:18" x14ac:dyDescent="0.4">
      <c r="A1595" s="1">
        <v>202650001411</v>
      </c>
      <c r="B1595" s="1">
        <v>840157</v>
      </c>
      <c r="C1595" s="2">
        <v>46119</v>
      </c>
      <c r="D1595" t="s">
        <v>17</v>
      </c>
      <c r="E1595" t="s">
        <v>10</v>
      </c>
      <c r="G1595" t="s">
        <v>9</v>
      </c>
      <c r="L1595">
        <f t="shared" si="121"/>
        <v>0</v>
      </c>
      <c r="M1595">
        <f t="shared" si="122"/>
        <v>0</v>
      </c>
      <c r="N1595">
        <f t="shared" si="123"/>
        <v>0</v>
      </c>
      <c r="O1595">
        <f t="shared" si="125"/>
        <v>1</v>
      </c>
      <c r="P1595" t="str">
        <f t="shared" si="124"/>
        <v/>
      </c>
      <c r="Q1595">
        <f>COUNTIF('責任職　企業局→市長部局'!A:A,SQLデータ!B1595)</f>
        <v>0</v>
      </c>
      <c r="R1595">
        <f>COUNTIF('一般職員　企業局→市長部局'!A:F,SQLデータ!B1595)</f>
        <v>0</v>
      </c>
    </row>
    <row r="1596" spans="1:18" x14ac:dyDescent="0.4">
      <c r="A1596" s="1">
        <v>202650001412</v>
      </c>
      <c r="B1596" s="1">
        <v>1186131</v>
      </c>
      <c r="C1596" s="2">
        <v>46117</v>
      </c>
      <c r="D1596" t="s">
        <v>17</v>
      </c>
      <c r="E1596" t="s">
        <v>10</v>
      </c>
      <c r="G1596" t="s">
        <v>9</v>
      </c>
      <c r="L1596">
        <f t="shared" si="121"/>
        <v>0</v>
      </c>
      <c r="M1596">
        <f t="shared" si="122"/>
        <v>0</v>
      </c>
      <c r="N1596">
        <f t="shared" si="123"/>
        <v>0</v>
      </c>
      <c r="O1596">
        <f t="shared" si="125"/>
        <v>1</v>
      </c>
      <c r="P1596" t="str">
        <f t="shared" si="124"/>
        <v/>
      </c>
      <c r="Q1596">
        <f>COUNTIF('責任職　企業局→市長部局'!A:A,SQLデータ!B1596)</f>
        <v>0</v>
      </c>
      <c r="R1596">
        <f>COUNTIF('一般職員　企業局→市長部局'!A:F,SQLデータ!B1596)</f>
        <v>0</v>
      </c>
    </row>
    <row r="1597" spans="1:18" x14ac:dyDescent="0.4">
      <c r="A1597" s="1">
        <v>202650001413</v>
      </c>
      <c r="B1597" s="1">
        <v>1226133</v>
      </c>
      <c r="C1597" s="2">
        <v>46117</v>
      </c>
      <c r="D1597" t="s">
        <v>17</v>
      </c>
      <c r="E1597" t="s">
        <v>10</v>
      </c>
      <c r="G1597" t="s">
        <v>9</v>
      </c>
      <c r="L1597">
        <f t="shared" si="121"/>
        <v>0</v>
      </c>
      <c r="M1597">
        <f t="shared" si="122"/>
        <v>0</v>
      </c>
      <c r="N1597">
        <f t="shared" si="123"/>
        <v>0</v>
      </c>
      <c r="O1597">
        <f t="shared" si="125"/>
        <v>1</v>
      </c>
      <c r="P1597" t="str">
        <f t="shared" si="124"/>
        <v/>
      </c>
      <c r="Q1597">
        <f>COUNTIF('責任職　企業局→市長部局'!A:A,SQLデータ!B1597)</f>
        <v>0</v>
      </c>
      <c r="R1597">
        <f>COUNTIF('一般職員　企業局→市長部局'!A:F,SQLデータ!B1597)</f>
        <v>0</v>
      </c>
    </row>
    <row r="1598" spans="1:18" x14ac:dyDescent="0.4">
      <c r="A1598" s="1">
        <v>202650001414</v>
      </c>
      <c r="B1598" s="1">
        <v>910068</v>
      </c>
      <c r="C1598" s="2">
        <v>46123</v>
      </c>
      <c r="D1598" t="s">
        <v>17</v>
      </c>
      <c r="E1598" t="s">
        <v>10</v>
      </c>
      <c r="G1598" t="s">
        <v>9</v>
      </c>
      <c r="L1598">
        <f t="shared" si="121"/>
        <v>0</v>
      </c>
      <c r="M1598">
        <f t="shared" si="122"/>
        <v>0</v>
      </c>
      <c r="N1598">
        <f t="shared" si="123"/>
        <v>0</v>
      </c>
      <c r="O1598">
        <f t="shared" si="125"/>
        <v>1</v>
      </c>
      <c r="P1598" t="str">
        <f t="shared" si="124"/>
        <v/>
      </c>
      <c r="Q1598">
        <f>COUNTIF('責任職　企業局→市長部局'!A:A,SQLデータ!B1598)</f>
        <v>0</v>
      </c>
      <c r="R1598">
        <f>COUNTIF('一般職員　企業局→市長部局'!A:F,SQLデータ!B1598)</f>
        <v>0</v>
      </c>
    </row>
    <row r="1599" spans="1:18" x14ac:dyDescent="0.4">
      <c r="A1599" s="1">
        <v>202650001415</v>
      </c>
      <c r="B1599" s="1">
        <v>890714</v>
      </c>
      <c r="C1599" s="2">
        <v>46117</v>
      </c>
      <c r="D1599" t="s">
        <v>17</v>
      </c>
      <c r="E1599" t="s">
        <v>10</v>
      </c>
      <c r="G1599" t="s">
        <v>9</v>
      </c>
      <c r="L1599">
        <f t="shared" si="121"/>
        <v>0</v>
      </c>
      <c r="M1599">
        <f t="shared" si="122"/>
        <v>0</v>
      </c>
      <c r="N1599">
        <f t="shared" si="123"/>
        <v>0</v>
      </c>
      <c r="O1599">
        <f t="shared" si="125"/>
        <v>1</v>
      </c>
      <c r="P1599" t="str">
        <f t="shared" si="124"/>
        <v/>
      </c>
      <c r="Q1599">
        <f>COUNTIF('責任職　企業局→市長部局'!A:A,SQLデータ!B1599)</f>
        <v>0</v>
      </c>
      <c r="R1599">
        <f>COUNTIF('一般職員　企業局→市長部局'!A:F,SQLデータ!B1599)</f>
        <v>0</v>
      </c>
    </row>
    <row r="1600" spans="1:18" x14ac:dyDescent="0.4">
      <c r="A1600" s="1">
        <v>202650001417</v>
      </c>
      <c r="B1600" s="1">
        <v>1126080</v>
      </c>
      <c r="C1600" s="2">
        <v>46117</v>
      </c>
      <c r="D1600" t="s">
        <v>17</v>
      </c>
      <c r="E1600" t="s">
        <v>10</v>
      </c>
      <c r="G1600" t="s">
        <v>9</v>
      </c>
      <c r="L1600">
        <f t="shared" si="121"/>
        <v>0</v>
      </c>
      <c r="M1600">
        <f t="shared" si="122"/>
        <v>0</v>
      </c>
      <c r="N1600">
        <f t="shared" si="123"/>
        <v>0</v>
      </c>
      <c r="O1600">
        <f t="shared" si="125"/>
        <v>1</v>
      </c>
      <c r="P1600" t="str">
        <f t="shared" si="124"/>
        <v/>
      </c>
      <c r="Q1600">
        <f>COUNTIF('責任職　企業局→市長部局'!A:A,SQLデータ!B1600)</f>
        <v>0</v>
      </c>
      <c r="R1600">
        <f>COUNTIF('一般職員　企業局→市長部局'!A:F,SQLデータ!B1600)</f>
        <v>0</v>
      </c>
    </row>
    <row r="1601" spans="1:18" x14ac:dyDescent="0.4">
      <c r="A1601" s="1">
        <v>202650001418</v>
      </c>
      <c r="B1601" s="1">
        <v>1176096</v>
      </c>
      <c r="C1601" s="2">
        <v>46117</v>
      </c>
      <c r="D1601" t="s">
        <v>17</v>
      </c>
      <c r="E1601" t="s">
        <v>10</v>
      </c>
      <c r="G1601" t="s">
        <v>9</v>
      </c>
      <c r="L1601">
        <f t="shared" si="121"/>
        <v>0</v>
      </c>
      <c r="M1601">
        <f t="shared" si="122"/>
        <v>0</v>
      </c>
      <c r="N1601">
        <f t="shared" si="123"/>
        <v>0</v>
      </c>
      <c r="O1601">
        <f t="shared" si="125"/>
        <v>1</v>
      </c>
      <c r="P1601" t="str">
        <f t="shared" si="124"/>
        <v/>
      </c>
      <c r="Q1601">
        <f>COUNTIF('責任職　企業局→市長部局'!A:A,SQLデータ!B1601)</f>
        <v>0</v>
      </c>
      <c r="R1601">
        <f>COUNTIF('一般職員　企業局→市長部局'!A:F,SQLデータ!B1601)</f>
        <v>0</v>
      </c>
    </row>
    <row r="1602" spans="1:18" x14ac:dyDescent="0.4">
      <c r="A1602" s="1">
        <v>202650001419</v>
      </c>
      <c r="B1602" s="1">
        <v>920114</v>
      </c>
      <c r="C1602" s="2">
        <v>46117</v>
      </c>
      <c r="D1602" t="s">
        <v>17</v>
      </c>
      <c r="E1602" t="s">
        <v>8</v>
      </c>
      <c r="F1602" t="s">
        <v>47</v>
      </c>
      <c r="G1602" t="s">
        <v>9</v>
      </c>
      <c r="L1602">
        <f t="shared" ref="L1602:L1665" si="126">IF(ISBLANK(J1602),0,1)</f>
        <v>0</v>
      </c>
      <c r="M1602">
        <f t="shared" ref="M1602:M1665" si="127">IF(AND(L1602=0,I1602&lt;&gt;""),1,0)</f>
        <v>0</v>
      </c>
      <c r="N1602">
        <f t="shared" ref="N1602:N1665" si="128">IF(AND(L1602=0,M1602=0,K1602&lt;&gt;""),1,0)</f>
        <v>0</v>
      </c>
      <c r="O1602">
        <f t="shared" si="125"/>
        <v>1</v>
      </c>
      <c r="P1602" t="str">
        <f t="shared" ref="P1602:P1665" si="129">IF(D1602&lt;&gt;"扶養","",IF(E1602&lt;&gt;"確認待ち",1,IF(OR(AND(G1602="本人の結婚",O1602=1),AND(H1602="減",OR(N1602=1,O1602=1))),1,0)))</f>
        <v/>
      </c>
      <c r="Q1602">
        <f>COUNTIF('責任職　企業局→市長部局'!A:A,SQLデータ!B1602)</f>
        <v>0</v>
      </c>
      <c r="R1602">
        <f>COUNTIF('一般職員　企業局→市長部局'!A:F,SQLデータ!B1602)</f>
        <v>0</v>
      </c>
    </row>
    <row r="1603" spans="1:18" x14ac:dyDescent="0.4">
      <c r="A1603" s="1">
        <v>202650001420</v>
      </c>
      <c r="B1603" s="1">
        <v>1236066</v>
      </c>
      <c r="C1603" s="2">
        <v>46117</v>
      </c>
      <c r="D1603" t="s">
        <v>17</v>
      </c>
      <c r="E1603" t="s">
        <v>8</v>
      </c>
      <c r="F1603" t="s">
        <v>47</v>
      </c>
      <c r="G1603" t="s">
        <v>9</v>
      </c>
      <c r="L1603">
        <f t="shared" si="126"/>
        <v>0</v>
      </c>
      <c r="M1603">
        <f t="shared" si="127"/>
        <v>0</v>
      </c>
      <c r="N1603">
        <f t="shared" si="128"/>
        <v>0</v>
      </c>
      <c r="O1603">
        <f t="shared" si="125"/>
        <v>1</v>
      </c>
      <c r="P1603" t="str">
        <f t="shared" si="129"/>
        <v/>
      </c>
      <c r="Q1603">
        <f>COUNTIF('責任職　企業局→市長部局'!A:A,SQLデータ!B1603)</f>
        <v>0</v>
      </c>
      <c r="R1603">
        <f>COUNTIF('一般職員　企業局→市長部局'!A:F,SQLデータ!B1603)</f>
        <v>0</v>
      </c>
    </row>
    <row r="1604" spans="1:18" x14ac:dyDescent="0.4">
      <c r="A1604" s="1">
        <v>202650001421</v>
      </c>
      <c r="B1604" s="1">
        <v>1211393</v>
      </c>
      <c r="C1604" s="2">
        <v>46117</v>
      </c>
      <c r="D1604" t="s">
        <v>17</v>
      </c>
      <c r="E1604" t="s">
        <v>10</v>
      </c>
      <c r="G1604" t="s">
        <v>9</v>
      </c>
      <c r="L1604">
        <f t="shared" si="126"/>
        <v>0</v>
      </c>
      <c r="M1604">
        <f t="shared" si="127"/>
        <v>0</v>
      </c>
      <c r="N1604">
        <f t="shared" si="128"/>
        <v>0</v>
      </c>
      <c r="O1604">
        <f t="shared" si="125"/>
        <v>1</v>
      </c>
      <c r="P1604" t="str">
        <f t="shared" si="129"/>
        <v/>
      </c>
      <c r="Q1604">
        <f>COUNTIF('責任職　企業局→市長部局'!A:A,SQLデータ!B1604)</f>
        <v>0</v>
      </c>
      <c r="R1604">
        <f>COUNTIF('一般職員　企業局→市長部局'!A:F,SQLデータ!B1604)</f>
        <v>0</v>
      </c>
    </row>
    <row r="1605" spans="1:18" x14ac:dyDescent="0.4">
      <c r="A1605" s="1">
        <v>202650001422</v>
      </c>
      <c r="B1605" s="1">
        <v>1096004</v>
      </c>
      <c r="C1605" s="2">
        <v>46117</v>
      </c>
      <c r="D1605" t="s">
        <v>17</v>
      </c>
      <c r="E1605" t="s">
        <v>8</v>
      </c>
      <c r="F1605" t="s">
        <v>47</v>
      </c>
      <c r="G1605" t="s">
        <v>9</v>
      </c>
      <c r="L1605">
        <f t="shared" si="126"/>
        <v>0</v>
      </c>
      <c r="M1605">
        <f t="shared" si="127"/>
        <v>0</v>
      </c>
      <c r="N1605">
        <f t="shared" si="128"/>
        <v>0</v>
      </c>
      <c r="O1605">
        <f t="shared" si="125"/>
        <v>1</v>
      </c>
      <c r="P1605" t="str">
        <f t="shared" si="129"/>
        <v/>
      </c>
      <c r="Q1605">
        <f>COUNTIF('責任職　企業局→市長部局'!A:A,SQLデータ!B1605)</f>
        <v>0</v>
      </c>
      <c r="R1605">
        <f>COUNTIF('一般職員　企業局→市長部局'!A:F,SQLデータ!B1605)</f>
        <v>0</v>
      </c>
    </row>
    <row r="1606" spans="1:18" x14ac:dyDescent="0.4">
      <c r="A1606" s="1">
        <v>202650001423</v>
      </c>
      <c r="B1606" s="1">
        <v>1131130</v>
      </c>
      <c r="C1606" s="2">
        <v>46117</v>
      </c>
      <c r="D1606" t="s">
        <v>17</v>
      </c>
      <c r="E1606" t="s">
        <v>10</v>
      </c>
      <c r="G1606" t="s">
        <v>9</v>
      </c>
      <c r="L1606">
        <f t="shared" si="126"/>
        <v>0</v>
      </c>
      <c r="M1606">
        <f t="shared" si="127"/>
        <v>0</v>
      </c>
      <c r="N1606">
        <f t="shared" si="128"/>
        <v>0</v>
      </c>
      <c r="O1606">
        <f t="shared" si="125"/>
        <v>1</v>
      </c>
      <c r="P1606" t="str">
        <f t="shared" si="129"/>
        <v/>
      </c>
      <c r="Q1606">
        <f>COUNTIF('責任職　企業局→市長部局'!A:A,SQLデータ!B1606)</f>
        <v>0</v>
      </c>
      <c r="R1606">
        <f>COUNTIF('一般職員　企業局→市長部局'!A:F,SQLデータ!B1606)</f>
        <v>0</v>
      </c>
    </row>
    <row r="1607" spans="1:18" x14ac:dyDescent="0.4">
      <c r="A1607" s="1">
        <v>202650001424</v>
      </c>
      <c r="B1607" s="1">
        <v>1136029</v>
      </c>
      <c r="C1607" s="2">
        <v>46117</v>
      </c>
      <c r="D1607" t="s">
        <v>17</v>
      </c>
      <c r="E1607" t="s">
        <v>10</v>
      </c>
      <c r="G1607" t="s">
        <v>9</v>
      </c>
      <c r="L1607">
        <f t="shared" si="126"/>
        <v>0</v>
      </c>
      <c r="M1607">
        <f t="shared" si="127"/>
        <v>0</v>
      </c>
      <c r="N1607">
        <f t="shared" si="128"/>
        <v>0</v>
      </c>
      <c r="O1607">
        <f t="shared" si="125"/>
        <v>1</v>
      </c>
      <c r="P1607" t="str">
        <f t="shared" si="129"/>
        <v/>
      </c>
      <c r="Q1607">
        <f>COUNTIF('責任職　企業局→市長部局'!A:A,SQLデータ!B1607)</f>
        <v>0</v>
      </c>
      <c r="R1607">
        <f>COUNTIF('一般職員　企業局→市長部局'!A:F,SQLデータ!B1607)</f>
        <v>0</v>
      </c>
    </row>
    <row r="1608" spans="1:18" x14ac:dyDescent="0.4">
      <c r="A1608" s="1">
        <v>202650001425</v>
      </c>
      <c r="B1608" s="1">
        <v>1246011</v>
      </c>
      <c r="C1608" s="2">
        <v>46117</v>
      </c>
      <c r="D1608" t="s">
        <v>17</v>
      </c>
      <c r="E1608" t="s">
        <v>10</v>
      </c>
      <c r="G1608" t="s">
        <v>9</v>
      </c>
      <c r="L1608">
        <f t="shared" si="126"/>
        <v>0</v>
      </c>
      <c r="M1608">
        <f t="shared" si="127"/>
        <v>0</v>
      </c>
      <c r="N1608">
        <f t="shared" si="128"/>
        <v>0</v>
      </c>
      <c r="O1608">
        <f t="shared" si="125"/>
        <v>1</v>
      </c>
      <c r="P1608" t="str">
        <f t="shared" si="129"/>
        <v/>
      </c>
      <c r="Q1608">
        <f>COUNTIF('責任職　企業局→市長部局'!A:A,SQLデータ!B1608)</f>
        <v>0</v>
      </c>
      <c r="R1608">
        <f>COUNTIF('一般職員　企業局→市長部局'!A:F,SQLデータ!B1608)</f>
        <v>0</v>
      </c>
    </row>
    <row r="1609" spans="1:18" x14ac:dyDescent="0.4">
      <c r="A1609" s="1">
        <v>202650001426</v>
      </c>
      <c r="B1609" s="1">
        <v>1086050</v>
      </c>
      <c r="C1609" s="2">
        <v>46117</v>
      </c>
      <c r="D1609" t="s">
        <v>17</v>
      </c>
      <c r="E1609" t="s">
        <v>8</v>
      </c>
      <c r="G1609" t="s">
        <v>9</v>
      </c>
      <c r="L1609">
        <f t="shared" si="126"/>
        <v>0</v>
      </c>
      <c r="M1609">
        <f t="shared" si="127"/>
        <v>0</v>
      </c>
      <c r="N1609">
        <f t="shared" si="128"/>
        <v>0</v>
      </c>
      <c r="O1609">
        <f t="shared" ref="O1609:O1672" si="130">IF(COUNTIF(L1609:N1609,0)=3,1,0)</f>
        <v>1</v>
      </c>
      <c r="P1609" t="str">
        <f t="shared" si="129"/>
        <v/>
      </c>
      <c r="Q1609">
        <f>COUNTIF('責任職　企業局→市長部局'!A:A,SQLデータ!B1609)</f>
        <v>0</v>
      </c>
      <c r="R1609">
        <f>COUNTIF('一般職員　企業局→市長部局'!A:F,SQLデータ!B1609)</f>
        <v>0</v>
      </c>
    </row>
    <row r="1610" spans="1:18" x14ac:dyDescent="0.4">
      <c r="A1610" s="1">
        <v>202650001427</v>
      </c>
      <c r="B1610" s="1">
        <v>1206145</v>
      </c>
      <c r="C1610" s="2">
        <v>46117</v>
      </c>
      <c r="D1610" t="s">
        <v>17</v>
      </c>
      <c r="E1610" t="s">
        <v>10</v>
      </c>
      <c r="G1610" t="s">
        <v>9</v>
      </c>
      <c r="L1610">
        <f t="shared" si="126"/>
        <v>0</v>
      </c>
      <c r="M1610">
        <f t="shared" si="127"/>
        <v>0</v>
      </c>
      <c r="N1610">
        <f t="shared" si="128"/>
        <v>0</v>
      </c>
      <c r="O1610">
        <f t="shared" si="130"/>
        <v>1</v>
      </c>
      <c r="P1610" t="str">
        <f t="shared" si="129"/>
        <v/>
      </c>
      <c r="Q1610">
        <f>COUNTIF('責任職　企業局→市長部局'!A:A,SQLデータ!B1610)</f>
        <v>0</v>
      </c>
      <c r="R1610">
        <f>COUNTIF('一般職員　企業局→市長部局'!A:F,SQLデータ!B1610)</f>
        <v>0</v>
      </c>
    </row>
    <row r="1611" spans="1:18" x14ac:dyDescent="0.4">
      <c r="A1611" s="1">
        <v>202650001428</v>
      </c>
      <c r="B1611" s="1">
        <v>1046007</v>
      </c>
      <c r="C1611" s="2">
        <v>46117</v>
      </c>
      <c r="D1611" t="s">
        <v>17</v>
      </c>
      <c r="E1611" t="s">
        <v>10</v>
      </c>
      <c r="G1611" t="s">
        <v>9</v>
      </c>
      <c r="L1611">
        <f t="shared" si="126"/>
        <v>0</v>
      </c>
      <c r="M1611">
        <f t="shared" si="127"/>
        <v>0</v>
      </c>
      <c r="N1611">
        <f t="shared" si="128"/>
        <v>0</v>
      </c>
      <c r="O1611">
        <f t="shared" si="130"/>
        <v>1</v>
      </c>
      <c r="P1611" t="str">
        <f t="shared" si="129"/>
        <v/>
      </c>
      <c r="Q1611">
        <f>COUNTIF('責任職　企業局→市長部局'!A:A,SQLデータ!B1611)</f>
        <v>0</v>
      </c>
      <c r="R1611">
        <f>COUNTIF('一般職員　企業局→市長部局'!A:F,SQLデータ!B1611)</f>
        <v>0</v>
      </c>
    </row>
    <row r="1612" spans="1:18" x14ac:dyDescent="0.4">
      <c r="A1612" s="1">
        <v>202650001429</v>
      </c>
      <c r="B1612" s="1">
        <v>1091128</v>
      </c>
      <c r="C1612" s="2">
        <v>46117</v>
      </c>
      <c r="D1612" t="s">
        <v>17</v>
      </c>
      <c r="E1612" t="s">
        <v>10</v>
      </c>
      <c r="G1612" t="s">
        <v>9</v>
      </c>
      <c r="L1612">
        <f t="shared" si="126"/>
        <v>0</v>
      </c>
      <c r="M1612">
        <f t="shared" si="127"/>
        <v>0</v>
      </c>
      <c r="N1612">
        <f t="shared" si="128"/>
        <v>0</v>
      </c>
      <c r="O1612">
        <f t="shared" si="130"/>
        <v>1</v>
      </c>
      <c r="P1612" t="str">
        <f t="shared" si="129"/>
        <v/>
      </c>
      <c r="Q1612">
        <f>COUNTIF('責任職　企業局→市長部局'!A:A,SQLデータ!B1612)</f>
        <v>0</v>
      </c>
      <c r="R1612">
        <f>COUNTIF('一般職員　企業局→市長部局'!A:F,SQLデータ!B1612)</f>
        <v>0</v>
      </c>
    </row>
    <row r="1613" spans="1:18" x14ac:dyDescent="0.4">
      <c r="A1613" s="1">
        <v>202650001430</v>
      </c>
      <c r="B1613" s="1">
        <v>830435</v>
      </c>
      <c r="C1613" s="2">
        <v>46117</v>
      </c>
      <c r="D1613" t="s">
        <v>17</v>
      </c>
      <c r="E1613" t="s">
        <v>11</v>
      </c>
      <c r="G1613" t="s">
        <v>9</v>
      </c>
      <c r="L1613">
        <f t="shared" si="126"/>
        <v>0</v>
      </c>
      <c r="M1613">
        <f t="shared" si="127"/>
        <v>0</v>
      </c>
      <c r="N1613">
        <f t="shared" si="128"/>
        <v>0</v>
      </c>
      <c r="O1613">
        <f t="shared" si="130"/>
        <v>1</v>
      </c>
      <c r="P1613" t="str">
        <f t="shared" si="129"/>
        <v/>
      </c>
      <c r="Q1613">
        <f>COUNTIF('責任職　企業局→市長部局'!A:A,SQLデータ!B1613)</f>
        <v>0</v>
      </c>
      <c r="R1613">
        <f>COUNTIF('一般職員　企業局→市長部局'!A:F,SQLデータ!B1613)</f>
        <v>0</v>
      </c>
    </row>
    <row r="1614" spans="1:18" x14ac:dyDescent="0.4">
      <c r="A1614" s="1">
        <v>202650001431</v>
      </c>
      <c r="B1614" s="1">
        <v>5005708</v>
      </c>
      <c r="C1614" s="2">
        <v>46117</v>
      </c>
      <c r="D1614" t="s">
        <v>17</v>
      </c>
      <c r="E1614" t="s">
        <v>10</v>
      </c>
      <c r="G1614" t="s">
        <v>9</v>
      </c>
      <c r="L1614">
        <f t="shared" si="126"/>
        <v>0</v>
      </c>
      <c r="M1614">
        <f t="shared" si="127"/>
        <v>0</v>
      </c>
      <c r="N1614">
        <f t="shared" si="128"/>
        <v>0</v>
      </c>
      <c r="O1614">
        <f t="shared" si="130"/>
        <v>1</v>
      </c>
      <c r="P1614" t="str">
        <f t="shared" si="129"/>
        <v/>
      </c>
      <c r="Q1614">
        <f>COUNTIF('責任職　企業局→市長部局'!A:A,SQLデータ!B1614)</f>
        <v>0</v>
      </c>
      <c r="R1614">
        <f>COUNTIF('一般職員　企業局→市長部局'!A:F,SQLデータ!B1614)</f>
        <v>0</v>
      </c>
    </row>
    <row r="1615" spans="1:18" x14ac:dyDescent="0.4">
      <c r="A1615" s="1">
        <v>202650001432</v>
      </c>
      <c r="B1615" s="1">
        <v>900059</v>
      </c>
      <c r="C1615" s="2">
        <v>46117</v>
      </c>
      <c r="D1615" t="s">
        <v>17</v>
      </c>
      <c r="E1615" t="s">
        <v>11</v>
      </c>
      <c r="G1615" t="s">
        <v>9</v>
      </c>
      <c r="L1615">
        <f t="shared" si="126"/>
        <v>0</v>
      </c>
      <c r="M1615">
        <f t="shared" si="127"/>
        <v>0</v>
      </c>
      <c r="N1615">
        <f t="shared" si="128"/>
        <v>0</v>
      </c>
      <c r="O1615">
        <f t="shared" si="130"/>
        <v>1</v>
      </c>
      <c r="P1615" t="str">
        <f t="shared" si="129"/>
        <v/>
      </c>
      <c r="Q1615">
        <f>COUNTIF('責任職　企業局→市長部局'!A:A,SQLデータ!B1615)</f>
        <v>0</v>
      </c>
      <c r="R1615">
        <f>COUNTIF('一般職員　企業局→市長部局'!A:F,SQLデータ!B1615)</f>
        <v>0</v>
      </c>
    </row>
    <row r="1616" spans="1:18" x14ac:dyDescent="0.4">
      <c r="A1616" s="1">
        <v>202650001433</v>
      </c>
      <c r="B1616" s="1">
        <v>1226135</v>
      </c>
      <c r="C1616" s="2">
        <v>46117</v>
      </c>
      <c r="D1616" t="s">
        <v>17</v>
      </c>
      <c r="E1616" t="s">
        <v>10</v>
      </c>
      <c r="G1616" t="s">
        <v>9</v>
      </c>
      <c r="L1616">
        <f t="shared" si="126"/>
        <v>0</v>
      </c>
      <c r="M1616">
        <f t="shared" si="127"/>
        <v>0</v>
      </c>
      <c r="N1616">
        <f t="shared" si="128"/>
        <v>0</v>
      </c>
      <c r="O1616">
        <f t="shared" si="130"/>
        <v>1</v>
      </c>
      <c r="P1616" t="str">
        <f t="shared" si="129"/>
        <v/>
      </c>
      <c r="Q1616">
        <f>COUNTIF('責任職　企業局→市長部局'!A:A,SQLデータ!B1616)</f>
        <v>0</v>
      </c>
      <c r="R1616">
        <f>COUNTIF('一般職員　企業局→市長部局'!A:F,SQLデータ!B1616)</f>
        <v>0</v>
      </c>
    </row>
    <row r="1617" spans="1:18" x14ac:dyDescent="0.4">
      <c r="A1617" s="1">
        <v>202650001434</v>
      </c>
      <c r="B1617" s="1">
        <v>930145</v>
      </c>
      <c r="C1617" s="2">
        <v>46121</v>
      </c>
      <c r="D1617" t="s">
        <v>17</v>
      </c>
      <c r="E1617" t="s">
        <v>8</v>
      </c>
      <c r="F1617" t="s">
        <v>47</v>
      </c>
      <c r="G1617" t="s">
        <v>9</v>
      </c>
      <c r="L1617">
        <f t="shared" si="126"/>
        <v>0</v>
      </c>
      <c r="M1617">
        <f t="shared" si="127"/>
        <v>0</v>
      </c>
      <c r="N1617">
        <f t="shared" si="128"/>
        <v>0</v>
      </c>
      <c r="O1617">
        <f t="shared" si="130"/>
        <v>1</v>
      </c>
      <c r="P1617" t="str">
        <f t="shared" si="129"/>
        <v/>
      </c>
      <c r="Q1617">
        <f>COUNTIF('責任職　企業局→市長部局'!A:A,SQLデータ!B1617)</f>
        <v>0</v>
      </c>
      <c r="R1617">
        <f>COUNTIF('一般職員　企業局→市長部局'!A:F,SQLデータ!B1617)</f>
        <v>0</v>
      </c>
    </row>
    <row r="1618" spans="1:18" x14ac:dyDescent="0.4">
      <c r="A1618" s="1">
        <v>202650001435</v>
      </c>
      <c r="B1618" s="1">
        <v>1216055</v>
      </c>
      <c r="C1618" s="2">
        <v>46117</v>
      </c>
      <c r="D1618" t="s">
        <v>17</v>
      </c>
      <c r="E1618" t="s">
        <v>10</v>
      </c>
      <c r="G1618" t="s">
        <v>9</v>
      </c>
      <c r="L1618">
        <f t="shared" si="126"/>
        <v>0</v>
      </c>
      <c r="M1618">
        <f t="shared" si="127"/>
        <v>0</v>
      </c>
      <c r="N1618">
        <f t="shared" si="128"/>
        <v>0</v>
      </c>
      <c r="O1618">
        <f t="shared" si="130"/>
        <v>1</v>
      </c>
      <c r="P1618" t="str">
        <f t="shared" si="129"/>
        <v/>
      </c>
      <c r="Q1618">
        <f>COUNTIF('責任職　企業局→市長部局'!A:A,SQLデータ!B1618)</f>
        <v>0</v>
      </c>
      <c r="R1618">
        <f>COUNTIF('一般職員　企業局→市長部局'!A:F,SQLデータ!B1618)</f>
        <v>0</v>
      </c>
    </row>
    <row r="1619" spans="1:18" x14ac:dyDescent="0.4">
      <c r="A1619" s="1">
        <v>202650001436</v>
      </c>
      <c r="B1619" s="1">
        <v>1226129</v>
      </c>
      <c r="C1619" s="2">
        <v>46117</v>
      </c>
      <c r="D1619" t="s">
        <v>17</v>
      </c>
      <c r="E1619" t="s">
        <v>11</v>
      </c>
      <c r="G1619" t="s">
        <v>9</v>
      </c>
      <c r="L1619">
        <f t="shared" si="126"/>
        <v>0</v>
      </c>
      <c r="M1619">
        <f t="shared" si="127"/>
        <v>0</v>
      </c>
      <c r="N1619">
        <f t="shared" si="128"/>
        <v>0</v>
      </c>
      <c r="O1619">
        <f t="shared" si="130"/>
        <v>1</v>
      </c>
      <c r="P1619" t="str">
        <f t="shared" si="129"/>
        <v/>
      </c>
      <c r="Q1619">
        <f>COUNTIF('責任職　企業局→市長部局'!A:A,SQLデータ!B1619)</f>
        <v>0</v>
      </c>
      <c r="R1619">
        <f>COUNTIF('一般職員　企業局→市長部局'!A:F,SQLデータ!B1619)</f>
        <v>0</v>
      </c>
    </row>
    <row r="1620" spans="1:18" x14ac:dyDescent="0.4">
      <c r="A1620" s="1">
        <v>202650001437</v>
      </c>
      <c r="B1620" s="1">
        <v>930106</v>
      </c>
      <c r="C1620" s="2">
        <v>46117</v>
      </c>
      <c r="D1620" t="s">
        <v>17</v>
      </c>
      <c r="E1620" t="s">
        <v>15</v>
      </c>
      <c r="G1620" t="s">
        <v>9</v>
      </c>
      <c r="L1620">
        <f t="shared" si="126"/>
        <v>0</v>
      </c>
      <c r="M1620">
        <f t="shared" si="127"/>
        <v>0</v>
      </c>
      <c r="N1620">
        <f t="shared" si="128"/>
        <v>0</v>
      </c>
      <c r="O1620">
        <f t="shared" si="130"/>
        <v>1</v>
      </c>
      <c r="P1620" t="str">
        <f t="shared" si="129"/>
        <v/>
      </c>
      <c r="Q1620">
        <f>COUNTIF('責任職　企業局→市長部局'!A:A,SQLデータ!B1620)</f>
        <v>0</v>
      </c>
      <c r="R1620">
        <f>COUNTIF('一般職員　企業局→市長部局'!A:F,SQLデータ!B1620)</f>
        <v>0</v>
      </c>
    </row>
    <row r="1621" spans="1:18" x14ac:dyDescent="0.4">
      <c r="A1621" s="1">
        <v>202650001438</v>
      </c>
      <c r="B1621" s="1">
        <v>1196004</v>
      </c>
      <c r="C1621" s="2">
        <v>46117</v>
      </c>
      <c r="D1621" t="s">
        <v>17</v>
      </c>
      <c r="E1621" t="s">
        <v>8</v>
      </c>
      <c r="G1621" t="s">
        <v>9</v>
      </c>
      <c r="L1621">
        <f t="shared" si="126"/>
        <v>0</v>
      </c>
      <c r="M1621">
        <f t="shared" si="127"/>
        <v>0</v>
      </c>
      <c r="N1621">
        <f t="shared" si="128"/>
        <v>0</v>
      </c>
      <c r="O1621">
        <f t="shared" si="130"/>
        <v>1</v>
      </c>
      <c r="P1621" t="str">
        <f t="shared" si="129"/>
        <v/>
      </c>
      <c r="Q1621">
        <f>COUNTIF('責任職　企業局→市長部局'!A:A,SQLデータ!B1621)</f>
        <v>0</v>
      </c>
      <c r="R1621">
        <f>COUNTIF('一般職員　企業局→市長部局'!A:F,SQLデータ!B1621)</f>
        <v>0</v>
      </c>
    </row>
    <row r="1622" spans="1:18" x14ac:dyDescent="0.4">
      <c r="A1622" s="1">
        <v>202650001439</v>
      </c>
      <c r="B1622" s="1">
        <v>1016074</v>
      </c>
      <c r="C1622" s="2">
        <v>46117</v>
      </c>
      <c r="D1622" t="s">
        <v>17</v>
      </c>
      <c r="E1622" t="s">
        <v>10</v>
      </c>
      <c r="G1622" t="s">
        <v>9</v>
      </c>
      <c r="L1622">
        <f t="shared" si="126"/>
        <v>0</v>
      </c>
      <c r="M1622">
        <f t="shared" si="127"/>
        <v>0</v>
      </c>
      <c r="N1622">
        <f t="shared" si="128"/>
        <v>0</v>
      </c>
      <c r="O1622">
        <f t="shared" si="130"/>
        <v>1</v>
      </c>
      <c r="P1622" t="str">
        <f t="shared" si="129"/>
        <v/>
      </c>
      <c r="Q1622">
        <f>COUNTIF('責任職　企業局→市長部局'!A:A,SQLデータ!B1622)</f>
        <v>0</v>
      </c>
      <c r="R1622">
        <f>COUNTIF('一般職員　企業局→市長部局'!A:F,SQLデータ!B1622)</f>
        <v>0</v>
      </c>
    </row>
    <row r="1623" spans="1:18" x14ac:dyDescent="0.4">
      <c r="A1623" s="1">
        <v>202650001440</v>
      </c>
      <c r="B1623" s="1">
        <v>1126033</v>
      </c>
      <c r="C1623" s="2">
        <v>46117</v>
      </c>
      <c r="D1623" t="s">
        <v>17</v>
      </c>
      <c r="E1623" t="s">
        <v>11</v>
      </c>
      <c r="G1623" t="s">
        <v>9</v>
      </c>
      <c r="L1623">
        <f t="shared" si="126"/>
        <v>0</v>
      </c>
      <c r="M1623">
        <f t="shared" si="127"/>
        <v>0</v>
      </c>
      <c r="N1623">
        <f t="shared" si="128"/>
        <v>0</v>
      </c>
      <c r="O1623">
        <f t="shared" si="130"/>
        <v>1</v>
      </c>
      <c r="P1623" t="str">
        <f t="shared" si="129"/>
        <v/>
      </c>
      <c r="Q1623">
        <f>COUNTIF('責任職　企業局→市長部局'!A:A,SQLデータ!B1623)</f>
        <v>0</v>
      </c>
      <c r="R1623">
        <f>COUNTIF('一般職員　企業局→市長部局'!A:F,SQLデータ!B1623)</f>
        <v>0</v>
      </c>
    </row>
    <row r="1624" spans="1:18" x14ac:dyDescent="0.4">
      <c r="A1624" s="1">
        <v>202650001441</v>
      </c>
      <c r="B1624" s="1">
        <v>1206008</v>
      </c>
      <c r="C1624" s="2">
        <v>46117</v>
      </c>
      <c r="D1624" t="s">
        <v>17</v>
      </c>
      <c r="E1624" t="s">
        <v>10</v>
      </c>
      <c r="G1624" t="s">
        <v>9</v>
      </c>
      <c r="L1624">
        <f t="shared" si="126"/>
        <v>0</v>
      </c>
      <c r="M1624">
        <f t="shared" si="127"/>
        <v>0</v>
      </c>
      <c r="N1624">
        <f t="shared" si="128"/>
        <v>0</v>
      </c>
      <c r="O1624">
        <f t="shared" si="130"/>
        <v>1</v>
      </c>
      <c r="P1624" t="str">
        <f t="shared" si="129"/>
        <v/>
      </c>
      <c r="Q1624">
        <f>COUNTIF('責任職　企業局→市長部局'!A:A,SQLデータ!B1624)</f>
        <v>0</v>
      </c>
      <c r="R1624">
        <f>COUNTIF('一般職員　企業局→市長部局'!A:F,SQLデータ!B1624)</f>
        <v>0</v>
      </c>
    </row>
    <row r="1625" spans="1:18" x14ac:dyDescent="0.4">
      <c r="A1625" s="1">
        <v>202650001442</v>
      </c>
      <c r="B1625" s="1">
        <v>1176008</v>
      </c>
      <c r="C1625" s="2">
        <v>46117</v>
      </c>
      <c r="D1625" t="s">
        <v>17</v>
      </c>
      <c r="E1625" t="s">
        <v>10</v>
      </c>
      <c r="G1625" t="s">
        <v>9</v>
      </c>
      <c r="L1625">
        <f t="shared" si="126"/>
        <v>0</v>
      </c>
      <c r="M1625">
        <f t="shared" si="127"/>
        <v>0</v>
      </c>
      <c r="N1625">
        <f t="shared" si="128"/>
        <v>0</v>
      </c>
      <c r="O1625">
        <f t="shared" si="130"/>
        <v>1</v>
      </c>
      <c r="P1625" t="str">
        <f t="shared" si="129"/>
        <v/>
      </c>
      <c r="Q1625">
        <f>COUNTIF('責任職　企業局→市長部局'!A:A,SQLデータ!B1625)</f>
        <v>0</v>
      </c>
      <c r="R1625">
        <f>COUNTIF('一般職員　企業局→市長部局'!A:F,SQLデータ!B1625)</f>
        <v>0</v>
      </c>
    </row>
    <row r="1626" spans="1:18" x14ac:dyDescent="0.4">
      <c r="A1626" s="1">
        <v>202650001443</v>
      </c>
      <c r="B1626" s="1">
        <v>1076061</v>
      </c>
      <c r="C1626" s="2">
        <v>46117</v>
      </c>
      <c r="D1626" t="s">
        <v>17</v>
      </c>
      <c r="E1626" t="s">
        <v>10</v>
      </c>
      <c r="G1626" t="s">
        <v>9</v>
      </c>
      <c r="L1626">
        <f t="shared" si="126"/>
        <v>0</v>
      </c>
      <c r="M1626">
        <f t="shared" si="127"/>
        <v>0</v>
      </c>
      <c r="N1626">
        <f t="shared" si="128"/>
        <v>0</v>
      </c>
      <c r="O1626">
        <f t="shared" si="130"/>
        <v>1</v>
      </c>
      <c r="P1626" t="str">
        <f t="shared" si="129"/>
        <v/>
      </c>
      <c r="Q1626">
        <f>COUNTIF('責任職　企業局→市長部局'!A:A,SQLデータ!B1626)</f>
        <v>0</v>
      </c>
      <c r="R1626">
        <f>COUNTIF('一般職員　企業局→市長部局'!A:F,SQLデータ!B1626)</f>
        <v>0</v>
      </c>
    </row>
    <row r="1627" spans="1:18" x14ac:dyDescent="0.4">
      <c r="A1627" s="1">
        <v>202650001444</v>
      </c>
      <c r="B1627" s="1">
        <v>1096017</v>
      </c>
      <c r="C1627" s="2">
        <v>46117</v>
      </c>
      <c r="D1627" t="s">
        <v>17</v>
      </c>
      <c r="E1627" t="s">
        <v>10</v>
      </c>
      <c r="F1627" t="s">
        <v>54</v>
      </c>
      <c r="G1627" t="s">
        <v>9</v>
      </c>
      <c r="L1627">
        <f t="shared" si="126"/>
        <v>0</v>
      </c>
      <c r="M1627">
        <f t="shared" si="127"/>
        <v>0</v>
      </c>
      <c r="N1627">
        <f t="shared" si="128"/>
        <v>0</v>
      </c>
      <c r="O1627">
        <f t="shared" si="130"/>
        <v>1</v>
      </c>
      <c r="P1627" t="str">
        <f t="shared" si="129"/>
        <v/>
      </c>
      <c r="Q1627">
        <f>COUNTIF('責任職　企業局→市長部局'!A:A,SQLデータ!B1627)</f>
        <v>0</v>
      </c>
      <c r="R1627">
        <f>COUNTIF('一般職員　企業局→市長部局'!A:F,SQLデータ!B1627)</f>
        <v>0</v>
      </c>
    </row>
    <row r="1628" spans="1:18" x14ac:dyDescent="0.4">
      <c r="A1628" s="1">
        <v>202650001445</v>
      </c>
      <c r="B1628" s="1">
        <v>940058</v>
      </c>
      <c r="C1628" s="2">
        <v>46117</v>
      </c>
      <c r="D1628" t="s">
        <v>17</v>
      </c>
      <c r="E1628" t="s">
        <v>10</v>
      </c>
      <c r="G1628" t="s">
        <v>9</v>
      </c>
      <c r="L1628">
        <f t="shared" si="126"/>
        <v>0</v>
      </c>
      <c r="M1628">
        <f t="shared" si="127"/>
        <v>0</v>
      </c>
      <c r="N1628">
        <f t="shared" si="128"/>
        <v>0</v>
      </c>
      <c r="O1628">
        <f t="shared" si="130"/>
        <v>1</v>
      </c>
      <c r="P1628" t="str">
        <f t="shared" si="129"/>
        <v/>
      </c>
      <c r="Q1628">
        <f>COUNTIF('責任職　企業局→市長部局'!A:A,SQLデータ!B1628)</f>
        <v>0</v>
      </c>
      <c r="R1628">
        <f>COUNTIF('一般職員　企業局→市長部局'!A:F,SQLデータ!B1628)</f>
        <v>0</v>
      </c>
    </row>
    <row r="1629" spans="1:18" x14ac:dyDescent="0.4">
      <c r="A1629" s="1">
        <v>202650001446</v>
      </c>
      <c r="B1629" s="1">
        <v>1241272</v>
      </c>
      <c r="C1629" s="2">
        <v>46117</v>
      </c>
      <c r="D1629" t="s">
        <v>17</v>
      </c>
      <c r="E1629" t="s">
        <v>8</v>
      </c>
      <c r="G1629" t="s">
        <v>9</v>
      </c>
      <c r="L1629">
        <f t="shared" si="126"/>
        <v>0</v>
      </c>
      <c r="M1629">
        <f t="shared" si="127"/>
        <v>0</v>
      </c>
      <c r="N1629">
        <f t="shared" si="128"/>
        <v>0</v>
      </c>
      <c r="O1629">
        <f t="shared" si="130"/>
        <v>1</v>
      </c>
      <c r="P1629" t="str">
        <f t="shared" si="129"/>
        <v/>
      </c>
      <c r="Q1629">
        <f>COUNTIF('責任職　企業局→市長部局'!A:A,SQLデータ!B1629)</f>
        <v>0</v>
      </c>
      <c r="R1629">
        <f>COUNTIF('一般職員　企業局→市長部局'!A:F,SQLデータ!B1629)</f>
        <v>0</v>
      </c>
    </row>
    <row r="1630" spans="1:18" x14ac:dyDescent="0.4">
      <c r="A1630" s="1">
        <v>202650001447</v>
      </c>
      <c r="B1630" s="1">
        <v>1216127</v>
      </c>
      <c r="C1630" s="2">
        <v>46117</v>
      </c>
      <c r="D1630" t="s">
        <v>17</v>
      </c>
      <c r="E1630" t="s">
        <v>10</v>
      </c>
      <c r="G1630" t="s">
        <v>9</v>
      </c>
      <c r="L1630">
        <f t="shared" si="126"/>
        <v>0</v>
      </c>
      <c r="M1630">
        <f t="shared" si="127"/>
        <v>0</v>
      </c>
      <c r="N1630">
        <f t="shared" si="128"/>
        <v>0</v>
      </c>
      <c r="O1630">
        <f t="shared" si="130"/>
        <v>1</v>
      </c>
      <c r="P1630" t="str">
        <f t="shared" si="129"/>
        <v/>
      </c>
      <c r="Q1630">
        <f>COUNTIF('責任職　企業局→市長部局'!A:A,SQLデータ!B1630)</f>
        <v>0</v>
      </c>
      <c r="R1630">
        <f>COUNTIF('一般職員　企業局→市長部局'!A:F,SQLデータ!B1630)</f>
        <v>0</v>
      </c>
    </row>
    <row r="1631" spans="1:18" x14ac:dyDescent="0.4">
      <c r="A1631" s="1">
        <v>202650001448</v>
      </c>
      <c r="B1631" s="1">
        <v>1036009</v>
      </c>
      <c r="C1631" s="2">
        <v>46119</v>
      </c>
      <c r="D1631" t="s">
        <v>17</v>
      </c>
      <c r="E1631" t="s">
        <v>10</v>
      </c>
      <c r="G1631" t="s">
        <v>9</v>
      </c>
      <c r="L1631">
        <f t="shared" si="126"/>
        <v>0</v>
      </c>
      <c r="M1631">
        <f t="shared" si="127"/>
        <v>0</v>
      </c>
      <c r="N1631">
        <f t="shared" si="128"/>
        <v>0</v>
      </c>
      <c r="O1631">
        <f t="shared" si="130"/>
        <v>1</v>
      </c>
      <c r="P1631" t="str">
        <f t="shared" si="129"/>
        <v/>
      </c>
      <c r="Q1631">
        <f>COUNTIF('責任職　企業局→市長部局'!A:A,SQLデータ!B1631)</f>
        <v>0</v>
      </c>
      <c r="R1631">
        <f>COUNTIF('一般職員　企業局→市長部局'!A:F,SQLデータ!B1631)</f>
        <v>0</v>
      </c>
    </row>
    <row r="1632" spans="1:18" x14ac:dyDescent="0.4">
      <c r="A1632" s="1">
        <v>202650001449</v>
      </c>
      <c r="B1632" s="1">
        <v>1156050</v>
      </c>
      <c r="C1632" s="2">
        <v>46117</v>
      </c>
      <c r="D1632" t="s">
        <v>17</v>
      </c>
      <c r="E1632" t="s">
        <v>10</v>
      </c>
      <c r="G1632" t="s">
        <v>9</v>
      </c>
      <c r="L1632">
        <f t="shared" si="126"/>
        <v>0</v>
      </c>
      <c r="M1632">
        <f t="shared" si="127"/>
        <v>0</v>
      </c>
      <c r="N1632">
        <f t="shared" si="128"/>
        <v>0</v>
      </c>
      <c r="O1632">
        <f t="shared" si="130"/>
        <v>1</v>
      </c>
      <c r="P1632" t="str">
        <f t="shared" si="129"/>
        <v/>
      </c>
      <c r="Q1632">
        <f>COUNTIF('責任職　企業局→市長部局'!A:A,SQLデータ!B1632)</f>
        <v>0</v>
      </c>
      <c r="R1632">
        <f>COUNTIF('一般職員　企業局→市長部局'!A:F,SQLデータ!B1632)</f>
        <v>0</v>
      </c>
    </row>
    <row r="1633" spans="1:18" x14ac:dyDescent="0.4">
      <c r="A1633" s="1">
        <v>202650001450</v>
      </c>
      <c r="B1633" s="1">
        <v>830381</v>
      </c>
      <c r="C1633" s="2">
        <v>46117</v>
      </c>
      <c r="D1633" t="s">
        <v>17</v>
      </c>
      <c r="E1633" t="s">
        <v>10</v>
      </c>
      <c r="G1633" t="s">
        <v>9</v>
      </c>
      <c r="L1633">
        <f t="shared" si="126"/>
        <v>0</v>
      </c>
      <c r="M1633">
        <f t="shared" si="127"/>
        <v>0</v>
      </c>
      <c r="N1633">
        <f t="shared" si="128"/>
        <v>0</v>
      </c>
      <c r="O1633">
        <f t="shared" si="130"/>
        <v>1</v>
      </c>
      <c r="P1633" t="str">
        <f t="shared" si="129"/>
        <v/>
      </c>
      <c r="Q1633">
        <f>COUNTIF('責任職　企業局→市長部局'!A:A,SQLデータ!B1633)</f>
        <v>0</v>
      </c>
      <c r="R1633">
        <f>COUNTIF('一般職員　企業局→市長部局'!A:F,SQLデータ!B1633)</f>
        <v>0</v>
      </c>
    </row>
    <row r="1634" spans="1:18" x14ac:dyDescent="0.4">
      <c r="A1634" s="1">
        <v>202650001451</v>
      </c>
      <c r="B1634" s="1">
        <v>1116108</v>
      </c>
      <c r="C1634" s="2">
        <v>46117</v>
      </c>
      <c r="D1634" t="s">
        <v>17</v>
      </c>
      <c r="E1634" t="s">
        <v>10</v>
      </c>
      <c r="G1634" t="s">
        <v>9</v>
      </c>
      <c r="L1634">
        <f t="shared" si="126"/>
        <v>0</v>
      </c>
      <c r="M1634">
        <f t="shared" si="127"/>
        <v>0</v>
      </c>
      <c r="N1634">
        <f t="shared" si="128"/>
        <v>0</v>
      </c>
      <c r="O1634">
        <f t="shared" si="130"/>
        <v>1</v>
      </c>
      <c r="P1634" t="str">
        <f t="shared" si="129"/>
        <v/>
      </c>
      <c r="Q1634">
        <f>COUNTIF('責任職　企業局→市長部局'!A:A,SQLデータ!B1634)</f>
        <v>0</v>
      </c>
      <c r="R1634">
        <f>COUNTIF('一般職員　企業局→市長部局'!A:F,SQLデータ!B1634)</f>
        <v>0</v>
      </c>
    </row>
    <row r="1635" spans="1:18" x14ac:dyDescent="0.4">
      <c r="A1635" s="1">
        <v>202650001452</v>
      </c>
      <c r="B1635" s="1">
        <v>1116015</v>
      </c>
      <c r="C1635" s="2">
        <v>46117</v>
      </c>
      <c r="D1635" t="s">
        <v>17</v>
      </c>
      <c r="E1635" t="s">
        <v>10</v>
      </c>
      <c r="G1635" t="s">
        <v>9</v>
      </c>
      <c r="L1635">
        <f t="shared" si="126"/>
        <v>0</v>
      </c>
      <c r="M1635">
        <f t="shared" si="127"/>
        <v>0</v>
      </c>
      <c r="N1635">
        <f t="shared" si="128"/>
        <v>0</v>
      </c>
      <c r="O1635">
        <f t="shared" si="130"/>
        <v>1</v>
      </c>
      <c r="P1635" t="str">
        <f t="shared" si="129"/>
        <v/>
      </c>
      <c r="Q1635">
        <f>COUNTIF('責任職　企業局→市長部局'!A:A,SQLデータ!B1635)</f>
        <v>0</v>
      </c>
      <c r="R1635">
        <f>COUNTIF('一般職員　企業局→市長部局'!A:F,SQLデータ!B1635)</f>
        <v>0</v>
      </c>
    </row>
    <row r="1636" spans="1:18" x14ac:dyDescent="0.4">
      <c r="A1636" s="1">
        <v>202650001453</v>
      </c>
      <c r="B1636" s="1">
        <v>996006</v>
      </c>
      <c r="C1636" s="2">
        <v>46117</v>
      </c>
      <c r="D1636" t="s">
        <v>17</v>
      </c>
      <c r="E1636" t="s">
        <v>10</v>
      </c>
      <c r="G1636" t="s">
        <v>9</v>
      </c>
      <c r="L1636">
        <f t="shared" si="126"/>
        <v>0</v>
      </c>
      <c r="M1636">
        <f t="shared" si="127"/>
        <v>0</v>
      </c>
      <c r="N1636">
        <f t="shared" si="128"/>
        <v>0</v>
      </c>
      <c r="O1636">
        <f t="shared" si="130"/>
        <v>1</v>
      </c>
      <c r="P1636" t="str">
        <f t="shared" si="129"/>
        <v/>
      </c>
      <c r="Q1636">
        <f>COUNTIF('責任職　企業局→市長部局'!A:A,SQLデータ!B1636)</f>
        <v>0</v>
      </c>
      <c r="R1636">
        <f>COUNTIF('一般職員　企業局→市長部局'!A:F,SQLデータ!B1636)</f>
        <v>0</v>
      </c>
    </row>
    <row r="1637" spans="1:18" x14ac:dyDescent="0.4">
      <c r="A1637" s="1">
        <v>202650001454</v>
      </c>
      <c r="B1637" s="1">
        <v>976048</v>
      </c>
      <c r="C1637" s="2">
        <v>46117</v>
      </c>
      <c r="D1637" t="s">
        <v>17</v>
      </c>
      <c r="E1637" t="s">
        <v>10</v>
      </c>
      <c r="G1637" t="s">
        <v>9</v>
      </c>
      <c r="L1637">
        <f t="shared" si="126"/>
        <v>0</v>
      </c>
      <c r="M1637">
        <f t="shared" si="127"/>
        <v>0</v>
      </c>
      <c r="N1637">
        <f t="shared" si="128"/>
        <v>0</v>
      </c>
      <c r="O1637">
        <f t="shared" si="130"/>
        <v>1</v>
      </c>
      <c r="P1637" t="str">
        <f t="shared" si="129"/>
        <v/>
      </c>
      <c r="Q1637">
        <f>COUNTIF('責任職　企業局→市長部局'!A:A,SQLデータ!B1637)</f>
        <v>0</v>
      </c>
      <c r="R1637">
        <f>COUNTIF('一般職員　企業局→市長部局'!A:F,SQLデータ!B1637)</f>
        <v>0</v>
      </c>
    </row>
    <row r="1638" spans="1:18" x14ac:dyDescent="0.4">
      <c r="A1638" s="1">
        <v>202650001455</v>
      </c>
      <c r="B1638" s="1">
        <v>1216093</v>
      </c>
      <c r="C1638" s="2">
        <v>46117</v>
      </c>
      <c r="D1638" t="s">
        <v>17</v>
      </c>
      <c r="E1638" t="s">
        <v>8</v>
      </c>
      <c r="G1638" t="s">
        <v>9</v>
      </c>
      <c r="L1638">
        <f t="shared" si="126"/>
        <v>0</v>
      </c>
      <c r="M1638">
        <f t="shared" si="127"/>
        <v>0</v>
      </c>
      <c r="N1638">
        <f t="shared" si="128"/>
        <v>0</v>
      </c>
      <c r="O1638">
        <f t="shared" si="130"/>
        <v>1</v>
      </c>
      <c r="P1638" t="str">
        <f t="shared" si="129"/>
        <v/>
      </c>
      <c r="Q1638">
        <f>COUNTIF('責任職　企業局→市長部局'!A:A,SQLデータ!B1638)</f>
        <v>0</v>
      </c>
      <c r="R1638">
        <f>COUNTIF('一般職員　企業局→市長部局'!A:F,SQLデータ!B1638)</f>
        <v>0</v>
      </c>
    </row>
    <row r="1639" spans="1:18" x14ac:dyDescent="0.4">
      <c r="A1639" s="1">
        <v>202650001456</v>
      </c>
      <c r="B1639" s="1">
        <v>1236045</v>
      </c>
      <c r="C1639" s="2">
        <v>46117</v>
      </c>
      <c r="D1639" t="s">
        <v>17</v>
      </c>
      <c r="E1639" t="s">
        <v>10</v>
      </c>
      <c r="G1639" t="s">
        <v>9</v>
      </c>
      <c r="L1639">
        <f t="shared" si="126"/>
        <v>0</v>
      </c>
      <c r="M1639">
        <f t="shared" si="127"/>
        <v>0</v>
      </c>
      <c r="N1639">
        <f t="shared" si="128"/>
        <v>0</v>
      </c>
      <c r="O1639">
        <f t="shared" si="130"/>
        <v>1</v>
      </c>
      <c r="P1639" t="str">
        <f t="shared" si="129"/>
        <v/>
      </c>
      <c r="Q1639">
        <f>COUNTIF('責任職　企業局→市長部局'!A:A,SQLデータ!B1639)</f>
        <v>0</v>
      </c>
      <c r="R1639">
        <f>COUNTIF('一般職員　企業局→市長部局'!A:F,SQLデータ!B1639)</f>
        <v>0</v>
      </c>
    </row>
    <row r="1640" spans="1:18" x14ac:dyDescent="0.4">
      <c r="A1640" s="1">
        <v>202650001457</v>
      </c>
      <c r="B1640" s="1">
        <v>1076017</v>
      </c>
      <c r="C1640" s="2">
        <v>46117</v>
      </c>
      <c r="D1640" t="s">
        <v>17</v>
      </c>
      <c r="E1640" t="s">
        <v>10</v>
      </c>
      <c r="G1640" t="s">
        <v>9</v>
      </c>
      <c r="L1640">
        <f t="shared" si="126"/>
        <v>0</v>
      </c>
      <c r="M1640">
        <f t="shared" si="127"/>
        <v>0</v>
      </c>
      <c r="N1640">
        <f t="shared" si="128"/>
        <v>0</v>
      </c>
      <c r="O1640">
        <f t="shared" si="130"/>
        <v>1</v>
      </c>
      <c r="P1640" t="str">
        <f t="shared" si="129"/>
        <v/>
      </c>
      <c r="Q1640">
        <f>COUNTIF('責任職　企業局→市長部局'!A:A,SQLデータ!B1640)</f>
        <v>0</v>
      </c>
      <c r="R1640">
        <f>COUNTIF('一般職員　企業局→市長部局'!A:F,SQLデータ!B1640)</f>
        <v>0</v>
      </c>
    </row>
    <row r="1641" spans="1:18" x14ac:dyDescent="0.4">
      <c r="A1641" s="1">
        <v>202650001458</v>
      </c>
      <c r="B1641" s="1">
        <v>1026076</v>
      </c>
      <c r="C1641" s="2">
        <v>46117</v>
      </c>
      <c r="D1641" t="s">
        <v>17</v>
      </c>
      <c r="E1641" t="s">
        <v>10</v>
      </c>
      <c r="G1641" t="s">
        <v>9</v>
      </c>
      <c r="L1641">
        <f t="shared" si="126"/>
        <v>0</v>
      </c>
      <c r="M1641">
        <f t="shared" si="127"/>
        <v>0</v>
      </c>
      <c r="N1641">
        <f t="shared" si="128"/>
        <v>0</v>
      </c>
      <c r="O1641">
        <f t="shared" si="130"/>
        <v>1</v>
      </c>
      <c r="P1641" t="str">
        <f t="shared" si="129"/>
        <v/>
      </c>
      <c r="Q1641">
        <f>COUNTIF('責任職　企業局→市長部局'!A:A,SQLデータ!B1641)</f>
        <v>0</v>
      </c>
      <c r="R1641">
        <f>COUNTIF('一般職員　企業局→市長部局'!A:F,SQLデータ!B1641)</f>
        <v>0</v>
      </c>
    </row>
    <row r="1642" spans="1:18" x14ac:dyDescent="0.4">
      <c r="A1642" s="1">
        <v>202650001459</v>
      </c>
      <c r="B1642" s="1">
        <v>1096032</v>
      </c>
      <c r="C1642" s="2">
        <v>46117</v>
      </c>
      <c r="D1642" t="s">
        <v>17</v>
      </c>
      <c r="E1642" t="s">
        <v>15</v>
      </c>
      <c r="G1642" t="s">
        <v>9</v>
      </c>
      <c r="L1642">
        <f t="shared" si="126"/>
        <v>0</v>
      </c>
      <c r="M1642">
        <f t="shared" si="127"/>
        <v>0</v>
      </c>
      <c r="N1642">
        <f t="shared" si="128"/>
        <v>0</v>
      </c>
      <c r="O1642">
        <f t="shared" si="130"/>
        <v>1</v>
      </c>
      <c r="P1642" t="str">
        <f t="shared" si="129"/>
        <v/>
      </c>
      <c r="Q1642">
        <f>COUNTIF('責任職　企業局→市長部局'!A:A,SQLデータ!B1642)</f>
        <v>0</v>
      </c>
      <c r="R1642">
        <f>COUNTIF('一般職員　企業局→市長部局'!A:F,SQLデータ!B1642)</f>
        <v>0</v>
      </c>
    </row>
    <row r="1643" spans="1:18" x14ac:dyDescent="0.4">
      <c r="A1643" s="1">
        <v>202650001460</v>
      </c>
      <c r="B1643" s="1">
        <v>1226045</v>
      </c>
      <c r="C1643" s="2">
        <v>46117</v>
      </c>
      <c r="D1643" t="s">
        <v>17</v>
      </c>
      <c r="E1643" t="s">
        <v>10</v>
      </c>
      <c r="G1643" t="s">
        <v>9</v>
      </c>
      <c r="L1643">
        <f t="shared" si="126"/>
        <v>0</v>
      </c>
      <c r="M1643">
        <f t="shared" si="127"/>
        <v>0</v>
      </c>
      <c r="N1643">
        <f t="shared" si="128"/>
        <v>0</v>
      </c>
      <c r="O1643">
        <f t="shared" si="130"/>
        <v>1</v>
      </c>
      <c r="P1643" t="str">
        <f t="shared" si="129"/>
        <v/>
      </c>
      <c r="Q1643">
        <f>COUNTIF('責任職　企業局→市長部局'!A:A,SQLデータ!B1643)</f>
        <v>0</v>
      </c>
      <c r="R1643">
        <f>COUNTIF('一般職員　企業局→市長部局'!A:F,SQLデータ!B1643)</f>
        <v>0</v>
      </c>
    </row>
    <row r="1644" spans="1:18" x14ac:dyDescent="0.4">
      <c r="A1644" s="1">
        <v>202650001461</v>
      </c>
      <c r="B1644" s="1">
        <v>1146101</v>
      </c>
      <c r="C1644" s="2">
        <v>46117</v>
      </c>
      <c r="D1644" t="s">
        <v>17</v>
      </c>
      <c r="E1644" t="s">
        <v>10</v>
      </c>
      <c r="G1644" t="s">
        <v>9</v>
      </c>
      <c r="L1644">
        <f t="shared" si="126"/>
        <v>0</v>
      </c>
      <c r="M1644">
        <f t="shared" si="127"/>
        <v>0</v>
      </c>
      <c r="N1644">
        <f t="shared" si="128"/>
        <v>0</v>
      </c>
      <c r="O1644">
        <f t="shared" si="130"/>
        <v>1</v>
      </c>
      <c r="P1644" t="str">
        <f t="shared" si="129"/>
        <v/>
      </c>
      <c r="Q1644">
        <f>COUNTIF('責任職　企業局→市長部局'!A:A,SQLデータ!B1644)</f>
        <v>0</v>
      </c>
      <c r="R1644">
        <f>COUNTIF('一般職員　企業局→市長部局'!A:F,SQLデータ!B1644)</f>
        <v>0</v>
      </c>
    </row>
    <row r="1645" spans="1:18" x14ac:dyDescent="0.4">
      <c r="A1645" s="1">
        <v>202650001462</v>
      </c>
      <c r="B1645" s="1">
        <v>1086012</v>
      </c>
      <c r="C1645" s="2">
        <v>46117</v>
      </c>
      <c r="D1645" t="s">
        <v>17</v>
      </c>
      <c r="E1645" t="s">
        <v>10</v>
      </c>
      <c r="G1645" t="s">
        <v>9</v>
      </c>
      <c r="L1645">
        <f t="shared" si="126"/>
        <v>0</v>
      </c>
      <c r="M1645">
        <f t="shared" si="127"/>
        <v>0</v>
      </c>
      <c r="N1645">
        <f t="shared" si="128"/>
        <v>0</v>
      </c>
      <c r="O1645">
        <f t="shared" si="130"/>
        <v>1</v>
      </c>
      <c r="P1645" t="str">
        <f t="shared" si="129"/>
        <v/>
      </c>
      <c r="Q1645">
        <f>COUNTIF('責任職　企業局→市長部局'!A:A,SQLデータ!B1645)</f>
        <v>0</v>
      </c>
      <c r="R1645">
        <f>COUNTIF('一般職員　企業局→市長部局'!A:F,SQLデータ!B1645)</f>
        <v>0</v>
      </c>
    </row>
    <row r="1646" spans="1:18" x14ac:dyDescent="0.4">
      <c r="A1646" s="1">
        <v>202650001463</v>
      </c>
      <c r="B1646" s="1">
        <v>1176040</v>
      </c>
      <c r="C1646" s="2">
        <v>46117</v>
      </c>
      <c r="D1646" t="s">
        <v>17</v>
      </c>
      <c r="E1646" t="s">
        <v>10</v>
      </c>
      <c r="G1646" t="s">
        <v>9</v>
      </c>
      <c r="L1646">
        <f t="shared" si="126"/>
        <v>0</v>
      </c>
      <c r="M1646">
        <f t="shared" si="127"/>
        <v>0</v>
      </c>
      <c r="N1646">
        <f t="shared" si="128"/>
        <v>0</v>
      </c>
      <c r="O1646">
        <f t="shared" si="130"/>
        <v>1</v>
      </c>
      <c r="P1646" t="str">
        <f t="shared" si="129"/>
        <v/>
      </c>
      <c r="Q1646">
        <f>COUNTIF('責任職　企業局→市長部局'!A:A,SQLデータ!B1646)</f>
        <v>0</v>
      </c>
      <c r="R1646">
        <f>COUNTIF('一般職員　企業局→市長部局'!A:F,SQLデータ!B1646)</f>
        <v>0</v>
      </c>
    </row>
    <row r="1647" spans="1:18" x14ac:dyDescent="0.4">
      <c r="A1647" s="1">
        <v>202650001464</v>
      </c>
      <c r="B1647" s="1">
        <v>1006004</v>
      </c>
      <c r="C1647" s="2">
        <v>46117</v>
      </c>
      <c r="D1647" t="s">
        <v>17</v>
      </c>
      <c r="E1647" t="s">
        <v>10</v>
      </c>
      <c r="G1647" t="s">
        <v>9</v>
      </c>
      <c r="L1647">
        <f t="shared" si="126"/>
        <v>0</v>
      </c>
      <c r="M1647">
        <f t="shared" si="127"/>
        <v>0</v>
      </c>
      <c r="N1647">
        <f t="shared" si="128"/>
        <v>0</v>
      </c>
      <c r="O1647">
        <f t="shared" si="130"/>
        <v>1</v>
      </c>
      <c r="P1647" t="str">
        <f t="shared" si="129"/>
        <v/>
      </c>
      <c r="Q1647">
        <f>COUNTIF('責任職　企業局→市長部局'!A:A,SQLデータ!B1647)</f>
        <v>0</v>
      </c>
      <c r="R1647">
        <f>COUNTIF('一般職員　企業局→市長部局'!A:F,SQLデータ!B1647)</f>
        <v>0</v>
      </c>
    </row>
    <row r="1648" spans="1:18" x14ac:dyDescent="0.4">
      <c r="A1648" s="1">
        <v>202650001465</v>
      </c>
      <c r="B1648" s="1">
        <v>1156125</v>
      </c>
      <c r="C1648" s="2">
        <v>46117</v>
      </c>
      <c r="D1648" t="s">
        <v>17</v>
      </c>
      <c r="E1648" t="s">
        <v>10</v>
      </c>
      <c r="G1648" t="s">
        <v>9</v>
      </c>
      <c r="L1648">
        <f t="shared" si="126"/>
        <v>0</v>
      </c>
      <c r="M1648">
        <f t="shared" si="127"/>
        <v>0</v>
      </c>
      <c r="N1648">
        <f t="shared" si="128"/>
        <v>0</v>
      </c>
      <c r="O1648">
        <f t="shared" si="130"/>
        <v>1</v>
      </c>
      <c r="P1648" t="str">
        <f t="shared" si="129"/>
        <v/>
      </c>
      <c r="Q1648">
        <f>COUNTIF('責任職　企業局→市長部局'!A:A,SQLデータ!B1648)</f>
        <v>0</v>
      </c>
      <c r="R1648">
        <f>COUNTIF('一般職員　企業局→市長部局'!A:F,SQLデータ!B1648)</f>
        <v>0</v>
      </c>
    </row>
    <row r="1649" spans="1:18" x14ac:dyDescent="0.4">
      <c r="A1649" s="1">
        <v>202650001466</v>
      </c>
      <c r="B1649" s="1">
        <v>1216129</v>
      </c>
      <c r="C1649" s="2">
        <v>46117</v>
      </c>
      <c r="D1649" t="s">
        <v>17</v>
      </c>
      <c r="E1649" t="s">
        <v>10</v>
      </c>
      <c r="G1649" t="s">
        <v>9</v>
      </c>
      <c r="L1649">
        <f t="shared" si="126"/>
        <v>0</v>
      </c>
      <c r="M1649">
        <f t="shared" si="127"/>
        <v>0</v>
      </c>
      <c r="N1649">
        <f t="shared" si="128"/>
        <v>0</v>
      </c>
      <c r="O1649">
        <f t="shared" si="130"/>
        <v>1</v>
      </c>
      <c r="P1649" t="str">
        <f t="shared" si="129"/>
        <v/>
      </c>
      <c r="Q1649">
        <f>COUNTIF('責任職　企業局→市長部局'!A:A,SQLデータ!B1649)</f>
        <v>0</v>
      </c>
      <c r="R1649">
        <f>COUNTIF('一般職員　企業局→市長部局'!A:F,SQLデータ!B1649)</f>
        <v>0</v>
      </c>
    </row>
    <row r="1650" spans="1:18" x14ac:dyDescent="0.4">
      <c r="A1650" s="1">
        <v>202650001467</v>
      </c>
      <c r="B1650" s="1">
        <v>1226032</v>
      </c>
      <c r="C1650" s="2">
        <v>46117</v>
      </c>
      <c r="D1650" t="s">
        <v>17</v>
      </c>
      <c r="E1650" t="s">
        <v>10</v>
      </c>
      <c r="G1650" t="s">
        <v>9</v>
      </c>
      <c r="L1650">
        <f t="shared" si="126"/>
        <v>0</v>
      </c>
      <c r="M1650">
        <f t="shared" si="127"/>
        <v>0</v>
      </c>
      <c r="N1650">
        <f t="shared" si="128"/>
        <v>0</v>
      </c>
      <c r="O1650">
        <f t="shared" si="130"/>
        <v>1</v>
      </c>
      <c r="P1650" t="str">
        <f t="shared" si="129"/>
        <v/>
      </c>
      <c r="Q1650">
        <f>COUNTIF('責任職　企業局→市長部局'!A:A,SQLデータ!B1650)</f>
        <v>0</v>
      </c>
      <c r="R1650">
        <f>COUNTIF('一般職員　企業局→市長部局'!A:F,SQLデータ!B1650)</f>
        <v>0</v>
      </c>
    </row>
    <row r="1651" spans="1:18" x14ac:dyDescent="0.4">
      <c r="A1651" s="1">
        <v>202650001468</v>
      </c>
      <c r="B1651" s="1">
        <v>986044</v>
      </c>
      <c r="C1651" s="2">
        <v>46117</v>
      </c>
      <c r="D1651" t="s">
        <v>17</v>
      </c>
      <c r="E1651" t="s">
        <v>10</v>
      </c>
      <c r="G1651" t="s">
        <v>9</v>
      </c>
      <c r="L1651">
        <f t="shared" si="126"/>
        <v>0</v>
      </c>
      <c r="M1651">
        <f t="shared" si="127"/>
        <v>0</v>
      </c>
      <c r="N1651">
        <f t="shared" si="128"/>
        <v>0</v>
      </c>
      <c r="O1651">
        <f t="shared" si="130"/>
        <v>1</v>
      </c>
      <c r="P1651" t="str">
        <f t="shared" si="129"/>
        <v/>
      </c>
      <c r="Q1651">
        <f>COUNTIF('責任職　企業局→市長部局'!A:A,SQLデータ!B1651)</f>
        <v>0</v>
      </c>
      <c r="R1651">
        <f>COUNTIF('一般職員　企業局→市長部局'!A:F,SQLデータ!B1651)</f>
        <v>0</v>
      </c>
    </row>
    <row r="1652" spans="1:18" x14ac:dyDescent="0.4">
      <c r="A1652" s="1">
        <v>202650001469</v>
      </c>
      <c r="B1652" s="1">
        <v>1156023</v>
      </c>
      <c r="C1652" s="2">
        <v>46117</v>
      </c>
      <c r="D1652" t="s">
        <v>17</v>
      </c>
      <c r="E1652" t="s">
        <v>10</v>
      </c>
      <c r="G1652" t="s">
        <v>9</v>
      </c>
      <c r="L1652">
        <f t="shared" si="126"/>
        <v>0</v>
      </c>
      <c r="M1652">
        <f t="shared" si="127"/>
        <v>0</v>
      </c>
      <c r="N1652">
        <f t="shared" si="128"/>
        <v>0</v>
      </c>
      <c r="O1652">
        <f t="shared" si="130"/>
        <v>1</v>
      </c>
      <c r="P1652" t="str">
        <f t="shared" si="129"/>
        <v/>
      </c>
      <c r="Q1652">
        <f>COUNTIF('責任職　企業局→市長部局'!A:A,SQLデータ!B1652)</f>
        <v>0</v>
      </c>
      <c r="R1652">
        <f>COUNTIF('一般職員　企業局→市長部局'!A:F,SQLデータ!B1652)</f>
        <v>0</v>
      </c>
    </row>
    <row r="1653" spans="1:18" x14ac:dyDescent="0.4">
      <c r="A1653" s="1">
        <v>202650001470</v>
      </c>
      <c r="B1653" s="1">
        <v>1056076</v>
      </c>
      <c r="C1653" s="2">
        <v>46117</v>
      </c>
      <c r="D1653" t="s">
        <v>17</v>
      </c>
      <c r="E1653" t="s">
        <v>10</v>
      </c>
      <c r="G1653" t="s">
        <v>9</v>
      </c>
      <c r="L1653">
        <f t="shared" si="126"/>
        <v>0</v>
      </c>
      <c r="M1653">
        <f t="shared" si="127"/>
        <v>0</v>
      </c>
      <c r="N1653">
        <f t="shared" si="128"/>
        <v>0</v>
      </c>
      <c r="O1653">
        <f t="shared" si="130"/>
        <v>1</v>
      </c>
      <c r="P1653" t="str">
        <f t="shared" si="129"/>
        <v/>
      </c>
      <c r="Q1653">
        <f>COUNTIF('責任職　企業局→市長部局'!A:A,SQLデータ!B1653)</f>
        <v>0</v>
      </c>
      <c r="R1653">
        <f>COUNTIF('一般職員　企業局→市長部局'!A:F,SQLデータ!B1653)</f>
        <v>0</v>
      </c>
    </row>
    <row r="1654" spans="1:18" x14ac:dyDescent="0.4">
      <c r="A1654" s="1">
        <v>202650001471</v>
      </c>
      <c r="B1654" s="1">
        <v>1116083</v>
      </c>
      <c r="C1654" s="2">
        <v>46117</v>
      </c>
      <c r="D1654" t="s">
        <v>17</v>
      </c>
      <c r="E1654" t="s">
        <v>10</v>
      </c>
      <c r="G1654" t="s">
        <v>9</v>
      </c>
      <c r="L1654">
        <f t="shared" si="126"/>
        <v>0</v>
      </c>
      <c r="M1654">
        <f t="shared" si="127"/>
        <v>0</v>
      </c>
      <c r="N1654">
        <f t="shared" si="128"/>
        <v>0</v>
      </c>
      <c r="O1654">
        <f t="shared" si="130"/>
        <v>1</v>
      </c>
      <c r="P1654" t="str">
        <f t="shared" si="129"/>
        <v/>
      </c>
      <c r="Q1654">
        <f>COUNTIF('責任職　企業局→市長部局'!A:A,SQLデータ!B1654)</f>
        <v>0</v>
      </c>
      <c r="R1654">
        <f>COUNTIF('一般職員　企業局→市長部局'!A:F,SQLデータ!B1654)</f>
        <v>0</v>
      </c>
    </row>
    <row r="1655" spans="1:18" x14ac:dyDescent="0.4">
      <c r="A1655" s="1">
        <v>202650001472</v>
      </c>
      <c r="B1655" s="1">
        <v>1176077</v>
      </c>
      <c r="C1655" s="2">
        <v>46117</v>
      </c>
      <c r="D1655" t="s">
        <v>17</v>
      </c>
      <c r="E1655" t="s">
        <v>8</v>
      </c>
      <c r="F1655" t="s">
        <v>47</v>
      </c>
      <c r="G1655" t="s">
        <v>9</v>
      </c>
      <c r="L1655">
        <f t="shared" si="126"/>
        <v>0</v>
      </c>
      <c r="M1655">
        <f t="shared" si="127"/>
        <v>0</v>
      </c>
      <c r="N1655">
        <f t="shared" si="128"/>
        <v>0</v>
      </c>
      <c r="O1655">
        <f t="shared" si="130"/>
        <v>1</v>
      </c>
      <c r="P1655" t="str">
        <f t="shared" si="129"/>
        <v/>
      </c>
      <c r="Q1655">
        <f>COUNTIF('責任職　企業局→市長部局'!A:A,SQLデータ!B1655)</f>
        <v>0</v>
      </c>
      <c r="R1655">
        <f>COUNTIF('一般職員　企業局→市長部局'!A:F,SQLデータ!B1655)</f>
        <v>0</v>
      </c>
    </row>
    <row r="1656" spans="1:18" x14ac:dyDescent="0.4">
      <c r="A1656" s="1">
        <v>202650001473</v>
      </c>
      <c r="B1656" s="1">
        <v>1236017</v>
      </c>
      <c r="C1656" s="2">
        <v>46117</v>
      </c>
      <c r="D1656" t="s">
        <v>17</v>
      </c>
      <c r="E1656" t="s">
        <v>10</v>
      </c>
      <c r="G1656" t="s">
        <v>9</v>
      </c>
      <c r="L1656">
        <f t="shared" si="126"/>
        <v>0</v>
      </c>
      <c r="M1656">
        <f t="shared" si="127"/>
        <v>0</v>
      </c>
      <c r="N1656">
        <f t="shared" si="128"/>
        <v>0</v>
      </c>
      <c r="O1656">
        <f t="shared" si="130"/>
        <v>1</v>
      </c>
      <c r="P1656" t="str">
        <f t="shared" si="129"/>
        <v/>
      </c>
      <c r="Q1656">
        <f>COUNTIF('責任職　企業局→市長部局'!A:A,SQLデータ!B1656)</f>
        <v>0</v>
      </c>
      <c r="R1656">
        <f>COUNTIF('一般職員　企業局→市長部局'!A:F,SQLデータ!B1656)</f>
        <v>0</v>
      </c>
    </row>
    <row r="1657" spans="1:18" x14ac:dyDescent="0.4">
      <c r="A1657" s="1">
        <v>202650001474</v>
      </c>
      <c r="B1657" s="1">
        <v>1046031</v>
      </c>
      <c r="C1657" s="2">
        <v>46117</v>
      </c>
      <c r="D1657" t="s">
        <v>17</v>
      </c>
      <c r="E1657" t="s">
        <v>10</v>
      </c>
      <c r="G1657" t="s">
        <v>9</v>
      </c>
      <c r="L1657">
        <f t="shared" si="126"/>
        <v>0</v>
      </c>
      <c r="M1657">
        <f t="shared" si="127"/>
        <v>0</v>
      </c>
      <c r="N1657">
        <f t="shared" si="128"/>
        <v>0</v>
      </c>
      <c r="O1657">
        <f t="shared" si="130"/>
        <v>1</v>
      </c>
      <c r="P1657" t="str">
        <f t="shared" si="129"/>
        <v/>
      </c>
      <c r="Q1657">
        <f>COUNTIF('責任職　企業局→市長部局'!A:A,SQLデータ!B1657)</f>
        <v>0</v>
      </c>
      <c r="R1657">
        <f>COUNTIF('一般職員　企業局→市長部局'!A:F,SQLデータ!B1657)</f>
        <v>0</v>
      </c>
    </row>
    <row r="1658" spans="1:18" x14ac:dyDescent="0.4">
      <c r="A1658" s="1">
        <v>202650001475</v>
      </c>
      <c r="B1658" s="1">
        <v>1216034</v>
      </c>
      <c r="C1658" s="2">
        <v>46117</v>
      </c>
      <c r="D1658" t="s">
        <v>17</v>
      </c>
      <c r="E1658" t="s">
        <v>10</v>
      </c>
      <c r="G1658" t="s">
        <v>9</v>
      </c>
      <c r="L1658">
        <f t="shared" si="126"/>
        <v>0</v>
      </c>
      <c r="M1658">
        <f t="shared" si="127"/>
        <v>0</v>
      </c>
      <c r="N1658">
        <f t="shared" si="128"/>
        <v>0</v>
      </c>
      <c r="O1658">
        <f t="shared" si="130"/>
        <v>1</v>
      </c>
      <c r="P1658" t="str">
        <f t="shared" si="129"/>
        <v/>
      </c>
      <c r="Q1658">
        <f>COUNTIF('責任職　企業局→市長部局'!A:A,SQLデータ!B1658)</f>
        <v>0</v>
      </c>
      <c r="R1658">
        <f>COUNTIF('一般職員　企業局→市長部局'!A:F,SQLデータ!B1658)</f>
        <v>0</v>
      </c>
    </row>
    <row r="1659" spans="1:18" x14ac:dyDescent="0.4">
      <c r="A1659" s="1">
        <v>202650001476</v>
      </c>
      <c r="B1659" s="1">
        <v>1136078</v>
      </c>
      <c r="C1659" s="2">
        <v>46117</v>
      </c>
      <c r="D1659" t="s">
        <v>17</v>
      </c>
      <c r="E1659" t="s">
        <v>15</v>
      </c>
      <c r="G1659" t="s">
        <v>9</v>
      </c>
      <c r="L1659">
        <f t="shared" si="126"/>
        <v>0</v>
      </c>
      <c r="M1659">
        <f t="shared" si="127"/>
        <v>0</v>
      </c>
      <c r="N1659">
        <f t="shared" si="128"/>
        <v>0</v>
      </c>
      <c r="O1659">
        <f t="shared" si="130"/>
        <v>1</v>
      </c>
      <c r="P1659" t="str">
        <f t="shared" si="129"/>
        <v/>
      </c>
      <c r="Q1659">
        <f>COUNTIF('責任職　企業局→市長部局'!A:A,SQLデータ!B1659)</f>
        <v>0</v>
      </c>
      <c r="R1659">
        <f>COUNTIF('一般職員　企業局→市長部局'!A:F,SQLデータ!B1659)</f>
        <v>0</v>
      </c>
    </row>
    <row r="1660" spans="1:18" x14ac:dyDescent="0.4">
      <c r="A1660" s="1">
        <v>202650001477</v>
      </c>
      <c r="B1660" s="1">
        <v>940060</v>
      </c>
      <c r="C1660" s="2">
        <v>46117</v>
      </c>
      <c r="D1660" t="s">
        <v>17</v>
      </c>
      <c r="E1660" t="s">
        <v>10</v>
      </c>
      <c r="G1660" t="s">
        <v>9</v>
      </c>
      <c r="L1660">
        <f t="shared" si="126"/>
        <v>0</v>
      </c>
      <c r="M1660">
        <f t="shared" si="127"/>
        <v>0</v>
      </c>
      <c r="N1660">
        <f t="shared" si="128"/>
        <v>0</v>
      </c>
      <c r="O1660">
        <f t="shared" si="130"/>
        <v>1</v>
      </c>
      <c r="P1660" t="str">
        <f t="shared" si="129"/>
        <v/>
      </c>
      <c r="Q1660">
        <f>COUNTIF('責任職　企業局→市長部局'!A:A,SQLデータ!B1660)</f>
        <v>0</v>
      </c>
      <c r="R1660">
        <f>COUNTIF('一般職員　企業局→市長部局'!A:F,SQLデータ!B1660)</f>
        <v>0</v>
      </c>
    </row>
    <row r="1661" spans="1:18" x14ac:dyDescent="0.4">
      <c r="A1661" s="1">
        <v>202650001478</v>
      </c>
      <c r="B1661" s="1">
        <v>1246021</v>
      </c>
      <c r="C1661" s="2">
        <v>46117</v>
      </c>
      <c r="D1661" t="s">
        <v>17</v>
      </c>
      <c r="E1661" t="s">
        <v>10</v>
      </c>
      <c r="G1661" t="s">
        <v>9</v>
      </c>
      <c r="L1661">
        <f t="shared" si="126"/>
        <v>0</v>
      </c>
      <c r="M1661">
        <f t="shared" si="127"/>
        <v>0</v>
      </c>
      <c r="N1661">
        <f t="shared" si="128"/>
        <v>0</v>
      </c>
      <c r="O1661">
        <f t="shared" si="130"/>
        <v>1</v>
      </c>
      <c r="P1661" t="str">
        <f t="shared" si="129"/>
        <v/>
      </c>
      <c r="Q1661">
        <f>COUNTIF('責任職　企業局→市長部局'!A:A,SQLデータ!B1661)</f>
        <v>0</v>
      </c>
      <c r="R1661">
        <f>COUNTIF('一般職員　企業局→市長部局'!A:F,SQLデータ!B1661)</f>
        <v>0</v>
      </c>
    </row>
    <row r="1662" spans="1:18" x14ac:dyDescent="0.4">
      <c r="A1662" s="1">
        <v>202650001479</v>
      </c>
      <c r="B1662" s="1">
        <v>910105</v>
      </c>
      <c r="C1662" s="2">
        <v>46117</v>
      </c>
      <c r="D1662" t="s">
        <v>17</v>
      </c>
      <c r="E1662" t="s">
        <v>10</v>
      </c>
      <c r="G1662" t="s">
        <v>9</v>
      </c>
      <c r="L1662">
        <f t="shared" si="126"/>
        <v>0</v>
      </c>
      <c r="M1662">
        <f t="shared" si="127"/>
        <v>0</v>
      </c>
      <c r="N1662">
        <f t="shared" si="128"/>
        <v>0</v>
      </c>
      <c r="O1662">
        <f t="shared" si="130"/>
        <v>1</v>
      </c>
      <c r="P1662" t="str">
        <f t="shared" si="129"/>
        <v/>
      </c>
      <c r="Q1662">
        <f>COUNTIF('責任職　企業局→市長部局'!A:A,SQLデータ!B1662)</f>
        <v>0</v>
      </c>
      <c r="R1662">
        <f>COUNTIF('一般職員　企業局→市長部局'!A:F,SQLデータ!B1662)</f>
        <v>0</v>
      </c>
    </row>
    <row r="1663" spans="1:18" x14ac:dyDescent="0.4">
      <c r="A1663" s="1">
        <v>202650001480</v>
      </c>
      <c r="B1663" s="1">
        <v>1256092</v>
      </c>
      <c r="C1663" s="2">
        <v>46118</v>
      </c>
      <c r="D1663" t="s">
        <v>17</v>
      </c>
      <c r="E1663" t="s">
        <v>10</v>
      </c>
      <c r="G1663" t="s">
        <v>9</v>
      </c>
      <c r="L1663">
        <f t="shared" si="126"/>
        <v>0</v>
      </c>
      <c r="M1663">
        <f t="shared" si="127"/>
        <v>0</v>
      </c>
      <c r="N1663">
        <f t="shared" si="128"/>
        <v>0</v>
      </c>
      <c r="O1663">
        <f t="shared" si="130"/>
        <v>1</v>
      </c>
      <c r="P1663" t="str">
        <f t="shared" si="129"/>
        <v/>
      </c>
      <c r="Q1663">
        <f>COUNTIF('責任職　企業局→市長部局'!A:A,SQLデータ!B1663)</f>
        <v>0</v>
      </c>
      <c r="R1663">
        <f>COUNTIF('一般職員　企業局→市長部局'!A:F,SQLデータ!B1663)</f>
        <v>0</v>
      </c>
    </row>
    <row r="1664" spans="1:18" x14ac:dyDescent="0.4">
      <c r="A1664" s="1">
        <v>202650001481</v>
      </c>
      <c r="B1664" s="1">
        <v>1076074</v>
      </c>
      <c r="C1664" s="2">
        <v>46118</v>
      </c>
      <c r="D1664" t="s">
        <v>17</v>
      </c>
      <c r="E1664" t="s">
        <v>10</v>
      </c>
      <c r="G1664" t="s">
        <v>9</v>
      </c>
      <c r="L1664">
        <f t="shared" si="126"/>
        <v>0</v>
      </c>
      <c r="M1664">
        <f t="shared" si="127"/>
        <v>0</v>
      </c>
      <c r="N1664">
        <f t="shared" si="128"/>
        <v>0</v>
      </c>
      <c r="O1664">
        <f t="shared" si="130"/>
        <v>1</v>
      </c>
      <c r="P1664" t="str">
        <f t="shared" si="129"/>
        <v/>
      </c>
      <c r="Q1664">
        <f>COUNTIF('責任職　企業局→市長部局'!A:A,SQLデータ!B1664)</f>
        <v>0</v>
      </c>
      <c r="R1664">
        <f>COUNTIF('一般職員　企業局→市長部局'!A:F,SQLデータ!B1664)</f>
        <v>0</v>
      </c>
    </row>
    <row r="1665" spans="1:18" x14ac:dyDescent="0.4">
      <c r="A1665" s="1">
        <v>202650001482</v>
      </c>
      <c r="B1665" s="1">
        <v>1226017</v>
      </c>
      <c r="C1665" s="2">
        <v>46118</v>
      </c>
      <c r="D1665" t="s">
        <v>17</v>
      </c>
      <c r="E1665" t="s">
        <v>10</v>
      </c>
      <c r="G1665" t="s">
        <v>9</v>
      </c>
      <c r="L1665">
        <f t="shared" si="126"/>
        <v>0</v>
      </c>
      <c r="M1665">
        <f t="shared" si="127"/>
        <v>0</v>
      </c>
      <c r="N1665">
        <f t="shared" si="128"/>
        <v>0</v>
      </c>
      <c r="O1665">
        <f t="shared" si="130"/>
        <v>1</v>
      </c>
      <c r="P1665" t="str">
        <f t="shared" si="129"/>
        <v/>
      </c>
      <c r="Q1665">
        <f>COUNTIF('責任職　企業局→市長部局'!A:A,SQLデータ!B1665)</f>
        <v>0</v>
      </c>
      <c r="R1665">
        <f>COUNTIF('一般職員　企業局→市長部局'!A:F,SQLデータ!B1665)</f>
        <v>0</v>
      </c>
    </row>
    <row r="1666" spans="1:18" x14ac:dyDescent="0.4">
      <c r="A1666" s="1">
        <v>202650001483</v>
      </c>
      <c r="B1666" s="1">
        <v>1226020</v>
      </c>
      <c r="C1666" s="2">
        <v>46118</v>
      </c>
      <c r="D1666" t="s">
        <v>17</v>
      </c>
      <c r="E1666" t="s">
        <v>10</v>
      </c>
      <c r="G1666" t="s">
        <v>9</v>
      </c>
      <c r="L1666">
        <f t="shared" ref="L1666:L1729" si="131">IF(ISBLANK(J1666),0,1)</f>
        <v>0</v>
      </c>
      <c r="M1666">
        <f t="shared" ref="M1666:M1729" si="132">IF(AND(L1666=0,I1666&lt;&gt;""),1,0)</f>
        <v>0</v>
      </c>
      <c r="N1666">
        <f t="shared" ref="N1666:N1729" si="133">IF(AND(L1666=0,M1666=0,K1666&lt;&gt;""),1,0)</f>
        <v>0</v>
      </c>
      <c r="O1666">
        <f t="shared" si="130"/>
        <v>1</v>
      </c>
      <c r="P1666" t="str">
        <f t="shared" ref="P1666:P1729" si="134">IF(D1666&lt;&gt;"扶養","",IF(E1666&lt;&gt;"確認待ち",1,IF(OR(AND(G1666="本人の結婚",O1666=1),AND(H1666="減",OR(N1666=1,O1666=1))),1,0)))</f>
        <v/>
      </c>
      <c r="Q1666">
        <f>COUNTIF('責任職　企業局→市長部局'!A:A,SQLデータ!B1666)</f>
        <v>0</v>
      </c>
      <c r="R1666">
        <f>COUNTIF('一般職員　企業局→市長部局'!A:F,SQLデータ!B1666)</f>
        <v>0</v>
      </c>
    </row>
    <row r="1667" spans="1:18" x14ac:dyDescent="0.4">
      <c r="A1667" s="1">
        <v>202650001484</v>
      </c>
      <c r="B1667" s="1">
        <v>1106112</v>
      </c>
      <c r="C1667" s="2">
        <v>46118</v>
      </c>
      <c r="D1667" t="s">
        <v>17</v>
      </c>
      <c r="E1667" t="s">
        <v>10</v>
      </c>
      <c r="G1667" t="s">
        <v>9</v>
      </c>
      <c r="L1667">
        <f t="shared" si="131"/>
        <v>0</v>
      </c>
      <c r="M1667">
        <f t="shared" si="132"/>
        <v>0</v>
      </c>
      <c r="N1667">
        <f t="shared" si="133"/>
        <v>0</v>
      </c>
      <c r="O1667">
        <f t="shared" si="130"/>
        <v>1</v>
      </c>
      <c r="P1667" t="str">
        <f t="shared" si="134"/>
        <v/>
      </c>
      <c r="Q1667">
        <f>COUNTIF('責任職　企業局→市長部局'!A:A,SQLデータ!B1667)</f>
        <v>0</v>
      </c>
      <c r="R1667">
        <f>COUNTIF('一般職員　企業局→市長部局'!A:F,SQLデータ!B1667)</f>
        <v>0</v>
      </c>
    </row>
    <row r="1668" spans="1:18" x14ac:dyDescent="0.4">
      <c r="A1668" s="1">
        <v>202650001486</v>
      </c>
      <c r="B1668" s="1">
        <v>1081286</v>
      </c>
      <c r="C1668" s="2">
        <v>46118</v>
      </c>
      <c r="D1668" t="s">
        <v>17</v>
      </c>
      <c r="E1668" t="s">
        <v>8</v>
      </c>
      <c r="G1668" t="s">
        <v>9</v>
      </c>
      <c r="L1668">
        <f t="shared" si="131"/>
        <v>0</v>
      </c>
      <c r="M1668">
        <f t="shared" si="132"/>
        <v>0</v>
      </c>
      <c r="N1668">
        <f t="shared" si="133"/>
        <v>0</v>
      </c>
      <c r="O1668">
        <f t="shared" si="130"/>
        <v>1</v>
      </c>
      <c r="P1668" t="str">
        <f t="shared" si="134"/>
        <v/>
      </c>
      <c r="Q1668">
        <f>COUNTIF('責任職　企業局→市長部局'!A:A,SQLデータ!B1668)</f>
        <v>0</v>
      </c>
      <c r="R1668">
        <f>COUNTIF('一般職員　企業局→市長部局'!A:F,SQLデータ!B1668)</f>
        <v>0</v>
      </c>
    </row>
    <row r="1669" spans="1:18" x14ac:dyDescent="0.4">
      <c r="A1669" s="1">
        <v>202650001487</v>
      </c>
      <c r="B1669" s="1">
        <v>930114</v>
      </c>
      <c r="C1669" s="2">
        <v>46118</v>
      </c>
      <c r="D1669" t="s">
        <v>17</v>
      </c>
      <c r="E1669" t="s">
        <v>10</v>
      </c>
      <c r="G1669" t="s">
        <v>9</v>
      </c>
      <c r="L1669">
        <f t="shared" si="131"/>
        <v>0</v>
      </c>
      <c r="M1669">
        <f t="shared" si="132"/>
        <v>0</v>
      </c>
      <c r="N1669">
        <f t="shared" si="133"/>
        <v>0</v>
      </c>
      <c r="O1669">
        <f t="shared" si="130"/>
        <v>1</v>
      </c>
      <c r="P1669" t="str">
        <f t="shared" si="134"/>
        <v/>
      </c>
      <c r="Q1669">
        <f>COUNTIF('責任職　企業局→市長部局'!A:A,SQLデータ!B1669)</f>
        <v>0</v>
      </c>
      <c r="R1669">
        <f>COUNTIF('一般職員　企業局→市長部局'!A:F,SQLデータ!B1669)</f>
        <v>0</v>
      </c>
    </row>
    <row r="1670" spans="1:18" x14ac:dyDescent="0.4">
      <c r="A1670" s="1">
        <v>202650001488</v>
      </c>
      <c r="B1670" s="1">
        <v>1146105</v>
      </c>
      <c r="C1670" s="2">
        <v>46118</v>
      </c>
      <c r="D1670" t="s">
        <v>17</v>
      </c>
      <c r="E1670" t="s">
        <v>10</v>
      </c>
      <c r="G1670" t="s">
        <v>9</v>
      </c>
      <c r="L1670">
        <f t="shared" si="131"/>
        <v>0</v>
      </c>
      <c r="M1670">
        <f t="shared" si="132"/>
        <v>0</v>
      </c>
      <c r="N1670">
        <f t="shared" si="133"/>
        <v>0</v>
      </c>
      <c r="O1670">
        <f t="shared" si="130"/>
        <v>1</v>
      </c>
      <c r="P1670" t="str">
        <f t="shared" si="134"/>
        <v/>
      </c>
      <c r="Q1670">
        <f>COUNTIF('責任職　企業局→市長部局'!A:A,SQLデータ!B1670)</f>
        <v>0</v>
      </c>
      <c r="R1670">
        <f>COUNTIF('一般職員　企業局→市長部局'!A:F,SQLデータ!B1670)</f>
        <v>0</v>
      </c>
    </row>
    <row r="1671" spans="1:18" x14ac:dyDescent="0.4">
      <c r="A1671" s="1">
        <v>202650001489</v>
      </c>
      <c r="B1671" s="1">
        <v>1216131</v>
      </c>
      <c r="C1671" s="2">
        <v>46118</v>
      </c>
      <c r="D1671" t="s">
        <v>17</v>
      </c>
      <c r="E1671" t="s">
        <v>8</v>
      </c>
      <c r="F1671" t="s">
        <v>47</v>
      </c>
      <c r="G1671" t="s">
        <v>9</v>
      </c>
      <c r="L1671">
        <f t="shared" si="131"/>
        <v>0</v>
      </c>
      <c r="M1671">
        <f t="shared" si="132"/>
        <v>0</v>
      </c>
      <c r="N1671">
        <f t="shared" si="133"/>
        <v>0</v>
      </c>
      <c r="O1671">
        <f t="shared" si="130"/>
        <v>1</v>
      </c>
      <c r="P1671" t="str">
        <f t="shared" si="134"/>
        <v/>
      </c>
      <c r="Q1671">
        <f>COUNTIF('責任職　企業局→市長部局'!A:A,SQLデータ!B1671)</f>
        <v>0</v>
      </c>
      <c r="R1671">
        <f>COUNTIF('一般職員　企業局→市長部局'!A:F,SQLデータ!B1671)</f>
        <v>0</v>
      </c>
    </row>
    <row r="1672" spans="1:18" x14ac:dyDescent="0.4">
      <c r="A1672" s="1">
        <v>202650001490</v>
      </c>
      <c r="B1672" s="1">
        <v>900464</v>
      </c>
      <c r="C1672" s="2">
        <v>46118</v>
      </c>
      <c r="D1672" t="s">
        <v>17</v>
      </c>
      <c r="E1672" t="s">
        <v>10</v>
      </c>
      <c r="G1672" t="s">
        <v>9</v>
      </c>
      <c r="L1672">
        <f t="shared" si="131"/>
        <v>0</v>
      </c>
      <c r="M1672">
        <f t="shared" si="132"/>
        <v>0</v>
      </c>
      <c r="N1672">
        <f t="shared" si="133"/>
        <v>0</v>
      </c>
      <c r="O1672">
        <f t="shared" si="130"/>
        <v>1</v>
      </c>
      <c r="P1672" t="str">
        <f t="shared" si="134"/>
        <v/>
      </c>
      <c r="Q1672">
        <f>COUNTIF('責任職　企業局→市長部局'!A:A,SQLデータ!B1672)</f>
        <v>0</v>
      </c>
      <c r="R1672">
        <f>COUNTIF('一般職員　企業局→市長部局'!A:F,SQLデータ!B1672)</f>
        <v>0</v>
      </c>
    </row>
    <row r="1673" spans="1:18" x14ac:dyDescent="0.4">
      <c r="A1673" s="1">
        <v>202650001491</v>
      </c>
      <c r="B1673" s="1">
        <v>1096105</v>
      </c>
      <c r="C1673" s="2">
        <v>46118</v>
      </c>
      <c r="D1673" t="s">
        <v>17</v>
      </c>
      <c r="E1673" t="s">
        <v>10</v>
      </c>
      <c r="G1673" t="s">
        <v>9</v>
      </c>
      <c r="L1673">
        <f t="shared" si="131"/>
        <v>0</v>
      </c>
      <c r="M1673">
        <f t="shared" si="132"/>
        <v>0</v>
      </c>
      <c r="N1673">
        <f t="shared" si="133"/>
        <v>0</v>
      </c>
      <c r="O1673">
        <f t="shared" ref="O1673:O1736" si="135">IF(COUNTIF(L1673:N1673,0)=3,1,0)</f>
        <v>1</v>
      </c>
      <c r="P1673" t="str">
        <f t="shared" si="134"/>
        <v/>
      </c>
      <c r="Q1673">
        <f>COUNTIF('責任職　企業局→市長部局'!A:A,SQLデータ!B1673)</f>
        <v>0</v>
      </c>
      <c r="R1673">
        <f>COUNTIF('一般職員　企業局→市長部局'!A:F,SQLデータ!B1673)</f>
        <v>0</v>
      </c>
    </row>
    <row r="1674" spans="1:18" x14ac:dyDescent="0.4">
      <c r="A1674" s="1">
        <v>202650001492</v>
      </c>
      <c r="B1674" s="1">
        <v>1166024</v>
      </c>
      <c r="C1674" s="2">
        <v>46118</v>
      </c>
      <c r="D1674" t="s">
        <v>17</v>
      </c>
      <c r="E1674" t="s">
        <v>10</v>
      </c>
      <c r="G1674" t="s">
        <v>9</v>
      </c>
      <c r="L1674">
        <f t="shared" si="131"/>
        <v>0</v>
      </c>
      <c r="M1674">
        <f t="shared" si="132"/>
        <v>0</v>
      </c>
      <c r="N1674">
        <f t="shared" si="133"/>
        <v>0</v>
      </c>
      <c r="O1674">
        <f t="shared" si="135"/>
        <v>1</v>
      </c>
      <c r="P1674" t="str">
        <f t="shared" si="134"/>
        <v/>
      </c>
      <c r="Q1674">
        <f>COUNTIF('責任職　企業局→市長部局'!A:A,SQLデータ!B1674)</f>
        <v>0</v>
      </c>
      <c r="R1674">
        <f>COUNTIF('一般職員　企業局→市長部局'!A:F,SQLデータ!B1674)</f>
        <v>0</v>
      </c>
    </row>
    <row r="1675" spans="1:18" x14ac:dyDescent="0.4">
      <c r="A1675" s="1">
        <v>202650001493</v>
      </c>
      <c r="B1675" s="1">
        <v>960982</v>
      </c>
      <c r="C1675" s="2">
        <v>46118</v>
      </c>
      <c r="D1675" t="s">
        <v>17</v>
      </c>
      <c r="E1675" t="s">
        <v>10</v>
      </c>
      <c r="G1675" t="s">
        <v>9</v>
      </c>
      <c r="L1675">
        <f t="shared" si="131"/>
        <v>0</v>
      </c>
      <c r="M1675">
        <f t="shared" si="132"/>
        <v>0</v>
      </c>
      <c r="N1675">
        <f t="shared" si="133"/>
        <v>0</v>
      </c>
      <c r="O1675">
        <f t="shared" si="135"/>
        <v>1</v>
      </c>
      <c r="P1675" t="str">
        <f t="shared" si="134"/>
        <v/>
      </c>
      <c r="Q1675">
        <f>COUNTIF('責任職　企業局→市長部局'!A:A,SQLデータ!B1675)</f>
        <v>0</v>
      </c>
      <c r="R1675">
        <f>COUNTIF('一般職員　企業局→市長部局'!A:F,SQLデータ!B1675)</f>
        <v>0</v>
      </c>
    </row>
    <row r="1676" spans="1:18" x14ac:dyDescent="0.4">
      <c r="A1676" s="1">
        <v>202650001494</v>
      </c>
      <c r="B1676" s="1">
        <v>1002040</v>
      </c>
      <c r="C1676" s="2">
        <v>46118</v>
      </c>
      <c r="D1676" t="s">
        <v>17</v>
      </c>
      <c r="E1676" t="s">
        <v>8</v>
      </c>
      <c r="G1676" t="s">
        <v>9</v>
      </c>
      <c r="L1676">
        <f t="shared" si="131"/>
        <v>0</v>
      </c>
      <c r="M1676">
        <f t="shared" si="132"/>
        <v>0</v>
      </c>
      <c r="N1676">
        <f t="shared" si="133"/>
        <v>0</v>
      </c>
      <c r="O1676">
        <f t="shared" si="135"/>
        <v>1</v>
      </c>
      <c r="P1676" t="str">
        <f t="shared" si="134"/>
        <v/>
      </c>
      <c r="Q1676">
        <f>COUNTIF('責任職　企業局→市長部局'!A:A,SQLデータ!B1676)</f>
        <v>0</v>
      </c>
      <c r="R1676">
        <f>COUNTIF('一般職員　企業局→市長部局'!A:F,SQLデータ!B1676)</f>
        <v>0</v>
      </c>
    </row>
    <row r="1677" spans="1:18" x14ac:dyDescent="0.4">
      <c r="A1677" s="1">
        <v>202650001496</v>
      </c>
      <c r="B1677" s="1">
        <v>971040</v>
      </c>
      <c r="C1677" s="2">
        <v>46118</v>
      </c>
      <c r="D1677" t="s">
        <v>17</v>
      </c>
      <c r="E1677" t="s">
        <v>10</v>
      </c>
      <c r="G1677" t="s">
        <v>9</v>
      </c>
      <c r="L1677">
        <f t="shared" si="131"/>
        <v>0</v>
      </c>
      <c r="M1677">
        <f t="shared" si="132"/>
        <v>0</v>
      </c>
      <c r="N1677">
        <f t="shared" si="133"/>
        <v>0</v>
      </c>
      <c r="O1677">
        <f t="shared" si="135"/>
        <v>1</v>
      </c>
      <c r="P1677" t="str">
        <f t="shared" si="134"/>
        <v/>
      </c>
      <c r="Q1677">
        <f>COUNTIF('責任職　企業局→市長部局'!A:A,SQLデータ!B1677)</f>
        <v>0</v>
      </c>
      <c r="R1677">
        <f>COUNTIF('一般職員　企業局→市長部局'!A:F,SQLデータ!B1677)</f>
        <v>0</v>
      </c>
    </row>
    <row r="1678" spans="1:18" x14ac:dyDescent="0.4">
      <c r="A1678" s="1">
        <v>202650001497</v>
      </c>
      <c r="B1678" s="1">
        <v>940035</v>
      </c>
      <c r="C1678" s="2">
        <v>46118</v>
      </c>
      <c r="D1678" t="s">
        <v>17</v>
      </c>
      <c r="E1678" t="s">
        <v>10</v>
      </c>
      <c r="F1678" t="s">
        <v>54</v>
      </c>
      <c r="G1678" t="s">
        <v>9</v>
      </c>
      <c r="L1678">
        <f t="shared" si="131"/>
        <v>0</v>
      </c>
      <c r="M1678">
        <f t="shared" si="132"/>
        <v>0</v>
      </c>
      <c r="N1678">
        <f t="shared" si="133"/>
        <v>0</v>
      </c>
      <c r="O1678">
        <f t="shared" si="135"/>
        <v>1</v>
      </c>
      <c r="P1678" t="str">
        <f t="shared" si="134"/>
        <v/>
      </c>
      <c r="Q1678">
        <f>COUNTIF('責任職　企業局→市長部局'!A:A,SQLデータ!B1678)</f>
        <v>0</v>
      </c>
      <c r="R1678">
        <f>COUNTIF('一般職員　企業局→市長部局'!A:F,SQLデータ!B1678)</f>
        <v>0</v>
      </c>
    </row>
    <row r="1679" spans="1:18" x14ac:dyDescent="0.4">
      <c r="A1679" s="1">
        <v>202650001498</v>
      </c>
      <c r="B1679" s="1">
        <v>996004</v>
      </c>
      <c r="C1679" s="2">
        <v>46118</v>
      </c>
      <c r="D1679" t="s">
        <v>17</v>
      </c>
      <c r="E1679" t="s">
        <v>10</v>
      </c>
      <c r="G1679" t="s">
        <v>9</v>
      </c>
      <c r="L1679">
        <f t="shared" si="131"/>
        <v>0</v>
      </c>
      <c r="M1679">
        <f t="shared" si="132"/>
        <v>0</v>
      </c>
      <c r="N1679">
        <f t="shared" si="133"/>
        <v>0</v>
      </c>
      <c r="O1679">
        <f t="shared" si="135"/>
        <v>1</v>
      </c>
      <c r="P1679" t="str">
        <f t="shared" si="134"/>
        <v/>
      </c>
      <c r="Q1679">
        <f>COUNTIF('責任職　企業局→市長部局'!A:A,SQLデータ!B1679)</f>
        <v>0</v>
      </c>
      <c r="R1679">
        <f>COUNTIF('一般職員　企業局→市長部局'!A:F,SQLデータ!B1679)</f>
        <v>0</v>
      </c>
    </row>
    <row r="1680" spans="1:18" x14ac:dyDescent="0.4">
      <c r="A1680" s="1">
        <v>202650001499</v>
      </c>
      <c r="B1680" s="1">
        <v>1066013</v>
      </c>
      <c r="C1680" s="2">
        <v>46118</v>
      </c>
      <c r="D1680" t="s">
        <v>17</v>
      </c>
      <c r="E1680" t="s">
        <v>10</v>
      </c>
      <c r="G1680" t="s">
        <v>9</v>
      </c>
      <c r="L1680">
        <f t="shared" si="131"/>
        <v>0</v>
      </c>
      <c r="M1680">
        <f t="shared" si="132"/>
        <v>0</v>
      </c>
      <c r="N1680">
        <f t="shared" si="133"/>
        <v>0</v>
      </c>
      <c r="O1680">
        <f t="shared" si="135"/>
        <v>1</v>
      </c>
      <c r="P1680" t="str">
        <f t="shared" si="134"/>
        <v/>
      </c>
      <c r="Q1680">
        <f>COUNTIF('責任職　企業局→市長部局'!A:A,SQLデータ!B1680)</f>
        <v>0</v>
      </c>
      <c r="R1680">
        <f>COUNTIF('一般職員　企業局→市長部局'!A:F,SQLデータ!B1680)</f>
        <v>0</v>
      </c>
    </row>
    <row r="1681" spans="1:18" x14ac:dyDescent="0.4">
      <c r="A1681" s="1">
        <v>202650001500</v>
      </c>
      <c r="B1681" s="1">
        <v>1206094</v>
      </c>
      <c r="C1681" s="2">
        <v>46118</v>
      </c>
      <c r="D1681" t="s">
        <v>17</v>
      </c>
      <c r="E1681" t="s">
        <v>10</v>
      </c>
      <c r="G1681" t="s">
        <v>9</v>
      </c>
      <c r="L1681">
        <f t="shared" si="131"/>
        <v>0</v>
      </c>
      <c r="M1681">
        <f t="shared" si="132"/>
        <v>0</v>
      </c>
      <c r="N1681">
        <f t="shared" si="133"/>
        <v>0</v>
      </c>
      <c r="O1681">
        <f t="shared" si="135"/>
        <v>1</v>
      </c>
      <c r="P1681" t="str">
        <f t="shared" si="134"/>
        <v/>
      </c>
      <c r="Q1681">
        <f>COUNTIF('責任職　企業局→市長部局'!A:A,SQLデータ!B1681)</f>
        <v>0</v>
      </c>
      <c r="R1681">
        <f>COUNTIF('一般職員　企業局→市長部局'!A:F,SQLデータ!B1681)</f>
        <v>0</v>
      </c>
    </row>
    <row r="1682" spans="1:18" x14ac:dyDescent="0.4">
      <c r="A1682" s="1">
        <v>202650001501</v>
      </c>
      <c r="B1682" s="1">
        <v>1021137</v>
      </c>
      <c r="C1682" s="2">
        <v>46118</v>
      </c>
      <c r="D1682" t="s">
        <v>17</v>
      </c>
      <c r="E1682" t="s">
        <v>10</v>
      </c>
      <c r="G1682" t="s">
        <v>9</v>
      </c>
      <c r="L1682">
        <f t="shared" si="131"/>
        <v>0</v>
      </c>
      <c r="M1682">
        <f t="shared" si="132"/>
        <v>0</v>
      </c>
      <c r="N1682">
        <f t="shared" si="133"/>
        <v>0</v>
      </c>
      <c r="O1682">
        <f t="shared" si="135"/>
        <v>1</v>
      </c>
      <c r="P1682" t="str">
        <f t="shared" si="134"/>
        <v/>
      </c>
      <c r="Q1682">
        <f>COUNTIF('責任職　企業局→市長部局'!A:A,SQLデータ!B1682)</f>
        <v>0</v>
      </c>
      <c r="R1682">
        <f>COUNTIF('一般職員　企業局→市長部局'!A:F,SQLデータ!B1682)</f>
        <v>0</v>
      </c>
    </row>
    <row r="1683" spans="1:18" x14ac:dyDescent="0.4">
      <c r="A1683" s="1">
        <v>202650001502</v>
      </c>
      <c r="B1683" s="1">
        <v>1096083</v>
      </c>
      <c r="C1683" s="2">
        <v>46118</v>
      </c>
      <c r="D1683" t="s">
        <v>17</v>
      </c>
      <c r="E1683" t="s">
        <v>15</v>
      </c>
      <c r="G1683" t="s">
        <v>9</v>
      </c>
      <c r="L1683">
        <f t="shared" si="131"/>
        <v>0</v>
      </c>
      <c r="M1683">
        <f t="shared" si="132"/>
        <v>0</v>
      </c>
      <c r="N1683">
        <f t="shared" si="133"/>
        <v>0</v>
      </c>
      <c r="O1683">
        <f t="shared" si="135"/>
        <v>1</v>
      </c>
      <c r="P1683" t="str">
        <f t="shared" si="134"/>
        <v/>
      </c>
      <c r="Q1683">
        <f>COUNTIF('責任職　企業局→市長部局'!A:A,SQLデータ!B1683)</f>
        <v>0</v>
      </c>
      <c r="R1683">
        <f>COUNTIF('一般職員　企業局→市長部局'!A:F,SQLデータ!B1683)</f>
        <v>0</v>
      </c>
    </row>
    <row r="1684" spans="1:18" x14ac:dyDescent="0.4">
      <c r="A1684" s="1">
        <v>202650001503</v>
      </c>
      <c r="B1684" s="1">
        <v>1126114</v>
      </c>
      <c r="C1684" s="2">
        <v>46118</v>
      </c>
      <c r="D1684" t="s">
        <v>17</v>
      </c>
      <c r="E1684" t="s">
        <v>10</v>
      </c>
      <c r="G1684" t="s">
        <v>9</v>
      </c>
      <c r="L1684">
        <f t="shared" si="131"/>
        <v>0</v>
      </c>
      <c r="M1684">
        <f t="shared" si="132"/>
        <v>0</v>
      </c>
      <c r="N1684">
        <f t="shared" si="133"/>
        <v>0</v>
      </c>
      <c r="O1684">
        <f t="shared" si="135"/>
        <v>1</v>
      </c>
      <c r="P1684" t="str">
        <f t="shared" si="134"/>
        <v/>
      </c>
      <c r="Q1684">
        <f>COUNTIF('責任職　企業局→市長部局'!A:A,SQLデータ!B1684)</f>
        <v>0</v>
      </c>
      <c r="R1684">
        <f>COUNTIF('一般職員　企業局→市長部局'!A:F,SQLデータ!B1684)</f>
        <v>0</v>
      </c>
    </row>
    <row r="1685" spans="1:18" x14ac:dyDescent="0.4">
      <c r="A1685" s="1">
        <v>202650001504</v>
      </c>
      <c r="B1685" s="1">
        <v>1036025</v>
      </c>
      <c r="C1685" s="2">
        <v>46118</v>
      </c>
      <c r="D1685" t="s">
        <v>17</v>
      </c>
      <c r="E1685" t="s">
        <v>10</v>
      </c>
      <c r="G1685" t="s">
        <v>9</v>
      </c>
      <c r="L1685">
        <f t="shared" si="131"/>
        <v>0</v>
      </c>
      <c r="M1685">
        <f t="shared" si="132"/>
        <v>0</v>
      </c>
      <c r="N1685">
        <f t="shared" si="133"/>
        <v>0</v>
      </c>
      <c r="O1685">
        <f t="shared" si="135"/>
        <v>1</v>
      </c>
      <c r="P1685" t="str">
        <f t="shared" si="134"/>
        <v/>
      </c>
      <c r="Q1685">
        <f>COUNTIF('責任職　企業局→市長部局'!A:A,SQLデータ!B1685)</f>
        <v>0</v>
      </c>
      <c r="R1685">
        <f>COUNTIF('一般職員　企業局→市長部局'!A:F,SQLデータ!B1685)</f>
        <v>0</v>
      </c>
    </row>
    <row r="1686" spans="1:18" x14ac:dyDescent="0.4">
      <c r="A1686" s="1">
        <v>202650001505</v>
      </c>
      <c r="B1686" s="1">
        <v>900088</v>
      </c>
      <c r="C1686" s="2">
        <v>46118</v>
      </c>
      <c r="D1686" t="s">
        <v>17</v>
      </c>
      <c r="E1686" t="s">
        <v>10</v>
      </c>
      <c r="F1686" t="s">
        <v>54</v>
      </c>
      <c r="G1686" t="s">
        <v>9</v>
      </c>
      <c r="L1686">
        <f t="shared" si="131"/>
        <v>0</v>
      </c>
      <c r="M1686">
        <f t="shared" si="132"/>
        <v>0</v>
      </c>
      <c r="N1686">
        <f t="shared" si="133"/>
        <v>0</v>
      </c>
      <c r="O1686">
        <f t="shared" si="135"/>
        <v>1</v>
      </c>
      <c r="P1686" t="str">
        <f t="shared" si="134"/>
        <v/>
      </c>
      <c r="Q1686">
        <f>COUNTIF('責任職　企業局→市長部局'!A:A,SQLデータ!B1686)</f>
        <v>0</v>
      </c>
      <c r="R1686">
        <f>COUNTIF('一般職員　企業局→市長部局'!A:F,SQLデータ!B1686)</f>
        <v>0</v>
      </c>
    </row>
    <row r="1687" spans="1:18" x14ac:dyDescent="0.4">
      <c r="A1687" s="1">
        <v>202650001506</v>
      </c>
      <c r="B1687" s="1">
        <v>1223017</v>
      </c>
      <c r="C1687" s="2">
        <v>46118</v>
      </c>
      <c r="D1687" t="s">
        <v>17</v>
      </c>
      <c r="E1687" t="s">
        <v>8</v>
      </c>
      <c r="G1687" t="s">
        <v>9</v>
      </c>
      <c r="L1687">
        <f t="shared" si="131"/>
        <v>0</v>
      </c>
      <c r="M1687">
        <f t="shared" si="132"/>
        <v>0</v>
      </c>
      <c r="N1687">
        <f t="shared" si="133"/>
        <v>0</v>
      </c>
      <c r="O1687">
        <f t="shared" si="135"/>
        <v>1</v>
      </c>
      <c r="P1687" t="str">
        <f t="shared" si="134"/>
        <v/>
      </c>
      <c r="Q1687">
        <f>COUNTIF('責任職　企業局→市長部局'!A:A,SQLデータ!B1687)</f>
        <v>0</v>
      </c>
      <c r="R1687">
        <f>COUNTIF('一般職員　企業局→市長部局'!A:F,SQLデータ!B1687)</f>
        <v>0</v>
      </c>
    </row>
    <row r="1688" spans="1:18" x14ac:dyDescent="0.4">
      <c r="A1688" s="1">
        <v>202650001507</v>
      </c>
      <c r="B1688" s="1">
        <v>870082</v>
      </c>
      <c r="C1688" s="2">
        <v>46118</v>
      </c>
      <c r="D1688" t="s">
        <v>17</v>
      </c>
      <c r="E1688" t="s">
        <v>10</v>
      </c>
      <c r="G1688" t="s">
        <v>9</v>
      </c>
      <c r="L1688">
        <f t="shared" si="131"/>
        <v>0</v>
      </c>
      <c r="M1688">
        <f t="shared" si="132"/>
        <v>0</v>
      </c>
      <c r="N1688">
        <f t="shared" si="133"/>
        <v>0</v>
      </c>
      <c r="O1688">
        <f t="shared" si="135"/>
        <v>1</v>
      </c>
      <c r="P1688" t="str">
        <f t="shared" si="134"/>
        <v/>
      </c>
      <c r="Q1688">
        <f>COUNTIF('責任職　企業局→市長部局'!A:A,SQLデータ!B1688)</f>
        <v>0</v>
      </c>
      <c r="R1688">
        <f>COUNTIF('一般職員　企業局→市長部局'!A:F,SQLデータ!B1688)</f>
        <v>0</v>
      </c>
    </row>
    <row r="1689" spans="1:18" x14ac:dyDescent="0.4">
      <c r="A1689" s="1">
        <v>202650001508</v>
      </c>
      <c r="B1689" s="1">
        <v>930126</v>
      </c>
      <c r="C1689" s="2">
        <v>46121</v>
      </c>
      <c r="D1689" t="s">
        <v>17</v>
      </c>
      <c r="E1689" t="s">
        <v>15</v>
      </c>
      <c r="G1689" t="s">
        <v>9</v>
      </c>
      <c r="L1689">
        <f t="shared" si="131"/>
        <v>0</v>
      </c>
      <c r="M1689">
        <f t="shared" si="132"/>
        <v>0</v>
      </c>
      <c r="N1689">
        <f t="shared" si="133"/>
        <v>0</v>
      </c>
      <c r="O1689">
        <f t="shared" si="135"/>
        <v>1</v>
      </c>
      <c r="P1689" t="str">
        <f t="shared" si="134"/>
        <v/>
      </c>
      <c r="Q1689">
        <f>COUNTIF('責任職　企業局→市長部局'!A:A,SQLデータ!B1689)</f>
        <v>0</v>
      </c>
      <c r="R1689">
        <f>COUNTIF('一般職員　企業局→市長部局'!A:F,SQLデータ!B1689)</f>
        <v>0</v>
      </c>
    </row>
    <row r="1690" spans="1:18" x14ac:dyDescent="0.4">
      <c r="A1690" s="1">
        <v>202650001509</v>
      </c>
      <c r="B1690" s="1">
        <v>870360</v>
      </c>
      <c r="C1690" s="2">
        <v>46118</v>
      </c>
      <c r="D1690" t="s">
        <v>17</v>
      </c>
      <c r="E1690" t="s">
        <v>15</v>
      </c>
      <c r="G1690" t="s">
        <v>9</v>
      </c>
      <c r="L1690">
        <f t="shared" si="131"/>
        <v>0</v>
      </c>
      <c r="M1690">
        <f t="shared" si="132"/>
        <v>0</v>
      </c>
      <c r="N1690">
        <f t="shared" si="133"/>
        <v>0</v>
      </c>
      <c r="O1690">
        <f t="shared" si="135"/>
        <v>1</v>
      </c>
      <c r="P1690" t="str">
        <f t="shared" si="134"/>
        <v/>
      </c>
      <c r="Q1690">
        <f>COUNTIF('責任職　企業局→市長部局'!A:A,SQLデータ!B1690)</f>
        <v>0</v>
      </c>
      <c r="R1690">
        <f>COUNTIF('一般職員　企業局→市長部局'!A:F,SQLデータ!B1690)</f>
        <v>0</v>
      </c>
    </row>
    <row r="1691" spans="1:18" x14ac:dyDescent="0.4">
      <c r="A1691" s="1">
        <v>202650001510</v>
      </c>
      <c r="B1691" s="1">
        <v>1111529</v>
      </c>
      <c r="C1691" s="2">
        <v>46118</v>
      </c>
      <c r="D1691" t="s">
        <v>17</v>
      </c>
      <c r="E1691" t="s">
        <v>10</v>
      </c>
      <c r="G1691" t="s">
        <v>9</v>
      </c>
      <c r="L1691">
        <f t="shared" si="131"/>
        <v>0</v>
      </c>
      <c r="M1691">
        <f t="shared" si="132"/>
        <v>0</v>
      </c>
      <c r="N1691">
        <f t="shared" si="133"/>
        <v>0</v>
      </c>
      <c r="O1691">
        <f t="shared" si="135"/>
        <v>1</v>
      </c>
      <c r="P1691" t="str">
        <f t="shared" si="134"/>
        <v/>
      </c>
      <c r="Q1691">
        <f>COUNTIF('責任職　企業局→市長部局'!A:A,SQLデータ!B1691)</f>
        <v>0</v>
      </c>
      <c r="R1691">
        <f>COUNTIF('一般職員　企業局→市長部局'!A:F,SQLデータ!B1691)</f>
        <v>0</v>
      </c>
    </row>
    <row r="1692" spans="1:18" x14ac:dyDescent="0.4">
      <c r="A1692" s="1">
        <v>202650001511</v>
      </c>
      <c r="B1692" s="1">
        <v>1101509</v>
      </c>
      <c r="C1692" s="2">
        <v>46119</v>
      </c>
      <c r="D1692" t="s">
        <v>17</v>
      </c>
      <c r="E1692" t="s">
        <v>10</v>
      </c>
      <c r="G1692" t="s">
        <v>9</v>
      </c>
      <c r="L1692">
        <f t="shared" si="131"/>
        <v>0</v>
      </c>
      <c r="M1692">
        <f t="shared" si="132"/>
        <v>0</v>
      </c>
      <c r="N1692">
        <f t="shared" si="133"/>
        <v>0</v>
      </c>
      <c r="O1692">
        <f t="shared" si="135"/>
        <v>1</v>
      </c>
      <c r="P1692" t="str">
        <f t="shared" si="134"/>
        <v/>
      </c>
      <c r="Q1692">
        <f>COUNTIF('責任職　企業局→市長部局'!A:A,SQLデータ!B1692)</f>
        <v>0</v>
      </c>
      <c r="R1692">
        <f>COUNTIF('一般職員　企業局→市長部局'!A:F,SQLデータ!B1692)</f>
        <v>0</v>
      </c>
    </row>
    <row r="1693" spans="1:18" x14ac:dyDescent="0.4">
      <c r="A1693" s="1">
        <v>202650001512</v>
      </c>
      <c r="B1693" s="1">
        <v>880420</v>
      </c>
      <c r="C1693" s="2">
        <v>46118</v>
      </c>
      <c r="D1693" t="s">
        <v>17</v>
      </c>
      <c r="E1693" t="s">
        <v>8</v>
      </c>
      <c r="G1693" t="s">
        <v>9</v>
      </c>
      <c r="L1693">
        <f t="shared" si="131"/>
        <v>0</v>
      </c>
      <c r="M1693">
        <f t="shared" si="132"/>
        <v>0</v>
      </c>
      <c r="N1693">
        <f t="shared" si="133"/>
        <v>0</v>
      </c>
      <c r="O1693">
        <f t="shared" si="135"/>
        <v>1</v>
      </c>
      <c r="P1693" t="str">
        <f t="shared" si="134"/>
        <v/>
      </c>
      <c r="Q1693">
        <f>COUNTIF('責任職　企業局→市長部局'!A:A,SQLデータ!B1693)</f>
        <v>0</v>
      </c>
      <c r="R1693">
        <f>COUNTIF('一般職員　企業局→市長部局'!A:F,SQLデータ!B1693)</f>
        <v>0</v>
      </c>
    </row>
    <row r="1694" spans="1:18" x14ac:dyDescent="0.4">
      <c r="A1694" s="1">
        <v>202650001513</v>
      </c>
      <c r="B1694" s="1">
        <v>1111541</v>
      </c>
      <c r="C1694" s="2">
        <v>46118</v>
      </c>
      <c r="D1694" t="s">
        <v>17</v>
      </c>
      <c r="E1694" t="s">
        <v>10</v>
      </c>
      <c r="G1694" t="s">
        <v>9</v>
      </c>
      <c r="L1694">
        <f t="shared" si="131"/>
        <v>0</v>
      </c>
      <c r="M1694">
        <f t="shared" si="132"/>
        <v>0</v>
      </c>
      <c r="N1694">
        <f t="shared" si="133"/>
        <v>0</v>
      </c>
      <c r="O1694">
        <f t="shared" si="135"/>
        <v>1</v>
      </c>
      <c r="P1694" t="str">
        <f t="shared" si="134"/>
        <v/>
      </c>
      <c r="Q1694">
        <f>COUNTIF('責任職　企業局→市長部局'!A:A,SQLデータ!B1694)</f>
        <v>0</v>
      </c>
      <c r="R1694">
        <f>COUNTIF('一般職員　企業局→市長部局'!A:F,SQLデータ!B1694)</f>
        <v>0</v>
      </c>
    </row>
    <row r="1695" spans="1:18" x14ac:dyDescent="0.4">
      <c r="A1695" s="1">
        <v>202650001514</v>
      </c>
      <c r="B1695" s="1">
        <v>920304</v>
      </c>
      <c r="C1695" s="2">
        <v>46118</v>
      </c>
      <c r="D1695" t="s">
        <v>17</v>
      </c>
      <c r="E1695" t="s">
        <v>10</v>
      </c>
      <c r="G1695" t="s">
        <v>9</v>
      </c>
      <c r="L1695">
        <f t="shared" si="131"/>
        <v>0</v>
      </c>
      <c r="M1695">
        <f t="shared" si="132"/>
        <v>0</v>
      </c>
      <c r="N1695">
        <f t="shared" si="133"/>
        <v>0</v>
      </c>
      <c r="O1695">
        <f t="shared" si="135"/>
        <v>1</v>
      </c>
      <c r="P1695" t="str">
        <f t="shared" si="134"/>
        <v/>
      </c>
      <c r="Q1695">
        <f>COUNTIF('責任職　企業局→市長部局'!A:A,SQLデータ!B1695)</f>
        <v>0</v>
      </c>
      <c r="R1695">
        <f>COUNTIF('一般職員　企業局→市長部局'!A:F,SQLデータ!B1695)</f>
        <v>0</v>
      </c>
    </row>
    <row r="1696" spans="1:18" x14ac:dyDescent="0.4">
      <c r="A1696" s="1">
        <v>202650001515</v>
      </c>
      <c r="B1696" s="1">
        <v>1242077</v>
      </c>
      <c r="C1696" s="2">
        <v>46122</v>
      </c>
      <c r="D1696" t="s">
        <v>17</v>
      </c>
      <c r="E1696" t="s">
        <v>10</v>
      </c>
      <c r="G1696" t="s">
        <v>9</v>
      </c>
      <c r="L1696">
        <f t="shared" si="131"/>
        <v>0</v>
      </c>
      <c r="M1696">
        <f t="shared" si="132"/>
        <v>0</v>
      </c>
      <c r="N1696">
        <f t="shared" si="133"/>
        <v>0</v>
      </c>
      <c r="O1696">
        <f t="shared" si="135"/>
        <v>1</v>
      </c>
      <c r="P1696" t="str">
        <f t="shared" si="134"/>
        <v/>
      </c>
      <c r="Q1696">
        <f>COUNTIF('責任職　企業局→市長部局'!A:A,SQLデータ!B1696)</f>
        <v>0</v>
      </c>
      <c r="R1696">
        <f>COUNTIF('一般職員　企業局→市長部局'!A:F,SQLデータ!B1696)</f>
        <v>0</v>
      </c>
    </row>
    <row r="1697" spans="1:18" x14ac:dyDescent="0.4">
      <c r="A1697" s="1">
        <v>202650001516</v>
      </c>
      <c r="B1697" s="1">
        <v>1146016</v>
      </c>
      <c r="C1697" s="2">
        <v>46118</v>
      </c>
      <c r="D1697" t="s">
        <v>17</v>
      </c>
      <c r="E1697" t="s">
        <v>10</v>
      </c>
      <c r="G1697" t="s">
        <v>9</v>
      </c>
      <c r="L1697">
        <f t="shared" si="131"/>
        <v>0</v>
      </c>
      <c r="M1697">
        <f t="shared" si="132"/>
        <v>0</v>
      </c>
      <c r="N1697">
        <f t="shared" si="133"/>
        <v>0</v>
      </c>
      <c r="O1697">
        <f t="shared" si="135"/>
        <v>1</v>
      </c>
      <c r="P1697" t="str">
        <f t="shared" si="134"/>
        <v/>
      </c>
      <c r="Q1697">
        <f>COUNTIF('責任職　企業局→市長部局'!A:A,SQLデータ!B1697)</f>
        <v>0</v>
      </c>
      <c r="R1697">
        <f>COUNTIF('一般職員　企業局→市長部局'!A:F,SQLデータ!B1697)</f>
        <v>0</v>
      </c>
    </row>
    <row r="1698" spans="1:18" x14ac:dyDescent="0.4">
      <c r="A1698" s="1">
        <v>202650001517</v>
      </c>
      <c r="B1698" s="1">
        <v>810763</v>
      </c>
      <c r="C1698" s="2">
        <v>46118</v>
      </c>
      <c r="D1698" t="s">
        <v>17</v>
      </c>
      <c r="E1698" t="s">
        <v>10</v>
      </c>
      <c r="F1698" t="s">
        <v>54</v>
      </c>
      <c r="G1698" t="s">
        <v>9</v>
      </c>
      <c r="L1698">
        <f t="shared" si="131"/>
        <v>0</v>
      </c>
      <c r="M1698">
        <f t="shared" si="132"/>
        <v>0</v>
      </c>
      <c r="N1698">
        <f t="shared" si="133"/>
        <v>0</v>
      </c>
      <c r="O1698">
        <f t="shared" si="135"/>
        <v>1</v>
      </c>
      <c r="P1698" t="str">
        <f t="shared" si="134"/>
        <v/>
      </c>
      <c r="Q1698">
        <f>COUNTIF('責任職　企業局→市長部局'!A:A,SQLデータ!B1698)</f>
        <v>0</v>
      </c>
      <c r="R1698">
        <f>COUNTIF('一般職員　企業局→市長部局'!A:F,SQLデータ!B1698)</f>
        <v>0</v>
      </c>
    </row>
    <row r="1699" spans="1:18" x14ac:dyDescent="0.4">
      <c r="A1699" s="1">
        <v>202650001518</v>
      </c>
      <c r="B1699" s="1">
        <v>1226070</v>
      </c>
      <c r="C1699" s="2">
        <v>46118</v>
      </c>
      <c r="D1699" t="s">
        <v>17</v>
      </c>
      <c r="E1699" t="s">
        <v>10</v>
      </c>
      <c r="G1699" t="s">
        <v>9</v>
      </c>
      <c r="L1699">
        <f t="shared" si="131"/>
        <v>0</v>
      </c>
      <c r="M1699">
        <f t="shared" si="132"/>
        <v>0</v>
      </c>
      <c r="N1699">
        <f t="shared" si="133"/>
        <v>0</v>
      </c>
      <c r="O1699">
        <f t="shared" si="135"/>
        <v>1</v>
      </c>
      <c r="P1699" t="str">
        <f t="shared" si="134"/>
        <v/>
      </c>
      <c r="Q1699">
        <f>COUNTIF('責任職　企業局→市長部局'!A:A,SQLデータ!B1699)</f>
        <v>0</v>
      </c>
      <c r="R1699">
        <f>COUNTIF('一般職員　企業局→市長部局'!A:F,SQLデータ!B1699)</f>
        <v>0</v>
      </c>
    </row>
    <row r="1700" spans="1:18" x14ac:dyDescent="0.4">
      <c r="A1700" s="1">
        <v>202650001519</v>
      </c>
      <c r="B1700" s="1">
        <v>1216080</v>
      </c>
      <c r="C1700" s="2">
        <v>46118</v>
      </c>
      <c r="D1700" t="s">
        <v>17</v>
      </c>
      <c r="E1700" t="s">
        <v>15</v>
      </c>
      <c r="G1700" t="s">
        <v>9</v>
      </c>
      <c r="L1700">
        <f t="shared" si="131"/>
        <v>0</v>
      </c>
      <c r="M1700">
        <f t="shared" si="132"/>
        <v>0</v>
      </c>
      <c r="N1700">
        <f t="shared" si="133"/>
        <v>0</v>
      </c>
      <c r="O1700">
        <f t="shared" si="135"/>
        <v>1</v>
      </c>
      <c r="P1700" t="str">
        <f t="shared" si="134"/>
        <v/>
      </c>
      <c r="Q1700">
        <f>COUNTIF('責任職　企業局→市長部局'!A:A,SQLデータ!B1700)</f>
        <v>0</v>
      </c>
      <c r="R1700">
        <f>COUNTIF('一般職員　企業局→市長部局'!A:F,SQLデータ!B1700)</f>
        <v>0</v>
      </c>
    </row>
    <row r="1701" spans="1:18" x14ac:dyDescent="0.4">
      <c r="A1701" s="1">
        <v>202650001520</v>
      </c>
      <c r="B1701" s="1">
        <v>1246039</v>
      </c>
      <c r="C1701" s="2">
        <v>46119</v>
      </c>
      <c r="D1701" t="s">
        <v>17</v>
      </c>
      <c r="E1701" t="s">
        <v>10</v>
      </c>
      <c r="G1701" t="s">
        <v>9</v>
      </c>
      <c r="L1701">
        <f t="shared" si="131"/>
        <v>0</v>
      </c>
      <c r="M1701">
        <f t="shared" si="132"/>
        <v>0</v>
      </c>
      <c r="N1701">
        <f t="shared" si="133"/>
        <v>0</v>
      </c>
      <c r="O1701">
        <f t="shared" si="135"/>
        <v>1</v>
      </c>
      <c r="P1701" t="str">
        <f t="shared" si="134"/>
        <v/>
      </c>
      <c r="Q1701">
        <f>COUNTIF('責任職　企業局→市長部局'!A:A,SQLデータ!B1701)</f>
        <v>0</v>
      </c>
      <c r="R1701">
        <f>COUNTIF('一般職員　企業局→市長部局'!A:F,SQLデータ!B1701)</f>
        <v>0</v>
      </c>
    </row>
    <row r="1702" spans="1:18" x14ac:dyDescent="0.4">
      <c r="A1702" s="1">
        <v>202650001521</v>
      </c>
      <c r="B1702" s="1">
        <v>1172210</v>
      </c>
      <c r="C1702" s="2">
        <v>46118</v>
      </c>
      <c r="D1702" t="s">
        <v>17</v>
      </c>
      <c r="E1702" t="s">
        <v>10</v>
      </c>
      <c r="G1702" t="s">
        <v>9</v>
      </c>
      <c r="L1702">
        <f t="shared" si="131"/>
        <v>0</v>
      </c>
      <c r="M1702">
        <f t="shared" si="132"/>
        <v>0</v>
      </c>
      <c r="N1702">
        <f t="shared" si="133"/>
        <v>0</v>
      </c>
      <c r="O1702">
        <f t="shared" si="135"/>
        <v>1</v>
      </c>
      <c r="P1702" t="str">
        <f t="shared" si="134"/>
        <v/>
      </c>
      <c r="Q1702">
        <f>COUNTIF('責任職　企業局→市長部局'!A:A,SQLデータ!B1702)</f>
        <v>0</v>
      </c>
      <c r="R1702">
        <f>COUNTIF('一般職員　企業局→市長部局'!A:F,SQLデータ!B1702)</f>
        <v>0</v>
      </c>
    </row>
    <row r="1703" spans="1:18" x14ac:dyDescent="0.4">
      <c r="A1703" s="1">
        <v>202650001522</v>
      </c>
      <c r="B1703" s="1">
        <v>940349</v>
      </c>
      <c r="C1703" s="2">
        <v>46118</v>
      </c>
      <c r="D1703" t="s">
        <v>17</v>
      </c>
      <c r="E1703" t="s">
        <v>10</v>
      </c>
      <c r="G1703" t="s">
        <v>9</v>
      </c>
      <c r="L1703">
        <f t="shared" si="131"/>
        <v>0</v>
      </c>
      <c r="M1703">
        <f t="shared" si="132"/>
        <v>0</v>
      </c>
      <c r="N1703">
        <f t="shared" si="133"/>
        <v>0</v>
      </c>
      <c r="O1703">
        <f t="shared" si="135"/>
        <v>1</v>
      </c>
      <c r="P1703" t="str">
        <f t="shared" si="134"/>
        <v/>
      </c>
      <c r="Q1703">
        <f>COUNTIF('責任職　企業局→市長部局'!A:A,SQLデータ!B1703)</f>
        <v>0</v>
      </c>
      <c r="R1703">
        <f>COUNTIF('一般職員　企業局→市長部局'!A:F,SQLデータ!B1703)</f>
        <v>0</v>
      </c>
    </row>
    <row r="1704" spans="1:18" x14ac:dyDescent="0.4">
      <c r="A1704" s="1">
        <v>202650001523</v>
      </c>
      <c r="B1704" s="1">
        <v>1042071</v>
      </c>
      <c r="C1704" s="2">
        <v>46118</v>
      </c>
      <c r="D1704" t="s">
        <v>17</v>
      </c>
      <c r="E1704" t="s">
        <v>10</v>
      </c>
      <c r="G1704" t="s">
        <v>9</v>
      </c>
      <c r="L1704">
        <f t="shared" si="131"/>
        <v>0</v>
      </c>
      <c r="M1704">
        <f t="shared" si="132"/>
        <v>0</v>
      </c>
      <c r="N1704">
        <f t="shared" si="133"/>
        <v>0</v>
      </c>
      <c r="O1704">
        <f t="shared" si="135"/>
        <v>1</v>
      </c>
      <c r="P1704" t="str">
        <f t="shared" si="134"/>
        <v/>
      </c>
      <c r="Q1704">
        <f>COUNTIF('責任職　企業局→市長部局'!A:A,SQLデータ!B1704)</f>
        <v>0</v>
      </c>
      <c r="R1704">
        <f>COUNTIF('一般職員　企業局→市長部局'!A:F,SQLデータ!B1704)</f>
        <v>0</v>
      </c>
    </row>
    <row r="1705" spans="1:18" x14ac:dyDescent="0.4">
      <c r="A1705" s="1">
        <v>202650001524</v>
      </c>
      <c r="B1705" s="1">
        <v>1096105</v>
      </c>
      <c r="C1705" s="2">
        <v>46118</v>
      </c>
      <c r="D1705" t="s">
        <v>17</v>
      </c>
      <c r="E1705" t="s">
        <v>8</v>
      </c>
      <c r="G1705" t="s">
        <v>9</v>
      </c>
      <c r="L1705">
        <f t="shared" si="131"/>
        <v>0</v>
      </c>
      <c r="M1705">
        <f t="shared" si="132"/>
        <v>0</v>
      </c>
      <c r="N1705">
        <f t="shared" si="133"/>
        <v>0</v>
      </c>
      <c r="O1705">
        <f t="shared" si="135"/>
        <v>1</v>
      </c>
      <c r="P1705" t="str">
        <f t="shared" si="134"/>
        <v/>
      </c>
      <c r="Q1705">
        <f>COUNTIF('責任職　企業局→市長部局'!A:A,SQLデータ!B1705)</f>
        <v>0</v>
      </c>
      <c r="R1705">
        <f>COUNTIF('一般職員　企業局→市長部局'!A:F,SQLデータ!B1705)</f>
        <v>0</v>
      </c>
    </row>
    <row r="1706" spans="1:18" x14ac:dyDescent="0.4">
      <c r="A1706" s="1">
        <v>202650001525</v>
      </c>
      <c r="B1706" s="1">
        <v>1111386</v>
      </c>
      <c r="C1706" s="2">
        <v>46118</v>
      </c>
      <c r="D1706" t="s">
        <v>17</v>
      </c>
      <c r="E1706" t="s">
        <v>10</v>
      </c>
      <c r="G1706" t="s">
        <v>9</v>
      </c>
      <c r="L1706">
        <f t="shared" si="131"/>
        <v>0</v>
      </c>
      <c r="M1706">
        <f t="shared" si="132"/>
        <v>0</v>
      </c>
      <c r="N1706">
        <f t="shared" si="133"/>
        <v>0</v>
      </c>
      <c r="O1706">
        <f t="shared" si="135"/>
        <v>1</v>
      </c>
      <c r="P1706" t="str">
        <f t="shared" si="134"/>
        <v/>
      </c>
      <c r="Q1706">
        <f>COUNTIF('責任職　企業局→市長部局'!A:A,SQLデータ!B1706)</f>
        <v>0</v>
      </c>
      <c r="R1706">
        <f>COUNTIF('一般職員　企業局→市長部局'!A:F,SQLデータ!B1706)</f>
        <v>0</v>
      </c>
    </row>
    <row r="1707" spans="1:18" x14ac:dyDescent="0.4">
      <c r="A1707" s="1">
        <v>202650001526</v>
      </c>
      <c r="B1707" s="1">
        <v>1141190</v>
      </c>
      <c r="C1707" s="2">
        <v>46118</v>
      </c>
      <c r="D1707" t="s">
        <v>17</v>
      </c>
      <c r="E1707" t="s">
        <v>10</v>
      </c>
      <c r="G1707" t="s">
        <v>9</v>
      </c>
      <c r="L1707">
        <f t="shared" si="131"/>
        <v>0</v>
      </c>
      <c r="M1707">
        <f t="shared" si="132"/>
        <v>0</v>
      </c>
      <c r="N1707">
        <f t="shared" si="133"/>
        <v>0</v>
      </c>
      <c r="O1707">
        <f t="shared" si="135"/>
        <v>1</v>
      </c>
      <c r="P1707" t="str">
        <f t="shared" si="134"/>
        <v/>
      </c>
      <c r="Q1707">
        <f>COUNTIF('責任職　企業局→市長部局'!A:A,SQLデータ!B1707)</f>
        <v>0</v>
      </c>
      <c r="R1707">
        <f>COUNTIF('一般職員　企業局→市長部局'!A:F,SQLデータ!B1707)</f>
        <v>0</v>
      </c>
    </row>
    <row r="1708" spans="1:18" x14ac:dyDescent="0.4">
      <c r="A1708" s="1">
        <v>202650001527</v>
      </c>
      <c r="B1708" s="1">
        <v>1017503</v>
      </c>
      <c r="C1708" s="2">
        <v>46118</v>
      </c>
      <c r="D1708" t="s">
        <v>17</v>
      </c>
      <c r="E1708" t="s">
        <v>10</v>
      </c>
      <c r="F1708" t="s">
        <v>54</v>
      </c>
      <c r="G1708" t="s">
        <v>9</v>
      </c>
      <c r="L1708">
        <f t="shared" si="131"/>
        <v>0</v>
      </c>
      <c r="M1708">
        <f t="shared" si="132"/>
        <v>0</v>
      </c>
      <c r="N1708">
        <f t="shared" si="133"/>
        <v>0</v>
      </c>
      <c r="O1708">
        <f t="shared" si="135"/>
        <v>1</v>
      </c>
      <c r="P1708" t="str">
        <f t="shared" si="134"/>
        <v/>
      </c>
      <c r="Q1708">
        <f>COUNTIF('責任職　企業局→市長部局'!A:A,SQLデータ!B1708)</f>
        <v>0</v>
      </c>
      <c r="R1708">
        <f>COUNTIF('一般職員　企業局→市長部局'!A:F,SQLデータ!B1708)</f>
        <v>0</v>
      </c>
    </row>
    <row r="1709" spans="1:18" x14ac:dyDescent="0.4">
      <c r="A1709" s="1">
        <v>202650001528</v>
      </c>
      <c r="B1709" s="1">
        <v>1113029</v>
      </c>
      <c r="C1709" s="2">
        <v>46118</v>
      </c>
      <c r="D1709" t="s">
        <v>17</v>
      </c>
      <c r="E1709" t="s">
        <v>10</v>
      </c>
      <c r="G1709" t="s">
        <v>9</v>
      </c>
      <c r="L1709">
        <f t="shared" si="131"/>
        <v>0</v>
      </c>
      <c r="M1709">
        <f t="shared" si="132"/>
        <v>0</v>
      </c>
      <c r="N1709">
        <f t="shared" si="133"/>
        <v>0</v>
      </c>
      <c r="O1709">
        <f t="shared" si="135"/>
        <v>1</v>
      </c>
      <c r="P1709" t="str">
        <f t="shared" si="134"/>
        <v/>
      </c>
      <c r="Q1709">
        <f>COUNTIF('責任職　企業局→市長部局'!A:A,SQLデータ!B1709)</f>
        <v>0</v>
      </c>
      <c r="R1709">
        <f>COUNTIF('一般職員　企業局→市長部局'!A:F,SQLデータ!B1709)</f>
        <v>0</v>
      </c>
    </row>
    <row r="1710" spans="1:18" x14ac:dyDescent="0.4">
      <c r="A1710" s="1">
        <v>202650001529</v>
      </c>
      <c r="B1710" s="1">
        <v>1066043</v>
      </c>
      <c r="C1710" s="2">
        <v>46118</v>
      </c>
      <c r="D1710" t="s">
        <v>17</v>
      </c>
      <c r="E1710" t="s">
        <v>15</v>
      </c>
      <c r="G1710" t="s">
        <v>9</v>
      </c>
      <c r="L1710">
        <f t="shared" si="131"/>
        <v>0</v>
      </c>
      <c r="M1710">
        <f t="shared" si="132"/>
        <v>0</v>
      </c>
      <c r="N1710">
        <f t="shared" si="133"/>
        <v>0</v>
      </c>
      <c r="O1710">
        <f t="shared" si="135"/>
        <v>1</v>
      </c>
      <c r="P1710" t="str">
        <f t="shared" si="134"/>
        <v/>
      </c>
      <c r="Q1710">
        <f>COUNTIF('責任職　企業局→市長部局'!A:A,SQLデータ!B1710)</f>
        <v>0</v>
      </c>
      <c r="R1710">
        <f>COUNTIF('一般職員　企業局→市長部局'!A:F,SQLデータ!B1710)</f>
        <v>0</v>
      </c>
    </row>
    <row r="1711" spans="1:18" x14ac:dyDescent="0.4">
      <c r="A1711" s="1">
        <v>202650001530</v>
      </c>
      <c r="B1711" s="1">
        <v>1246053</v>
      </c>
      <c r="C1711" s="2">
        <v>46118</v>
      </c>
      <c r="D1711" t="s">
        <v>17</v>
      </c>
      <c r="E1711" t="s">
        <v>10</v>
      </c>
      <c r="G1711" t="s">
        <v>9</v>
      </c>
      <c r="L1711">
        <f t="shared" si="131"/>
        <v>0</v>
      </c>
      <c r="M1711">
        <f t="shared" si="132"/>
        <v>0</v>
      </c>
      <c r="N1711">
        <f t="shared" si="133"/>
        <v>0</v>
      </c>
      <c r="O1711">
        <f t="shared" si="135"/>
        <v>1</v>
      </c>
      <c r="P1711" t="str">
        <f t="shared" si="134"/>
        <v/>
      </c>
      <c r="Q1711">
        <f>COUNTIF('責任職　企業局→市長部局'!A:A,SQLデータ!B1711)</f>
        <v>0</v>
      </c>
      <c r="R1711">
        <f>COUNTIF('一般職員　企業局→市長部局'!A:F,SQLデータ!B1711)</f>
        <v>0</v>
      </c>
    </row>
    <row r="1712" spans="1:18" x14ac:dyDescent="0.4">
      <c r="A1712" s="1">
        <v>202650001531</v>
      </c>
      <c r="B1712" s="1">
        <v>1171234</v>
      </c>
      <c r="C1712" s="2">
        <v>46118</v>
      </c>
      <c r="D1712" t="s">
        <v>17</v>
      </c>
      <c r="E1712" t="s">
        <v>15</v>
      </c>
      <c r="F1712" t="s">
        <v>79</v>
      </c>
      <c r="G1712" t="s">
        <v>9</v>
      </c>
      <c r="L1712">
        <f t="shared" si="131"/>
        <v>0</v>
      </c>
      <c r="M1712">
        <f t="shared" si="132"/>
        <v>0</v>
      </c>
      <c r="N1712">
        <f t="shared" si="133"/>
        <v>0</v>
      </c>
      <c r="O1712">
        <f t="shared" si="135"/>
        <v>1</v>
      </c>
      <c r="P1712" t="str">
        <f t="shared" si="134"/>
        <v/>
      </c>
      <c r="Q1712">
        <f>COUNTIF('責任職　企業局→市長部局'!A:A,SQLデータ!B1712)</f>
        <v>0</v>
      </c>
      <c r="R1712">
        <f>COUNTIF('一般職員　企業局→市長部局'!A:F,SQLデータ!B1712)</f>
        <v>0</v>
      </c>
    </row>
    <row r="1713" spans="1:18" x14ac:dyDescent="0.4">
      <c r="A1713" s="1">
        <v>202650001532</v>
      </c>
      <c r="B1713" s="1">
        <v>1251403</v>
      </c>
      <c r="C1713" s="2">
        <v>46118</v>
      </c>
      <c r="D1713" t="s">
        <v>17</v>
      </c>
      <c r="E1713" t="s">
        <v>10</v>
      </c>
      <c r="G1713" t="s">
        <v>9</v>
      </c>
      <c r="L1713">
        <f t="shared" si="131"/>
        <v>0</v>
      </c>
      <c r="M1713">
        <f t="shared" si="132"/>
        <v>0</v>
      </c>
      <c r="N1713">
        <f t="shared" si="133"/>
        <v>0</v>
      </c>
      <c r="O1713">
        <f t="shared" si="135"/>
        <v>1</v>
      </c>
      <c r="P1713" t="str">
        <f t="shared" si="134"/>
        <v/>
      </c>
      <c r="Q1713">
        <f>COUNTIF('責任職　企業局→市長部局'!A:A,SQLデータ!B1713)</f>
        <v>0</v>
      </c>
      <c r="R1713">
        <f>COUNTIF('一般職員　企業局→市長部局'!A:F,SQLデータ!B1713)</f>
        <v>0</v>
      </c>
    </row>
    <row r="1714" spans="1:18" x14ac:dyDescent="0.4">
      <c r="A1714" s="1">
        <v>202650001533</v>
      </c>
      <c r="B1714" s="1">
        <v>1032047</v>
      </c>
      <c r="C1714" s="2">
        <v>46118</v>
      </c>
      <c r="D1714" t="s">
        <v>17</v>
      </c>
      <c r="E1714" t="s">
        <v>8</v>
      </c>
      <c r="G1714" t="s">
        <v>9</v>
      </c>
      <c r="L1714">
        <f t="shared" si="131"/>
        <v>0</v>
      </c>
      <c r="M1714">
        <f t="shared" si="132"/>
        <v>0</v>
      </c>
      <c r="N1714">
        <f t="shared" si="133"/>
        <v>0</v>
      </c>
      <c r="O1714">
        <f t="shared" si="135"/>
        <v>1</v>
      </c>
      <c r="P1714" t="str">
        <f t="shared" si="134"/>
        <v/>
      </c>
      <c r="Q1714">
        <f>COUNTIF('責任職　企業局→市長部局'!A:A,SQLデータ!B1714)</f>
        <v>0</v>
      </c>
      <c r="R1714">
        <f>COUNTIF('一般職員　企業局→市長部局'!A:F,SQLデータ!B1714)</f>
        <v>0</v>
      </c>
    </row>
    <row r="1715" spans="1:18" x14ac:dyDescent="0.4">
      <c r="A1715" s="1">
        <v>202650001534</v>
      </c>
      <c r="B1715" s="1">
        <v>1021114</v>
      </c>
      <c r="C1715" s="2">
        <v>46118</v>
      </c>
      <c r="D1715" t="s">
        <v>17</v>
      </c>
      <c r="E1715" t="s">
        <v>10</v>
      </c>
      <c r="G1715" t="s">
        <v>9</v>
      </c>
      <c r="L1715">
        <f t="shared" si="131"/>
        <v>0</v>
      </c>
      <c r="M1715">
        <f t="shared" si="132"/>
        <v>0</v>
      </c>
      <c r="N1715">
        <f t="shared" si="133"/>
        <v>0</v>
      </c>
      <c r="O1715">
        <f t="shared" si="135"/>
        <v>1</v>
      </c>
      <c r="P1715" t="str">
        <f t="shared" si="134"/>
        <v/>
      </c>
      <c r="Q1715">
        <f>COUNTIF('責任職　企業局→市長部局'!A:A,SQLデータ!B1715)</f>
        <v>0</v>
      </c>
      <c r="R1715">
        <f>COUNTIF('一般職員　企業局→市長部局'!A:F,SQLデータ!B1715)</f>
        <v>0</v>
      </c>
    </row>
    <row r="1716" spans="1:18" x14ac:dyDescent="0.4">
      <c r="A1716" s="1">
        <v>202650001535</v>
      </c>
      <c r="B1716" s="1">
        <v>870919</v>
      </c>
      <c r="C1716" s="2">
        <v>46118</v>
      </c>
      <c r="D1716" t="s">
        <v>17</v>
      </c>
      <c r="E1716" t="s">
        <v>10</v>
      </c>
      <c r="G1716" t="s">
        <v>9</v>
      </c>
      <c r="L1716">
        <f t="shared" si="131"/>
        <v>0</v>
      </c>
      <c r="M1716">
        <f t="shared" si="132"/>
        <v>0</v>
      </c>
      <c r="N1716">
        <f t="shared" si="133"/>
        <v>0</v>
      </c>
      <c r="O1716">
        <f t="shared" si="135"/>
        <v>1</v>
      </c>
      <c r="P1716" t="str">
        <f t="shared" si="134"/>
        <v/>
      </c>
      <c r="Q1716">
        <f>COUNTIF('責任職　企業局→市長部局'!A:A,SQLデータ!B1716)</f>
        <v>0</v>
      </c>
      <c r="R1716">
        <f>COUNTIF('一般職員　企業局→市長部局'!A:F,SQLデータ!B1716)</f>
        <v>0</v>
      </c>
    </row>
    <row r="1717" spans="1:18" x14ac:dyDescent="0.4">
      <c r="A1717" s="1">
        <v>202650001536</v>
      </c>
      <c r="B1717" s="1">
        <v>1161085</v>
      </c>
      <c r="C1717" s="2">
        <v>46118</v>
      </c>
      <c r="D1717" t="s">
        <v>17</v>
      </c>
      <c r="E1717" t="s">
        <v>10</v>
      </c>
      <c r="G1717" t="s">
        <v>9</v>
      </c>
      <c r="L1717">
        <f t="shared" si="131"/>
        <v>0</v>
      </c>
      <c r="M1717">
        <f t="shared" si="132"/>
        <v>0</v>
      </c>
      <c r="N1717">
        <f t="shared" si="133"/>
        <v>0</v>
      </c>
      <c r="O1717">
        <f t="shared" si="135"/>
        <v>1</v>
      </c>
      <c r="P1717" t="str">
        <f t="shared" si="134"/>
        <v/>
      </c>
      <c r="Q1717">
        <f>COUNTIF('責任職　企業局→市長部局'!A:A,SQLデータ!B1717)</f>
        <v>0</v>
      </c>
      <c r="R1717">
        <f>COUNTIF('一般職員　企業局→市長部局'!A:F,SQLデータ!B1717)</f>
        <v>0</v>
      </c>
    </row>
    <row r="1718" spans="1:18" x14ac:dyDescent="0.4">
      <c r="A1718" s="1">
        <v>202650001537</v>
      </c>
      <c r="B1718" s="1">
        <v>1091173</v>
      </c>
      <c r="C1718" s="2">
        <v>46118</v>
      </c>
      <c r="D1718" t="s">
        <v>17</v>
      </c>
      <c r="E1718" t="s">
        <v>10</v>
      </c>
      <c r="G1718" t="s">
        <v>9</v>
      </c>
      <c r="L1718">
        <f t="shared" si="131"/>
        <v>0</v>
      </c>
      <c r="M1718">
        <f t="shared" si="132"/>
        <v>0</v>
      </c>
      <c r="N1718">
        <f t="shared" si="133"/>
        <v>0</v>
      </c>
      <c r="O1718">
        <f t="shared" si="135"/>
        <v>1</v>
      </c>
      <c r="P1718" t="str">
        <f t="shared" si="134"/>
        <v/>
      </c>
      <c r="Q1718">
        <f>COUNTIF('責任職　企業局→市長部局'!A:A,SQLデータ!B1718)</f>
        <v>0</v>
      </c>
      <c r="R1718">
        <f>COUNTIF('一般職員　企業局→市長部局'!A:F,SQLデータ!B1718)</f>
        <v>0</v>
      </c>
    </row>
    <row r="1719" spans="1:18" x14ac:dyDescent="0.4">
      <c r="A1719" s="1">
        <v>202650001538</v>
      </c>
      <c r="B1719" s="1">
        <v>898079</v>
      </c>
      <c r="C1719" s="2">
        <v>46118</v>
      </c>
      <c r="D1719" t="s">
        <v>17</v>
      </c>
      <c r="E1719" t="s">
        <v>10</v>
      </c>
      <c r="G1719" t="s">
        <v>9</v>
      </c>
      <c r="L1719">
        <f t="shared" si="131"/>
        <v>0</v>
      </c>
      <c r="M1719">
        <f t="shared" si="132"/>
        <v>0</v>
      </c>
      <c r="N1719">
        <f t="shared" si="133"/>
        <v>0</v>
      </c>
      <c r="O1719">
        <f t="shared" si="135"/>
        <v>1</v>
      </c>
      <c r="P1719" t="str">
        <f t="shared" si="134"/>
        <v/>
      </c>
      <c r="Q1719">
        <f>COUNTIF('責任職　企業局→市長部局'!A:A,SQLデータ!B1719)</f>
        <v>0</v>
      </c>
      <c r="R1719">
        <f>COUNTIF('一般職員　企業局→市長部局'!A:F,SQLデータ!B1719)</f>
        <v>0</v>
      </c>
    </row>
    <row r="1720" spans="1:18" x14ac:dyDescent="0.4">
      <c r="A1720" s="1">
        <v>202650001539</v>
      </c>
      <c r="B1720" s="1">
        <v>1221402</v>
      </c>
      <c r="C1720" s="2">
        <v>46118</v>
      </c>
      <c r="D1720" t="s">
        <v>17</v>
      </c>
      <c r="E1720" t="s">
        <v>10</v>
      </c>
      <c r="G1720" t="s">
        <v>9</v>
      </c>
      <c r="L1720">
        <f t="shared" si="131"/>
        <v>0</v>
      </c>
      <c r="M1720">
        <f t="shared" si="132"/>
        <v>0</v>
      </c>
      <c r="N1720">
        <f t="shared" si="133"/>
        <v>0</v>
      </c>
      <c r="O1720">
        <f t="shared" si="135"/>
        <v>1</v>
      </c>
      <c r="P1720" t="str">
        <f t="shared" si="134"/>
        <v/>
      </c>
      <c r="Q1720">
        <f>COUNTIF('責任職　企業局→市長部局'!A:A,SQLデータ!B1720)</f>
        <v>0</v>
      </c>
      <c r="R1720">
        <f>COUNTIF('一般職員　企業局→市長部局'!A:F,SQLデータ!B1720)</f>
        <v>0</v>
      </c>
    </row>
    <row r="1721" spans="1:18" x14ac:dyDescent="0.4">
      <c r="A1721" s="1">
        <v>202650001540</v>
      </c>
      <c r="B1721" s="1">
        <v>1036067</v>
      </c>
      <c r="C1721" s="2">
        <v>46118</v>
      </c>
      <c r="D1721" t="s">
        <v>17</v>
      </c>
      <c r="E1721" t="s">
        <v>10</v>
      </c>
      <c r="G1721" t="s">
        <v>9</v>
      </c>
      <c r="L1721">
        <f t="shared" si="131"/>
        <v>0</v>
      </c>
      <c r="M1721">
        <f t="shared" si="132"/>
        <v>0</v>
      </c>
      <c r="N1721">
        <f t="shared" si="133"/>
        <v>0</v>
      </c>
      <c r="O1721">
        <f t="shared" si="135"/>
        <v>1</v>
      </c>
      <c r="P1721" t="str">
        <f t="shared" si="134"/>
        <v/>
      </c>
      <c r="Q1721">
        <f>COUNTIF('責任職　企業局→市長部局'!A:A,SQLデータ!B1721)</f>
        <v>0</v>
      </c>
      <c r="R1721">
        <f>COUNTIF('一般職員　企業局→市長部局'!A:F,SQLデータ!B1721)</f>
        <v>0</v>
      </c>
    </row>
    <row r="1722" spans="1:18" x14ac:dyDescent="0.4">
      <c r="A1722" s="1">
        <v>202650001541</v>
      </c>
      <c r="B1722" s="1">
        <v>930616</v>
      </c>
      <c r="C1722" s="2">
        <v>46118</v>
      </c>
      <c r="D1722" t="s">
        <v>17</v>
      </c>
      <c r="E1722" t="s">
        <v>10</v>
      </c>
      <c r="G1722" t="s">
        <v>9</v>
      </c>
      <c r="L1722">
        <f t="shared" si="131"/>
        <v>0</v>
      </c>
      <c r="M1722">
        <f t="shared" si="132"/>
        <v>0</v>
      </c>
      <c r="N1722">
        <f t="shared" si="133"/>
        <v>0</v>
      </c>
      <c r="O1722">
        <f t="shared" si="135"/>
        <v>1</v>
      </c>
      <c r="P1722" t="str">
        <f t="shared" si="134"/>
        <v/>
      </c>
      <c r="Q1722">
        <f>COUNTIF('責任職　企業局→市長部局'!A:A,SQLデータ!B1722)</f>
        <v>0</v>
      </c>
      <c r="R1722">
        <f>COUNTIF('一般職員　企業局→市長部局'!A:F,SQLデータ!B1722)</f>
        <v>0</v>
      </c>
    </row>
    <row r="1723" spans="1:18" x14ac:dyDescent="0.4">
      <c r="A1723" s="1">
        <v>202650001542</v>
      </c>
      <c r="B1723" s="1">
        <v>1102114</v>
      </c>
      <c r="C1723" s="2">
        <v>46118</v>
      </c>
      <c r="D1723" t="s">
        <v>17</v>
      </c>
      <c r="E1723" t="s">
        <v>10</v>
      </c>
      <c r="G1723" t="s">
        <v>9</v>
      </c>
      <c r="L1723">
        <f t="shared" si="131"/>
        <v>0</v>
      </c>
      <c r="M1723">
        <f t="shared" si="132"/>
        <v>0</v>
      </c>
      <c r="N1723">
        <f t="shared" si="133"/>
        <v>0</v>
      </c>
      <c r="O1723">
        <f t="shared" si="135"/>
        <v>1</v>
      </c>
      <c r="P1723" t="str">
        <f t="shared" si="134"/>
        <v/>
      </c>
      <c r="Q1723">
        <f>COUNTIF('責任職　企業局→市長部局'!A:A,SQLデータ!B1723)</f>
        <v>0</v>
      </c>
      <c r="R1723">
        <f>COUNTIF('一般職員　企業局→市長部局'!A:F,SQLデータ!B1723)</f>
        <v>0</v>
      </c>
    </row>
    <row r="1724" spans="1:18" x14ac:dyDescent="0.4">
      <c r="A1724" s="1">
        <v>202650001543</v>
      </c>
      <c r="B1724" s="1">
        <v>1066049</v>
      </c>
      <c r="C1724" s="2">
        <v>46118</v>
      </c>
      <c r="D1724" t="s">
        <v>17</v>
      </c>
      <c r="E1724" t="s">
        <v>15</v>
      </c>
      <c r="G1724" t="s">
        <v>9</v>
      </c>
      <c r="L1724">
        <f t="shared" si="131"/>
        <v>0</v>
      </c>
      <c r="M1724">
        <f t="shared" si="132"/>
        <v>0</v>
      </c>
      <c r="N1724">
        <f t="shared" si="133"/>
        <v>0</v>
      </c>
      <c r="O1724">
        <f t="shared" si="135"/>
        <v>1</v>
      </c>
      <c r="P1724" t="str">
        <f t="shared" si="134"/>
        <v/>
      </c>
      <c r="Q1724">
        <f>COUNTIF('責任職　企業局→市長部局'!A:A,SQLデータ!B1724)</f>
        <v>0</v>
      </c>
      <c r="R1724">
        <f>COUNTIF('一般職員　企業局→市長部局'!A:F,SQLデータ!B1724)</f>
        <v>0</v>
      </c>
    </row>
    <row r="1725" spans="1:18" x14ac:dyDescent="0.4">
      <c r="A1725" s="1">
        <v>202650001544</v>
      </c>
      <c r="B1725" s="1">
        <v>1081095</v>
      </c>
      <c r="C1725" s="2">
        <v>46118</v>
      </c>
      <c r="D1725" t="s">
        <v>17</v>
      </c>
      <c r="E1725" t="s">
        <v>8</v>
      </c>
      <c r="G1725" t="s">
        <v>9</v>
      </c>
      <c r="L1725">
        <f t="shared" si="131"/>
        <v>0</v>
      </c>
      <c r="M1725">
        <f t="shared" si="132"/>
        <v>0</v>
      </c>
      <c r="N1725">
        <f t="shared" si="133"/>
        <v>0</v>
      </c>
      <c r="O1725">
        <f t="shared" si="135"/>
        <v>1</v>
      </c>
      <c r="P1725" t="str">
        <f t="shared" si="134"/>
        <v/>
      </c>
      <c r="Q1725">
        <f>COUNTIF('責任職　企業局→市長部局'!A:A,SQLデータ!B1725)</f>
        <v>0</v>
      </c>
      <c r="R1725">
        <f>COUNTIF('一般職員　企業局→市長部局'!A:F,SQLデータ!B1725)</f>
        <v>0</v>
      </c>
    </row>
    <row r="1726" spans="1:18" x14ac:dyDescent="0.4">
      <c r="A1726" s="1">
        <v>202650001545</v>
      </c>
      <c r="B1726" s="1">
        <v>1106097</v>
      </c>
      <c r="C1726" s="2">
        <v>46118</v>
      </c>
      <c r="D1726" t="s">
        <v>17</v>
      </c>
      <c r="E1726" t="s">
        <v>8</v>
      </c>
      <c r="G1726" t="s">
        <v>9</v>
      </c>
      <c r="L1726">
        <f t="shared" si="131"/>
        <v>0</v>
      </c>
      <c r="M1726">
        <f t="shared" si="132"/>
        <v>0</v>
      </c>
      <c r="N1726">
        <f t="shared" si="133"/>
        <v>0</v>
      </c>
      <c r="O1726">
        <f t="shared" si="135"/>
        <v>1</v>
      </c>
      <c r="P1726" t="str">
        <f t="shared" si="134"/>
        <v/>
      </c>
      <c r="Q1726">
        <f>COUNTIF('責任職　企業局→市長部局'!A:A,SQLデータ!B1726)</f>
        <v>0</v>
      </c>
      <c r="R1726">
        <f>COUNTIF('一般職員　企業局→市長部局'!A:F,SQLデータ!B1726)</f>
        <v>0</v>
      </c>
    </row>
    <row r="1727" spans="1:18" x14ac:dyDescent="0.4">
      <c r="A1727" s="1">
        <v>202650001546</v>
      </c>
      <c r="B1727" s="1">
        <v>991271</v>
      </c>
      <c r="C1727" s="2">
        <v>46118</v>
      </c>
      <c r="D1727" t="s">
        <v>17</v>
      </c>
      <c r="E1727" t="s">
        <v>8</v>
      </c>
      <c r="G1727" t="s">
        <v>9</v>
      </c>
      <c r="L1727">
        <f t="shared" si="131"/>
        <v>0</v>
      </c>
      <c r="M1727">
        <f t="shared" si="132"/>
        <v>0</v>
      </c>
      <c r="N1727">
        <f t="shared" si="133"/>
        <v>0</v>
      </c>
      <c r="O1727">
        <f t="shared" si="135"/>
        <v>1</v>
      </c>
      <c r="P1727" t="str">
        <f t="shared" si="134"/>
        <v/>
      </c>
      <c r="Q1727">
        <f>COUNTIF('責任職　企業局→市長部局'!A:A,SQLデータ!B1727)</f>
        <v>0</v>
      </c>
      <c r="R1727">
        <f>COUNTIF('一般職員　企業局→市長部局'!A:F,SQLデータ!B1727)</f>
        <v>0</v>
      </c>
    </row>
    <row r="1728" spans="1:18" x14ac:dyDescent="0.4">
      <c r="A1728" s="1">
        <v>202650001547</v>
      </c>
      <c r="B1728" s="1">
        <v>1136021</v>
      </c>
      <c r="C1728" s="2">
        <v>46118</v>
      </c>
      <c r="D1728" t="s">
        <v>17</v>
      </c>
      <c r="E1728" t="s">
        <v>8</v>
      </c>
      <c r="G1728" t="s">
        <v>9</v>
      </c>
      <c r="L1728">
        <f t="shared" si="131"/>
        <v>0</v>
      </c>
      <c r="M1728">
        <f t="shared" si="132"/>
        <v>0</v>
      </c>
      <c r="N1728">
        <f t="shared" si="133"/>
        <v>0</v>
      </c>
      <c r="O1728">
        <f t="shared" si="135"/>
        <v>1</v>
      </c>
      <c r="P1728" t="str">
        <f t="shared" si="134"/>
        <v/>
      </c>
      <c r="Q1728">
        <f>COUNTIF('責任職　企業局→市長部局'!A:A,SQLデータ!B1728)</f>
        <v>0</v>
      </c>
      <c r="R1728">
        <f>COUNTIF('一般職員　企業局→市長部局'!A:F,SQLデータ!B1728)</f>
        <v>0</v>
      </c>
    </row>
    <row r="1729" spans="1:18" x14ac:dyDescent="0.4">
      <c r="A1729" s="1">
        <v>202650001548</v>
      </c>
      <c r="B1729" s="1">
        <v>1111046</v>
      </c>
      <c r="C1729" s="2">
        <v>46118</v>
      </c>
      <c r="D1729" t="s">
        <v>17</v>
      </c>
      <c r="E1729" t="s">
        <v>8</v>
      </c>
      <c r="G1729" t="s">
        <v>9</v>
      </c>
      <c r="L1729">
        <f t="shared" si="131"/>
        <v>0</v>
      </c>
      <c r="M1729">
        <f t="shared" si="132"/>
        <v>0</v>
      </c>
      <c r="N1729">
        <f t="shared" si="133"/>
        <v>0</v>
      </c>
      <c r="O1729">
        <f t="shared" si="135"/>
        <v>1</v>
      </c>
      <c r="P1729" t="str">
        <f t="shared" si="134"/>
        <v/>
      </c>
      <c r="Q1729">
        <f>COUNTIF('責任職　企業局→市長部局'!A:A,SQLデータ!B1729)</f>
        <v>0</v>
      </c>
      <c r="R1729">
        <f>COUNTIF('一般職員　企業局→市長部局'!A:F,SQLデータ!B1729)</f>
        <v>0</v>
      </c>
    </row>
    <row r="1730" spans="1:18" x14ac:dyDescent="0.4">
      <c r="A1730" s="1">
        <v>202650001549</v>
      </c>
      <c r="B1730" s="1">
        <v>1133035</v>
      </c>
      <c r="C1730" s="2">
        <v>46118</v>
      </c>
      <c r="D1730" t="s">
        <v>17</v>
      </c>
      <c r="E1730" t="s">
        <v>8</v>
      </c>
      <c r="G1730" t="s">
        <v>9</v>
      </c>
      <c r="L1730">
        <f t="shared" ref="L1730:L1793" si="136">IF(ISBLANK(J1730),0,1)</f>
        <v>0</v>
      </c>
      <c r="M1730">
        <f t="shared" ref="M1730:M1793" si="137">IF(AND(L1730=0,I1730&lt;&gt;""),1,0)</f>
        <v>0</v>
      </c>
      <c r="N1730">
        <f t="shared" ref="N1730:N1793" si="138">IF(AND(L1730=0,M1730=0,K1730&lt;&gt;""),1,0)</f>
        <v>0</v>
      </c>
      <c r="O1730">
        <f t="shared" si="135"/>
        <v>1</v>
      </c>
      <c r="P1730" t="str">
        <f t="shared" ref="P1730:P1793" si="139">IF(D1730&lt;&gt;"扶養","",IF(E1730&lt;&gt;"確認待ち",1,IF(OR(AND(G1730="本人の結婚",O1730=1),AND(H1730="減",OR(N1730=1,O1730=1))),1,0)))</f>
        <v/>
      </c>
      <c r="Q1730">
        <f>COUNTIF('責任職　企業局→市長部局'!A:A,SQLデータ!B1730)</f>
        <v>0</v>
      </c>
      <c r="R1730">
        <f>COUNTIF('一般職員　企業局→市長部局'!A:F,SQLデータ!B1730)</f>
        <v>0</v>
      </c>
    </row>
    <row r="1731" spans="1:18" x14ac:dyDescent="0.4">
      <c r="A1731" s="1">
        <v>202650001550</v>
      </c>
      <c r="B1731" s="1">
        <v>5158424</v>
      </c>
      <c r="C1731" s="2">
        <v>46118</v>
      </c>
      <c r="D1731" t="s">
        <v>17</v>
      </c>
      <c r="E1731" t="s">
        <v>10</v>
      </c>
      <c r="F1731" t="s">
        <v>54</v>
      </c>
      <c r="G1731" t="s">
        <v>9</v>
      </c>
      <c r="L1731">
        <f t="shared" si="136"/>
        <v>0</v>
      </c>
      <c r="M1731">
        <f t="shared" si="137"/>
        <v>0</v>
      </c>
      <c r="N1731">
        <f t="shared" si="138"/>
        <v>0</v>
      </c>
      <c r="O1731">
        <f t="shared" si="135"/>
        <v>1</v>
      </c>
      <c r="P1731" t="str">
        <f t="shared" si="139"/>
        <v/>
      </c>
      <c r="Q1731">
        <f>COUNTIF('責任職　企業局→市長部局'!A:A,SQLデータ!B1731)</f>
        <v>0</v>
      </c>
      <c r="R1731">
        <f>COUNTIF('一般職員　企業局→市長部局'!A:F,SQLデータ!B1731)</f>
        <v>0</v>
      </c>
    </row>
    <row r="1732" spans="1:18" x14ac:dyDescent="0.4">
      <c r="A1732" s="1">
        <v>202650001551</v>
      </c>
      <c r="B1732" s="1">
        <v>1241178</v>
      </c>
      <c r="C1732" s="2">
        <v>46118</v>
      </c>
      <c r="D1732" t="s">
        <v>17</v>
      </c>
      <c r="E1732" t="s">
        <v>8</v>
      </c>
      <c r="G1732" t="s">
        <v>9</v>
      </c>
      <c r="L1732">
        <f t="shared" si="136"/>
        <v>0</v>
      </c>
      <c r="M1732">
        <f t="shared" si="137"/>
        <v>0</v>
      </c>
      <c r="N1732">
        <f t="shared" si="138"/>
        <v>0</v>
      </c>
      <c r="O1732">
        <f t="shared" si="135"/>
        <v>1</v>
      </c>
      <c r="P1732" t="str">
        <f t="shared" si="139"/>
        <v/>
      </c>
      <c r="Q1732">
        <f>COUNTIF('責任職　企業局→市長部局'!A:A,SQLデータ!B1732)</f>
        <v>0</v>
      </c>
      <c r="R1732">
        <f>COUNTIF('一般職員　企業局→市長部局'!A:F,SQLデータ!B1732)</f>
        <v>0</v>
      </c>
    </row>
    <row r="1733" spans="1:18" x14ac:dyDescent="0.4">
      <c r="A1733" s="1">
        <v>202650001552</v>
      </c>
      <c r="B1733" s="1">
        <v>1241236</v>
      </c>
      <c r="C1733" s="2">
        <v>46118</v>
      </c>
      <c r="D1733" t="s">
        <v>17</v>
      </c>
      <c r="E1733" t="s">
        <v>8</v>
      </c>
      <c r="G1733" t="s">
        <v>9</v>
      </c>
      <c r="L1733">
        <f t="shared" si="136"/>
        <v>0</v>
      </c>
      <c r="M1733">
        <f t="shared" si="137"/>
        <v>0</v>
      </c>
      <c r="N1733">
        <f t="shared" si="138"/>
        <v>0</v>
      </c>
      <c r="O1733">
        <f t="shared" si="135"/>
        <v>1</v>
      </c>
      <c r="P1733" t="str">
        <f t="shared" si="139"/>
        <v/>
      </c>
      <c r="Q1733">
        <f>COUNTIF('責任職　企業局→市長部局'!A:A,SQLデータ!B1733)</f>
        <v>0</v>
      </c>
      <c r="R1733">
        <f>COUNTIF('一般職員　企業局→市長部局'!A:F,SQLデータ!B1733)</f>
        <v>0</v>
      </c>
    </row>
    <row r="1734" spans="1:18" x14ac:dyDescent="0.4">
      <c r="A1734" s="1">
        <v>202650001553</v>
      </c>
      <c r="B1734" s="1">
        <v>910461</v>
      </c>
      <c r="C1734" s="2">
        <v>46118</v>
      </c>
      <c r="D1734" t="s">
        <v>17</v>
      </c>
      <c r="E1734" t="s">
        <v>8</v>
      </c>
      <c r="G1734" t="s">
        <v>9</v>
      </c>
      <c r="L1734">
        <f t="shared" si="136"/>
        <v>0</v>
      </c>
      <c r="M1734">
        <f t="shared" si="137"/>
        <v>0</v>
      </c>
      <c r="N1734">
        <f t="shared" si="138"/>
        <v>0</v>
      </c>
      <c r="O1734">
        <f t="shared" si="135"/>
        <v>1</v>
      </c>
      <c r="P1734" t="str">
        <f t="shared" si="139"/>
        <v/>
      </c>
      <c r="Q1734">
        <f>COUNTIF('責任職　企業局→市長部局'!A:A,SQLデータ!B1734)</f>
        <v>0</v>
      </c>
      <c r="R1734">
        <f>COUNTIF('一般職員　企業局→市長部局'!A:F,SQLデータ!B1734)</f>
        <v>0</v>
      </c>
    </row>
    <row r="1735" spans="1:18" x14ac:dyDescent="0.4">
      <c r="A1735" s="1">
        <v>202650001554</v>
      </c>
      <c r="B1735" s="1">
        <v>1091220</v>
      </c>
      <c r="C1735" s="2">
        <v>46118</v>
      </c>
      <c r="D1735" t="s">
        <v>17</v>
      </c>
      <c r="E1735" t="s">
        <v>8</v>
      </c>
      <c r="G1735" t="s">
        <v>9</v>
      </c>
      <c r="L1735">
        <f t="shared" si="136"/>
        <v>0</v>
      </c>
      <c r="M1735">
        <f t="shared" si="137"/>
        <v>0</v>
      </c>
      <c r="N1735">
        <f t="shared" si="138"/>
        <v>0</v>
      </c>
      <c r="O1735">
        <f t="shared" si="135"/>
        <v>1</v>
      </c>
      <c r="P1735" t="str">
        <f t="shared" si="139"/>
        <v/>
      </c>
      <c r="Q1735">
        <f>COUNTIF('責任職　企業局→市長部局'!A:A,SQLデータ!B1735)</f>
        <v>0</v>
      </c>
      <c r="R1735">
        <f>COUNTIF('一般職員　企業局→市長部局'!A:F,SQLデータ!B1735)</f>
        <v>0</v>
      </c>
    </row>
    <row r="1736" spans="1:18" x14ac:dyDescent="0.4">
      <c r="A1736" s="1">
        <v>202650001555</v>
      </c>
      <c r="B1736" s="1">
        <v>1252038</v>
      </c>
      <c r="C1736" s="2">
        <v>46118</v>
      </c>
      <c r="D1736" t="s">
        <v>17</v>
      </c>
      <c r="E1736" t="s">
        <v>8</v>
      </c>
      <c r="G1736" t="s">
        <v>9</v>
      </c>
      <c r="L1736">
        <f t="shared" si="136"/>
        <v>0</v>
      </c>
      <c r="M1736">
        <f t="shared" si="137"/>
        <v>0</v>
      </c>
      <c r="N1736">
        <f t="shared" si="138"/>
        <v>0</v>
      </c>
      <c r="O1736">
        <f t="shared" si="135"/>
        <v>1</v>
      </c>
      <c r="P1736" t="str">
        <f t="shared" si="139"/>
        <v/>
      </c>
      <c r="Q1736">
        <f>COUNTIF('責任職　企業局→市長部局'!A:A,SQLデータ!B1736)</f>
        <v>0</v>
      </c>
      <c r="R1736">
        <f>COUNTIF('一般職員　企業局→市長部局'!A:F,SQLデータ!B1736)</f>
        <v>0</v>
      </c>
    </row>
    <row r="1737" spans="1:18" x14ac:dyDescent="0.4">
      <c r="A1737" s="1">
        <v>202650001556</v>
      </c>
      <c r="B1737" s="1">
        <v>920066</v>
      </c>
      <c r="C1737" s="2">
        <v>46118</v>
      </c>
      <c r="D1737" t="s">
        <v>17</v>
      </c>
      <c r="E1737" t="s">
        <v>8</v>
      </c>
      <c r="G1737" t="s">
        <v>9</v>
      </c>
      <c r="L1737">
        <f t="shared" si="136"/>
        <v>0</v>
      </c>
      <c r="M1737">
        <f t="shared" si="137"/>
        <v>0</v>
      </c>
      <c r="N1737">
        <f t="shared" si="138"/>
        <v>0</v>
      </c>
      <c r="O1737">
        <f t="shared" ref="O1737:O1800" si="140">IF(COUNTIF(L1737:N1737,0)=3,1,0)</f>
        <v>1</v>
      </c>
      <c r="P1737" t="str">
        <f t="shared" si="139"/>
        <v/>
      </c>
      <c r="Q1737">
        <f>COUNTIF('責任職　企業局→市長部局'!A:A,SQLデータ!B1737)</f>
        <v>0</v>
      </c>
      <c r="R1737">
        <f>COUNTIF('一般職員　企業局→市長部局'!A:F,SQLデータ!B1737)</f>
        <v>0</v>
      </c>
    </row>
    <row r="1738" spans="1:18" x14ac:dyDescent="0.4">
      <c r="A1738" s="1">
        <v>202650001557</v>
      </c>
      <c r="B1738" s="1">
        <v>1136045</v>
      </c>
      <c r="C1738" s="2">
        <v>46118</v>
      </c>
      <c r="D1738" t="s">
        <v>17</v>
      </c>
      <c r="E1738" t="s">
        <v>8</v>
      </c>
      <c r="G1738" t="s">
        <v>9</v>
      </c>
      <c r="L1738">
        <f t="shared" si="136"/>
        <v>0</v>
      </c>
      <c r="M1738">
        <f t="shared" si="137"/>
        <v>0</v>
      </c>
      <c r="N1738">
        <f t="shared" si="138"/>
        <v>0</v>
      </c>
      <c r="O1738">
        <f t="shared" si="140"/>
        <v>1</v>
      </c>
      <c r="P1738" t="str">
        <f t="shared" si="139"/>
        <v/>
      </c>
      <c r="Q1738">
        <f>COUNTIF('責任職　企業局→市長部局'!A:A,SQLデータ!B1738)</f>
        <v>0</v>
      </c>
      <c r="R1738">
        <f>COUNTIF('一般職員　企業局→市長部局'!A:F,SQLデータ!B1738)</f>
        <v>0</v>
      </c>
    </row>
    <row r="1739" spans="1:18" x14ac:dyDescent="0.4">
      <c r="A1739" s="1">
        <v>202650001558</v>
      </c>
      <c r="B1739" s="1">
        <v>1182509</v>
      </c>
      <c r="C1739" s="2">
        <v>46118</v>
      </c>
      <c r="D1739" t="s">
        <v>17</v>
      </c>
      <c r="E1739" t="s">
        <v>8</v>
      </c>
      <c r="G1739" t="s">
        <v>9</v>
      </c>
      <c r="L1739">
        <f t="shared" si="136"/>
        <v>0</v>
      </c>
      <c r="M1739">
        <f t="shared" si="137"/>
        <v>0</v>
      </c>
      <c r="N1739">
        <f t="shared" si="138"/>
        <v>0</v>
      </c>
      <c r="O1739">
        <f t="shared" si="140"/>
        <v>1</v>
      </c>
      <c r="P1739" t="str">
        <f t="shared" si="139"/>
        <v/>
      </c>
      <c r="Q1739">
        <f>COUNTIF('責任職　企業局→市長部局'!A:A,SQLデータ!B1739)</f>
        <v>0</v>
      </c>
      <c r="R1739">
        <f>COUNTIF('一般職員　企業局→市長部局'!A:F,SQLデータ!B1739)</f>
        <v>0</v>
      </c>
    </row>
    <row r="1740" spans="1:18" x14ac:dyDescent="0.4">
      <c r="A1740" s="1">
        <v>202650001559</v>
      </c>
      <c r="B1740" s="1">
        <v>5068629</v>
      </c>
      <c r="C1740" s="2">
        <v>46118</v>
      </c>
      <c r="D1740" t="s">
        <v>17</v>
      </c>
      <c r="E1740" t="s">
        <v>10</v>
      </c>
      <c r="F1740" t="s">
        <v>54</v>
      </c>
      <c r="G1740" t="s">
        <v>9</v>
      </c>
      <c r="L1740">
        <f t="shared" si="136"/>
        <v>0</v>
      </c>
      <c r="M1740">
        <f t="shared" si="137"/>
        <v>0</v>
      </c>
      <c r="N1740">
        <f t="shared" si="138"/>
        <v>0</v>
      </c>
      <c r="O1740">
        <f t="shared" si="140"/>
        <v>1</v>
      </c>
      <c r="P1740" t="str">
        <f t="shared" si="139"/>
        <v/>
      </c>
      <c r="Q1740">
        <f>COUNTIF('責任職　企業局→市長部局'!A:A,SQLデータ!B1740)</f>
        <v>0</v>
      </c>
      <c r="R1740">
        <f>COUNTIF('一般職員　企業局→市長部局'!A:F,SQLデータ!B1740)</f>
        <v>0</v>
      </c>
    </row>
    <row r="1741" spans="1:18" x14ac:dyDescent="0.4">
      <c r="A1741" s="1">
        <v>202650001560</v>
      </c>
      <c r="B1741" s="1">
        <v>1072005</v>
      </c>
      <c r="C1741" s="2">
        <v>46118</v>
      </c>
      <c r="D1741" t="s">
        <v>17</v>
      </c>
      <c r="E1741" t="s">
        <v>8</v>
      </c>
      <c r="G1741" t="s">
        <v>9</v>
      </c>
      <c r="L1741">
        <f t="shared" si="136"/>
        <v>0</v>
      </c>
      <c r="M1741">
        <f t="shared" si="137"/>
        <v>0</v>
      </c>
      <c r="N1741">
        <f t="shared" si="138"/>
        <v>0</v>
      </c>
      <c r="O1741">
        <f t="shared" si="140"/>
        <v>1</v>
      </c>
      <c r="P1741" t="str">
        <f t="shared" si="139"/>
        <v/>
      </c>
      <c r="Q1741">
        <f>COUNTIF('責任職　企業局→市長部局'!A:A,SQLデータ!B1741)</f>
        <v>0</v>
      </c>
      <c r="R1741">
        <f>COUNTIF('一般職員　企業局→市長部局'!A:F,SQLデータ!B1741)</f>
        <v>0</v>
      </c>
    </row>
    <row r="1742" spans="1:18" x14ac:dyDescent="0.4">
      <c r="A1742" s="1">
        <v>202650001561</v>
      </c>
      <c r="B1742" s="1">
        <v>1191310</v>
      </c>
      <c r="C1742" s="2">
        <v>46118</v>
      </c>
      <c r="D1742" t="s">
        <v>17</v>
      </c>
      <c r="E1742" t="s">
        <v>8</v>
      </c>
      <c r="G1742" t="s">
        <v>9</v>
      </c>
      <c r="L1742">
        <f t="shared" si="136"/>
        <v>0</v>
      </c>
      <c r="M1742">
        <f t="shared" si="137"/>
        <v>0</v>
      </c>
      <c r="N1742">
        <f t="shared" si="138"/>
        <v>0</v>
      </c>
      <c r="O1742">
        <f t="shared" si="140"/>
        <v>1</v>
      </c>
      <c r="P1742" t="str">
        <f t="shared" si="139"/>
        <v/>
      </c>
      <c r="Q1742">
        <f>COUNTIF('責任職　企業局→市長部局'!A:A,SQLデータ!B1742)</f>
        <v>0</v>
      </c>
      <c r="R1742">
        <f>COUNTIF('一般職員　企業局→市長部局'!A:F,SQLデータ!B1742)</f>
        <v>0</v>
      </c>
    </row>
    <row r="1743" spans="1:18" x14ac:dyDescent="0.4">
      <c r="A1743" s="1">
        <v>202650001562</v>
      </c>
      <c r="B1743" s="1">
        <v>1051147</v>
      </c>
      <c r="C1743" s="2">
        <v>46118</v>
      </c>
      <c r="D1743" t="s">
        <v>17</v>
      </c>
      <c r="E1743" t="s">
        <v>8</v>
      </c>
      <c r="G1743" t="s">
        <v>9</v>
      </c>
      <c r="L1743">
        <f t="shared" si="136"/>
        <v>0</v>
      </c>
      <c r="M1743">
        <f t="shared" si="137"/>
        <v>0</v>
      </c>
      <c r="N1743">
        <f t="shared" si="138"/>
        <v>0</v>
      </c>
      <c r="O1743">
        <f t="shared" si="140"/>
        <v>1</v>
      </c>
      <c r="P1743" t="str">
        <f t="shared" si="139"/>
        <v/>
      </c>
      <c r="Q1743">
        <f>COUNTIF('責任職　企業局→市長部局'!A:A,SQLデータ!B1743)</f>
        <v>0</v>
      </c>
      <c r="R1743">
        <f>COUNTIF('一般職員　企業局→市長部局'!A:F,SQLデータ!B1743)</f>
        <v>0</v>
      </c>
    </row>
    <row r="1744" spans="1:18" x14ac:dyDescent="0.4">
      <c r="A1744" s="1">
        <v>202650001563</v>
      </c>
      <c r="B1744" s="1">
        <v>1046027</v>
      </c>
      <c r="C1744" s="2">
        <v>46118</v>
      </c>
      <c r="D1744" t="s">
        <v>17</v>
      </c>
      <c r="E1744" t="s">
        <v>8</v>
      </c>
      <c r="G1744" t="s">
        <v>9</v>
      </c>
      <c r="L1744">
        <f t="shared" si="136"/>
        <v>0</v>
      </c>
      <c r="M1744">
        <f t="shared" si="137"/>
        <v>0</v>
      </c>
      <c r="N1744">
        <f t="shared" si="138"/>
        <v>0</v>
      </c>
      <c r="O1744">
        <f t="shared" si="140"/>
        <v>1</v>
      </c>
      <c r="P1744" t="str">
        <f t="shared" si="139"/>
        <v/>
      </c>
      <c r="Q1744">
        <f>COUNTIF('責任職　企業局→市長部局'!A:A,SQLデータ!B1744)</f>
        <v>0</v>
      </c>
      <c r="R1744">
        <f>COUNTIF('一般職員　企業局→市長部局'!A:F,SQLデータ!B1744)</f>
        <v>0</v>
      </c>
    </row>
    <row r="1745" spans="1:18" x14ac:dyDescent="0.4">
      <c r="A1745" s="1">
        <v>202650001564</v>
      </c>
      <c r="B1745" s="1">
        <v>920140</v>
      </c>
      <c r="C1745" s="2">
        <v>46118</v>
      </c>
      <c r="D1745" t="s">
        <v>17</v>
      </c>
      <c r="E1745" t="s">
        <v>8</v>
      </c>
      <c r="G1745" t="s">
        <v>9</v>
      </c>
      <c r="L1745">
        <f t="shared" si="136"/>
        <v>0</v>
      </c>
      <c r="M1745">
        <f t="shared" si="137"/>
        <v>0</v>
      </c>
      <c r="N1745">
        <f t="shared" si="138"/>
        <v>0</v>
      </c>
      <c r="O1745">
        <f t="shared" si="140"/>
        <v>1</v>
      </c>
      <c r="P1745" t="str">
        <f t="shared" si="139"/>
        <v/>
      </c>
      <c r="Q1745">
        <f>COUNTIF('責任職　企業局→市長部局'!A:A,SQLデータ!B1745)</f>
        <v>0</v>
      </c>
      <c r="R1745">
        <f>COUNTIF('一般職員　企業局→市長部局'!A:F,SQLデータ!B1745)</f>
        <v>0</v>
      </c>
    </row>
    <row r="1746" spans="1:18" x14ac:dyDescent="0.4">
      <c r="A1746" s="1">
        <v>202650001565</v>
      </c>
      <c r="B1746" s="1">
        <v>950373</v>
      </c>
      <c r="C1746" s="2">
        <v>46118</v>
      </c>
      <c r="D1746" t="s">
        <v>17</v>
      </c>
      <c r="E1746" t="s">
        <v>8</v>
      </c>
      <c r="G1746" t="s">
        <v>9</v>
      </c>
      <c r="L1746">
        <f t="shared" si="136"/>
        <v>0</v>
      </c>
      <c r="M1746">
        <f t="shared" si="137"/>
        <v>0</v>
      </c>
      <c r="N1746">
        <f t="shared" si="138"/>
        <v>0</v>
      </c>
      <c r="O1746">
        <f t="shared" si="140"/>
        <v>1</v>
      </c>
      <c r="P1746" t="str">
        <f t="shared" si="139"/>
        <v/>
      </c>
      <c r="Q1746">
        <f>COUNTIF('責任職　企業局→市長部局'!A:A,SQLデータ!B1746)</f>
        <v>0</v>
      </c>
      <c r="R1746">
        <f>COUNTIF('一般職員　企業局→市長部局'!A:F,SQLデータ!B1746)</f>
        <v>0</v>
      </c>
    </row>
    <row r="1747" spans="1:18" x14ac:dyDescent="0.4">
      <c r="A1747" s="1">
        <v>202650001566</v>
      </c>
      <c r="B1747" s="1">
        <v>1212071</v>
      </c>
      <c r="C1747" s="2">
        <v>46118</v>
      </c>
      <c r="D1747" t="s">
        <v>17</v>
      </c>
      <c r="E1747" t="s">
        <v>8</v>
      </c>
      <c r="G1747" t="s">
        <v>9</v>
      </c>
      <c r="L1747">
        <f t="shared" si="136"/>
        <v>0</v>
      </c>
      <c r="M1747">
        <f t="shared" si="137"/>
        <v>0</v>
      </c>
      <c r="N1747">
        <f t="shared" si="138"/>
        <v>0</v>
      </c>
      <c r="O1747">
        <f t="shared" si="140"/>
        <v>1</v>
      </c>
      <c r="P1747" t="str">
        <f t="shared" si="139"/>
        <v/>
      </c>
      <c r="Q1747">
        <f>COUNTIF('責任職　企業局→市長部局'!A:A,SQLデータ!B1747)</f>
        <v>0</v>
      </c>
      <c r="R1747">
        <f>COUNTIF('一般職員　企業局→市長部局'!A:F,SQLデータ!B1747)</f>
        <v>0</v>
      </c>
    </row>
    <row r="1748" spans="1:18" x14ac:dyDescent="0.4">
      <c r="A1748" s="1">
        <v>202650001567</v>
      </c>
      <c r="B1748" s="1">
        <v>1041057</v>
      </c>
      <c r="C1748" s="2">
        <v>46118</v>
      </c>
      <c r="D1748" t="s">
        <v>17</v>
      </c>
      <c r="E1748" t="s">
        <v>8</v>
      </c>
      <c r="G1748" t="s">
        <v>9</v>
      </c>
      <c r="L1748">
        <f t="shared" si="136"/>
        <v>0</v>
      </c>
      <c r="M1748">
        <f t="shared" si="137"/>
        <v>0</v>
      </c>
      <c r="N1748">
        <f t="shared" si="138"/>
        <v>0</v>
      </c>
      <c r="O1748">
        <f t="shared" si="140"/>
        <v>1</v>
      </c>
      <c r="P1748" t="str">
        <f t="shared" si="139"/>
        <v/>
      </c>
      <c r="Q1748">
        <f>COUNTIF('責任職　企業局→市長部局'!A:A,SQLデータ!B1748)</f>
        <v>0</v>
      </c>
      <c r="R1748">
        <f>COUNTIF('一般職員　企業局→市長部局'!A:F,SQLデータ!B1748)</f>
        <v>0</v>
      </c>
    </row>
    <row r="1749" spans="1:18" x14ac:dyDescent="0.4">
      <c r="A1749" s="1">
        <v>202650001568</v>
      </c>
      <c r="B1749" s="1">
        <v>1242054</v>
      </c>
      <c r="C1749" s="2">
        <v>46118</v>
      </c>
      <c r="D1749" t="s">
        <v>17</v>
      </c>
      <c r="E1749" t="s">
        <v>8</v>
      </c>
      <c r="G1749" t="s">
        <v>9</v>
      </c>
      <c r="L1749">
        <f t="shared" si="136"/>
        <v>0</v>
      </c>
      <c r="M1749">
        <f t="shared" si="137"/>
        <v>0</v>
      </c>
      <c r="N1749">
        <f t="shared" si="138"/>
        <v>0</v>
      </c>
      <c r="O1749">
        <f t="shared" si="140"/>
        <v>1</v>
      </c>
      <c r="P1749" t="str">
        <f t="shared" si="139"/>
        <v/>
      </c>
      <c r="Q1749">
        <f>COUNTIF('責任職　企業局→市長部局'!A:A,SQLデータ!B1749)</f>
        <v>0</v>
      </c>
      <c r="R1749">
        <f>COUNTIF('一般職員　企業局→市長部局'!A:F,SQLデータ!B1749)</f>
        <v>0</v>
      </c>
    </row>
    <row r="1750" spans="1:18" x14ac:dyDescent="0.4">
      <c r="A1750" s="1">
        <v>202650001569</v>
      </c>
      <c r="B1750" s="1">
        <v>5058606</v>
      </c>
      <c r="C1750" s="2">
        <v>46118</v>
      </c>
      <c r="D1750" t="s">
        <v>17</v>
      </c>
      <c r="E1750" t="s">
        <v>10</v>
      </c>
      <c r="F1750" t="s">
        <v>54</v>
      </c>
      <c r="G1750" t="s">
        <v>9</v>
      </c>
      <c r="L1750">
        <f t="shared" si="136"/>
        <v>0</v>
      </c>
      <c r="M1750">
        <f t="shared" si="137"/>
        <v>0</v>
      </c>
      <c r="N1750">
        <f t="shared" si="138"/>
        <v>0</v>
      </c>
      <c r="O1750">
        <f t="shared" si="140"/>
        <v>1</v>
      </c>
      <c r="P1750" t="str">
        <f t="shared" si="139"/>
        <v/>
      </c>
      <c r="Q1750">
        <f>COUNTIF('責任職　企業局→市長部局'!A:A,SQLデータ!B1750)</f>
        <v>0</v>
      </c>
      <c r="R1750">
        <f>COUNTIF('一般職員　企業局→市長部局'!A:F,SQLデータ!B1750)</f>
        <v>0</v>
      </c>
    </row>
    <row r="1751" spans="1:18" x14ac:dyDescent="0.4">
      <c r="A1751" s="1">
        <v>202650001570</v>
      </c>
      <c r="B1751" s="1">
        <v>1191427</v>
      </c>
      <c r="C1751" s="2">
        <v>46118</v>
      </c>
      <c r="D1751" t="s">
        <v>17</v>
      </c>
      <c r="E1751" t="s">
        <v>8</v>
      </c>
      <c r="G1751" t="s">
        <v>9</v>
      </c>
      <c r="L1751">
        <f t="shared" si="136"/>
        <v>0</v>
      </c>
      <c r="M1751">
        <f t="shared" si="137"/>
        <v>0</v>
      </c>
      <c r="N1751">
        <f t="shared" si="138"/>
        <v>0</v>
      </c>
      <c r="O1751">
        <f t="shared" si="140"/>
        <v>1</v>
      </c>
      <c r="P1751" t="str">
        <f t="shared" si="139"/>
        <v/>
      </c>
      <c r="Q1751">
        <f>COUNTIF('責任職　企業局→市長部局'!A:A,SQLデータ!B1751)</f>
        <v>0</v>
      </c>
      <c r="R1751">
        <f>COUNTIF('一般職員　企業局→市長部局'!A:F,SQLデータ!B1751)</f>
        <v>0</v>
      </c>
    </row>
    <row r="1752" spans="1:18" x14ac:dyDescent="0.4">
      <c r="A1752" s="1">
        <v>202650001571</v>
      </c>
      <c r="B1752" s="1">
        <v>940064</v>
      </c>
      <c r="C1752" s="2">
        <v>46118</v>
      </c>
      <c r="D1752" t="s">
        <v>17</v>
      </c>
      <c r="E1752" t="s">
        <v>8</v>
      </c>
      <c r="G1752" t="s">
        <v>9</v>
      </c>
      <c r="L1752">
        <f t="shared" si="136"/>
        <v>0</v>
      </c>
      <c r="M1752">
        <f t="shared" si="137"/>
        <v>0</v>
      </c>
      <c r="N1752">
        <f t="shared" si="138"/>
        <v>0</v>
      </c>
      <c r="O1752">
        <f t="shared" si="140"/>
        <v>1</v>
      </c>
      <c r="P1752" t="str">
        <f t="shared" si="139"/>
        <v/>
      </c>
      <c r="Q1752">
        <f>COUNTIF('責任職　企業局→市長部局'!A:A,SQLデータ!B1752)</f>
        <v>0</v>
      </c>
      <c r="R1752">
        <f>COUNTIF('一般職員　企業局→市長部局'!A:F,SQLデータ!B1752)</f>
        <v>0</v>
      </c>
    </row>
    <row r="1753" spans="1:18" x14ac:dyDescent="0.4">
      <c r="A1753" s="1">
        <v>202650001572</v>
      </c>
      <c r="B1753" s="1">
        <v>1093014</v>
      </c>
      <c r="C1753" s="2">
        <v>46118</v>
      </c>
      <c r="D1753" t="s">
        <v>17</v>
      </c>
      <c r="E1753" t="s">
        <v>8</v>
      </c>
      <c r="G1753" t="s">
        <v>9</v>
      </c>
      <c r="L1753">
        <f t="shared" si="136"/>
        <v>0</v>
      </c>
      <c r="M1753">
        <f t="shared" si="137"/>
        <v>0</v>
      </c>
      <c r="N1753">
        <f t="shared" si="138"/>
        <v>0</v>
      </c>
      <c r="O1753">
        <f t="shared" si="140"/>
        <v>1</v>
      </c>
      <c r="P1753" t="str">
        <f t="shared" si="139"/>
        <v/>
      </c>
      <c r="Q1753">
        <f>COUNTIF('責任職　企業局→市長部局'!A:A,SQLデータ!B1753)</f>
        <v>0</v>
      </c>
      <c r="R1753">
        <f>COUNTIF('一般職員　企業局→市長部局'!A:F,SQLデータ!B1753)</f>
        <v>0</v>
      </c>
    </row>
    <row r="1754" spans="1:18" x14ac:dyDescent="0.4">
      <c r="A1754" s="1">
        <v>202650001573</v>
      </c>
      <c r="B1754" s="1">
        <v>1014146</v>
      </c>
      <c r="C1754" s="2">
        <v>46113</v>
      </c>
      <c r="D1754" t="s">
        <v>17</v>
      </c>
      <c r="E1754" t="s">
        <v>8</v>
      </c>
      <c r="G1754" t="s">
        <v>9</v>
      </c>
      <c r="L1754">
        <f t="shared" si="136"/>
        <v>0</v>
      </c>
      <c r="M1754">
        <f t="shared" si="137"/>
        <v>0</v>
      </c>
      <c r="N1754">
        <f t="shared" si="138"/>
        <v>0</v>
      </c>
      <c r="O1754">
        <f t="shared" si="140"/>
        <v>1</v>
      </c>
      <c r="P1754" t="str">
        <f t="shared" si="139"/>
        <v/>
      </c>
      <c r="Q1754">
        <f>COUNTIF('責任職　企業局→市長部局'!A:A,SQLデータ!B1754)</f>
        <v>0</v>
      </c>
      <c r="R1754">
        <f>COUNTIF('一般職員　企業局→市長部局'!A:F,SQLデータ!B1754)</f>
        <v>0</v>
      </c>
    </row>
    <row r="1755" spans="1:18" x14ac:dyDescent="0.4">
      <c r="A1755" s="1">
        <v>202650001574</v>
      </c>
      <c r="B1755" s="1">
        <v>1056061</v>
      </c>
      <c r="C1755" s="2">
        <v>46118</v>
      </c>
      <c r="D1755" t="s">
        <v>17</v>
      </c>
      <c r="E1755" t="s">
        <v>8</v>
      </c>
      <c r="G1755" t="s">
        <v>9</v>
      </c>
      <c r="L1755">
        <f t="shared" si="136"/>
        <v>0</v>
      </c>
      <c r="M1755">
        <f t="shared" si="137"/>
        <v>0</v>
      </c>
      <c r="N1755">
        <f t="shared" si="138"/>
        <v>0</v>
      </c>
      <c r="O1755">
        <f t="shared" si="140"/>
        <v>1</v>
      </c>
      <c r="P1755" t="str">
        <f t="shared" si="139"/>
        <v/>
      </c>
      <c r="Q1755">
        <f>COUNTIF('責任職　企業局→市長部局'!A:A,SQLデータ!B1755)</f>
        <v>0</v>
      </c>
      <c r="R1755">
        <f>COUNTIF('一般職員　企業局→市長部局'!A:F,SQLデータ!B1755)</f>
        <v>0</v>
      </c>
    </row>
    <row r="1756" spans="1:18" x14ac:dyDescent="0.4">
      <c r="A1756" s="1">
        <v>202650001575</v>
      </c>
      <c r="B1756" s="1">
        <v>996023</v>
      </c>
      <c r="C1756" s="2">
        <v>46118</v>
      </c>
      <c r="D1756" t="s">
        <v>17</v>
      </c>
      <c r="E1756" t="s">
        <v>8</v>
      </c>
      <c r="G1756" t="s">
        <v>9</v>
      </c>
      <c r="L1756">
        <f t="shared" si="136"/>
        <v>0</v>
      </c>
      <c r="M1756">
        <f t="shared" si="137"/>
        <v>0</v>
      </c>
      <c r="N1756">
        <f t="shared" si="138"/>
        <v>0</v>
      </c>
      <c r="O1756">
        <f t="shared" si="140"/>
        <v>1</v>
      </c>
      <c r="P1756" t="str">
        <f t="shared" si="139"/>
        <v/>
      </c>
      <c r="Q1756">
        <f>COUNTIF('責任職　企業局→市長部局'!A:A,SQLデータ!B1756)</f>
        <v>0</v>
      </c>
      <c r="R1756">
        <f>COUNTIF('一般職員　企業局→市長部局'!A:F,SQLデータ!B1756)</f>
        <v>0</v>
      </c>
    </row>
    <row r="1757" spans="1:18" x14ac:dyDescent="0.4">
      <c r="A1757" s="1">
        <v>202650001576</v>
      </c>
      <c r="B1757" s="1">
        <v>1006005</v>
      </c>
      <c r="C1757" s="2">
        <v>46118</v>
      </c>
      <c r="D1757" t="s">
        <v>17</v>
      </c>
      <c r="E1757" t="s">
        <v>8</v>
      </c>
      <c r="G1757" t="s">
        <v>9</v>
      </c>
      <c r="L1757">
        <f t="shared" si="136"/>
        <v>0</v>
      </c>
      <c r="M1757">
        <f t="shared" si="137"/>
        <v>0</v>
      </c>
      <c r="N1757">
        <f t="shared" si="138"/>
        <v>0</v>
      </c>
      <c r="O1757">
        <f t="shared" si="140"/>
        <v>1</v>
      </c>
      <c r="P1757" t="str">
        <f t="shared" si="139"/>
        <v/>
      </c>
      <c r="Q1757">
        <f>COUNTIF('責任職　企業局→市長部局'!A:A,SQLデータ!B1757)</f>
        <v>0</v>
      </c>
      <c r="R1757">
        <f>COUNTIF('一般職員　企業局→市長部局'!A:F,SQLデータ!B1757)</f>
        <v>0</v>
      </c>
    </row>
    <row r="1758" spans="1:18" x14ac:dyDescent="0.4">
      <c r="A1758" s="1">
        <v>202650001577</v>
      </c>
      <c r="B1758" s="1">
        <v>986038</v>
      </c>
      <c r="C1758" s="2">
        <v>46118</v>
      </c>
      <c r="D1758" t="s">
        <v>17</v>
      </c>
      <c r="E1758" t="s">
        <v>8</v>
      </c>
      <c r="G1758" t="s">
        <v>9</v>
      </c>
      <c r="L1758">
        <f t="shared" si="136"/>
        <v>0</v>
      </c>
      <c r="M1758">
        <f t="shared" si="137"/>
        <v>0</v>
      </c>
      <c r="N1758">
        <f t="shared" si="138"/>
        <v>0</v>
      </c>
      <c r="O1758">
        <f t="shared" si="140"/>
        <v>1</v>
      </c>
      <c r="P1758" t="str">
        <f t="shared" si="139"/>
        <v/>
      </c>
      <c r="Q1758">
        <f>COUNTIF('責任職　企業局→市長部局'!A:A,SQLデータ!B1758)</f>
        <v>0</v>
      </c>
      <c r="R1758">
        <f>COUNTIF('一般職員　企業局→市長部局'!A:F,SQLデータ!B1758)</f>
        <v>0</v>
      </c>
    </row>
    <row r="1759" spans="1:18" x14ac:dyDescent="0.4">
      <c r="A1759" s="1">
        <v>202650001578</v>
      </c>
      <c r="B1759" s="1">
        <v>1106123</v>
      </c>
      <c r="C1759" s="2">
        <v>46118</v>
      </c>
      <c r="D1759" t="s">
        <v>17</v>
      </c>
      <c r="E1759" t="s">
        <v>8</v>
      </c>
      <c r="G1759" t="s">
        <v>9</v>
      </c>
      <c r="L1759">
        <f t="shared" si="136"/>
        <v>0</v>
      </c>
      <c r="M1759">
        <f t="shared" si="137"/>
        <v>0</v>
      </c>
      <c r="N1759">
        <f t="shared" si="138"/>
        <v>0</v>
      </c>
      <c r="O1759">
        <f t="shared" si="140"/>
        <v>1</v>
      </c>
      <c r="P1759" t="str">
        <f t="shared" si="139"/>
        <v/>
      </c>
      <c r="Q1759">
        <f>COUNTIF('責任職　企業局→市長部局'!A:A,SQLデータ!B1759)</f>
        <v>0</v>
      </c>
      <c r="R1759">
        <f>COUNTIF('一般職員　企業局→市長部局'!A:F,SQLデータ!B1759)</f>
        <v>0</v>
      </c>
    </row>
    <row r="1760" spans="1:18" x14ac:dyDescent="0.4">
      <c r="A1760" s="1">
        <v>202650001579</v>
      </c>
      <c r="B1760" s="1">
        <v>1156074</v>
      </c>
      <c r="C1760" s="2">
        <v>46118</v>
      </c>
      <c r="D1760" t="s">
        <v>17</v>
      </c>
      <c r="E1760" t="s">
        <v>8</v>
      </c>
      <c r="G1760" t="s">
        <v>9</v>
      </c>
      <c r="L1760">
        <f t="shared" si="136"/>
        <v>0</v>
      </c>
      <c r="M1760">
        <f t="shared" si="137"/>
        <v>0</v>
      </c>
      <c r="N1760">
        <f t="shared" si="138"/>
        <v>0</v>
      </c>
      <c r="O1760">
        <f t="shared" si="140"/>
        <v>1</v>
      </c>
      <c r="P1760" t="str">
        <f t="shared" si="139"/>
        <v/>
      </c>
      <c r="Q1760">
        <f>COUNTIF('責任職　企業局→市長部局'!A:A,SQLデータ!B1760)</f>
        <v>0</v>
      </c>
      <c r="R1760">
        <f>COUNTIF('一般職員　企業局→市長部局'!A:F,SQLデータ!B1760)</f>
        <v>0</v>
      </c>
    </row>
    <row r="1761" spans="1:18" x14ac:dyDescent="0.4">
      <c r="A1761" s="1">
        <v>202650001580</v>
      </c>
      <c r="B1761" s="1">
        <v>1091449</v>
      </c>
      <c r="C1761" s="2">
        <v>46118</v>
      </c>
      <c r="D1761" t="s">
        <v>17</v>
      </c>
      <c r="E1761" t="s">
        <v>8</v>
      </c>
      <c r="G1761" t="s">
        <v>9</v>
      </c>
      <c r="L1761">
        <f t="shared" si="136"/>
        <v>0</v>
      </c>
      <c r="M1761">
        <f t="shared" si="137"/>
        <v>0</v>
      </c>
      <c r="N1761">
        <f t="shared" si="138"/>
        <v>0</v>
      </c>
      <c r="O1761">
        <f t="shared" si="140"/>
        <v>1</v>
      </c>
      <c r="P1761" t="str">
        <f t="shared" si="139"/>
        <v/>
      </c>
      <c r="Q1761">
        <f>COUNTIF('責任職　企業局→市長部局'!A:A,SQLデータ!B1761)</f>
        <v>0</v>
      </c>
      <c r="R1761">
        <f>COUNTIF('一般職員　企業局→市長部局'!A:F,SQLデータ!B1761)</f>
        <v>0</v>
      </c>
    </row>
    <row r="1762" spans="1:18" x14ac:dyDescent="0.4">
      <c r="A1762" s="1">
        <v>202650001581</v>
      </c>
      <c r="B1762" s="1">
        <v>1101368</v>
      </c>
      <c r="C1762" s="2">
        <v>46118</v>
      </c>
      <c r="D1762" t="s">
        <v>17</v>
      </c>
      <c r="E1762" t="s">
        <v>8</v>
      </c>
      <c r="G1762" t="s">
        <v>9</v>
      </c>
      <c r="L1762">
        <f t="shared" si="136"/>
        <v>0</v>
      </c>
      <c r="M1762">
        <f t="shared" si="137"/>
        <v>0</v>
      </c>
      <c r="N1762">
        <f t="shared" si="138"/>
        <v>0</v>
      </c>
      <c r="O1762">
        <f t="shared" si="140"/>
        <v>1</v>
      </c>
      <c r="P1762" t="str">
        <f t="shared" si="139"/>
        <v/>
      </c>
      <c r="Q1762">
        <f>COUNTIF('責任職　企業局→市長部局'!A:A,SQLデータ!B1762)</f>
        <v>0</v>
      </c>
      <c r="R1762">
        <f>COUNTIF('一般職員　企業局→市長部局'!A:F,SQLデータ!B1762)</f>
        <v>0</v>
      </c>
    </row>
    <row r="1763" spans="1:18" x14ac:dyDescent="0.4">
      <c r="A1763" s="1">
        <v>202650001582</v>
      </c>
      <c r="B1763" s="1">
        <v>1226100</v>
      </c>
      <c r="C1763" s="2">
        <v>46118</v>
      </c>
      <c r="D1763" t="s">
        <v>17</v>
      </c>
      <c r="E1763" t="s">
        <v>8</v>
      </c>
      <c r="G1763" t="s">
        <v>9</v>
      </c>
      <c r="L1763">
        <f t="shared" si="136"/>
        <v>0</v>
      </c>
      <c r="M1763">
        <f t="shared" si="137"/>
        <v>0</v>
      </c>
      <c r="N1763">
        <f t="shared" si="138"/>
        <v>0</v>
      </c>
      <c r="O1763">
        <f t="shared" si="140"/>
        <v>1</v>
      </c>
      <c r="P1763" t="str">
        <f t="shared" si="139"/>
        <v/>
      </c>
      <c r="Q1763">
        <f>COUNTIF('責任職　企業局→市長部局'!A:A,SQLデータ!B1763)</f>
        <v>0</v>
      </c>
      <c r="R1763">
        <f>COUNTIF('一般職員　企業局→市長部局'!A:F,SQLデータ!B1763)</f>
        <v>0</v>
      </c>
    </row>
    <row r="1764" spans="1:18" x14ac:dyDescent="0.4">
      <c r="A1764" s="1">
        <v>202650001583</v>
      </c>
      <c r="B1764" s="1">
        <v>976001</v>
      </c>
      <c r="C1764" s="2">
        <v>46118</v>
      </c>
      <c r="D1764" t="s">
        <v>17</v>
      </c>
      <c r="E1764" t="s">
        <v>8</v>
      </c>
      <c r="G1764" t="s">
        <v>9</v>
      </c>
      <c r="L1764">
        <f t="shared" si="136"/>
        <v>0</v>
      </c>
      <c r="M1764">
        <f t="shared" si="137"/>
        <v>0</v>
      </c>
      <c r="N1764">
        <f t="shared" si="138"/>
        <v>0</v>
      </c>
      <c r="O1764">
        <f t="shared" si="140"/>
        <v>1</v>
      </c>
      <c r="P1764" t="str">
        <f t="shared" si="139"/>
        <v/>
      </c>
      <c r="Q1764">
        <f>COUNTIF('責任職　企業局→市長部局'!A:A,SQLデータ!B1764)</f>
        <v>0</v>
      </c>
      <c r="R1764">
        <f>COUNTIF('一般職員　企業局→市長部局'!A:F,SQLデータ!B1764)</f>
        <v>0</v>
      </c>
    </row>
    <row r="1765" spans="1:18" x14ac:dyDescent="0.4">
      <c r="A1765" s="1">
        <v>202650001584</v>
      </c>
      <c r="B1765" s="1">
        <v>1132501</v>
      </c>
      <c r="C1765" s="2">
        <v>46118</v>
      </c>
      <c r="D1765" t="s">
        <v>17</v>
      </c>
      <c r="E1765" t="s">
        <v>8</v>
      </c>
      <c r="G1765" t="s">
        <v>9</v>
      </c>
      <c r="L1765">
        <f t="shared" si="136"/>
        <v>0</v>
      </c>
      <c r="M1765">
        <f t="shared" si="137"/>
        <v>0</v>
      </c>
      <c r="N1765">
        <f t="shared" si="138"/>
        <v>0</v>
      </c>
      <c r="O1765">
        <f t="shared" si="140"/>
        <v>1</v>
      </c>
      <c r="P1765" t="str">
        <f t="shared" si="139"/>
        <v/>
      </c>
      <c r="Q1765">
        <f>COUNTIF('責任職　企業局→市長部局'!A:A,SQLデータ!B1765)</f>
        <v>0</v>
      </c>
      <c r="R1765">
        <f>COUNTIF('一般職員　企業局→市長部局'!A:F,SQLデータ!B1765)</f>
        <v>0</v>
      </c>
    </row>
    <row r="1766" spans="1:18" x14ac:dyDescent="0.4">
      <c r="A1766" s="1">
        <v>202650001585</v>
      </c>
      <c r="B1766" s="1">
        <v>1006036</v>
      </c>
      <c r="C1766" s="2">
        <v>46118</v>
      </c>
      <c r="D1766" t="s">
        <v>17</v>
      </c>
      <c r="E1766" t="s">
        <v>8</v>
      </c>
      <c r="G1766" t="s">
        <v>9</v>
      </c>
      <c r="L1766">
        <f t="shared" si="136"/>
        <v>0</v>
      </c>
      <c r="M1766">
        <f t="shared" si="137"/>
        <v>0</v>
      </c>
      <c r="N1766">
        <f t="shared" si="138"/>
        <v>0</v>
      </c>
      <c r="O1766">
        <f t="shared" si="140"/>
        <v>1</v>
      </c>
      <c r="P1766" t="str">
        <f t="shared" si="139"/>
        <v/>
      </c>
      <c r="Q1766">
        <f>COUNTIF('責任職　企業局→市長部局'!A:A,SQLデータ!B1766)</f>
        <v>0</v>
      </c>
      <c r="R1766">
        <f>COUNTIF('一般職員　企業局→市長部局'!A:F,SQLデータ!B1766)</f>
        <v>0</v>
      </c>
    </row>
    <row r="1767" spans="1:18" x14ac:dyDescent="0.4">
      <c r="A1767" s="1">
        <v>202650001586</v>
      </c>
      <c r="B1767" s="1">
        <v>1116018</v>
      </c>
      <c r="C1767" s="2">
        <v>46118</v>
      </c>
      <c r="D1767" t="s">
        <v>17</v>
      </c>
      <c r="E1767" t="s">
        <v>8</v>
      </c>
      <c r="G1767" t="s">
        <v>9</v>
      </c>
      <c r="L1767">
        <f t="shared" si="136"/>
        <v>0</v>
      </c>
      <c r="M1767">
        <f t="shared" si="137"/>
        <v>0</v>
      </c>
      <c r="N1767">
        <f t="shared" si="138"/>
        <v>0</v>
      </c>
      <c r="O1767">
        <f t="shared" si="140"/>
        <v>1</v>
      </c>
      <c r="P1767" t="str">
        <f t="shared" si="139"/>
        <v/>
      </c>
      <c r="Q1767">
        <f>COUNTIF('責任職　企業局→市長部局'!A:A,SQLデータ!B1767)</f>
        <v>0</v>
      </c>
      <c r="R1767">
        <f>COUNTIF('一般職員　企業局→市長部局'!A:F,SQLデータ!B1767)</f>
        <v>0</v>
      </c>
    </row>
    <row r="1768" spans="1:18" x14ac:dyDescent="0.4">
      <c r="A1768" s="1">
        <v>202650001587</v>
      </c>
      <c r="B1768" s="1">
        <v>1236067</v>
      </c>
      <c r="C1768" s="2">
        <v>46118</v>
      </c>
      <c r="D1768" t="s">
        <v>17</v>
      </c>
      <c r="E1768" t="s">
        <v>8</v>
      </c>
      <c r="G1768" t="s">
        <v>9</v>
      </c>
      <c r="L1768">
        <f t="shared" si="136"/>
        <v>0</v>
      </c>
      <c r="M1768">
        <f t="shared" si="137"/>
        <v>0</v>
      </c>
      <c r="N1768">
        <f t="shared" si="138"/>
        <v>0</v>
      </c>
      <c r="O1768">
        <f t="shared" si="140"/>
        <v>1</v>
      </c>
      <c r="P1768" t="str">
        <f t="shared" si="139"/>
        <v/>
      </c>
      <c r="Q1768">
        <f>COUNTIF('責任職　企業局→市長部局'!A:A,SQLデータ!B1768)</f>
        <v>0</v>
      </c>
      <c r="R1768">
        <f>COUNTIF('一般職員　企業局→市長部局'!A:F,SQLデータ!B1768)</f>
        <v>0</v>
      </c>
    </row>
    <row r="1769" spans="1:18" x14ac:dyDescent="0.4">
      <c r="A1769" s="1">
        <v>202650001588</v>
      </c>
      <c r="B1769" s="1">
        <v>1033013</v>
      </c>
      <c r="C1769" s="2">
        <v>46118</v>
      </c>
      <c r="D1769" t="s">
        <v>17</v>
      </c>
      <c r="E1769" t="s">
        <v>8</v>
      </c>
      <c r="G1769" t="s">
        <v>9</v>
      </c>
      <c r="L1769">
        <f t="shared" si="136"/>
        <v>0</v>
      </c>
      <c r="M1769">
        <f t="shared" si="137"/>
        <v>0</v>
      </c>
      <c r="N1769">
        <f t="shared" si="138"/>
        <v>0</v>
      </c>
      <c r="O1769">
        <f t="shared" si="140"/>
        <v>1</v>
      </c>
      <c r="P1769" t="str">
        <f t="shared" si="139"/>
        <v/>
      </c>
      <c r="Q1769">
        <f>COUNTIF('責任職　企業局→市長部局'!A:A,SQLデータ!B1769)</f>
        <v>0</v>
      </c>
      <c r="R1769">
        <f>COUNTIF('一般職員　企業局→市長部局'!A:F,SQLデータ!B1769)</f>
        <v>0</v>
      </c>
    </row>
    <row r="1770" spans="1:18" x14ac:dyDescent="0.4">
      <c r="A1770" s="1">
        <v>202650001589</v>
      </c>
      <c r="B1770" s="1">
        <v>1011020</v>
      </c>
      <c r="C1770" s="2">
        <v>46118</v>
      </c>
      <c r="D1770" t="s">
        <v>17</v>
      </c>
      <c r="E1770" t="s">
        <v>8</v>
      </c>
      <c r="G1770" t="s">
        <v>9</v>
      </c>
      <c r="L1770">
        <f t="shared" si="136"/>
        <v>0</v>
      </c>
      <c r="M1770">
        <f t="shared" si="137"/>
        <v>0</v>
      </c>
      <c r="N1770">
        <f t="shared" si="138"/>
        <v>0</v>
      </c>
      <c r="O1770">
        <f t="shared" si="140"/>
        <v>1</v>
      </c>
      <c r="P1770" t="str">
        <f t="shared" si="139"/>
        <v/>
      </c>
      <c r="Q1770">
        <f>COUNTIF('責任職　企業局→市長部局'!A:A,SQLデータ!B1770)</f>
        <v>0</v>
      </c>
      <c r="R1770">
        <f>COUNTIF('一般職員　企業局→市長部局'!A:F,SQLデータ!B1770)</f>
        <v>0</v>
      </c>
    </row>
    <row r="1771" spans="1:18" x14ac:dyDescent="0.4">
      <c r="A1771" s="1">
        <v>202650001590</v>
      </c>
      <c r="B1771" s="1">
        <v>840200</v>
      </c>
      <c r="C1771" s="2">
        <v>46118</v>
      </c>
      <c r="D1771" t="s">
        <v>17</v>
      </c>
      <c r="E1771" t="s">
        <v>8</v>
      </c>
      <c r="G1771" t="s">
        <v>9</v>
      </c>
      <c r="L1771">
        <f t="shared" si="136"/>
        <v>0</v>
      </c>
      <c r="M1771">
        <f t="shared" si="137"/>
        <v>0</v>
      </c>
      <c r="N1771">
        <f t="shared" si="138"/>
        <v>0</v>
      </c>
      <c r="O1771">
        <f t="shared" si="140"/>
        <v>1</v>
      </c>
      <c r="P1771" t="str">
        <f t="shared" si="139"/>
        <v/>
      </c>
      <c r="Q1771">
        <f>COUNTIF('責任職　企業局→市長部局'!A:A,SQLデータ!B1771)</f>
        <v>0</v>
      </c>
      <c r="R1771">
        <f>COUNTIF('一般職員　企業局→市長部局'!A:F,SQLデータ!B1771)</f>
        <v>0</v>
      </c>
    </row>
    <row r="1772" spans="1:18" x14ac:dyDescent="0.4">
      <c r="A1772" s="1">
        <v>202650001591</v>
      </c>
      <c r="B1772" s="1">
        <v>1101290</v>
      </c>
      <c r="C1772" s="2">
        <v>46118</v>
      </c>
      <c r="D1772" t="s">
        <v>17</v>
      </c>
      <c r="E1772" t="s">
        <v>8</v>
      </c>
      <c r="G1772" t="s">
        <v>9</v>
      </c>
      <c r="L1772">
        <f t="shared" si="136"/>
        <v>0</v>
      </c>
      <c r="M1772">
        <f t="shared" si="137"/>
        <v>0</v>
      </c>
      <c r="N1772">
        <f t="shared" si="138"/>
        <v>0</v>
      </c>
      <c r="O1772">
        <f t="shared" si="140"/>
        <v>1</v>
      </c>
      <c r="P1772" t="str">
        <f t="shared" si="139"/>
        <v/>
      </c>
      <c r="Q1772">
        <f>COUNTIF('責任職　企業局→市長部局'!A:A,SQLデータ!B1772)</f>
        <v>0</v>
      </c>
      <c r="R1772">
        <f>COUNTIF('一般職員　企業局→市長部局'!A:F,SQLデータ!B1772)</f>
        <v>0</v>
      </c>
    </row>
    <row r="1773" spans="1:18" x14ac:dyDescent="0.4">
      <c r="A1773" s="1">
        <v>202650001592</v>
      </c>
      <c r="B1773" s="1">
        <v>1134004</v>
      </c>
      <c r="C1773" s="2">
        <v>46118</v>
      </c>
      <c r="D1773" t="s">
        <v>17</v>
      </c>
      <c r="E1773" t="s">
        <v>8</v>
      </c>
      <c r="G1773" t="s">
        <v>9</v>
      </c>
      <c r="L1773">
        <f t="shared" si="136"/>
        <v>0</v>
      </c>
      <c r="M1773">
        <f t="shared" si="137"/>
        <v>0</v>
      </c>
      <c r="N1773">
        <f t="shared" si="138"/>
        <v>0</v>
      </c>
      <c r="O1773">
        <f t="shared" si="140"/>
        <v>1</v>
      </c>
      <c r="P1773" t="str">
        <f t="shared" si="139"/>
        <v/>
      </c>
      <c r="Q1773">
        <f>COUNTIF('責任職　企業局→市長部局'!A:A,SQLデータ!B1773)</f>
        <v>0</v>
      </c>
      <c r="R1773">
        <f>COUNTIF('一般職員　企業局→市長部局'!A:F,SQLデータ!B1773)</f>
        <v>0</v>
      </c>
    </row>
    <row r="1774" spans="1:18" x14ac:dyDescent="0.4">
      <c r="A1774" s="1">
        <v>202650001593</v>
      </c>
      <c r="B1774" s="1">
        <v>940281</v>
      </c>
      <c r="C1774" s="2">
        <v>46118</v>
      </c>
      <c r="D1774" t="s">
        <v>17</v>
      </c>
      <c r="E1774" t="s">
        <v>8</v>
      </c>
      <c r="G1774" t="s">
        <v>9</v>
      </c>
      <c r="L1774">
        <f t="shared" si="136"/>
        <v>0</v>
      </c>
      <c r="M1774">
        <f t="shared" si="137"/>
        <v>0</v>
      </c>
      <c r="N1774">
        <f t="shared" si="138"/>
        <v>0</v>
      </c>
      <c r="O1774">
        <f t="shared" si="140"/>
        <v>1</v>
      </c>
      <c r="P1774" t="str">
        <f t="shared" si="139"/>
        <v/>
      </c>
      <c r="Q1774">
        <f>COUNTIF('責任職　企業局→市長部局'!A:A,SQLデータ!B1774)</f>
        <v>0</v>
      </c>
      <c r="R1774">
        <f>COUNTIF('一般職員　企業局→市長部局'!A:F,SQLデータ!B1774)</f>
        <v>0</v>
      </c>
    </row>
    <row r="1775" spans="1:18" x14ac:dyDescent="0.4">
      <c r="A1775" s="1">
        <v>202650001594</v>
      </c>
      <c r="B1775" s="1">
        <v>1186121</v>
      </c>
      <c r="C1775" s="2">
        <v>46118</v>
      </c>
      <c r="D1775" t="s">
        <v>17</v>
      </c>
      <c r="E1775" t="s">
        <v>8</v>
      </c>
      <c r="G1775" t="s">
        <v>9</v>
      </c>
      <c r="L1775">
        <f t="shared" si="136"/>
        <v>0</v>
      </c>
      <c r="M1775">
        <f t="shared" si="137"/>
        <v>0</v>
      </c>
      <c r="N1775">
        <f t="shared" si="138"/>
        <v>0</v>
      </c>
      <c r="O1775">
        <f t="shared" si="140"/>
        <v>1</v>
      </c>
      <c r="P1775" t="str">
        <f t="shared" si="139"/>
        <v/>
      </c>
      <c r="Q1775">
        <f>COUNTIF('責任職　企業局→市長部局'!A:A,SQLデータ!B1775)</f>
        <v>0</v>
      </c>
      <c r="R1775">
        <f>COUNTIF('一般職員　企業局→市長部局'!A:F,SQLデータ!B1775)</f>
        <v>0</v>
      </c>
    </row>
    <row r="1776" spans="1:18" x14ac:dyDescent="0.4">
      <c r="A1776" s="1">
        <v>202650001595</v>
      </c>
      <c r="B1776" s="1">
        <v>1026081</v>
      </c>
      <c r="C1776" s="2">
        <v>46118</v>
      </c>
      <c r="D1776" t="s">
        <v>17</v>
      </c>
      <c r="E1776" t="s">
        <v>8</v>
      </c>
      <c r="G1776" t="s">
        <v>9</v>
      </c>
      <c r="L1776">
        <f t="shared" si="136"/>
        <v>0</v>
      </c>
      <c r="M1776">
        <f t="shared" si="137"/>
        <v>0</v>
      </c>
      <c r="N1776">
        <f t="shared" si="138"/>
        <v>0</v>
      </c>
      <c r="O1776">
        <f t="shared" si="140"/>
        <v>1</v>
      </c>
      <c r="P1776" t="str">
        <f t="shared" si="139"/>
        <v/>
      </c>
      <c r="Q1776">
        <f>COUNTIF('責任職　企業局→市長部局'!A:A,SQLデータ!B1776)</f>
        <v>0</v>
      </c>
      <c r="R1776">
        <f>COUNTIF('一般職員　企業局→市長部局'!A:F,SQLデータ!B1776)</f>
        <v>0</v>
      </c>
    </row>
    <row r="1777" spans="1:18" x14ac:dyDescent="0.4">
      <c r="A1777" s="1">
        <v>202650001596</v>
      </c>
      <c r="B1777" s="1">
        <v>1026014</v>
      </c>
      <c r="C1777" s="2">
        <v>46118</v>
      </c>
      <c r="D1777" t="s">
        <v>17</v>
      </c>
      <c r="E1777" t="s">
        <v>8</v>
      </c>
      <c r="G1777" t="s">
        <v>9</v>
      </c>
      <c r="L1777">
        <f t="shared" si="136"/>
        <v>0</v>
      </c>
      <c r="M1777">
        <f t="shared" si="137"/>
        <v>0</v>
      </c>
      <c r="N1777">
        <f t="shared" si="138"/>
        <v>0</v>
      </c>
      <c r="O1777">
        <f t="shared" si="140"/>
        <v>1</v>
      </c>
      <c r="P1777" t="str">
        <f t="shared" si="139"/>
        <v/>
      </c>
      <c r="Q1777">
        <f>COUNTIF('責任職　企業局→市長部局'!A:A,SQLデータ!B1777)</f>
        <v>0</v>
      </c>
      <c r="R1777">
        <f>COUNTIF('一般職員　企業局→市長部局'!A:F,SQLデータ!B1777)</f>
        <v>0</v>
      </c>
    </row>
    <row r="1778" spans="1:18" x14ac:dyDescent="0.4">
      <c r="A1778" s="1">
        <v>202650001597</v>
      </c>
      <c r="B1778" s="1">
        <v>1246066</v>
      </c>
      <c r="C1778" s="2">
        <v>46118</v>
      </c>
      <c r="D1778" t="s">
        <v>17</v>
      </c>
      <c r="E1778" t="s">
        <v>8</v>
      </c>
      <c r="G1778" t="s">
        <v>9</v>
      </c>
      <c r="L1778">
        <f t="shared" si="136"/>
        <v>0</v>
      </c>
      <c r="M1778">
        <f t="shared" si="137"/>
        <v>0</v>
      </c>
      <c r="N1778">
        <f t="shared" si="138"/>
        <v>0</v>
      </c>
      <c r="O1778">
        <f t="shared" si="140"/>
        <v>1</v>
      </c>
      <c r="P1778" t="str">
        <f t="shared" si="139"/>
        <v/>
      </c>
      <c r="Q1778">
        <f>COUNTIF('責任職　企業局→市長部局'!A:A,SQLデータ!B1778)</f>
        <v>0</v>
      </c>
      <c r="R1778">
        <f>COUNTIF('一般職員　企業局→市長部局'!A:F,SQLデータ!B1778)</f>
        <v>0</v>
      </c>
    </row>
    <row r="1779" spans="1:18" x14ac:dyDescent="0.4">
      <c r="A1779" s="1">
        <v>202650001598</v>
      </c>
      <c r="B1779" s="1">
        <v>1022029</v>
      </c>
      <c r="C1779" s="2">
        <v>46118</v>
      </c>
      <c r="D1779" t="s">
        <v>17</v>
      </c>
      <c r="E1779" t="s">
        <v>8</v>
      </c>
      <c r="G1779" t="s">
        <v>9</v>
      </c>
      <c r="L1779">
        <f t="shared" si="136"/>
        <v>0</v>
      </c>
      <c r="M1779">
        <f t="shared" si="137"/>
        <v>0</v>
      </c>
      <c r="N1779">
        <f t="shared" si="138"/>
        <v>0</v>
      </c>
      <c r="O1779">
        <f t="shared" si="140"/>
        <v>1</v>
      </c>
      <c r="P1779" t="str">
        <f t="shared" si="139"/>
        <v/>
      </c>
      <c r="Q1779">
        <f>COUNTIF('責任職　企業局→市長部局'!A:A,SQLデータ!B1779)</f>
        <v>0</v>
      </c>
      <c r="R1779">
        <f>COUNTIF('一般職員　企業局→市長部局'!A:F,SQLデータ!B1779)</f>
        <v>0</v>
      </c>
    </row>
    <row r="1780" spans="1:18" x14ac:dyDescent="0.4">
      <c r="A1780" s="1">
        <v>202650001599</v>
      </c>
      <c r="B1780" s="1">
        <v>1036010</v>
      </c>
      <c r="C1780" s="2">
        <v>46118</v>
      </c>
      <c r="D1780" t="s">
        <v>17</v>
      </c>
      <c r="E1780" t="s">
        <v>8</v>
      </c>
      <c r="G1780" t="s">
        <v>9</v>
      </c>
      <c r="L1780">
        <f t="shared" si="136"/>
        <v>0</v>
      </c>
      <c r="M1780">
        <f t="shared" si="137"/>
        <v>0</v>
      </c>
      <c r="N1780">
        <f t="shared" si="138"/>
        <v>0</v>
      </c>
      <c r="O1780">
        <f t="shared" si="140"/>
        <v>1</v>
      </c>
      <c r="P1780" t="str">
        <f t="shared" si="139"/>
        <v/>
      </c>
      <c r="Q1780">
        <f>COUNTIF('責任職　企業局→市長部局'!A:A,SQLデータ!B1780)</f>
        <v>0</v>
      </c>
      <c r="R1780">
        <f>COUNTIF('一般職員　企業局→市長部局'!A:F,SQLデータ!B1780)</f>
        <v>0</v>
      </c>
    </row>
    <row r="1781" spans="1:18" x14ac:dyDescent="0.4">
      <c r="A1781" s="1">
        <v>202650001600</v>
      </c>
      <c r="B1781" s="1">
        <v>1246072</v>
      </c>
      <c r="C1781" s="2">
        <v>46120</v>
      </c>
      <c r="D1781" t="s">
        <v>17</v>
      </c>
      <c r="E1781" t="s">
        <v>8</v>
      </c>
      <c r="G1781" t="s">
        <v>9</v>
      </c>
      <c r="L1781">
        <f t="shared" si="136"/>
        <v>0</v>
      </c>
      <c r="M1781">
        <f t="shared" si="137"/>
        <v>0</v>
      </c>
      <c r="N1781">
        <f t="shared" si="138"/>
        <v>0</v>
      </c>
      <c r="O1781">
        <f t="shared" si="140"/>
        <v>1</v>
      </c>
      <c r="P1781" t="str">
        <f t="shared" si="139"/>
        <v/>
      </c>
      <c r="Q1781">
        <f>COUNTIF('責任職　企業局→市長部局'!A:A,SQLデータ!B1781)</f>
        <v>0</v>
      </c>
      <c r="R1781">
        <f>COUNTIF('一般職員　企業局→市長部局'!A:F,SQLデータ!B1781)</f>
        <v>0</v>
      </c>
    </row>
    <row r="1782" spans="1:18" x14ac:dyDescent="0.4">
      <c r="A1782" s="1">
        <v>202650001601</v>
      </c>
      <c r="B1782" s="1">
        <v>1116013</v>
      </c>
      <c r="C1782" s="2">
        <v>46118</v>
      </c>
      <c r="D1782" t="s">
        <v>17</v>
      </c>
      <c r="E1782" t="s">
        <v>8</v>
      </c>
      <c r="G1782" t="s">
        <v>9</v>
      </c>
      <c r="L1782">
        <f t="shared" si="136"/>
        <v>0</v>
      </c>
      <c r="M1782">
        <f t="shared" si="137"/>
        <v>0</v>
      </c>
      <c r="N1782">
        <f t="shared" si="138"/>
        <v>0</v>
      </c>
      <c r="O1782">
        <f t="shared" si="140"/>
        <v>1</v>
      </c>
      <c r="P1782" t="str">
        <f t="shared" si="139"/>
        <v/>
      </c>
      <c r="Q1782">
        <f>COUNTIF('責任職　企業局→市長部局'!A:A,SQLデータ!B1782)</f>
        <v>0</v>
      </c>
      <c r="R1782">
        <f>COUNTIF('一般職員　企業局→市長部局'!A:F,SQLデータ!B1782)</f>
        <v>0</v>
      </c>
    </row>
    <row r="1783" spans="1:18" x14ac:dyDescent="0.4">
      <c r="A1783" s="1">
        <v>202650001602</v>
      </c>
      <c r="B1783" s="1">
        <v>976009</v>
      </c>
      <c r="C1783" s="2">
        <v>46118</v>
      </c>
      <c r="D1783" t="s">
        <v>17</v>
      </c>
      <c r="E1783" t="s">
        <v>8</v>
      </c>
      <c r="G1783" t="s">
        <v>9</v>
      </c>
      <c r="L1783">
        <f t="shared" si="136"/>
        <v>0</v>
      </c>
      <c r="M1783">
        <f t="shared" si="137"/>
        <v>0</v>
      </c>
      <c r="N1783">
        <f t="shared" si="138"/>
        <v>0</v>
      </c>
      <c r="O1783">
        <f t="shared" si="140"/>
        <v>1</v>
      </c>
      <c r="P1783" t="str">
        <f t="shared" si="139"/>
        <v/>
      </c>
      <c r="Q1783">
        <f>COUNTIF('責任職　企業局→市長部局'!A:A,SQLデータ!B1783)</f>
        <v>0</v>
      </c>
      <c r="R1783">
        <f>COUNTIF('一般職員　企業局→市長部局'!A:F,SQLデータ!B1783)</f>
        <v>0</v>
      </c>
    </row>
    <row r="1784" spans="1:18" x14ac:dyDescent="0.4">
      <c r="A1784" s="1">
        <v>202650001605</v>
      </c>
      <c r="B1784" s="1">
        <v>1254096</v>
      </c>
      <c r="C1784" s="2">
        <v>46118</v>
      </c>
      <c r="D1784" t="s">
        <v>17</v>
      </c>
      <c r="E1784" t="s">
        <v>8</v>
      </c>
      <c r="G1784" t="s">
        <v>9</v>
      </c>
      <c r="L1784">
        <f t="shared" si="136"/>
        <v>0</v>
      </c>
      <c r="M1784">
        <f t="shared" si="137"/>
        <v>0</v>
      </c>
      <c r="N1784">
        <f t="shared" si="138"/>
        <v>0</v>
      </c>
      <c r="O1784">
        <f t="shared" si="140"/>
        <v>1</v>
      </c>
      <c r="P1784" t="str">
        <f t="shared" si="139"/>
        <v/>
      </c>
      <c r="Q1784">
        <f>COUNTIF('責任職　企業局→市長部局'!A:A,SQLデータ!B1784)</f>
        <v>0</v>
      </c>
      <c r="R1784">
        <f>COUNTIF('一般職員　企業局→市長部局'!A:F,SQLデータ!B1784)</f>
        <v>0</v>
      </c>
    </row>
    <row r="1785" spans="1:18" x14ac:dyDescent="0.4">
      <c r="A1785" s="1">
        <v>202650001606</v>
      </c>
      <c r="B1785" s="1">
        <v>1196049</v>
      </c>
      <c r="C1785" s="2">
        <v>46118</v>
      </c>
      <c r="D1785" t="s">
        <v>17</v>
      </c>
      <c r="E1785" t="s">
        <v>8</v>
      </c>
      <c r="G1785" t="s">
        <v>9</v>
      </c>
      <c r="L1785">
        <f t="shared" si="136"/>
        <v>0</v>
      </c>
      <c r="M1785">
        <f t="shared" si="137"/>
        <v>0</v>
      </c>
      <c r="N1785">
        <f t="shared" si="138"/>
        <v>0</v>
      </c>
      <c r="O1785">
        <f t="shared" si="140"/>
        <v>1</v>
      </c>
      <c r="P1785" t="str">
        <f t="shared" si="139"/>
        <v/>
      </c>
      <c r="Q1785">
        <f>COUNTIF('責任職　企業局→市長部局'!A:A,SQLデータ!B1785)</f>
        <v>0</v>
      </c>
      <c r="R1785">
        <f>COUNTIF('一般職員　企業局→市長部局'!A:F,SQLデータ!B1785)</f>
        <v>0</v>
      </c>
    </row>
    <row r="1786" spans="1:18" x14ac:dyDescent="0.4">
      <c r="A1786" s="1">
        <v>202650001607</v>
      </c>
      <c r="B1786" s="1">
        <v>920331</v>
      </c>
      <c r="C1786" s="2">
        <v>46118</v>
      </c>
      <c r="D1786" t="s">
        <v>17</v>
      </c>
      <c r="E1786" t="s">
        <v>8</v>
      </c>
      <c r="G1786" t="s">
        <v>9</v>
      </c>
      <c r="L1786">
        <f t="shared" si="136"/>
        <v>0</v>
      </c>
      <c r="M1786">
        <f t="shared" si="137"/>
        <v>0</v>
      </c>
      <c r="N1786">
        <f t="shared" si="138"/>
        <v>0</v>
      </c>
      <c r="O1786">
        <f t="shared" si="140"/>
        <v>1</v>
      </c>
      <c r="P1786" t="str">
        <f t="shared" si="139"/>
        <v/>
      </c>
      <c r="Q1786">
        <f>COUNTIF('責任職　企業局→市長部局'!A:A,SQLデータ!B1786)</f>
        <v>0</v>
      </c>
      <c r="R1786">
        <f>COUNTIF('一般職員　企業局→市長部局'!A:F,SQLデータ!B1786)</f>
        <v>0</v>
      </c>
    </row>
    <row r="1787" spans="1:18" x14ac:dyDescent="0.4">
      <c r="A1787" s="1">
        <v>202650001608</v>
      </c>
      <c r="B1787" s="1">
        <v>1242069</v>
      </c>
      <c r="C1787" s="2">
        <v>46118</v>
      </c>
      <c r="D1787" t="s">
        <v>17</v>
      </c>
      <c r="E1787" t="s">
        <v>8</v>
      </c>
      <c r="G1787" t="s">
        <v>9</v>
      </c>
      <c r="L1787">
        <f t="shared" si="136"/>
        <v>0</v>
      </c>
      <c r="M1787">
        <f t="shared" si="137"/>
        <v>0</v>
      </c>
      <c r="N1787">
        <f t="shared" si="138"/>
        <v>0</v>
      </c>
      <c r="O1787">
        <f t="shared" si="140"/>
        <v>1</v>
      </c>
      <c r="P1787" t="str">
        <f t="shared" si="139"/>
        <v/>
      </c>
      <c r="Q1787">
        <f>COUNTIF('責任職　企業局→市長部局'!A:A,SQLデータ!B1787)</f>
        <v>0</v>
      </c>
      <c r="R1787">
        <f>COUNTIF('一般職員　企業局→市長部局'!A:F,SQLデータ!B1787)</f>
        <v>0</v>
      </c>
    </row>
    <row r="1788" spans="1:18" x14ac:dyDescent="0.4">
      <c r="A1788" s="1">
        <v>202650001609</v>
      </c>
      <c r="B1788" s="1">
        <v>1116071</v>
      </c>
      <c r="C1788" s="2">
        <v>46118</v>
      </c>
      <c r="D1788" t="s">
        <v>17</v>
      </c>
      <c r="E1788" t="s">
        <v>8</v>
      </c>
      <c r="G1788" t="s">
        <v>9</v>
      </c>
      <c r="L1788">
        <f t="shared" si="136"/>
        <v>0</v>
      </c>
      <c r="M1788">
        <f t="shared" si="137"/>
        <v>0</v>
      </c>
      <c r="N1788">
        <f t="shared" si="138"/>
        <v>0</v>
      </c>
      <c r="O1788">
        <f t="shared" si="140"/>
        <v>1</v>
      </c>
      <c r="P1788" t="str">
        <f t="shared" si="139"/>
        <v/>
      </c>
      <c r="Q1788">
        <f>COUNTIF('責任職　企業局→市長部局'!A:A,SQLデータ!B1788)</f>
        <v>0</v>
      </c>
      <c r="R1788">
        <f>COUNTIF('一般職員　企業局→市長部局'!A:F,SQLデータ!B1788)</f>
        <v>0</v>
      </c>
    </row>
    <row r="1789" spans="1:18" x14ac:dyDescent="0.4">
      <c r="A1789" s="1">
        <v>202650001610</v>
      </c>
      <c r="B1789" s="1">
        <v>5178000</v>
      </c>
      <c r="C1789" s="2">
        <v>46118</v>
      </c>
      <c r="D1789" t="s">
        <v>17</v>
      </c>
      <c r="E1789" t="s">
        <v>10</v>
      </c>
      <c r="F1789" t="s">
        <v>54</v>
      </c>
      <c r="G1789" t="s">
        <v>9</v>
      </c>
      <c r="L1789">
        <f t="shared" si="136"/>
        <v>0</v>
      </c>
      <c r="M1789">
        <f t="shared" si="137"/>
        <v>0</v>
      </c>
      <c r="N1789">
        <f t="shared" si="138"/>
        <v>0</v>
      </c>
      <c r="O1789">
        <f t="shared" si="140"/>
        <v>1</v>
      </c>
      <c r="P1789" t="str">
        <f t="shared" si="139"/>
        <v/>
      </c>
      <c r="Q1789">
        <f>COUNTIF('責任職　企業局→市長部局'!A:A,SQLデータ!B1789)</f>
        <v>0</v>
      </c>
      <c r="R1789">
        <f>COUNTIF('一般職員　企業局→市長部局'!A:F,SQLデータ!B1789)</f>
        <v>0</v>
      </c>
    </row>
    <row r="1790" spans="1:18" x14ac:dyDescent="0.4">
      <c r="A1790" s="1">
        <v>202650001611</v>
      </c>
      <c r="B1790" s="1">
        <v>5138043</v>
      </c>
      <c r="C1790" s="2">
        <v>46118</v>
      </c>
      <c r="D1790" t="s">
        <v>17</v>
      </c>
      <c r="E1790" t="s">
        <v>10</v>
      </c>
      <c r="F1790" t="s">
        <v>54</v>
      </c>
      <c r="G1790" t="s">
        <v>9</v>
      </c>
      <c r="L1790">
        <f t="shared" si="136"/>
        <v>0</v>
      </c>
      <c r="M1790">
        <f t="shared" si="137"/>
        <v>0</v>
      </c>
      <c r="N1790">
        <f t="shared" si="138"/>
        <v>0</v>
      </c>
      <c r="O1790">
        <f t="shared" si="140"/>
        <v>1</v>
      </c>
      <c r="P1790" t="str">
        <f t="shared" si="139"/>
        <v/>
      </c>
      <c r="Q1790">
        <f>COUNTIF('責任職　企業局→市長部局'!A:A,SQLデータ!B1790)</f>
        <v>0</v>
      </c>
      <c r="R1790">
        <f>COUNTIF('一般職員　企業局→市長部局'!A:F,SQLデータ!B1790)</f>
        <v>0</v>
      </c>
    </row>
    <row r="1791" spans="1:18" x14ac:dyDescent="0.4">
      <c r="A1791" s="1">
        <v>202650001612</v>
      </c>
      <c r="B1791" s="1">
        <v>1216116</v>
      </c>
      <c r="C1791" s="2">
        <v>46118</v>
      </c>
      <c r="D1791" t="s">
        <v>17</v>
      </c>
      <c r="E1791" t="s">
        <v>8</v>
      </c>
      <c r="G1791" t="s">
        <v>9</v>
      </c>
      <c r="L1791">
        <f t="shared" si="136"/>
        <v>0</v>
      </c>
      <c r="M1791">
        <f t="shared" si="137"/>
        <v>0</v>
      </c>
      <c r="N1791">
        <f t="shared" si="138"/>
        <v>0</v>
      </c>
      <c r="O1791">
        <f t="shared" si="140"/>
        <v>1</v>
      </c>
      <c r="P1791" t="str">
        <f t="shared" si="139"/>
        <v/>
      </c>
      <c r="Q1791">
        <f>COUNTIF('責任職　企業局→市長部局'!A:A,SQLデータ!B1791)</f>
        <v>0</v>
      </c>
      <c r="R1791">
        <f>COUNTIF('一般職員　企業局→市長部局'!A:F,SQLデータ!B1791)</f>
        <v>0</v>
      </c>
    </row>
    <row r="1792" spans="1:18" x14ac:dyDescent="0.4">
      <c r="A1792" s="1">
        <v>202650001613</v>
      </c>
      <c r="B1792" s="1">
        <v>830522</v>
      </c>
      <c r="C1792" s="2">
        <v>46118</v>
      </c>
      <c r="D1792" t="s">
        <v>17</v>
      </c>
      <c r="E1792" t="s">
        <v>8</v>
      </c>
      <c r="G1792" t="s">
        <v>9</v>
      </c>
      <c r="L1792">
        <f t="shared" si="136"/>
        <v>0</v>
      </c>
      <c r="M1792">
        <f t="shared" si="137"/>
        <v>0</v>
      </c>
      <c r="N1792">
        <f t="shared" si="138"/>
        <v>0</v>
      </c>
      <c r="O1792">
        <f t="shared" si="140"/>
        <v>1</v>
      </c>
      <c r="P1792" t="str">
        <f t="shared" si="139"/>
        <v/>
      </c>
      <c r="Q1792">
        <f>COUNTIF('責任職　企業局→市長部局'!A:A,SQLデータ!B1792)</f>
        <v>0</v>
      </c>
      <c r="R1792">
        <f>COUNTIF('一般職員　企業局→市長部局'!A:F,SQLデータ!B1792)</f>
        <v>0</v>
      </c>
    </row>
    <row r="1793" spans="1:18" x14ac:dyDescent="0.4">
      <c r="A1793" s="1">
        <v>202650001614</v>
      </c>
      <c r="B1793" s="1">
        <v>1096107</v>
      </c>
      <c r="C1793" s="2">
        <v>46118</v>
      </c>
      <c r="D1793" t="s">
        <v>17</v>
      </c>
      <c r="E1793" t="s">
        <v>8</v>
      </c>
      <c r="G1793" t="s">
        <v>9</v>
      </c>
      <c r="L1793">
        <f t="shared" si="136"/>
        <v>0</v>
      </c>
      <c r="M1793">
        <f t="shared" si="137"/>
        <v>0</v>
      </c>
      <c r="N1793">
        <f t="shared" si="138"/>
        <v>0</v>
      </c>
      <c r="O1793">
        <f t="shared" si="140"/>
        <v>1</v>
      </c>
      <c r="P1793" t="str">
        <f t="shared" si="139"/>
        <v/>
      </c>
      <c r="Q1793">
        <f>COUNTIF('責任職　企業局→市長部局'!A:A,SQLデータ!B1793)</f>
        <v>0</v>
      </c>
      <c r="R1793">
        <f>COUNTIF('一般職員　企業局→市長部局'!A:F,SQLデータ!B1793)</f>
        <v>0</v>
      </c>
    </row>
    <row r="1794" spans="1:18" x14ac:dyDescent="0.4">
      <c r="A1794" s="1">
        <v>202650001615</v>
      </c>
      <c r="B1794" s="1">
        <v>900530</v>
      </c>
      <c r="C1794" s="2">
        <v>46118</v>
      </c>
      <c r="D1794" t="s">
        <v>17</v>
      </c>
      <c r="E1794" t="s">
        <v>8</v>
      </c>
      <c r="G1794" t="s">
        <v>9</v>
      </c>
      <c r="L1794">
        <f t="shared" ref="L1794:L1857" si="141">IF(ISBLANK(J1794),0,1)</f>
        <v>0</v>
      </c>
      <c r="M1794">
        <f t="shared" ref="M1794:M1857" si="142">IF(AND(L1794=0,I1794&lt;&gt;""),1,0)</f>
        <v>0</v>
      </c>
      <c r="N1794">
        <f t="shared" ref="N1794:N1857" si="143">IF(AND(L1794=0,M1794=0,K1794&lt;&gt;""),1,0)</f>
        <v>0</v>
      </c>
      <c r="O1794">
        <f t="shared" si="140"/>
        <v>1</v>
      </c>
      <c r="P1794" t="str">
        <f t="shared" ref="P1794:P1857" si="144">IF(D1794&lt;&gt;"扶養","",IF(E1794&lt;&gt;"確認待ち",1,IF(OR(AND(G1794="本人の結婚",O1794=1),AND(H1794="減",OR(N1794=1,O1794=1))),1,0)))</f>
        <v/>
      </c>
      <c r="Q1794">
        <f>COUNTIF('責任職　企業局→市長部局'!A:A,SQLデータ!B1794)</f>
        <v>0</v>
      </c>
      <c r="R1794">
        <f>COUNTIF('一般職員　企業局→市長部局'!A:F,SQLデータ!B1794)</f>
        <v>0</v>
      </c>
    </row>
    <row r="1795" spans="1:18" x14ac:dyDescent="0.4">
      <c r="A1795" s="1">
        <v>202650001616</v>
      </c>
      <c r="B1795" s="1">
        <v>1246064</v>
      </c>
      <c r="C1795" s="2">
        <v>46118</v>
      </c>
      <c r="D1795" t="s">
        <v>17</v>
      </c>
      <c r="E1795" t="s">
        <v>8</v>
      </c>
      <c r="G1795" t="s">
        <v>9</v>
      </c>
      <c r="L1795">
        <f t="shared" si="141"/>
        <v>0</v>
      </c>
      <c r="M1795">
        <f t="shared" si="142"/>
        <v>0</v>
      </c>
      <c r="N1795">
        <f t="shared" si="143"/>
        <v>0</v>
      </c>
      <c r="O1795">
        <f t="shared" si="140"/>
        <v>1</v>
      </c>
      <c r="P1795" t="str">
        <f t="shared" si="144"/>
        <v/>
      </c>
      <c r="Q1795">
        <f>COUNTIF('責任職　企業局→市長部局'!A:A,SQLデータ!B1795)</f>
        <v>0</v>
      </c>
      <c r="R1795">
        <f>COUNTIF('一般職員　企業局→市長部局'!A:F,SQLデータ!B1795)</f>
        <v>0</v>
      </c>
    </row>
    <row r="1796" spans="1:18" x14ac:dyDescent="0.4">
      <c r="A1796" s="1">
        <v>202650001617</v>
      </c>
      <c r="B1796" s="1">
        <v>850111</v>
      </c>
      <c r="C1796" s="2">
        <v>46118</v>
      </c>
      <c r="D1796" t="s">
        <v>17</v>
      </c>
      <c r="E1796" t="s">
        <v>8</v>
      </c>
      <c r="G1796" t="s">
        <v>9</v>
      </c>
      <c r="L1796">
        <f t="shared" si="141"/>
        <v>0</v>
      </c>
      <c r="M1796">
        <f t="shared" si="142"/>
        <v>0</v>
      </c>
      <c r="N1796">
        <f t="shared" si="143"/>
        <v>0</v>
      </c>
      <c r="O1796">
        <f t="shared" si="140"/>
        <v>1</v>
      </c>
      <c r="P1796" t="str">
        <f t="shared" si="144"/>
        <v/>
      </c>
      <c r="Q1796">
        <f>COUNTIF('責任職　企業局→市長部局'!A:A,SQLデータ!B1796)</f>
        <v>0</v>
      </c>
      <c r="R1796">
        <f>COUNTIF('一般職員　企業局→市長部局'!A:F,SQLデータ!B1796)</f>
        <v>0</v>
      </c>
    </row>
    <row r="1797" spans="1:18" x14ac:dyDescent="0.4">
      <c r="A1797" s="1">
        <v>202650001618</v>
      </c>
      <c r="B1797" s="1">
        <v>1142003</v>
      </c>
      <c r="C1797" s="2">
        <v>46118</v>
      </c>
      <c r="D1797" t="s">
        <v>17</v>
      </c>
      <c r="E1797" t="s">
        <v>8</v>
      </c>
      <c r="G1797" t="s">
        <v>9</v>
      </c>
      <c r="L1797">
        <f t="shared" si="141"/>
        <v>0</v>
      </c>
      <c r="M1797">
        <f t="shared" si="142"/>
        <v>0</v>
      </c>
      <c r="N1797">
        <f t="shared" si="143"/>
        <v>0</v>
      </c>
      <c r="O1797">
        <f t="shared" si="140"/>
        <v>1</v>
      </c>
      <c r="P1797" t="str">
        <f t="shared" si="144"/>
        <v/>
      </c>
      <c r="Q1797">
        <f>COUNTIF('責任職　企業局→市長部局'!A:A,SQLデータ!B1797)</f>
        <v>0</v>
      </c>
      <c r="R1797">
        <f>COUNTIF('一般職員　企業局→市長部局'!A:F,SQLデータ!B1797)</f>
        <v>0</v>
      </c>
    </row>
    <row r="1798" spans="1:18" x14ac:dyDescent="0.4">
      <c r="A1798" s="1">
        <v>202650001619</v>
      </c>
      <c r="B1798" s="1">
        <v>1246073</v>
      </c>
      <c r="C1798" s="2">
        <v>46118</v>
      </c>
      <c r="D1798" t="s">
        <v>17</v>
      </c>
      <c r="E1798" t="s">
        <v>8</v>
      </c>
      <c r="G1798" t="s">
        <v>9</v>
      </c>
      <c r="L1798">
        <f t="shared" si="141"/>
        <v>0</v>
      </c>
      <c r="M1798">
        <f t="shared" si="142"/>
        <v>0</v>
      </c>
      <c r="N1798">
        <f t="shared" si="143"/>
        <v>0</v>
      </c>
      <c r="O1798">
        <f t="shared" si="140"/>
        <v>1</v>
      </c>
      <c r="P1798" t="str">
        <f t="shared" si="144"/>
        <v/>
      </c>
      <c r="Q1798">
        <f>COUNTIF('責任職　企業局→市長部局'!A:A,SQLデータ!B1798)</f>
        <v>0</v>
      </c>
      <c r="R1798">
        <f>COUNTIF('一般職員　企業局→市長部局'!A:F,SQLデータ!B1798)</f>
        <v>0</v>
      </c>
    </row>
    <row r="1799" spans="1:18" x14ac:dyDescent="0.4">
      <c r="A1799" s="1">
        <v>202650001620</v>
      </c>
      <c r="B1799" s="1">
        <v>1086110</v>
      </c>
      <c r="C1799" s="2">
        <v>46118</v>
      </c>
      <c r="D1799" t="s">
        <v>17</v>
      </c>
      <c r="E1799" t="s">
        <v>8</v>
      </c>
      <c r="G1799" t="s">
        <v>9</v>
      </c>
      <c r="L1799">
        <f t="shared" si="141"/>
        <v>0</v>
      </c>
      <c r="M1799">
        <f t="shared" si="142"/>
        <v>0</v>
      </c>
      <c r="N1799">
        <f t="shared" si="143"/>
        <v>0</v>
      </c>
      <c r="O1799">
        <f t="shared" si="140"/>
        <v>1</v>
      </c>
      <c r="P1799" t="str">
        <f t="shared" si="144"/>
        <v/>
      </c>
      <c r="Q1799">
        <f>COUNTIF('責任職　企業局→市長部局'!A:A,SQLデータ!B1799)</f>
        <v>0</v>
      </c>
      <c r="R1799">
        <f>COUNTIF('一般職員　企業局→市長部局'!A:F,SQLデータ!B1799)</f>
        <v>0</v>
      </c>
    </row>
    <row r="1800" spans="1:18" x14ac:dyDescent="0.4">
      <c r="A1800" s="1">
        <v>202650001621</v>
      </c>
      <c r="B1800" s="1">
        <v>1206044</v>
      </c>
      <c r="C1800" s="2">
        <v>46118</v>
      </c>
      <c r="D1800" t="s">
        <v>17</v>
      </c>
      <c r="E1800" t="s">
        <v>8</v>
      </c>
      <c r="G1800" t="s">
        <v>9</v>
      </c>
      <c r="L1800">
        <f t="shared" si="141"/>
        <v>0</v>
      </c>
      <c r="M1800">
        <f t="shared" si="142"/>
        <v>0</v>
      </c>
      <c r="N1800">
        <f t="shared" si="143"/>
        <v>0</v>
      </c>
      <c r="O1800">
        <f t="shared" si="140"/>
        <v>1</v>
      </c>
      <c r="P1800" t="str">
        <f t="shared" si="144"/>
        <v/>
      </c>
      <c r="Q1800">
        <f>COUNTIF('責任職　企業局→市長部局'!A:A,SQLデータ!B1800)</f>
        <v>0</v>
      </c>
      <c r="R1800">
        <f>COUNTIF('一般職員　企業局→市長部局'!A:F,SQLデータ!B1800)</f>
        <v>0</v>
      </c>
    </row>
    <row r="1801" spans="1:18" x14ac:dyDescent="0.4">
      <c r="A1801" s="1">
        <v>202650001623</v>
      </c>
      <c r="B1801" s="1">
        <v>5027673</v>
      </c>
      <c r="C1801" s="2">
        <v>46118</v>
      </c>
      <c r="D1801" t="s">
        <v>17</v>
      </c>
      <c r="E1801" t="s">
        <v>10</v>
      </c>
      <c r="F1801" t="s">
        <v>54</v>
      </c>
      <c r="G1801" t="s">
        <v>9</v>
      </c>
      <c r="L1801">
        <f t="shared" si="141"/>
        <v>0</v>
      </c>
      <c r="M1801">
        <f t="shared" si="142"/>
        <v>0</v>
      </c>
      <c r="N1801">
        <f t="shared" si="143"/>
        <v>0</v>
      </c>
      <c r="O1801">
        <f t="shared" ref="O1801:O1864" si="145">IF(COUNTIF(L1801:N1801,0)=3,1,0)</f>
        <v>1</v>
      </c>
      <c r="P1801" t="str">
        <f t="shared" si="144"/>
        <v/>
      </c>
      <c r="Q1801">
        <f>COUNTIF('責任職　企業局→市長部局'!A:A,SQLデータ!B1801)</f>
        <v>0</v>
      </c>
      <c r="R1801">
        <f>COUNTIF('一般職員　企業局→市長部局'!A:F,SQLデータ!B1801)</f>
        <v>0</v>
      </c>
    </row>
    <row r="1802" spans="1:18" x14ac:dyDescent="0.4">
      <c r="A1802" s="1">
        <v>202650001624</v>
      </c>
      <c r="B1802" s="1">
        <v>1252301</v>
      </c>
      <c r="C1802" s="2">
        <v>46118</v>
      </c>
      <c r="D1802" t="s">
        <v>17</v>
      </c>
      <c r="E1802" t="s">
        <v>8</v>
      </c>
      <c r="G1802" t="s">
        <v>9</v>
      </c>
      <c r="L1802">
        <f t="shared" si="141"/>
        <v>0</v>
      </c>
      <c r="M1802">
        <f t="shared" si="142"/>
        <v>0</v>
      </c>
      <c r="N1802">
        <f t="shared" si="143"/>
        <v>0</v>
      </c>
      <c r="O1802">
        <f t="shared" si="145"/>
        <v>1</v>
      </c>
      <c r="P1802" t="str">
        <f t="shared" si="144"/>
        <v/>
      </c>
      <c r="Q1802">
        <f>COUNTIF('責任職　企業局→市長部局'!A:A,SQLデータ!B1802)</f>
        <v>0</v>
      </c>
      <c r="R1802">
        <f>COUNTIF('一般職員　企業局→市長部局'!A:F,SQLデータ!B1802)</f>
        <v>0</v>
      </c>
    </row>
    <row r="1803" spans="1:18" x14ac:dyDescent="0.4">
      <c r="A1803" s="1">
        <v>202650001625</v>
      </c>
      <c r="B1803" s="1">
        <v>890699</v>
      </c>
      <c r="C1803" s="2">
        <v>46118</v>
      </c>
      <c r="D1803" t="s">
        <v>17</v>
      </c>
      <c r="E1803" t="s">
        <v>8</v>
      </c>
      <c r="G1803" t="s">
        <v>9</v>
      </c>
      <c r="L1803">
        <f t="shared" si="141"/>
        <v>0</v>
      </c>
      <c r="M1803">
        <f t="shared" si="142"/>
        <v>0</v>
      </c>
      <c r="N1803">
        <f t="shared" si="143"/>
        <v>0</v>
      </c>
      <c r="O1803">
        <f t="shared" si="145"/>
        <v>1</v>
      </c>
      <c r="P1803" t="str">
        <f t="shared" si="144"/>
        <v/>
      </c>
      <c r="Q1803">
        <f>COUNTIF('責任職　企業局→市長部局'!A:A,SQLデータ!B1803)</f>
        <v>0</v>
      </c>
      <c r="R1803">
        <f>COUNTIF('一般職員　企業局→市長部局'!A:F,SQLデータ!B1803)</f>
        <v>0</v>
      </c>
    </row>
    <row r="1804" spans="1:18" x14ac:dyDescent="0.4">
      <c r="A1804" s="1">
        <v>202650001626</v>
      </c>
      <c r="B1804" s="1">
        <v>5087908</v>
      </c>
      <c r="C1804" s="2">
        <v>46118</v>
      </c>
      <c r="D1804" t="s">
        <v>17</v>
      </c>
      <c r="E1804" t="s">
        <v>10</v>
      </c>
      <c r="F1804" t="s">
        <v>54</v>
      </c>
      <c r="G1804" t="s">
        <v>9</v>
      </c>
      <c r="L1804">
        <f t="shared" si="141"/>
        <v>0</v>
      </c>
      <c r="M1804">
        <f t="shared" si="142"/>
        <v>0</v>
      </c>
      <c r="N1804">
        <f t="shared" si="143"/>
        <v>0</v>
      </c>
      <c r="O1804">
        <f t="shared" si="145"/>
        <v>1</v>
      </c>
      <c r="P1804" t="str">
        <f t="shared" si="144"/>
        <v/>
      </c>
      <c r="Q1804">
        <f>COUNTIF('責任職　企業局→市長部局'!A:A,SQLデータ!B1804)</f>
        <v>0</v>
      </c>
      <c r="R1804">
        <f>COUNTIF('一般職員　企業局→市長部局'!A:F,SQLデータ!B1804)</f>
        <v>0</v>
      </c>
    </row>
    <row r="1805" spans="1:18" x14ac:dyDescent="0.4">
      <c r="A1805" s="1">
        <v>202650001627</v>
      </c>
      <c r="B1805" s="1">
        <v>1056024</v>
      </c>
      <c r="C1805" s="2">
        <v>46118</v>
      </c>
      <c r="D1805" t="s">
        <v>17</v>
      </c>
      <c r="E1805" t="s">
        <v>8</v>
      </c>
      <c r="G1805" t="s">
        <v>9</v>
      </c>
      <c r="L1805">
        <f t="shared" si="141"/>
        <v>0</v>
      </c>
      <c r="M1805">
        <f t="shared" si="142"/>
        <v>0</v>
      </c>
      <c r="N1805">
        <f t="shared" si="143"/>
        <v>0</v>
      </c>
      <c r="O1805">
        <f t="shared" si="145"/>
        <v>1</v>
      </c>
      <c r="P1805" t="str">
        <f t="shared" si="144"/>
        <v/>
      </c>
      <c r="Q1805">
        <f>COUNTIF('責任職　企業局→市長部局'!A:A,SQLデータ!B1805)</f>
        <v>0</v>
      </c>
      <c r="R1805">
        <f>COUNTIF('一般職員　企業局→市長部局'!A:F,SQLデータ!B1805)</f>
        <v>0</v>
      </c>
    </row>
    <row r="1806" spans="1:18" x14ac:dyDescent="0.4">
      <c r="A1806" s="1">
        <v>202650001628</v>
      </c>
      <c r="B1806" s="1">
        <v>1151228</v>
      </c>
      <c r="C1806" s="2">
        <v>46118</v>
      </c>
      <c r="D1806" t="s">
        <v>17</v>
      </c>
      <c r="E1806" t="s">
        <v>8</v>
      </c>
      <c r="G1806" t="s">
        <v>9</v>
      </c>
      <c r="L1806">
        <f t="shared" si="141"/>
        <v>0</v>
      </c>
      <c r="M1806">
        <f t="shared" si="142"/>
        <v>0</v>
      </c>
      <c r="N1806">
        <f t="shared" si="143"/>
        <v>0</v>
      </c>
      <c r="O1806">
        <f t="shared" si="145"/>
        <v>1</v>
      </c>
      <c r="P1806" t="str">
        <f t="shared" si="144"/>
        <v/>
      </c>
      <c r="Q1806">
        <f>COUNTIF('責任職　企業局→市長部局'!A:A,SQLデータ!B1806)</f>
        <v>0</v>
      </c>
      <c r="R1806">
        <f>COUNTIF('一般職員　企業局→市長部局'!A:F,SQLデータ!B1806)</f>
        <v>0</v>
      </c>
    </row>
    <row r="1807" spans="1:18" x14ac:dyDescent="0.4">
      <c r="A1807" s="1">
        <v>202650001629</v>
      </c>
      <c r="B1807" s="1">
        <v>5118516</v>
      </c>
      <c r="C1807" s="2">
        <v>46118</v>
      </c>
      <c r="D1807" t="s">
        <v>17</v>
      </c>
      <c r="E1807" t="s">
        <v>10</v>
      </c>
      <c r="F1807" t="s">
        <v>54</v>
      </c>
      <c r="G1807" t="s">
        <v>9</v>
      </c>
      <c r="L1807">
        <f t="shared" si="141"/>
        <v>0</v>
      </c>
      <c r="M1807">
        <f t="shared" si="142"/>
        <v>0</v>
      </c>
      <c r="N1807">
        <f t="shared" si="143"/>
        <v>0</v>
      </c>
      <c r="O1807">
        <f t="shared" si="145"/>
        <v>1</v>
      </c>
      <c r="P1807" t="str">
        <f t="shared" si="144"/>
        <v/>
      </c>
      <c r="Q1807">
        <f>COUNTIF('責任職　企業局→市長部局'!A:A,SQLデータ!B1807)</f>
        <v>0</v>
      </c>
      <c r="R1807">
        <f>COUNTIF('一般職員　企業局→市長部局'!A:F,SQLデータ!B1807)</f>
        <v>0</v>
      </c>
    </row>
    <row r="1808" spans="1:18" x14ac:dyDescent="0.4">
      <c r="A1808" s="1">
        <v>202650001630</v>
      </c>
      <c r="B1808" s="1">
        <v>880247</v>
      </c>
      <c r="C1808" s="2">
        <v>46118</v>
      </c>
      <c r="D1808" t="s">
        <v>17</v>
      </c>
      <c r="E1808" t="s">
        <v>8</v>
      </c>
      <c r="G1808" t="s">
        <v>9</v>
      </c>
      <c r="L1808">
        <f t="shared" si="141"/>
        <v>0</v>
      </c>
      <c r="M1808">
        <f t="shared" si="142"/>
        <v>0</v>
      </c>
      <c r="N1808">
        <f t="shared" si="143"/>
        <v>0</v>
      </c>
      <c r="O1808">
        <f t="shared" si="145"/>
        <v>1</v>
      </c>
      <c r="P1808" t="str">
        <f t="shared" si="144"/>
        <v/>
      </c>
      <c r="Q1808">
        <f>COUNTIF('責任職　企業局→市長部局'!A:A,SQLデータ!B1808)</f>
        <v>0</v>
      </c>
      <c r="R1808">
        <f>COUNTIF('一般職員　企業局→市長部局'!A:F,SQLデータ!B1808)</f>
        <v>0</v>
      </c>
    </row>
    <row r="1809" spans="1:18" x14ac:dyDescent="0.4">
      <c r="A1809" s="1">
        <v>202650001631</v>
      </c>
      <c r="B1809" s="1">
        <v>1071273</v>
      </c>
      <c r="C1809" s="2">
        <v>46118</v>
      </c>
      <c r="D1809" t="s">
        <v>17</v>
      </c>
      <c r="E1809" t="s">
        <v>8</v>
      </c>
      <c r="G1809" t="s">
        <v>9</v>
      </c>
      <c r="L1809">
        <f t="shared" si="141"/>
        <v>0</v>
      </c>
      <c r="M1809">
        <f t="shared" si="142"/>
        <v>0</v>
      </c>
      <c r="N1809">
        <f t="shared" si="143"/>
        <v>0</v>
      </c>
      <c r="O1809">
        <f t="shared" si="145"/>
        <v>1</v>
      </c>
      <c r="P1809" t="str">
        <f t="shared" si="144"/>
        <v/>
      </c>
      <c r="Q1809">
        <f>COUNTIF('責任職　企業局→市長部局'!A:A,SQLデータ!B1809)</f>
        <v>0</v>
      </c>
      <c r="R1809">
        <f>COUNTIF('一般職員　企業局→市長部局'!A:F,SQLデータ!B1809)</f>
        <v>0</v>
      </c>
    </row>
    <row r="1810" spans="1:18" x14ac:dyDescent="0.4">
      <c r="A1810" s="1">
        <v>202650001634</v>
      </c>
      <c r="B1810" s="1">
        <v>1181475</v>
      </c>
      <c r="C1810" s="2">
        <v>46118</v>
      </c>
      <c r="D1810" t="s">
        <v>17</v>
      </c>
      <c r="E1810" t="s">
        <v>8</v>
      </c>
      <c r="G1810" t="s">
        <v>9</v>
      </c>
      <c r="L1810">
        <f t="shared" si="141"/>
        <v>0</v>
      </c>
      <c r="M1810">
        <f t="shared" si="142"/>
        <v>0</v>
      </c>
      <c r="N1810">
        <f t="shared" si="143"/>
        <v>0</v>
      </c>
      <c r="O1810">
        <f t="shared" si="145"/>
        <v>1</v>
      </c>
      <c r="P1810" t="str">
        <f t="shared" si="144"/>
        <v/>
      </c>
      <c r="Q1810">
        <f>COUNTIF('責任職　企業局→市長部局'!A:A,SQLデータ!B1810)</f>
        <v>0</v>
      </c>
      <c r="R1810">
        <f>COUNTIF('一般職員　企業局→市長部局'!A:F,SQLデータ!B1810)</f>
        <v>0</v>
      </c>
    </row>
    <row r="1811" spans="1:18" x14ac:dyDescent="0.4">
      <c r="A1811" s="1">
        <v>202650001635</v>
      </c>
      <c r="B1811" s="1">
        <v>1092516</v>
      </c>
      <c r="C1811" s="2">
        <v>46118</v>
      </c>
      <c r="D1811" t="s">
        <v>17</v>
      </c>
      <c r="E1811" t="s">
        <v>8</v>
      </c>
      <c r="G1811" t="s">
        <v>9</v>
      </c>
      <c r="L1811">
        <f t="shared" si="141"/>
        <v>0</v>
      </c>
      <c r="M1811">
        <f t="shared" si="142"/>
        <v>0</v>
      </c>
      <c r="N1811">
        <f t="shared" si="143"/>
        <v>0</v>
      </c>
      <c r="O1811">
        <f t="shared" si="145"/>
        <v>1</v>
      </c>
      <c r="P1811" t="str">
        <f t="shared" si="144"/>
        <v/>
      </c>
      <c r="Q1811">
        <f>COUNTIF('責任職　企業局→市長部局'!A:A,SQLデータ!B1811)</f>
        <v>0</v>
      </c>
      <c r="R1811">
        <f>COUNTIF('一般職員　企業局→市長部局'!A:F,SQLデータ!B1811)</f>
        <v>0</v>
      </c>
    </row>
    <row r="1812" spans="1:18" x14ac:dyDescent="0.4">
      <c r="A1812" s="1">
        <v>202650001636</v>
      </c>
      <c r="B1812" s="1">
        <v>1061053</v>
      </c>
      <c r="C1812" s="2">
        <v>46118</v>
      </c>
      <c r="D1812" t="s">
        <v>17</v>
      </c>
      <c r="E1812" t="s">
        <v>8</v>
      </c>
      <c r="G1812" t="s">
        <v>9</v>
      </c>
      <c r="L1812">
        <f t="shared" si="141"/>
        <v>0</v>
      </c>
      <c r="M1812">
        <f t="shared" si="142"/>
        <v>0</v>
      </c>
      <c r="N1812">
        <f t="shared" si="143"/>
        <v>0</v>
      </c>
      <c r="O1812">
        <f t="shared" si="145"/>
        <v>1</v>
      </c>
      <c r="P1812" t="str">
        <f t="shared" si="144"/>
        <v/>
      </c>
      <c r="Q1812">
        <f>COUNTIF('責任職　企業局→市長部局'!A:A,SQLデータ!B1812)</f>
        <v>0</v>
      </c>
      <c r="R1812">
        <f>COUNTIF('一般職員　企業局→市長部局'!A:F,SQLデータ!B1812)</f>
        <v>0</v>
      </c>
    </row>
    <row r="1813" spans="1:18" x14ac:dyDescent="0.4">
      <c r="A1813" s="1">
        <v>202650001637</v>
      </c>
      <c r="B1813" s="1">
        <v>910048</v>
      </c>
      <c r="C1813" s="2">
        <v>46118</v>
      </c>
      <c r="D1813" t="s">
        <v>17</v>
      </c>
      <c r="E1813" t="s">
        <v>8</v>
      </c>
      <c r="G1813" t="s">
        <v>9</v>
      </c>
      <c r="L1813">
        <f t="shared" si="141"/>
        <v>0</v>
      </c>
      <c r="M1813">
        <f t="shared" si="142"/>
        <v>0</v>
      </c>
      <c r="N1813">
        <f t="shared" si="143"/>
        <v>0</v>
      </c>
      <c r="O1813">
        <f t="shared" si="145"/>
        <v>1</v>
      </c>
      <c r="P1813" t="str">
        <f t="shared" si="144"/>
        <v/>
      </c>
      <c r="Q1813">
        <f>COUNTIF('責任職　企業局→市長部局'!A:A,SQLデータ!B1813)</f>
        <v>0</v>
      </c>
      <c r="R1813">
        <f>COUNTIF('一般職員　企業局→市長部局'!A:F,SQLデータ!B1813)</f>
        <v>0</v>
      </c>
    </row>
    <row r="1814" spans="1:18" x14ac:dyDescent="0.4">
      <c r="A1814" s="1">
        <v>202650001639</v>
      </c>
      <c r="B1814" s="1">
        <v>930135</v>
      </c>
      <c r="C1814" s="2">
        <v>46118</v>
      </c>
      <c r="D1814" t="s">
        <v>17</v>
      </c>
      <c r="E1814" t="s">
        <v>8</v>
      </c>
      <c r="G1814" t="s">
        <v>9</v>
      </c>
      <c r="L1814">
        <f t="shared" si="141"/>
        <v>0</v>
      </c>
      <c r="M1814">
        <f t="shared" si="142"/>
        <v>0</v>
      </c>
      <c r="N1814">
        <f t="shared" si="143"/>
        <v>0</v>
      </c>
      <c r="O1814">
        <f t="shared" si="145"/>
        <v>1</v>
      </c>
      <c r="P1814" t="str">
        <f t="shared" si="144"/>
        <v/>
      </c>
      <c r="Q1814">
        <f>COUNTIF('責任職　企業局→市長部局'!A:A,SQLデータ!B1814)</f>
        <v>0</v>
      </c>
      <c r="R1814">
        <f>COUNTIF('一般職員　企業局→市長部局'!A:F,SQLデータ!B1814)</f>
        <v>0</v>
      </c>
    </row>
    <row r="1815" spans="1:18" x14ac:dyDescent="0.4">
      <c r="A1815" s="1">
        <v>202650001640</v>
      </c>
      <c r="B1815" s="1">
        <v>1101201</v>
      </c>
      <c r="C1815" s="2">
        <v>46118</v>
      </c>
      <c r="D1815" t="s">
        <v>17</v>
      </c>
      <c r="E1815" t="s">
        <v>8</v>
      </c>
      <c r="G1815" t="s">
        <v>9</v>
      </c>
      <c r="L1815">
        <f t="shared" si="141"/>
        <v>0</v>
      </c>
      <c r="M1815">
        <f t="shared" si="142"/>
        <v>0</v>
      </c>
      <c r="N1815">
        <f t="shared" si="143"/>
        <v>0</v>
      </c>
      <c r="O1815">
        <f t="shared" si="145"/>
        <v>1</v>
      </c>
      <c r="P1815" t="str">
        <f t="shared" si="144"/>
        <v/>
      </c>
      <c r="Q1815">
        <f>COUNTIF('責任職　企業局→市長部局'!A:A,SQLデータ!B1815)</f>
        <v>0</v>
      </c>
      <c r="R1815">
        <f>COUNTIF('一般職員　企業局→市長部局'!A:F,SQLデータ!B1815)</f>
        <v>0</v>
      </c>
    </row>
    <row r="1816" spans="1:18" x14ac:dyDescent="0.4">
      <c r="A1816" s="1">
        <v>202650001641</v>
      </c>
      <c r="B1816" s="1">
        <v>930168</v>
      </c>
      <c r="C1816" s="2">
        <v>46118</v>
      </c>
      <c r="D1816" t="s">
        <v>17</v>
      </c>
      <c r="E1816" t="s">
        <v>8</v>
      </c>
      <c r="G1816" t="s">
        <v>9</v>
      </c>
      <c r="L1816">
        <f t="shared" si="141"/>
        <v>0</v>
      </c>
      <c r="M1816">
        <f t="shared" si="142"/>
        <v>0</v>
      </c>
      <c r="N1816">
        <f t="shared" si="143"/>
        <v>0</v>
      </c>
      <c r="O1816">
        <f t="shared" si="145"/>
        <v>1</v>
      </c>
      <c r="P1816" t="str">
        <f t="shared" si="144"/>
        <v/>
      </c>
      <c r="Q1816">
        <f>COUNTIF('責任職　企業局→市長部局'!A:A,SQLデータ!B1816)</f>
        <v>0</v>
      </c>
      <c r="R1816">
        <f>COUNTIF('一般職員　企業局→市長部局'!A:F,SQLデータ!B1816)</f>
        <v>0</v>
      </c>
    </row>
    <row r="1817" spans="1:18" x14ac:dyDescent="0.4">
      <c r="A1817" s="1">
        <v>202650001642</v>
      </c>
      <c r="B1817" s="1">
        <v>1126006</v>
      </c>
      <c r="C1817" s="2">
        <v>46118</v>
      </c>
      <c r="D1817" t="s">
        <v>17</v>
      </c>
      <c r="E1817" t="s">
        <v>8</v>
      </c>
      <c r="G1817" t="s">
        <v>9</v>
      </c>
      <c r="L1817">
        <f t="shared" si="141"/>
        <v>0</v>
      </c>
      <c r="M1817">
        <f t="shared" si="142"/>
        <v>0</v>
      </c>
      <c r="N1817">
        <f t="shared" si="143"/>
        <v>0</v>
      </c>
      <c r="O1817">
        <f t="shared" si="145"/>
        <v>1</v>
      </c>
      <c r="P1817" t="str">
        <f t="shared" si="144"/>
        <v/>
      </c>
      <c r="Q1817">
        <f>COUNTIF('責任職　企業局→市長部局'!A:A,SQLデータ!B1817)</f>
        <v>0</v>
      </c>
      <c r="R1817">
        <f>COUNTIF('一般職員　企業局→市長部局'!A:F,SQLデータ!B1817)</f>
        <v>0</v>
      </c>
    </row>
    <row r="1818" spans="1:18" x14ac:dyDescent="0.4">
      <c r="A1818" s="1">
        <v>202650001643</v>
      </c>
      <c r="B1818" s="1">
        <v>1132020</v>
      </c>
      <c r="C1818" s="2">
        <v>46118</v>
      </c>
      <c r="D1818" t="s">
        <v>17</v>
      </c>
      <c r="E1818" t="s">
        <v>8</v>
      </c>
      <c r="G1818" t="s">
        <v>9</v>
      </c>
      <c r="L1818">
        <f t="shared" si="141"/>
        <v>0</v>
      </c>
      <c r="M1818">
        <f t="shared" si="142"/>
        <v>0</v>
      </c>
      <c r="N1818">
        <f t="shared" si="143"/>
        <v>0</v>
      </c>
      <c r="O1818">
        <f t="shared" si="145"/>
        <v>1</v>
      </c>
      <c r="P1818" t="str">
        <f t="shared" si="144"/>
        <v/>
      </c>
      <c r="Q1818">
        <f>COUNTIF('責任職　企業局→市長部局'!A:A,SQLデータ!B1818)</f>
        <v>0</v>
      </c>
      <c r="R1818">
        <f>COUNTIF('一般職員　企業局→市長部局'!A:F,SQLデータ!B1818)</f>
        <v>0</v>
      </c>
    </row>
    <row r="1819" spans="1:18" x14ac:dyDescent="0.4">
      <c r="A1819" s="1">
        <v>202650001644</v>
      </c>
      <c r="B1819" s="1">
        <v>930316</v>
      </c>
      <c r="C1819" s="2">
        <v>46118</v>
      </c>
      <c r="D1819" t="s">
        <v>17</v>
      </c>
      <c r="E1819" t="s">
        <v>8</v>
      </c>
      <c r="G1819" t="s">
        <v>9</v>
      </c>
      <c r="L1819">
        <f t="shared" si="141"/>
        <v>0</v>
      </c>
      <c r="M1819">
        <f t="shared" si="142"/>
        <v>0</v>
      </c>
      <c r="N1819">
        <f t="shared" si="143"/>
        <v>0</v>
      </c>
      <c r="O1819">
        <f t="shared" si="145"/>
        <v>1</v>
      </c>
      <c r="P1819" t="str">
        <f t="shared" si="144"/>
        <v/>
      </c>
      <c r="Q1819">
        <f>COUNTIF('責任職　企業局→市長部局'!A:A,SQLデータ!B1819)</f>
        <v>0</v>
      </c>
      <c r="R1819">
        <f>COUNTIF('一般職員　企業局→市長部局'!A:F,SQLデータ!B1819)</f>
        <v>0</v>
      </c>
    </row>
    <row r="1820" spans="1:18" x14ac:dyDescent="0.4">
      <c r="A1820" s="1">
        <v>202650001645</v>
      </c>
      <c r="B1820" s="1">
        <v>1076101</v>
      </c>
      <c r="C1820" s="2">
        <v>46118</v>
      </c>
      <c r="D1820" t="s">
        <v>17</v>
      </c>
      <c r="E1820" t="s">
        <v>8</v>
      </c>
      <c r="G1820" t="s">
        <v>9</v>
      </c>
      <c r="L1820">
        <f t="shared" si="141"/>
        <v>0</v>
      </c>
      <c r="M1820">
        <f t="shared" si="142"/>
        <v>0</v>
      </c>
      <c r="N1820">
        <f t="shared" si="143"/>
        <v>0</v>
      </c>
      <c r="O1820">
        <f t="shared" si="145"/>
        <v>1</v>
      </c>
      <c r="P1820" t="str">
        <f t="shared" si="144"/>
        <v/>
      </c>
      <c r="Q1820">
        <f>COUNTIF('責任職　企業局→市長部局'!A:A,SQLデータ!B1820)</f>
        <v>0</v>
      </c>
      <c r="R1820">
        <f>COUNTIF('一般職員　企業局→市長部局'!A:F,SQLデータ!B1820)</f>
        <v>0</v>
      </c>
    </row>
    <row r="1821" spans="1:18" x14ac:dyDescent="0.4">
      <c r="A1821" s="1">
        <v>202650001646</v>
      </c>
      <c r="B1821" s="1">
        <v>870112</v>
      </c>
      <c r="C1821" s="2">
        <v>46118</v>
      </c>
      <c r="D1821" t="s">
        <v>17</v>
      </c>
      <c r="E1821" t="s">
        <v>8</v>
      </c>
      <c r="G1821" t="s">
        <v>9</v>
      </c>
      <c r="L1821">
        <f t="shared" si="141"/>
        <v>0</v>
      </c>
      <c r="M1821">
        <f t="shared" si="142"/>
        <v>0</v>
      </c>
      <c r="N1821">
        <f t="shared" si="143"/>
        <v>0</v>
      </c>
      <c r="O1821">
        <f t="shared" si="145"/>
        <v>1</v>
      </c>
      <c r="P1821" t="str">
        <f t="shared" si="144"/>
        <v/>
      </c>
      <c r="Q1821">
        <f>COUNTIF('責任職　企業局→市長部局'!A:A,SQLデータ!B1821)</f>
        <v>0</v>
      </c>
      <c r="R1821">
        <f>COUNTIF('一般職員　企業局→市長部局'!A:F,SQLデータ!B1821)</f>
        <v>0</v>
      </c>
    </row>
    <row r="1822" spans="1:18" x14ac:dyDescent="0.4">
      <c r="A1822" s="1">
        <v>202650001648</v>
      </c>
      <c r="B1822" s="1">
        <v>1196140</v>
      </c>
      <c r="C1822" s="2">
        <v>46118</v>
      </c>
      <c r="D1822" t="s">
        <v>17</v>
      </c>
      <c r="E1822" t="s">
        <v>8</v>
      </c>
      <c r="G1822" t="s">
        <v>9</v>
      </c>
      <c r="L1822">
        <f t="shared" si="141"/>
        <v>0</v>
      </c>
      <c r="M1822">
        <f t="shared" si="142"/>
        <v>0</v>
      </c>
      <c r="N1822">
        <f t="shared" si="143"/>
        <v>0</v>
      </c>
      <c r="O1822">
        <f t="shared" si="145"/>
        <v>1</v>
      </c>
      <c r="P1822" t="str">
        <f t="shared" si="144"/>
        <v/>
      </c>
      <c r="Q1822">
        <f>COUNTIF('責任職　企業局→市長部局'!A:A,SQLデータ!B1822)</f>
        <v>0</v>
      </c>
      <c r="R1822">
        <f>COUNTIF('一般職員　企業局→市長部局'!A:F,SQLデータ!B1822)</f>
        <v>0</v>
      </c>
    </row>
    <row r="1823" spans="1:18" x14ac:dyDescent="0.4">
      <c r="A1823" s="1">
        <v>202650001649</v>
      </c>
      <c r="B1823" s="1">
        <v>1091484</v>
      </c>
      <c r="C1823" s="2">
        <v>46118</v>
      </c>
      <c r="D1823" t="s">
        <v>17</v>
      </c>
      <c r="E1823" t="s">
        <v>8</v>
      </c>
      <c r="G1823" t="s">
        <v>9</v>
      </c>
      <c r="L1823">
        <f t="shared" si="141"/>
        <v>0</v>
      </c>
      <c r="M1823">
        <f t="shared" si="142"/>
        <v>0</v>
      </c>
      <c r="N1823">
        <f t="shared" si="143"/>
        <v>0</v>
      </c>
      <c r="O1823">
        <f t="shared" si="145"/>
        <v>1</v>
      </c>
      <c r="P1823" t="str">
        <f t="shared" si="144"/>
        <v/>
      </c>
      <c r="Q1823">
        <f>COUNTIF('責任職　企業局→市長部局'!A:A,SQLデータ!B1823)</f>
        <v>0</v>
      </c>
      <c r="R1823">
        <f>COUNTIF('一般職員　企業局→市長部局'!A:F,SQLデータ!B1823)</f>
        <v>0</v>
      </c>
    </row>
    <row r="1824" spans="1:18" x14ac:dyDescent="0.4">
      <c r="A1824" s="1">
        <v>202650001650</v>
      </c>
      <c r="B1824" s="1">
        <v>1136050</v>
      </c>
      <c r="C1824" s="2">
        <v>46118</v>
      </c>
      <c r="D1824" t="s">
        <v>17</v>
      </c>
      <c r="E1824" t="s">
        <v>8</v>
      </c>
      <c r="G1824" t="s">
        <v>9</v>
      </c>
      <c r="L1824">
        <f t="shared" si="141"/>
        <v>0</v>
      </c>
      <c r="M1824">
        <f t="shared" si="142"/>
        <v>0</v>
      </c>
      <c r="N1824">
        <f t="shared" si="143"/>
        <v>0</v>
      </c>
      <c r="O1824">
        <f t="shared" si="145"/>
        <v>1</v>
      </c>
      <c r="P1824" t="str">
        <f t="shared" si="144"/>
        <v/>
      </c>
      <c r="Q1824">
        <f>COUNTIF('責任職　企業局→市長部局'!A:A,SQLデータ!B1824)</f>
        <v>0</v>
      </c>
      <c r="R1824">
        <f>COUNTIF('一般職員　企業局→市長部局'!A:F,SQLデータ!B1824)</f>
        <v>0</v>
      </c>
    </row>
    <row r="1825" spans="1:18" x14ac:dyDescent="0.4">
      <c r="A1825" s="1">
        <v>202650001651</v>
      </c>
      <c r="B1825" s="1">
        <v>930044</v>
      </c>
      <c r="C1825" s="2">
        <v>46118</v>
      </c>
      <c r="D1825" t="s">
        <v>17</v>
      </c>
      <c r="E1825" t="s">
        <v>8</v>
      </c>
      <c r="G1825" t="s">
        <v>9</v>
      </c>
      <c r="L1825">
        <f t="shared" si="141"/>
        <v>0</v>
      </c>
      <c r="M1825">
        <f t="shared" si="142"/>
        <v>0</v>
      </c>
      <c r="N1825">
        <f t="shared" si="143"/>
        <v>0</v>
      </c>
      <c r="O1825">
        <f t="shared" si="145"/>
        <v>1</v>
      </c>
      <c r="P1825" t="str">
        <f t="shared" si="144"/>
        <v/>
      </c>
      <c r="Q1825">
        <f>COUNTIF('責任職　企業局→市長部局'!A:A,SQLデータ!B1825)</f>
        <v>0</v>
      </c>
      <c r="R1825">
        <f>COUNTIF('一般職員　企業局→市長部局'!A:F,SQLデータ!B1825)</f>
        <v>0</v>
      </c>
    </row>
    <row r="1826" spans="1:18" x14ac:dyDescent="0.4">
      <c r="A1826" s="1">
        <v>202650001652</v>
      </c>
      <c r="B1826" s="1">
        <v>1111430</v>
      </c>
      <c r="C1826" s="2">
        <v>46118</v>
      </c>
      <c r="D1826" t="s">
        <v>17</v>
      </c>
      <c r="E1826" t="s">
        <v>8</v>
      </c>
      <c r="G1826" t="s">
        <v>9</v>
      </c>
      <c r="L1826">
        <f t="shared" si="141"/>
        <v>0</v>
      </c>
      <c r="M1826">
        <f t="shared" si="142"/>
        <v>0</v>
      </c>
      <c r="N1826">
        <f t="shared" si="143"/>
        <v>0</v>
      </c>
      <c r="O1826">
        <f t="shared" si="145"/>
        <v>1</v>
      </c>
      <c r="P1826" t="str">
        <f t="shared" si="144"/>
        <v/>
      </c>
      <c r="Q1826">
        <f>COUNTIF('責任職　企業局→市長部局'!A:A,SQLデータ!B1826)</f>
        <v>0</v>
      </c>
      <c r="R1826">
        <f>COUNTIF('一般職員　企業局→市長部局'!A:F,SQLデータ!B1826)</f>
        <v>0</v>
      </c>
    </row>
    <row r="1827" spans="1:18" x14ac:dyDescent="0.4">
      <c r="A1827" s="1">
        <v>202650001653</v>
      </c>
      <c r="B1827" s="1">
        <v>960043</v>
      </c>
      <c r="C1827" s="2">
        <v>46118</v>
      </c>
      <c r="D1827" t="s">
        <v>17</v>
      </c>
      <c r="E1827" t="s">
        <v>8</v>
      </c>
      <c r="G1827" t="s">
        <v>9</v>
      </c>
      <c r="L1827">
        <f t="shared" si="141"/>
        <v>0</v>
      </c>
      <c r="M1827">
        <f t="shared" si="142"/>
        <v>0</v>
      </c>
      <c r="N1827">
        <f t="shared" si="143"/>
        <v>0</v>
      </c>
      <c r="O1827">
        <f t="shared" si="145"/>
        <v>1</v>
      </c>
      <c r="P1827" t="str">
        <f t="shared" si="144"/>
        <v/>
      </c>
      <c r="Q1827">
        <f>COUNTIF('責任職　企業局→市長部局'!A:A,SQLデータ!B1827)</f>
        <v>0</v>
      </c>
      <c r="R1827">
        <f>COUNTIF('一般職員　企業局→市長部局'!A:F,SQLデータ!B1827)</f>
        <v>0</v>
      </c>
    </row>
    <row r="1828" spans="1:18" x14ac:dyDescent="0.4">
      <c r="A1828" s="1">
        <v>202650001654</v>
      </c>
      <c r="B1828" s="1">
        <v>840124</v>
      </c>
      <c r="C1828" s="2">
        <v>46118</v>
      </c>
      <c r="D1828" t="s">
        <v>17</v>
      </c>
      <c r="E1828" t="s">
        <v>15</v>
      </c>
      <c r="F1828" t="s">
        <v>54</v>
      </c>
      <c r="G1828" t="s">
        <v>9</v>
      </c>
      <c r="L1828">
        <f t="shared" si="141"/>
        <v>0</v>
      </c>
      <c r="M1828">
        <f t="shared" si="142"/>
        <v>0</v>
      </c>
      <c r="N1828">
        <f t="shared" si="143"/>
        <v>0</v>
      </c>
      <c r="O1828">
        <f t="shared" si="145"/>
        <v>1</v>
      </c>
      <c r="P1828" t="str">
        <f t="shared" si="144"/>
        <v/>
      </c>
      <c r="Q1828">
        <f>COUNTIF('責任職　企業局→市長部局'!A:A,SQLデータ!B1828)</f>
        <v>0</v>
      </c>
      <c r="R1828">
        <f>COUNTIF('一般職員　企業局→市長部局'!A:F,SQLデータ!B1828)</f>
        <v>0</v>
      </c>
    </row>
    <row r="1829" spans="1:18" x14ac:dyDescent="0.4">
      <c r="A1829" s="1">
        <v>202650001655</v>
      </c>
      <c r="B1829" s="1">
        <v>1144090</v>
      </c>
      <c r="C1829" s="2">
        <v>46118</v>
      </c>
      <c r="D1829" t="s">
        <v>17</v>
      </c>
      <c r="E1829" t="s">
        <v>8</v>
      </c>
      <c r="G1829" t="s">
        <v>9</v>
      </c>
      <c r="L1829">
        <f t="shared" si="141"/>
        <v>0</v>
      </c>
      <c r="M1829">
        <f t="shared" si="142"/>
        <v>0</v>
      </c>
      <c r="N1829">
        <f t="shared" si="143"/>
        <v>0</v>
      </c>
      <c r="O1829">
        <f t="shared" si="145"/>
        <v>1</v>
      </c>
      <c r="P1829" t="str">
        <f t="shared" si="144"/>
        <v/>
      </c>
      <c r="Q1829">
        <f>COUNTIF('責任職　企業局→市長部局'!A:A,SQLデータ!B1829)</f>
        <v>0</v>
      </c>
      <c r="R1829">
        <f>COUNTIF('一般職員　企業局→市長部局'!A:F,SQLデータ!B1829)</f>
        <v>0</v>
      </c>
    </row>
    <row r="1830" spans="1:18" x14ac:dyDescent="0.4">
      <c r="A1830" s="1">
        <v>202650001656</v>
      </c>
      <c r="B1830" s="1">
        <v>910295</v>
      </c>
      <c r="C1830" s="2">
        <v>46118</v>
      </c>
      <c r="D1830" t="s">
        <v>17</v>
      </c>
      <c r="E1830" t="s">
        <v>8</v>
      </c>
      <c r="G1830" t="s">
        <v>9</v>
      </c>
      <c r="L1830">
        <f t="shared" si="141"/>
        <v>0</v>
      </c>
      <c r="M1830">
        <f t="shared" si="142"/>
        <v>0</v>
      </c>
      <c r="N1830">
        <f t="shared" si="143"/>
        <v>0</v>
      </c>
      <c r="O1830">
        <f t="shared" si="145"/>
        <v>1</v>
      </c>
      <c r="P1830" t="str">
        <f t="shared" si="144"/>
        <v/>
      </c>
      <c r="Q1830">
        <f>COUNTIF('責任職　企業局→市長部局'!A:A,SQLデータ!B1830)</f>
        <v>0</v>
      </c>
      <c r="R1830">
        <f>COUNTIF('一般職員　企業局→市長部局'!A:F,SQLデータ!B1830)</f>
        <v>0</v>
      </c>
    </row>
    <row r="1831" spans="1:18" x14ac:dyDescent="0.4">
      <c r="A1831" s="1">
        <v>202650001657</v>
      </c>
      <c r="B1831" s="1">
        <v>1251432</v>
      </c>
      <c r="C1831" s="2">
        <v>46118</v>
      </c>
      <c r="D1831" t="s">
        <v>17</v>
      </c>
      <c r="E1831" t="s">
        <v>8</v>
      </c>
      <c r="G1831" t="s">
        <v>9</v>
      </c>
      <c r="L1831">
        <f t="shared" si="141"/>
        <v>0</v>
      </c>
      <c r="M1831">
        <f t="shared" si="142"/>
        <v>0</v>
      </c>
      <c r="N1831">
        <f t="shared" si="143"/>
        <v>0</v>
      </c>
      <c r="O1831">
        <f t="shared" si="145"/>
        <v>1</v>
      </c>
      <c r="P1831" t="str">
        <f t="shared" si="144"/>
        <v/>
      </c>
      <c r="Q1831">
        <f>COUNTIF('責任職　企業局→市長部局'!A:A,SQLデータ!B1831)</f>
        <v>0</v>
      </c>
      <c r="R1831">
        <f>COUNTIF('一般職員　企業局→市長部局'!A:F,SQLデータ!B1831)</f>
        <v>0</v>
      </c>
    </row>
    <row r="1832" spans="1:18" x14ac:dyDescent="0.4">
      <c r="A1832" s="1">
        <v>202650001658</v>
      </c>
      <c r="B1832" s="1">
        <v>5015817</v>
      </c>
      <c r="C1832" s="2">
        <v>46118</v>
      </c>
      <c r="D1832" t="s">
        <v>17</v>
      </c>
      <c r="E1832" t="s">
        <v>10</v>
      </c>
      <c r="F1832" t="s">
        <v>54</v>
      </c>
      <c r="G1832" t="s">
        <v>9</v>
      </c>
      <c r="L1832">
        <f t="shared" si="141"/>
        <v>0</v>
      </c>
      <c r="M1832">
        <f t="shared" si="142"/>
        <v>0</v>
      </c>
      <c r="N1832">
        <f t="shared" si="143"/>
        <v>0</v>
      </c>
      <c r="O1832">
        <f t="shared" si="145"/>
        <v>1</v>
      </c>
      <c r="P1832" t="str">
        <f t="shared" si="144"/>
        <v/>
      </c>
      <c r="Q1832">
        <f>COUNTIF('責任職　企業局→市長部局'!A:A,SQLデータ!B1832)</f>
        <v>0</v>
      </c>
      <c r="R1832">
        <f>COUNTIF('一般職員　企業局→市長部局'!A:F,SQLデータ!B1832)</f>
        <v>0</v>
      </c>
    </row>
    <row r="1833" spans="1:18" x14ac:dyDescent="0.4">
      <c r="A1833" s="1">
        <v>202650001660</v>
      </c>
      <c r="B1833" s="1">
        <v>940548</v>
      </c>
      <c r="C1833" s="2">
        <v>46118</v>
      </c>
      <c r="D1833" t="s">
        <v>17</v>
      </c>
      <c r="E1833" t="s">
        <v>8</v>
      </c>
      <c r="G1833" t="s">
        <v>9</v>
      </c>
      <c r="L1833">
        <f t="shared" si="141"/>
        <v>0</v>
      </c>
      <c r="M1833">
        <f t="shared" si="142"/>
        <v>0</v>
      </c>
      <c r="N1833">
        <f t="shared" si="143"/>
        <v>0</v>
      </c>
      <c r="O1833">
        <f t="shared" si="145"/>
        <v>1</v>
      </c>
      <c r="P1833" t="str">
        <f t="shared" si="144"/>
        <v/>
      </c>
      <c r="Q1833">
        <f>COUNTIF('責任職　企業局→市長部局'!A:A,SQLデータ!B1833)</f>
        <v>0</v>
      </c>
      <c r="R1833">
        <f>COUNTIF('一般職員　企業局→市長部局'!A:F,SQLデータ!B1833)</f>
        <v>0</v>
      </c>
    </row>
    <row r="1834" spans="1:18" x14ac:dyDescent="0.4">
      <c r="A1834" s="1">
        <v>202650001661</v>
      </c>
      <c r="B1834" s="1">
        <v>1222022</v>
      </c>
      <c r="C1834" s="2">
        <v>46118</v>
      </c>
      <c r="D1834" t="s">
        <v>17</v>
      </c>
      <c r="E1834" t="s">
        <v>8</v>
      </c>
      <c r="G1834" t="s">
        <v>9</v>
      </c>
      <c r="L1834">
        <f t="shared" si="141"/>
        <v>0</v>
      </c>
      <c r="M1834">
        <f t="shared" si="142"/>
        <v>0</v>
      </c>
      <c r="N1834">
        <f t="shared" si="143"/>
        <v>0</v>
      </c>
      <c r="O1834">
        <f t="shared" si="145"/>
        <v>1</v>
      </c>
      <c r="P1834" t="str">
        <f t="shared" si="144"/>
        <v/>
      </c>
      <c r="Q1834">
        <f>COUNTIF('責任職　企業局→市長部局'!A:A,SQLデータ!B1834)</f>
        <v>0</v>
      </c>
      <c r="R1834">
        <f>COUNTIF('一般職員　企業局→市長部局'!A:F,SQLデータ!B1834)</f>
        <v>0</v>
      </c>
    </row>
    <row r="1835" spans="1:18" x14ac:dyDescent="0.4">
      <c r="A1835" s="1">
        <v>202650001662</v>
      </c>
      <c r="B1835" s="1">
        <v>960529</v>
      </c>
      <c r="C1835" s="2">
        <v>46118</v>
      </c>
      <c r="D1835" t="s">
        <v>17</v>
      </c>
      <c r="E1835" t="s">
        <v>8</v>
      </c>
      <c r="G1835" t="s">
        <v>9</v>
      </c>
      <c r="L1835">
        <f t="shared" si="141"/>
        <v>0</v>
      </c>
      <c r="M1835">
        <f t="shared" si="142"/>
        <v>0</v>
      </c>
      <c r="N1835">
        <f t="shared" si="143"/>
        <v>0</v>
      </c>
      <c r="O1835">
        <f t="shared" si="145"/>
        <v>1</v>
      </c>
      <c r="P1835" t="str">
        <f t="shared" si="144"/>
        <v/>
      </c>
      <c r="Q1835">
        <f>COUNTIF('責任職　企業局→市長部局'!A:A,SQLデータ!B1835)</f>
        <v>0</v>
      </c>
      <c r="R1835">
        <f>COUNTIF('一般職員　企業局→市長部局'!A:F,SQLデータ!B1835)</f>
        <v>0</v>
      </c>
    </row>
    <row r="1836" spans="1:18" x14ac:dyDescent="0.4">
      <c r="A1836" s="1">
        <v>202650001663</v>
      </c>
      <c r="B1836" s="1">
        <v>1102003</v>
      </c>
      <c r="C1836" s="2">
        <v>46118</v>
      </c>
      <c r="D1836" t="s">
        <v>17</v>
      </c>
      <c r="E1836" t="s">
        <v>8</v>
      </c>
      <c r="G1836" t="s">
        <v>9</v>
      </c>
      <c r="L1836">
        <f t="shared" si="141"/>
        <v>0</v>
      </c>
      <c r="M1836">
        <f t="shared" si="142"/>
        <v>0</v>
      </c>
      <c r="N1836">
        <f t="shared" si="143"/>
        <v>0</v>
      </c>
      <c r="O1836">
        <f t="shared" si="145"/>
        <v>1</v>
      </c>
      <c r="P1836" t="str">
        <f t="shared" si="144"/>
        <v/>
      </c>
      <c r="Q1836">
        <f>COUNTIF('責任職　企業局→市長部局'!A:A,SQLデータ!B1836)</f>
        <v>0</v>
      </c>
      <c r="R1836">
        <f>COUNTIF('一般職員　企業局→市長部局'!A:F,SQLデータ!B1836)</f>
        <v>0</v>
      </c>
    </row>
    <row r="1837" spans="1:18" x14ac:dyDescent="0.4">
      <c r="A1837" s="1">
        <v>202650001664</v>
      </c>
      <c r="B1837" s="1">
        <v>920083</v>
      </c>
      <c r="C1837" s="2">
        <v>46118</v>
      </c>
      <c r="D1837" t="s">
        <v>17</v>
      </c>
      <c r="E1837" t="s">
        <v>8</v>
      </c>
      <c r="G1837" t="s">
        <v>9</v>
      </c>
      <c r="L1837">
        <f t="shared" si="141"/>
        <v>0</v>
      </c>
      <c r="M1837">
        <f t="shared" si="142"/>
        <v>0</v>
      </c>
      <c r="N1837">
        <f t="shared" si="143"/>
        <v>0</v>
      </c>
      <c r="O1837">
        <f t="shared" si="145"/>
        <v>1</v>
      </c>
      <c r="P1837" t="str">
        <f t="shared" si="144"/>
        <v/>
      </c>
      <c r="Q1837">
        <f>COUNTIF('責任職　企業局→市長部局'!A:A,SQLデータ!B1837)</f>
        <v>0</v>
      </c>
      <c r="R1837">
        <f>COUNTIF('一般職員　企業局→市長部局'!A:F,SQLデータ!B1837)</f>
        <v>0</v>
      </c>
    </row>
    <row r="1838" spans="1:18" x14ac:dyDescent="0.4">
      <c r="A1838" s="1">
        <v>202650001665</v>
      </c>
      <c r="B1838" s="1">
        <v>920069</v>
      </c>
      <c r="C1838" s="2">
        <v>46118</v>
      </c>
      <c r="D1838" t="s">
        <v>17</v>
      </c>
      <c r="E1838" t="s">
        <v>8</v>
      </c>
      <c r="G1838" t="s">
        <v>9</v>
      </c>
      <c r="L1838">
        <f t="shared" si="141"/>
        <v>0</v>
      </c>
      <c r="M1838">
        <f t="shared" si="142"/>
        <v>0</v>
      </c>
      <c r="N1838">
        <f t="shared" si="143"/>
        <v>0</v>
      </c>
      <c r="O1838">
        <f t="shared" si="145"/>
        <v>1</v>
      </c>
      <c r="P1838" t="str">
        <f t="shared" si="144"/>
        <v/>
      </c>
      <c r="Q1838">
        <f>COUNTIF('責任職　企業局→市長部局'!A:A,SQLデータ!B1838)</f>
        <v>0</v>
      </c>
      <c r="R1838">
        <f>COUNTIF('一般職員　企業局→市長部局'!A:F,SQLデータ!B1838)</f>
        <v>0</v>
      </c>
    </row>
    <row r="1839" spans="1:18" x14ac:dyDescent="0.4">
      <c r="A1839" s="1">
        <v>202650001666</v>
      </c>
      <c r="B1839" s="1">
        <v>5077879</v>
      </c>
      <c r="C1839" s="2">
        <v>46118</v>
      </c>
      <c r="D1839" t="s">
        <v>17</v>
      </c>
      <c r="E1839" t="s">
        <v>10</v>
      </c>
      <c r="F1839" t="s">
        <v>54</v>
      </c>
      <c r="G1839" t="s">
        <v>9</v>
      </c>
      <c r="L1839">
        <f t="shared" si="141"/>
        <v>0</v>
      </c>
      <c r="M1839">
        <f t="shared" si="142"/>
        <v>0</v>
      </c>
      <c r="N1839">
        <f t="shared" si="143"/>
        <v>0</v>
      </c>
      <c r="O1839">
        <f t="shared" si="145"/>
        <v>1</v>
      </c>
      <c r="P1839" t="str">
        <f t="shared" si="144"/>
        <v/>
      </c>
      <c r="Q1839">
        <f>COUNTIF('責任職　企業局→市長部局'!A:A,SQLデータ!B1839)</f>
        <v>0</v>
      </c>
      <c r="R1839">
        <f>COUNTIF('一般職員　企業局→市長部局'!A:F,SQLデータ!B1839)</f>
        <v>0</v>
      </c>
    </row>
    <row r="1840" spans="1:18" x14ac:dyDescent="0.4">
      <c r="A1840" s="1">
        <v>202650001667</v>
      </c>
      <c r="B1840" s="1">
        <v>1056026</v>
      </c>
      <c r="C1840" s="2">
        <v>46118</v>
      </c>
      <c r="D1840" t="s">
        <v>17</v>
      </c>
      <c r="E1840" t="s">
        <v>8</v>
      </c>
      <c r="G1840" t="s">
        <v>9</v>
      </c>
      <c r="L1840">
        <f t="shared" si="141"/>
        <v>0</v>
      </c>
      <c r="M1840">
        <f t="shared" si="142"/>
        <v>0</v>
      </c>
      <c r="N1840">
        <f t="shared" si="143"/>
        <v>0</v>
      </c>
      <c r="O1840">
        <f t="shared" si="145"/>
        <v>1</v>
      </c>
      <c r="P1840" t="str">
        <f t="shared" si="144"/>
        <v/>
      </c>
      <c r="Q1840">
        <f>COUNTIF('責任職　企業局→市長部局'!A:A,SQLデータ!B1840)</f>
        <v>0</v>
      </c>
      <c r="R1840">
        <f>COUNTIF('一般職員　企業局→市長部局'!A:F,SQLデータ!B1840)</f>
        <v>0</v>
      </c>
    </row>
    <row r="1841" spans="1:18" x14ac:dyDescent="0.4">
      <c r="A1841" s="1">
        <v>202650001668</v>
      </c>
      <c r="B1841" s="1">
        <v>5005514</v>
      </c>
      <c r="C1841" s="2">
        <v>46118</v>
      </c>
      <c r="D1841" t="s">
        <v>17</v>
      </c>
      <c r="E1841" t="s">
        <v>10</v>
      </c>
      <c r="F1841" t="s">
        <v>54</v>
      </c>
      <c r="G1841" t="s">
        <v>9</v>
      </c>
      <c r="L1841">
        <f t="shared" si="141"/>
        <v>0</v>
      </c>
      <c r="M1841">
        <f t="shared" si="142"/>
        <v>0</v>
      </c>
      <c r="N1841">
        <f t="shared" si="143"/>
        <v>0</v>
      </c>
      <c r="O1841">
        <f t="shared" si="145"/>
        <v>1</v>
      </c>
      <c r="P1841" t="str">
        <f t="shared" si="144"/>
        <v/>
      </c>
      <c r="Q1841">
        <f>COUNTIF('責任職　企業局→市長部局'!A:A,SQLデータ!B1841)</f>
        <v>0</v>
      </c>
      <c r="R1841">
        <f>COUNTIF('一般職員　企業局→市長部局'!A:F,SQLデータ!B1841)</f>
        <v>0</v>
      </c>
    </row>
    <row r="1842" spans="1:18" x14ac:dyDescent="0.4">
      <c r="A1842" s="1">
        <v>202650001669</v>
      </c>
      <c r="B1842" s="1">
        <v>5078333</v>
      </c>
      <c r="C1842" s="2">
        <v>46118</v>
      </c>
      <c r="D1842" t="s">
        <v>17</v>
      </c>
      <c r="E1842" t="s">
        <v>10</v>
      </c>
      <c r="F1842" t="s">
        <v>54</v>
      </c>
      <c r="G1842" t="s">
        <v>9</v>
      </c>
      <c r="L1842">
        <f t="shared" si="141"/>
        <v>0</v>
      </c>
      <c r="M1842">
        <f t="shared" si="142"/>
        <v>0</v>
      </c>
      <c r="N1842">
        <f t="shared" si="143"/>
        <v>0</v>
      </c>
      <c r="O1842">
        <f t="shared" si="145"/>
        <v>1</v>
      </c>
      <c r="P1842" t="str">
        <f t="shared" si="144"/>
        <v/>
      </c>
      <c r="Q1842">
        <f>COUNTIF('責任職　企業局→市長部局'!A:A,SQLデータ!B1842)</f>
        <v>0</v>
      </c>
      <c r="R1842">
        <f>COUNTIF('一般職員　企業局→市長部局'!A:F,SQLデータ!B1842)</f>
        <v>0</v>
      </c>
    </row>
    <row r="1843" spans="1:18" x14ac:dyDescent="0.4">
      <c r="A1843" s="1">
        <v>202650001670</v>
      </c>
      <c r="B1843" s="1">
        <v>1191165</v>
      </c>
      <c r="C1843" s="2">
        <v>46118</v>
      </c>
      <c r="D1843" t="s">
        <v>17</v>
      </c>
      <c r="E1843" t="s">
        <v>8</v>
      </c>
      <c r="G1843" t="s">
        <v>9</v>
      </c>
      <c r="L1843">
        <f t="shared" si="141"/>
        <v>0</v>
      </c>
      <c r="M1843">
        <f t="shared" si="142"/>
        <v>0</v>
      </c>
      <c r="N1843">
        <f t="shared" si="143"/>
        <v>0</v>
      </c>
      <c r="O1843">
        <f t="shared" si="145"/>
        <v>1</v>
      </c>
      <c r="P1843" t="str">
        <f t="shared" si="144"/>
        <v/>
      </c>
      <c r="Q1843">
        <f>COUNTIF('責任職　企業局→市長部局'!A:A,SQLデータ!B1843)</f>
        <v>0</v>
      </c>
      <c r="R1843">
        <f>COUNTIF('一般職員　企業局→市長部局'!A:F,SQLデータ!B1843)</f>
        <v>0</v>
      </c>
    </row>
    <row r="1844" spans="1:18" x14ac:dyDescent="0.4">
      <c r="A1844" s="1">
        <v>202650001671</v>
      </c>
      <c r="B1844" s="1">
        <v>1226103</v>
      </c>
      <c r="C1844" s="2">
        <v>46118</v>
      </c>
      <c r="D1844" t="s">
        <v>17</v>
      </c>
      <c r="E1844" t="s">
        <v>8</v>
      </c>
      <c r="G1844" t="s">
        <v>9</v>
      </c>
      <c r="L1844">
        <f t="shared" si="141"/>
        <v>0</v>
      </c>
      <c r="M1844">
        <f t="shared" si="142"/>
        <v>0</v>
      </c>
      <c r="N1844">
        <f t="shared" si="143"/>
        <v>0</v>
      </c>
      <c r="O1844">
        <f t="shared" si="145"/>
        <v>1</v>
      </c>
      <c r="P1844" t="str">
        <f t="shared" si="144"/>
        <v/>
      </c>
      <c r="Q1844">
        <f>COUNTIF('責任職　企業局→市長部局'!A:A,SQLデータ!B1844)</f>
        <v>0</v>
      </c>
      <c r="R1844">
        <f>COUNTIF('一般職員　企業局→市長部局'!A:F,SQLデータ!B1844)</f>
        <v>0</v>
      </c>
    </row>
    <row r="1845" spans="1:18" x14ac:dyDescent="0.4">
      <c r="A1845" s="1">
        <v>202650001672</v>
      </c>
      <c r="B1845" s="1">
        <v>5057781</v>
      </c>
      <c r="C1845" s="2">
        <v>46118</v>
      </c>
      <c r="D1845" t="s">
        <v>17</v>
      </c>
      <c r="E1845" t="s">
        <v>8</v>
      </c>
      <c r="F1845" t="s">
        <v>54</v>
      </c>
      <c r="G1845" t="s">
        <v>9</v>
      </c>
      <c r="L1845">
        <f t="shared" si="141"/>
        <v>0</v>
      </c>
      <c r="M1845">
        <f t="shared" si="142"/>
        <v>0</v>
      </c>
      <c r="N1845">
        <f t="shared" si="143"/>
        <v>0</v>
      </c>
      <c r="O1845">
        <f t="shared" si="145"/>
        <v>1</v>
      </c>
      <c r="P1845" t="str">
        <f t="shared" si="144"/>
        <v/>
      </c>
      <c r="Q1845">
        <f>COUNTIF('責任職　企業局→市長部局'!A:A,SQLデータ!B1845)</f>
        <v>0</v>
      </c>
      <c r="R1845">
        <f>COUNTIF('一般職員　企業局→市長部局'!A:F,SQLデータ!B1845)</f>
        <v>0</v>
      </c>
    </row>
    <row r="1846" spans="1:18" x14ac:dyDescent="0.4">
      <c r="A1846" s="1">
        <v>202650001673</v>
      </c>
      <c r="B1846" s="1">
        <v>5047622</v>
      </c>
      <c r="C1846" s="2">
        <v>46118</v>
      </c>
      <c r="D1846" t="s">
        <v>17</v>
      </c>
      <c r="E1846" t="s">
        <v>8</v>
      </c>
      <c r="F1846" t="s">
        <v>54</v>
      </c>
      <c r="G1846" t="s">
        <v>9</v>
      </c>
      <c r="L1846">
        <f t="shared" si="141"/>
        <v>0</v>
      </c>
      <c r="M1846">
        <f t="shared" si="142"/>
        <v>0</v>
      </c>
      <c r="N1846">
        <f t="shared" si="143"/>
        <v>0</v>
      </c>
      <c r="O1846">
        <f t="shared" si="145"/>
        <v>1</v>
      </c>
      <c r="P1846" t="str">
        <f t="shared" si="144"/>
        <v/>
      </c>
      <c r="Q1846">
        <f>COUNTIF('責任職　企業局→市長部局'!A:A,SQLデータ!B1846)</f>
        <v>0</v>
      </c>
      <c r="R1846">
        <f>COUNTIF('一般職員　企業局→市長部局'!A:F,SQLデータ!B1846)</f>
        <v>0</v>
      </c>
    </row>
    <row r="1847" spans="1:18" x14ac:dyDescent="0.4">
      <c r="A1847" s="1">
        <v>202650001674</v>
      </c>
      <c r="B1847" s="1">
        <v>5027580</v>
      </c>
      <c r="C1847" s="2">
        <v>46118</v>
      </c>
      <c r="D1847" t="s">
        <v>17</v>
      </c>
      <c r="E1847" t="s">
        <v>8</v>
      </c>
      <c r="G1847" t="s">
        <v>9</v>
      </c>
      <c r="L1847">
        <f t="shared" si="141"/>
        <v>0</v>
      </c>
      <c r="M1847">
        <f t="shared" si="142"/>
        <v>0</v>
      </c>
      <c r="N1847">
        <f t="shared" si="143"/>
        <v>0</v>
      </c>
      <c r="O1847">
        <f t="shared" si="145"/>
        <v>1</v>
      </c>
      <c r="P1847" t="str">
        <f t="shared" si="144"/>
        <v/>
      </c>
      <c r="Q1847">
        <f>COUNTIF('責任職　企業局→市長部局'!A:A,SQLデータ!B1847)</f>
        <v>0</v>
      </c>
      <c r="R1847">
        <f>COUNTIF('一般職員　企業局→市長部局'!A:F,SQLデータ!B1847)</f>
        <v>0</v>
      </c>
    </row>
    <row r="1848" spans="1:18" x14ac:dyDescent="0.4">
      <c r="A1848" s="1">
        <v>202650001675</v>
      </c>
      <c r="B1848" s="1">
        <v>1102032</v>
      </c>
      <c r="C1848" s="2">
        <v>46118</v>
      </c>
      <c r="D1848" t="s">
        <v>17</v>
      </c>
      <c r="E1848" t="s">
        <v>8</v>
      </c>
      <c r="G1848" t="s">
        <v>9</v>
      </c>
      <c r="L1848">
        <f t="shared" si="141"/>
        <v>0</v>
      </c>
      <c r="M1848">
        <f t="shared" si="142"/>
        <v>0</v>
      </c>
      <c r="N1848">
        <f t="shared" si="143"/>
        <v>0</v>
      </c>
      <c r="O1848">
        <f t="shared" si="145"/>
        <v>1</v>
      </c>
      <c r="P1848" t="str">
        <f t="shared" si="144"/>
        <v/>
      </c>
      <c r="Q1848">
        <f>COUNTIF('責任職　企業局→市長部局'!A:A,SQLデータ!B1848)</f>
        <v>0</v>
      </c>
      <c r="R1848">
        <f>COUNTIF('一般職員　企業局→市長部局'!A:F,SQLデータ!B1848)</f>
        <v>0</v>
      </c>
    </row>
    <row r="1849" spans="1:18" x14ac:dyDescent="0.4">
      <c r="A1849" s="1">
        <v>202650001676</v>
      </c>
      <c r="B1849" s="1">
        <v>920122</v>
      </c>
      <c r="C1849" s="2">
        <v>46118</v>
      </c>
      <c r="D1849" t="s">
        <v>17</v>
      </c>
      <c r="E1849" t="s">
        <v>8</v>
      </c>
      <c r="G1849" t="s">
        <v>9</v>
      </c>
      <c r="L1849">
        <f t="shared" si="141"/>
        <v>0</v>
      </c>
      <c r="M1849">
        <f t="shared" si="142"/>
        <v>0</v>
      </c>
      <c r="N1849">
        <f t="shared" si="143"/>
        <v>0</v>
      </c>
      <c r="O1849">
        <f t="shared" si="145"/>
        <v>1</v>
      </c>
      <c r="P1849" t="str">
        <f t="shared" si="144"/>
        <v/>
      </c>
      <c r="Q1849">
        <f>COUNTIF('責任職　企業局→市長部局'!A:A,SQLデータ!B1849)</f>
        <v>0</v>
      </c>
      <c r="R1849">
        <f>COUNTIF('一般職員　企業局→市長部局'!A:F,SQLデータ!B1849)</f>
        <v>0</v>
      </c>
    </row>
    <row r="1850" spans="1:18" x14ac:dyDescent="0.4">
      <c r="A1850" s="1">
        <v>202650001677</v>
      </c>
      <c r="B1850" s="1">
        <v>1246085</v>
      </c>
      <c r="C1850" s="2">
        <v>46118</v>
      </c>
      <c r="D1850" t="s">
        <v>17</v>
      </c>
      <c r="E1850" t="s">
        <v>8</v>
      </c>
      <c r="G1850" t="s">
        <v>9</v>
      </c>
      <c r="L1850">
        <f t="shared" si="141"/>
        <v>0</v>
      </c>
      <c r="M1850">
        <f t="shared" si="142"/>
        <v>0</v>
      </c>
      <c r="N1850">
        <f t="shared" si="143"/>
        <v>0</v>
      </c>
      <c r="O1850">
        <f t="shared" si="145"/>
        <v>1</v>
      </c>
      <c r="P1850" t="str">
        <f t="shared" si="144"/>
        <v/>
      </c>
      <c r="Q1850">
        <f>COUNTIF('責任職　企業局→市長部局'!A:A,SQLデータ!B1850)</f>
        <v>0</v>
      </c>
      <c r="R1850">
        <f>COUNTIF('一般職員　企業局→市長部局'!A:F,SQLデータ!B1850)</f>
        <v>0</v>
      </c>
    </row>
    <row r="1851" spans="1:18" x14ac:dyDescent="0.4">
      <c r="A1851" s="1">
        <v>202650001678</v>
      </c>
      <c r="B1851" s="1">
        <v>1023033</v>
      </c>
      <c r="C1851" s="2">
        <v>46118</v>
      </c>
      <c r="D1851" t="s">
        <v>17</v>
      </c>
      <c r="E1851" t="s">
        <v>8</v>
      </c>
      <c r="G1851" t="s">
        <v>9</v>
      </c>
      <c r="L1851">
        <f t="shared" si="141"/>
        <v>0</v>
      </c>
      <c r="M1851">
        <f t="shared" si="142"/>
        <v>0</v>
      </c>
      <c r="N1851">
        <f t="shared" si="143"/>
        <v>0</v>
      </c>
      <c r="O1851">
        <f t="shared" si="145"/>
        <v>1</v>
      </c>
      <c r="P1851" t="str">
        <f t="shared" si="144"/>
        <v/>
      </c>
      <c r="Q1851">
        <f>COUNTIF('責任職　企業局→市長部局'!A:A,SQLデータ!B1851)</f>
        <v>0</v>
      </c>
      <c r="R1851">
        <f>COUNTIF('一般職員　企業局→市長部局'!A:F,SQLデータ!B1851)</f>
        <v>0</v>
      </c>
    </row>
    <row r="1852" spans="1:18" x14ac:dyDescent="0.4">
      <c r="A1852" s="1">
        <v>202650001679</v>
      </c>
      <c r="B1852" s="1">
        <v>1181051</v>
      </c>
      <c r="C1852" s="2">
        <v>46118</v>
      </c>
      <c r="D1852" t="s">
        <v>17</v>
      </c>
      <c r="E1852" t="s">
        <v>8</v>
      </c>
      <c r="G1852" t="s">
        <v>9</v>
      </c>
      <c r="L1852">
        <f t="shared" si="141"/>
        <v>0</v>
      </c>
      <c r="M1852">
        <f t="shared" si="142"/>
        <v>0</v>
      </c>
      <c r="N1852">
        <f t="shared" si="143"/>
        <v>0</v>
      </c>
      <c r="O1852">
        <f t="shared" si="145"/>
        <v>1</v>
      </c>
      <c r="P1852" t="str">
        <f t="shared" si="144"/>
        <v/>
      </c>
      <c r="Q1852">
        <f>COUNTIF('責任職　企業局→市長部局'!A:A,SQLデータ!B1852)</f>
        <v>0</v>
      </c>
      <c r="R1852">
        <f>COUNTIF('一般職員　企業局→市長部局'!A:F,SQLデータ!B1852)</f>
        <v>0</v>
      </c>
    </row>
    <row r="1853" spans="1:18" x14ac:dyDescent="0.4">
      <c r="A1853" s="1">
        <v>202650001680</v>
      </c>
      <c r="B1853" s="1">
        <v>1206122</v>
      </c>
      <c r="C1853" s="2">
        <v>46118</v>
      </c>
      <c r="D1853" t="s">
        <v>17</v>
      </c>
      <c r="E1853" t="s">
        <v>8</v>
      </c>
      <c r="G1853" t="s">
        <v>9</v>
      </c>
      <c r="L1853">
        <f t="shared" si="141"/>
        <v>0</v>
      </c>
      <c r="M1853">
        <f t="shared" si="142"/>
        <v>0</v>
      </c>
      <c r="N1853">
        <f t="shared" si="143"/>
        <v>0</v>
      </c>
      <c r="O1853">
        <f t="shared" si="145"/>
        <v>1</v>
      </c>
      <c r="P1853" t="str">
        <f t="shared" si="144"/>
        <v/>
      </c>
      <c r="Q1853">
        <f>COUNTIF('責任職　企業局→市長部局'!A:A,SQLデータ!B1853)</f>
        <v>0</v>
      </c>
      <c r="R1853">
        <f>COUNTIF('一般職員　企業局→市長部局'!A:F,SQLデータ!B1853)</f>
        <v>0</v>
      </c>
    </row>
    <row r="1854" spans="1:18" x14ac:dyDescent="0.4">
      <c r="A1854" s="1">
        <v>202650001681</v>
      </c>
      <c r="B1854" s="1">
        <v>950365</v>
      </c>
      <c r="C1854" s="2">
        <v>46118</v>
      </c>
      <c r="D1854" t="s">
        <v>17</v>
      </c>
      <c r="E1854" t="s">
        <v>8</v>
      </c>
      <c r="G1854" t="s">
        <v>9</v>
      </c>
      <c r="L1854">
        <f t="shared" si="141"/>
        <v>0</v>
      </c>
      <c r="M1854">
        <f t="shared" si="142"/>
        <v>0</v>
      </c>
      <c r="N1854">
        <f t="shared" si="143"/>
        <v>0</v>
      </c>
      <c r="O1854">
        <f t="shared" si="145"/>
        <v>1</v>
      </c>
      <c r="P1854" t="str">
        <f t="shared" si="144"/>
        <v/>
      </c>
      <c r="Q1854">
        <f>COUNTIF('責任職　企業局→市長部局'!A:A,SQLデータ!B1854)</f>
        <v>0</v>
      </c>
      <c r="R1854">
        <f>COUNTIF('一般職員　企業局→市長部局'!A:F,SQLデータ!B1854)</f>
        <v>0</v>
      </c>
    </row>
    <row r="1855" spans="1:18" x14ac:dyDescent="0.4">
      <c r="A1855" s="1">
        <v>202650001682</v>
      </c>
      <c r="B1855" s="1">
        <v>1151472</v>
      </c>
      <c r="C1855" s="2">
        <v>46118</v>
      </c>
      <c r="D1855" t="s">
        <v>17</v>
      </c>
      <c r="E1855" t="s">
        <v>8</v>
      </c>
      <c r="G1855" t="s">
        <v>9</v>
      </c>
      <c r="L1855">
        <f t="shared" si="141"/>
        <v>0</v>
      </c>
      <c r="M1855">
        <f t="shared" si="142"/>
        <v>0</v>
      </c>
      <c r="N1855">
        <f t="shared" si="143"/>
        <v>0</v>
      </c>
      <c r="O1855">
        <f t="shared" si="145"/>
        <v>1</v>
      </c>
      <c r="P1855" t="str">
        <f t="shared" si="144"/>
        <v/>
      </c>
      <c r="Q1855">
        <f>COUNTIF('責任職　企業局→市長部局'!A:A,SQLデータ!B1855)</f>
        <v>0</v>
      </c>
      <c r="R1855">
        <f>COUNTIF('一般職員　企業局→市長部局'!A:F,SQLデータ!B1855)</f>
        <v>0</v>
      </c>
    </row>
    <row r="1856" spans="1:18" x14ac:dyDescent="0.4">
      <c r="A1856" s="1">
        <v>202650001683</v>
      </c>
      <c r="B1856" s="1">
        <v>1001017</v>
      </c>
      <c r="C1856" s="2">
        <v>46118</v>
      </c>
      <c r="D1856" t="s">
        <v>17</v>
      </c>
      <c r="E1856" t="s">
        <v>8</v>
      </c>
      <c r="G1856" t="s">
        <v>9</v>
      </c>
      <c r="L1856">
        <f t="shared" si="141"/>
        <v>0</v>
      </c>
      <c r="M1856">
        <f t="shared" si="142"/>
        <v>0</v>
      </c>
      <c r="N1856">
        <f t="shared" si="143"/>
        <v>0</v>
      </c>
      <c r="O1856">
        <f t="shared" si="145"/>
        <v>1</v>
      </c>
      <c r="P1856" t="str">
        <f t="shared" si="144"/>
        <v/>
      </c>
      <c r="Q1856">
        <f>COUNTIF('責任職　企業局→市長部局'!A:A,SQLデータ!B1856)</f>
        <v>0</v>
      </c>
      <c r="R1856">
        <f>COUNTIF('一般職員　企業局→市長部局'!A:F,SQLデータ!B1856)</f>
        <v>0</v>
      </c>
    </row>
    <row r="1857" spans="1:18" x14ac:dyDescent="0.4">
      <c r="A1857" s="1">
        <v>202650001684</v>
      </c>
      <c r="B1857" s="1">
        <v>1146052</v>
      </c>
      <c r="C1857" s="2">
        <v>46118</v>
      </c>
      <c r="D1857" t="s">
        <v>17</v>
      </c>
      <c r="E1857" t="s">
        <v>8</v>
      </c>
      <c r="G1857" t="s">
        <v>9</v>
      </c>
      <c r="L1857">
        <f t="shared" si="141"/>
        <v>0</v>
      </c>
      <c r="M1857">
        <f t="shared" si="142"/>
        <v>0</v>
      </c>
      <c r="N1857">
        <f t="shared" si="143"/>
        <v>0</v>
      </c>
      <c r="O1857">
        <f t="shared" si="145"/>
        <v>1</v>
      </c>
      <c r="P1857" t="str">
        <f t="shared" si="144"/>
        <v/>
      </c>
      <c r="Q1857">
        <f>COUNTIF('責任職　企業局→市長部局'!A:A,SQLデータ!B1857)</f>
        <v>0</v>
      </c>
      <c r="R1857">
        <f>COUNTIF('一般職員　企業局→市長部局'!A:F,SQLデータ!B1857)</f>
        <v>0</v>
      </c>
    </row>
    <row r="1858" spans="1:18" x14ac:dyDescent="0.4">
      <c r="A1858" s="1">
        <v>202650001685</v>
      </c>
      <c r="B1858" s="1">
        <v>1201372</v>
      </c>
      <c r="C1858" s="2">
        <v>46118</v>
      </c>
      <c r="D1858" t="s">
        <v>17</v>
      </c>
      <c r="E1858" t="s">
        <v>8</v>
      </c>
      <c r="G1858" t="s">
        <v>9</v>
      </c>
      <c r="L1858">
        <f t="shared" ref="L1858:L1921" si="146">IF(ISBLANK(J1858),0,1)</f>
        <v>0</v>
      </c>
      <c r="M1858">
        <f t="shared" ref="M1858:M1921" si="147">IF(AND(L1858=0,I1858&lt;&gt;""),1,0)</f>
        <v>0</v>
      </c>
      <c r="N1858">
        <f t="shared" ref="N1858:N1921" si="148">IF(AND(L1858=0,M1858=0,K1858&lt;&gt;""),1,0)</f>
        <v>0</v>
      </c>
      <c r="O1858">
        <f t="shared" si="145"/>
        <v>1</v>
      </c>
      <c r="P1858" t="str">
        <f t="shared" ref="P1858:P1921" si="149">IF(D1858&lt;&gt;"扶養","",IF(E1858&lt;&gt;"確認待ち",1,IF(OR(AND(G1858="本人の結婚",O1858=1),AND(H1858="減",OR(N1858=1,O1858=1))),1,0)))</f>
        <v/>
      </c>
      <c r="Q1858">
        <f>COUNTIF('責任職　企業局→市長部局'!A:A,SQLデータ!B1858)</f>
        <v>0</v>
      </c>
      <c r="R1858">
        <f>COUNTIF('一般職員　企業局→市長部局'!A:F,SQLデータ!B1858)</f>
        <v>0</v>
      </c>
    </row>
    <row r="1859" spans="1:18" x14ac:dyDescent="0.4">
      <c r="A1859" s="1">
        <v>202650001686</v>
      </c>
      <c r="B1859" s="1">
        <v>5068387</v>
      </c>
      <c r="C1859" s="2">
        <v>46118</v>
      </c>
      <c r="D1859" t="s">
        <v>17</v>
      </c>
      <c r="E1859" t="s">
        <v>8</v>
      </c>
      <c r="F1859" t="s">
        <v>54</v>
      </c>
      <c r="G1859" t="s">
        <v>9</v>
      </c>
      <c r="L1859">
        <f t="shared" si="146"/>
        <v>0</v>
      </c>
      <c r="M1859">
        <f t="shared" si="147"/>
        <v>0</v>
      </c>
      <c r="N1859">
        <f t="shared" si="148"/>
        <v>0</v>
      </c>
      <c r="O1859">
        <f t="shared" si="145"/>
        <v>1</v>
      </c>
      <c r="P1859" t="str">
        <f t="shared" si="149"/>
        <v/>
      </c>
      <c r="Q1859">
        <f>COUNTIF('責任職　企業局→市長部局'!A:A,SQLデータ!B1859)</f>
        <v>0</v>
      </c>
      <c r="R1859">
        <f>COUNTIF('一般職員　企業局→市長部局'!A:F,SQLデータ!B1859)</f>
        <v>0</v>
      </c>
    </row>
    <row r="1860" spans="1:18" x14ac:dyDescent="0.4">
      <c r="A1860" s="1">
        <v>202650001687</v>
      </c>
      <c r="B1860" s="1">
        <v>1041014</v>
      </c>
      <c r="C1860" s="2">
        <v>46118</v>
      </c>
      <c r="D1860" t="s">
        <v>17</v>
      </c>
      <c r="E1860" t="s">
        <v>8</v>
      </c>
      <c r="G1860" t="s">
        <v>9</v>
      </c>
      <c r="L1860">
        <f t="shared" si="146"/>
        <v>0</v>
      </c>
      <c r="M1860">
        <f t="shared" si="147"/>
        <v>0</v>
      </c>
      <c r="N1860">
        <f t="shared" si="148"/>
        <v>0</v>
      </c>
      <c r="O1860">
        <f t="shared" si="145"/>
        <v>1</v>
      </c>
      <c r="P1860" t="str">
        <f t="shared" si="149"/>
        <v/>
      </c>
      <c r="Q1860">
        <f>COUNTIF('責任職　企業局→市長部局'!A:A,SQLデータ!B1860)</f>
        <v>0</v>
      </c>
      <c r="R1860">
        <f>COUNTIF('一般職員　企業局→市長部局'!A:F,SQLデータ!B1860)</f>
        <v>0</v>
      </c>
    </row>
    <row r="1861" spans="1:18" x14ac:dyDescent="0.4">
      <c r="A1861" s="1">
        <v>202650001688</v>
      </c>
      <c r="B1861" s="1">
        <v>1081047</v>
      </c>
      <c r="C1861" s="2">
        <v>46118</v>
      </c>
      <c r="D1861" t="s">
        <v>17</v>
      </c>
      <c r="E1861" t="s">
        <v>8</v>
      </c>
      <c r="G1861" t="s">
        <v>9</v>
      </c>
      <c r="L1861">
        <f t="shared" si="146"/>
        <v>0</v>
      </c>
      <c r="M1861">
        <f t="shared" si="147"/>
        <v>0</v>
      </c>
      <c r="N1861">
        <f t="shared" si="148"/>
        <v>0</v>
      </c>
      <c r="O1861">
        <f t="shared" si="145"/>
        <v>1</v>
      </c>
      <c r="P1861" t="str">
        <f t="shared" si="149"/>
        <v/>
      </c>
      <c r="Q1861">
        <f>COUNTIF('責任職　企業局→市長部局'!A:A,SQLデータ!B1861)</f>
        <v>0</v>
      </c>
      <c r="R1861">
        <f>COUNTIF('一般職員　企業局→市長部局'!A:F,SQLデータ!B1861)</f>
        <v>0</v>
      </c>
    </row>
    <row r="1862" spans="1:18" x14ac:dyDescent="0.4">
      <c r="A1862" s="1">
        <v>202650001689</v>
      </c>
      <c r="B1862" s="1">
        <v>930644</v>
      </c>
      <c r="C1862" s="2">
        <v>46118</v>
      </c>
      <c r="D1862" t="s">
        <v>17</v>
      </c>
      <c r="E1862" t="s">
        <v>8</v>
      </c>
      <c r="G1862" t="s">
        <v>9</v>
      </c>
      <c r="L1862">
        <f t="shared" si="146"/>
        <v>0</v>
      </c>
      <c r="M1862">
        <f t="shared" si="147"/>
        <v>0</v>
      </c>
      <c r="N1862">
        <f t="shared" si="148"/>
        <v>0</v>
      </c>
      <c r="O1862">
        <f t="shared" si="145"/>
        <v>1</v>
      </c>
      <c r="P1862" t="str">
        <f t="shared" si="149"/>
        <v/>
      </c>
      <c r="Q1862">
        <f>COUNTIF('責任職　企業局→市長部局'!A:A,SQLデータ!B1862)</f>
        <v>0</v>
      </c>
      <c r="R1862">
        <f>COUNTIF('一般職員　企業局→市長部局'!A:F,SQLデータ!B1862)</f>
        <v>0</v>
      </c>
    </row>
    <row r="1863" spans="1:18" x14ac:dyDescent="0.4">
      <c r="A1863" s="1">
        <v>202650001690</v>
      </c>
      <c r="B1863" s="1">
        <v>1111272</v>
      </c>
      <c r="C1863" s="2">
        <v>46118</v>
      </c>
      <c r="D1863" t="s">
        <v>17</v>
      </c>
      <c r="E1863" t="s">
        <v>8</v>
      </c>
      <c r="G1863" t="s">
        <v>9</v>
      </c>
      <c r="L1863">
        <f t="shared" si="146"/>
        <v>0</v>
      </c>
      <c r="M1863">
        <f t="shared" si="147"/>
        <v>0</v>
      </c>
      <c r="N1863">
        <f t="shared" si="148"/>
        <v>0</v>
      </c>
      <c r="O1863">
        <f t="shared" si="145"/>
        <v>1</v>
      </c>
      <c r="P1863" t="str">
        <f t="shared" si="149"/>
        <v/>
      </c>
      <c r="Q1863">
        <f>COUNTIF('責任職　企業局→市長部局'!A:A,SQLデータ!B1863)</f>
        <v>0</v>
      </c>
      <c r="R1863">
        <f>COUNTIF('一般職員　企業局→市長部局'!A:F,SQLデータ!B1863)</f>
        <v>0</v>
      </c>
    </row>
    <row r="1864" spans="1:18" x14ac:dyDescent="0.4">
      <c r="A1864" s="1">
        <v>202650001691</v>
      </c>
      <c r="B1864" s="1">
        <v>5005807</v>
      </c>
      <c r="C1864" s="2">
        <v>46118</v>
      </c>
      <c r="D1864" t="s">
        <v>17</v>
      </c>
      <c r="E1864" t="s">
        <v>8</v>
      </c>
      <c r="F1864" t="s">
        <v>54</v>
      </c>
      <c r="G1864" t="s">
        <v>9</v>
      </c>
      <c r="L1864">
        <f t="shared" si="146"/>
        <v>0</v>
      </c>
      <c r="M1864">
        <f t="shared" si="147"/>
        <v>0</v>
      </c>
      <c r="N1864">
        <f t="shared" si="148"/>
        <v>0</v>
      </c>
      <c r="O1864">
        <f t="shared" si="145"/>
        <v>1</v>
      </c>
      <c r="P1864" t="str">
        <f t="shared" si="149"/>
        <v/>
      </c>
      <c r="Q1864">
        <f>COUNTIF('責任職　企業局→市長部局'!A:A,SQLデータ!B1864)</f>
        <v>0</v>
      </c>
      <c r="R1864">
        <f>COUNTIF('一般職員　企業局→市長部局'!A:F,SQLデータ!B1864)</f>
        <v>0</v>
      </c>
    </row>
    <row r="1865" spans="1:18" x14ac:dyDescent="0.4">
      <c r="A1865" s="1">
        <v>202650001692</v>
      </c>
      <c r="B1865" s="1">
        <v>1231339</v>
      </c>
      <c r="C1865" s="2">
        <v>46118</v>
      </c>
      <c r="D1865" t="s">
        <v>17</v>
      </c>
      <c r="E1865" t="s">
        <v>8</v>
      </c>
      <c r="G1865" t="s">
        <v>9</v>
      </c>
      <c r="L1865">
        <f t="shared" si="146"/>
        <v>0</v>
      </c>
      <c r="M1865">
        <f t="shared" si="147"/>
        <v>0</v>
      </c>
      <c r="N1865">
        <f t="shared" si="148"/>
        <v>0</v>
      </c>
      <c r="O1865">
        <f t="shared" ref="O1865:O1928" si="150">IF(COUNTIF(L1865:N1865,0)=3,1,0)</f>
        <v>1</v>
      </c>
      <c r="P1865" t="str">
        <f t="shared" si="149"/>
        <v/>
      </c>
      <c r="Q1865">
        <f>COUNTIF('責任職　企業局→市長部局'!A:A,SQLデータ!B1865)</f>
        <v>0</v>
      </c>
      <c r="R1865">
        <f>COUNTIF('一般職員　企業局→市長部局'!A:F,SQLデータ!B1865)</f>
        <v>0</v>
      </c>
    </row>
    <row r="1866" spans="1:18" x14ac:dyDescent="0.4">
      <c r="A1866" s="1">
        <v>202650001693</v>
      </c>
      <c r="B1866" s="1">
        <v>1186083</v>
      </c>
      <c r="C1866" s="2">
        <v>46118</v>
      </c>
      <c r="D1866" t="s">
        <v>17</v>
      </c>
      <c r="E1866" t="s">
        <v>8</v>
      </c>
      <c r="G1866" t="s">
        <v>9</v>
      </c>
      <c r="L1866">
        <f t="shared" si="146"/>
        <v>0</v>
      </c>
      <c r="M1866">
        <f t="shared" si="147"/>
        <v>0</v>
      </c>
      <c r="N1866">
        <f t="shared" si="148"/>
        <v>0</v>
      </c>
      <c r="O1866">
        <f t="shared" si="150"/>
        <v>1</v>
      </c>
      <c r="P1866" t="str">
        <f t="shared" si="149"/>
        <v/>
      </c>
      <c r="Q1866">
        <f>COUNTIF('責任職　企業局→市長部局'!A:A,SQLデータ!B1866)</f>
        <v>0</v>
      </c>
      <c r="R1866">
        <f>COUNTIF('一般職員　企業局→市長部局'!A:F,SQLデータ!B1866)</f>
        <v>0</v>
      </c>
    </row>
    <row r="1867" spans="1:18" x14ac:dyDescent="0.4">
      <c r="A1867" s="1">
        <v>202650001695</v>
      </c>
      <c r="B1867" s="1">
        <v>1226105</v>
      </c>
      <c r="C1867" s="2">
        <v>46118</v>
      </c>
      <c r="D1867" t="s">
        <v>17</v>
      </c>
      <c r="E1867" t="s">
        <v>8</v>
      </c>
      <c r="G1867" t="s">
        <v>9</v>
      </c>
      <c r="L1867">
        <f t="shared" si="146"/>
        <v>0</v>
      </c>
      <c r="M1867">
        <f t="shared" si="147"/>
        <v>0</v>
      </c>
      <c r="N1867">
        <f t="shared" si="148"/>
        <v>0</v>
      </c>
      <c r="O1867">
        <f t="shared" si="150"/>
        <v>1</v>
      </c>
      <c r="P1867" t="str">
        <f t="shared" si="149"/>
        <v/>
      </c>
      <c r="Q1867">
        <f>COUNTIF('責任職　企業局→市長部局'!A:A,SQLデータ!B1867)</f>
        <v>0</v>
      </c>
      <c r="R1867">
        <f>COUNTIF('一般職員　企業局→市長部局'!A:F,SQLデータ!B1867)</f>
        <v>0</v>
      </c>
    </row>
    <row r="1868" spans="1:18" x14ac:dyDescent="0.4">
      <c r="A1868" s="1">
        <v>202650001696</v>
      </c>
      <c r="B1868" s="1">
        <v>996034</v>
      </c>
      <c r="C1868" s="2">
        <v>46118</v>
      </c>
      <c r="D1868" t="s">
        <v>17</v>
      </c>
      <c r="E1868" t="s">
        <v>8</v>
      </c>
      <c r="G1868" t="s">
        <v>9</v>
      </c>
      <c r="L1868">
        <f t="shared" si="146"/>
        <v>0</v>
      </c>
      <c r="M1868">
        <f t="shared" si="147"/>
        <v>0</v>
      </c>
      <c r="N1868">
        <f t="shared" si="148"/>
        <v>0</v>
      </c>
      <c r="O1868">
        <f t="shared" si="150"/>
        <v>1</v>
      </c>
      <c r="P1868" t="str">
        <f t="shared" si="149"/>
        <v/>
      </c>
      <c r="Q1868">
        <f>COUNTIF('責任職　企業局→市長部局'!A:A,SQLデータ!B1868)</f>
        <v>0</v>
      </c>
      <c r="R1868">
        <f>COUNTIF('一般職員　企業局→市長部局'!A:F,SQLデータ!B1868)</f>
        <v>0</v>
      </c>
    </row>
    <row r="1869" spans="1:18" x14ac:dyDescent="0.4">
      <c r="A1869" s="1">
        <v>202650001697</v>
      </c>
      <c r="B1869" s="1">
        <v>982023</v>
      </c>
      <c r="C1869" s="2">
        <v>46118</v>
      </c>
      <c r="D1869" t="s">
        <v>17</v>
      </c>
      <c r="E1869" t="s">
        <v>8</v>
      </c>
      <c r="G1869" t="s">
        <v>9</v>
      </c>
      <c r="L1869">
        <f t="shared" si="146"/>
        <v>0</v>
      </c>
      <c r="M1869">
        <f t="shared" si="147"/>
        <v>0</v>
      </c>
      <c r="N1869">
        <f t="shared" si="148"/>
        <v>0</v>
      </c>
      <c r="O1869">
        <f t="shared" si="150"/>
        <v>1</v>
      </c>
      <c r="P1869" t="str">
        <f t="shared" si="149"/>
        <v/>
      </c>
      <c r="Q1869">
        <f>COUNTIF('責任職　企業局→市長部局'!A:A,SQLデータ!B1869)</f>
        <v>0</v>
      </c>
      <c r="R1869">
        <f>COUNTIF('一般職員　企業局→市長部局'!A:F,SQLデータ!B1869)</f>
        <v>0</v>
      </c>
    </row>
    <row r="1870" spans="1:18" x14ac:dyDescent="0.4">
      <c r="A1870" s="1">
        <v>202650001698</v>
      </c>
      <c r="B1870" s="1">
        <v>1126090</v>
      </c>
      <c r="C1870" s="2">
        <v>46118</v>
      </c>
      <c r="D1870" t="s">
        <v>17</v>
      </c>
      <c r="E1870" t="s">
        <v>8</v>
      </c>
      <c r="G1870" t="s">
        <v>9</v>
      </c>
      <c r="L1870">
        <f t="shared" si="146"/>
        <v>0</v>
      </c>
      <c r="M1870">
        <f t="shared" si="147"/>
        <v>0</v>
      </c>
      <c r="N1870">
        <f t="shared" si="148"/>
        <v>0</v>
      </c>
      <c r="O1870">
        <f t="shared" si="150"/>
        <v>1</v>
      </c>
      <c r="P1870" t="str">
        <f t="shared" si="149"/>
        <v/>
      </c>
      <c r="Q1870">
        <f>COUNTIF('責任職　企業局→市長部局'!A:A,SQLデータ!B1870)</f>
        <v>0</v>
      </c>
      <c r="R1870">
        <f>COUNTIF('一般職員　企業局→市長部局'!A:F,SQLデータ!B1870)</f>
        <v>0</v>
      </c>
    </row>
    <row r="1871" spans="1:18" x14ac:dyDescent="0.4">
      <c r="A1871" s="1">
        <v>202650001699</v>
      </c>
      <c r="B1871" s="1">
        <v>920705</v>
      </c>
      <c r="C1871" s="2">
        <v>46118</v>
      </c>
      <c r="D1871" t="s">
        <v>17</v>
      </c>
      <c r="E1871" t="s">
        <v>8</v>
      </c>
      <c r="G1871" t="s">
        <v>9</v>
      </c>
      <c r="L1871">
        <f t="shared" si="146"/>
        <v>0</v>
      </c>
      <c r="M1871">
        <f t="shared" si="147"/>
        <v>0</v>
      </c>
      <c r="N1871">
        <f t="shared" si="148"/>
        <v>0</v>
      </c>
      <c r="O1871">
        <f t="shared" si="150"/>
        <v>1</v>
      </c>
      <c r="P1871" t="str">
        <f t="shared" si="149"/>
        <v/>
      </c>
      <c r="Q1871">
        <f>COUNTIF('責任職　企業局→市長部局'!A:A,SQLデータ!B1871)</f>
        <v>0</v>
      </c>
      <c r="R1871">
        <f>COUNTIF('一般職員　企業局→市長部局'!A:F,SQLデータ!B1871)</f>
        <v>0</v>
      </c>
    </row>
    <row r="1872" spans="1:18" x14ac:dyDescent="0.4">
      <c r="A1872" s="1">
        <v>202650001700</v>
      </c>
      <c r="B1872" s="1">
        <v>1096082</v>
      </c>
      <c r="C1872" s="2">
        <v>46118</v>
      </c>
      <c r="D1872" t="s">
        <v>17</v>
      </c>
      <c r="E1872" t="s">
        <v>8</v>
      </c>
      <c r="G1872" t="s">
        <v>9</v>
      </c>
      <c r="L1872">
        <f t="shared" si="146"/>
        <v>0</v>
      </c>
      <c r="M1872">
        <f t="shared" si="147"/>
        <v>0</v>
      </c>
      <c r="N1872">
        <f t="shared" si="148"/>
        <v>0</v>
      </c>
      <c r="O1872">
        <f t="shared" si="150"/>
        <v>1</v>
      </c>
      <c r="P1872" t="str">
        <f t="shared" si="149"/>
        <v/>
      </c>
      <c r="Q1872">
        <f>COUNTIF('責任職　企業局→市長部局'!A:A,SQLデータ!B1872)</f>
        <v>0</v>
      </c>
      <c r="R1872">
        <f>COUNTIF('一般職員　企業局→市長部局'!A:F,SQLデータ!B1872)</f>
        <v>0</v>
      </c>
    </row>
    <row r="1873" spans="1:18" x14ac:dyDescent="0.4">
      <c r="A1873" s="1">
        <v>202650001701</v>
      </c>
      <c r="B1873" s="1">
        <v>1051091</v>
      </c>
      <c r="C1873" s="2">
        <v>46118</v>
      </c>
      <c r="D1873" t="s">
        <v>17</v>
      </c>
      <c r="E1873" t="s">
        <v>8</v>
      </c>
      <c r="G1873" t="s">
        <v>9</v>
      </c>
      <c r="L1873">
        <f t="shared" si="146"/>
        <v>0</v>
      </c>
      <c r="M1873">
        <f t="shared" si="147"/>
        <v>0</v>
      </c>
      <c r="N1873">
        <f t="shared" si="148"/>
        <v>0</v>
      </c>
      <c r="O1873">
        <f t="shared" si="150"/>
        <v>1</v>
      </c>
      <c r="P1873" t="str">
        <f t="shared" si="149"/>
        <v/>
      </c>
      <c r="Q1873">
        <f>COUNTIF('責任職　企業局→市長部局'!A:A,SQLデータ!B1873)</f>
        <v>0</v>
      </c>
      <c r="R1873">
        <f>COUNTIF('一般職員　企業局→市長部局'!A:F,SQLデータ!B1873)</f>
        <v>0</v>
      </c>
    </row>
    <row r="1874" spans="1:18" x14ac:dyDescent="0.4">
      <c r="A1874" s="1">
        <v>202650001702</v>
      </c>
      <c r="B1874" s="1">
        <v>5058260</v>
      </c>
      <c r="C1874" s="2">
        <v>46118</v>
      </c>
      <c r="D1874" t="s">
        <v>17</v>
      </c>
      <c r="E1874" t="s">
        <v>8</v>
      </c>
      <c r="F1874" t="s">
        <v>54</v>
      </c>
      <c r="G1874" t="s">
        <v>9</v>
      </c>
      <c r="L1874">
        <f t="shared" si="146"/>
        <v>0</v>
      </c>
      <c r="M1874">
        <f t="shared" si="147"/>
        <v>0</v>
      </c>
      <c r="N1874">
        <f t="shared" si="148"/>
        <v>0</v>
      </c>
      <c r="O1874">
        <f t="shared" si="150"/>
        <v>1</v>
      </c>
      <c r="P1874" t="str">
        <f t="shared" si="149"/>
        <v/>
      </c>
      <c r="Q1874">
        <f>COUNTIF('責任職　企業局→市長部局'!A:A,SQLデータ!B1874)</f>
        <v>0</v>
      </c>
      <c r="R1874">
        <f>COUNTIF('一般職員　企業局→市長部局'!A:F,SQLデータ!B1874)</f>
        <v>0</v>
      </c>
    </row>
    <row r="1875" spans="1:18" x14ac:dyDescent="0.4">
      <c r="A1875" s="1">
        <v>202650001703</v>
      </c>
      <c r="B1875" s="1">
        <v>1156148</v>
      </c>
      <c r="C1875" s="2">
        <v>46118</v>
      </c>
      <c r="D1875" t="s">
        <v>17</v>
      </c>
      <c r="E1875" t="s">
        <v>8</v>
      </c>
      <c r="G1875" t="s">
        <v>9</v>
      </c>
      <c r="L1875">
        <f t="shared" si="146"/>
        <v>0</v>
      </c>
      <c r="M1875">
        <f t="shared" si="147"/>
        <v>0</v>
      </c>
      <c r="N1875">
        <f t="shared" si="148"/>
        <v>0</v>
      </c>
      <c r="O1875">
        <f t="shared" si="150"/>
        <v>1</v>
      </c>
      <c r="P1875" t="str">
        <f t="shared" si="149"/>
        <v/>
      </c>
      <c r="Q1875">
        <f>COUNTIF('責任職　企業局→市長部局'!A:A,SQLデータ!B1875)</f>
        <v>0</v>
      </c>
      <c r="R1875">
        <f>COUNTIF('一般職員　企業局→市長部局'!A:F,SQLデータ!B1875)</f>
        <v>0</v>
      </c>
    </row>
    <row r="1876" spans="1:18" x14ac:dyDescent="0.4">
      <c r="A1876" s="1">
        <v>202650001704</v>
      </c>
      <c r="B1876" s="1">
        <v>1111173</v>
      </c>
      <c r="C1876" s="2">
        <v>46118</v>
      </c>
      <c r="D1876" t="s">
        <v>17</v>
      </c>
      <c r="E1876" t="s">
        <v>8</v>
      </c>
      <c r="G1876" t="s">
        <v>9</v>
      </c>
      <c r="L1876">
        <f t="shared" si="146"/>
        <v>0</v>
      </c>
      <c r="M1876">
        <f t="shared" si="147"/>
        <v>0</v>
      </c>
      <c r="N1876">
        <f t="shared" si="148"/>
        <v>0</v>
      </c>
      <c r="O1876">
        <f t="shared" si="150"/>
        <v>1</v>
      </c>
      <c r="P1876" t="str">
        <f t="shared" si="149"/>
        <v/>
      </c>
      <c r="Q1876">
        <f>COUNTIF('責任職　企業局→市長部局'!A:A,SQLデータ!B1876)</f>
        <v>0</v>
      </c>
      <c r="R1876">
        <f>COUNTIF('一般職員　企業局→市長部局'!A:F,SQLデータ!B1876)</f>
        <v>0</v>
      </c>
    </row>
    <row r="1877" spans="1:18" x14ac:dyDescent="0.4">
      <c r="A1877" s="1">
        <v>202650001705</v>
      </c>
      <c r="B1877" s="1">
        <v>920112</v>
      </c>
      <c r="C1877" s="2">
        <v>46118</v>
      </c>
      <c r="D1877" t="s">
        <v>17</v>
      </c>
      <c r="E1877" t="s">
        <v>8</v>
      </c>
      <c r="G1877" t="s">
        <v>9</v>
      </c>
      <c r="L1877">
        <f t="shared" si="146"/>
        <v>0</v>
      </c>
      <c r="M1877">
        <f t="shared" si="147"/>
        <v>0</v>
      </c>
      <c r="N1877">
        <f t="shared" si="148"/>
        <v>0</v>
      </c>
      <c r="O1877">
        <f t="shared" si="150"/>
        <v>1</v>
      </c>
      <c r="P1877" t="str">
        <f t="shared" si="149"/>
        <v/>
      </c>
      <c r="Q1877">
        <f>COUNTIF('責任職　企業局→市長部局'!A:A,SQLデータ!B1877)</f>
        <v>0</v>
      </c>
      <c r="R1877">
        <f>COUNTIF('一般職員　企業局→市長部局'!A:F,SQLデータ!B1877)</f>
        <v>0</v>
      </c>
    </row>
    <row r="1878" spans="1:18" x14ac:dyDescent="0.4">
      <c r="A1878" s="1">
        <v>202650001706</v>
      </c>
      <c r="B1878" s="1">
        <v>1011091</v>
      </c>
      <c r="C1878" s="2">
        <v>46118</v>
      </c>
      <c r="D1878" t="s">
        <v>17</v>
      </c>
      <c r="E1878" t="s">
        <v>8</v>
      </c>
      <c r="G1878" t="s">
        <v>9</v>
      </c>
      <c r="L1878">
        <f t="shared" si="146"/>
        <v>0</v>
      </c>
      <c r="M1878">
        <f t="shared" si="147"/>
        <v>0</v>
      </c>
      <c r="N1878">
        <f t="shared" si="148"/>
        <v>0</v>
      </c>
      <c r="O1878">
        <f t="shared" si="150"/>
        <v>1</v>
      </c>
      <c r="P1878" t="str">
        <f t="shared" si="149"/>
        <v/>
      </c>
      <c r="Q1878">
        <f>COUNTIF('責任職　企業局→市長部局'!A:A,SQLデータ!B1878)</f>
        <v>0</v>
      </c>
      <c r="R1878">
        <f>COUNTIF('一般職員　企業局→市長部局'!A:F,SQLデータ!B1878)</f>
        <v>0</v>
      </c>
    </row>
    <row r="1879" spans="1:18" x14ac:dyDescent="0.4">
      <c r="A1879" s="1">
        <v>202650001707</v>
      </c>
      <c r="B1879" s="1">
        <v>880706</v>
      </c>
      <c r="C1879" s="2">
        <v>46118</v>
      </c>
      <c r="D1879" t="s">
        <v>17</v>
      </c>
      <c r="E1879" t="s">
        <v>8</v>
      </c>
      <c r="G1879" t="s">
        <v>9</v>
      </c>
      <c r="L1879">
        <f t="shared" si="146"/>
        <v>0</v>
      </c>
      <c r="M1879">
        <f t="shared" si="147"/>
        <v>0</v>
      </c>
      <c r="N1879">
        <f t="shared" si="148"/>
        <v>0</v>
      </c>
      <c r="O1879">
        <f t="shared" si="150"/>
        <v>1</v>
      </c>
      <c r="P1879" t="str">
        <f t="shared" si="149"/>
        <v/>
      </c>
      <c r="Q1879">
        <f>COUNTIF('責任職　企業局→市長部局'!A:A,SQLデータ!B1879)</f>
        <v>0</v>
      </c>
      <c r="R1879">
        <f>COUNTIF('一般職員　企業局→市長部局'!A:F,SQLデータ!B1879)</f>
        <v>0</v>
      </c>
    </row>
    <row r="1880" spans="1:18" x14ac:dyDescent="0.4">
      <c r="A1880" s="1">
        <v>202650001708</v>
      </c>
      <c r="B1880" s="1">
        <v>1161540</v>
      </c>
      <c r="C1880" s="2">
        <v>46118</v>
      </c>
      <c r="D1880" t="s">
        <v>17</v>
      </c>
      <c r="E1880" t="s">
        <v>8</v>
      </c>
      <c r="G1880" t="s">
        <v>9</v>
      </c>
      <c r="L1880">
        <f t="shared" si="146"/>
        <v>0</v>
      </c>
      <c r="M1880">
        <f t="shared" si="147"/>
        <v>0</v>
      </c>
      <c r="N1880">
        <f t="shared" si="148"/>
        <v>0</v>
      </c>
      <c r="O1880">
        <f t="shared" si="150"/>
        <v>1</v>
      </c>
      <c r="P1880" t="str">
        <f t="shared" si="149"/>
        <v/>
      </c>
      <c r="Q1880">
        <f>COUNTIF('責任職　企業局→市長部局'!A:A,SQLデータ!B1880)</f>
        <v>0</v>
      </c>
      <c r="R1880">
        <f>COUNTIF('一般職員　企業局→市長部局'!A:F,SQLデータ!B1880)</f>
        <v>0</v>
      </c>
    </row>
    <row r="1881" spans="1:18" x14ac:dyDescent="0.4">
      <c r="A1881" s="1">
        <v>202650001709</v>
      </c>
      <c r="B1881" s="1">
        <v>1101067</v>
      </c>
      <c r="C1881" s="2">
        <v>46118</v>
      </c>
      <c r="D1881" t="s">
        <v>17</v>
      </c>
      <c r="E1881" t="s">
        <v>8</v>
      </c>
      <c r="G1881" t="s">
        <v>9</v>
      </c>
      <c r="L1881">
        <f t="shared" si="146"/>
        <v>0</v>
      </c>
      <c r="M1881">
        <f t="shared" si="147"/>
        <v>0</v>
      </c>
      <c r="N1881">
        <f t="shared" si="148"/>
        <v>0</v>
      </c>
      <c r="O1881">
        <f t="shared" si="150"/>
        <v>1</v>
      </c>
      <c r="P1881" t="str">
        <f t="shared" si="149"/>
        <v/>
      </c>
      <c r="Q1881">
        <f>COUNTIF('責任職　企業局→市長部局'!A:A,SQLデータ!B1881)</f>
        <v>0</v>
      </c>
      <c r="R1881">
        <f>COUNTIF('一般職員　企業局→市長部局'!A:F,SQLデータ!B1881)</f>
        <v>0</v>
      </c>
    </row>
    <row r="1882" spans="1:18" x14ac:dyDescent="0.4">
      <c r="A1882" s="1">
        <v>202650001710</v>
      </c>
      <c r="B1882" s="1">
        <v>1036018</v>
      </c>
      <c r="C1882" s="2">
        <v>46118</v>
      </c>
      <c r="D1882" t="s">
        <v>17</v>
      </c>
      <c r="E1882" t="s">
        <v>8</v>
      </c>
      <c r="G1882" t="s">
        <v>9</v>
      </c>
      <c r="L1882">
        <f t="shared" si="146"/>
        <v>0</v>
      </c>
      <c r="M1882">
        <f t="shared" si="147"/>
        <v>0</v>
      </c>
      <c r="N1882">
        <f t="shared" si="148"/>
        <v>0</v>
      </c>
      <c r="O1882">
        <f t="shared" si="150"/>
        <v>1</v>
      </c>
      <c r="P1882" t="str">
        <f t="shared" si="149"/>
        <v/>
      </c>
      <c r="Q1882">
        <f>COUNTIF('責任職　企業局→市長部局'!A:A,SQLデータ!B1882)</f>
        <v>0</v>
      </c>
      <c r="R1882">
        <f>COUNTIF('一般職員　企業局→市長部局'!A:F,SQLデータ!B1882)</f>
        <v>0</v>
      </c>
    </row>
    <row r="1883" spans="1:18" x14ac:dyDescent="0.4">
      <c r="A1883" s="1">
        <v>202650001711</v>
      </c>
      <c r="B1883" s="1">
        <v>1211483</v>
      </c>
      <c r="C1883" s="2">
        <v>46118</v>
      </c>
      <c r="D1883" t="s">
        <v>17</v>
      </c>
      <c r="E1883" t="s">
        <v>8</v>
      </c>
      <c r="G1883" t="s">
        <v>9</v>
      </c>
      <c r="L1883">
        <f t="shared" si="146"/>
        <v>0</v>
      </c>
      <c r="M1883">
        <f t="shared" si="147"/>
        <v>0</v>
      </c>
      <c r="N1883">
        <f t="shared" si="148"/>
        <v>0</v>
      </c>
      <c r="O1883">
        <f t="shared" si="150"/>
        <v>1</v>
      </c>
      <c r="P1883" t="str">
        <f t="shared" si="149"/>
        <v/>
      </c>
      <c r="Q1883">
        <f>COUNTIF('責任職　企業局→市長部局'!A:A,SQLデータ!B1883)</f>
        <v>0</v>
      </c>
      <c r="R1883">
        <f>COUNTIF('一般職員　企業局→市長部局'!A:F,SQLデータ!B1883)</f>
        <v>0</v>
      </c>
    </row>
    <row r="1884" spans="1:18" x14ac:dyDescent="0.4">
      <c r="A1884" s="1">
        <v>202650001712</v>
      </c>
      <c r="B1884" s="1">
        <v>1001178</v>
      </c>
      <c r="C1884" s="2">
        <v>46118</v>
      </c>
      <c r="D1884" t="s">
        <v>17</v>
      </c>
      <c r="E1884" t="s">
        <v>8</v>
      </c>
      <c r="G1884" t="s">
        <v>9</v>
      </c>
      <c r="L1884">
        <f t="shared" si="146"/>
        <v>0</v>
      </c>
      <c r="M1884">
        <f t="shared" si="147"/>
        <v>0</v>
      </c>
      <c r="N1884">
        <f t="shared" si="148"/>
        <v>0</v>
      </c>
      <c r="O1884">
        <f t="shared" si="150"/>
        <v>1</v>
      </c>
      <c r="P1884" t="str">
        <f t="shared" si="149"/>
        <v/>
      </c>
      <c r="Q1884">
        <f>COUNTIF('責任職　企業局→市長部局'!A:A,SQLデータ!B1884)</f>
        <v>0</v>
      </c>
      <c r="R1884">
        <f>COUNTIF('一般職員　企業局→市長部局'!A:F,SQLデータ!B1884)</f>
        <v>0</v>
      </c>
    </row>
    <row r="1885" spans="1:18" x14ac:dyDescent="0.4">
      <c r="A1885" s="1">
        <v>202650001713</v>
      </c>
      <c r="B1885" s="1">
        <v>5015502</v>
      </c>
      <c r="C1885" s="2">
        <v>46118</v>
      </c>
      <c r="D1885" t="s">
        <v>17</v>
      </c>
      <c r="E1885" t="s">
        <v>8</v>
      </c>
      <c r="G1885" t="s">
        <v>9</v>
      </c>
      <c r="L1885">
        <f t="shared" si="146"/>
        <v>0</v>
      </c>
      <c r="M1885">
        <f t="shared" si="147"/>
        <v>0</v>
      </c>
      <c r="N1885">
        <f t="shared" si="148"/>
        <v>0</v>
      </c>
      <c r="O1885">
        <f t="shared" si="150"/>
        <v>1</v>
      </c>
      <c r="P1885" t="str">
        <f t="shared" si="149"/>
        <v/>
      </c>
      <c r="Q1885">
        <f>COUNTIF('責任職　企業局→市長部局'!A:A,SQLデータ!B1885)</f>
        <v>0</v>
      </c>
      <c r="R1885">
        <f>COUNTIF('一般職員　企業局→市長部局'!A:F,SQLデータ!B1885)</f>
        <v>0</v>
      </c>
    </row>
    <row r="1886" spans="1:18" x14ac:dyDescent="0.4">
      <c r="A1886" s="1">
        <v>202650001714</v>
      </c>
      <c r="B1886" s="1">
        <v>5088537</v>
      </c>
      <c r="C1886" s="2">
        <v>46118</v>
      </c>
      <c r="D1886" t="s">
        <v>17</v>
      </c>
      <c r="E1886" t="s">
        <v>8</v>
      </c>
      <c r="G1886" t="s">
        <v>9</v>
      </c>
      <c r="L1886">
        <f t="shared" si="146"/>
        <v>0</v>
      </c>
      <c r="M1886">
        <f t="shared" si="147"/>
        <v>0</v>
      </c>
      <c r="N1886">
        <f t="shared" si="148"/>
        <v>0</v>
      </c>
      <c r="O1886">
        <f t="shared" si="150"/>
        <v>1</v>
      </c>
      <c r="P1886" t="str">
        <f t="shared" si="149"/>
        <v/>
      </c>
      <c r="Q1886">
        <f>COUNTIF('責任職　企業局→市長部局'!A:A,SQLデータ!B1886)</f>
        <v>0</v>
      </c>
      <c r="R1886">
        <f>COUNTIF('一般職員　企業局→市長部局'!A:F,SQLデータ!B1886)</f>
        <v>0</v>
      </c>
    </row>
    <row r="1887" spans="1:18" x14ac:dyDescent="0.4">
      <c r="A1887" s="1">
        <v>202650001715</v>
      </c>
      <c r="B1887" s="1">
        <v>910900</v>
      </c>
      <c r="C1887" s="2">
        <v>46118</v>
      </c>
      <c r="D1887" t="s">
        <v>17</v>
      </c>
      <c r="E1887" t="s">
        <v>8</v>
      </c>
      <c r="G1887" t="s">
        <v>9</v>
      </c>
      <c r="L1887">
        <f t="shared" si="146"/>
        <v>0</v>
      </c>
      <c r="M1887">
        <f t="shared" si="147"/>
        <v>0</v>
      </c>
      <c r="N1887">
        <f t="shared" si="148"/>
        <v>0</v>
      </c>
      <c r="O1887">
        <f t="shared" si="150"/>
        <v>1</v>
      </c>
      <c r="P1887" t="str">
        <f t="shared" si="149"/>
        <v/>
      </c>
      <c r="Q1887">
        <f>COUNTIF('責任職　企業局→市長部局'!A:A,SQLデータ!B1887)</f>
        <v>0</v>
      </c>
      <c r="R1887">
        <f>COUNTIF('一般職員　企業局→市長部局'!A:F,SQLデータ!B1887)</f>
        <v>0</v>
      </c>
    </row>
    <row r="1888" spans="1:18" x14ac:dyDescent="0.4">
      <c r="A1888" s="1">
        <v>202650001716</v>
      </c>
      <c r="B1888" s="1">
        <v>976040</v>
      </c>
      <c r="C1888" s="2">
        <v>46118</v>
      </c>
      <c r="D1888" t="s">
        <v>17</v>
      </c>
      <c r="E1888" t="s">
        <v>8</v>
      </c>
      <c r="G1888" t="s">
        <v>9</v>
      </c>
      <c r="L1888">
        <f t="shared" si="146"/>
        <v>0</v>
      </c>
      <c r="M1888">
        <f t="shared" si="147"/>
        <v>0</v>
      </c>
      <c r="N1888">
        <f t="shared" si="148"/>
        <v>0</v>
      </c>
      <c r="O1888">
        <f t="shared" si="150"/>
        <v>1</v>
      </c>
      <c r="P1888" t="str">
        <f t="shared" si="149"/>
        <v/>
      </c>
      <c r="Q1888">
        <f>COUNTIF('責任職　企業局→市長部局'!A:A,SQLデータ!B1888)</f>
        <v>0</v>
      </c>
      <c r="R1888">
        <f>COUNTIF('一般職員　企業局→市長部局'!A:F,SQLデータ!B1888)</f>
        <v>0</v>
      </c>
    </row>
    <row r="1889" spans="1:18" x14ac:dyDescent="0.4">
      <c r="A1889" s="1">
        <v>202650001717</v>
      </c>
      <c r="B1889" s="1">
        <v>1092506</v>
      </c>
      <c r="C1889" s="2">
        <v>46118</v>
      </c>
      <c r="D1889" t="s">
        <v>17</v>
      </c>
      <c r="E1889" t="s">
        <v>8</v>
      </c>
      <c r="G1889" t="s">
        <v>9</v>
      </c>
      <c r="L1889">
        <f t="shared" si="146"/>
        <v>0</v>
      </c>
      <c r="M1889">
        <f t="shared" si="147"/>
        <v>0</v>
      </c>
      <c r="N1889">
        <f t="shared" si="148"/>
        <v>0</v>
      </c>
      <c r="O1889">
        <f t="shared" si="150"/>
        <v>1</v>
      </c>
      <c r="P1889" t="str">
        <f t="shared" si="149"/>
        <v/>
      </c>
      <c r="Q1889">
        <f>COUNTIF('責任職　企業局→市長部局'!A:A,SQLデータ!B1889)</f>
        <v>0</v>
      </c>
      <c r="R1889">
        <f>COUNTIF('一般職員　企業局→市長部局'!A:F,SQLデータ!B1889)</f>
        <v>0</v>
      </c>
    </row>
    <row r="1890" spans="1:18" x14ac:dyDescent="0.4">
      <c r="A1890" s="1">
        <v>202650001718</v>
      </c>
      <c r="B1890" s="1">
        <v>1126042</v>
      </c>
      <c r="C1890" s="2">
        <v>46118</v>
      </c>
      <c r="D1890" t="s">
        <v>17</v>
      </c>
      <c r="E1890" t="s">
        <v>8</v>
      </c>
      <c r="G1890" t="s">
        <v>9</v>
      </c>
      <c r="L1890">
        <f t="shared" si="146"/>
        <v>0</v>
      </c>
      <c r="M1890">
        <f t="shared" si="147"/>
        <v>0</v>
      </c>
      <c r="N1890">
        <f t="shared" si="148"/>
        <v>0</v>
      </c>
      <c r="O1890">
        <f t="shared" si="150"/>
        <v>1</v>
      </c>
      <c r="P1890" t="str">
        <f t="shared" si="149"/>
        <v/>
      </c>
      <c r="Q1890">
        <f>COUNTIF('責任職　企業局→市長部局'!A:A,SQLデータ!B1890)</f>
        <v>0</v>
      </c>
      <c r="R1890">
        <f>COUNTIF('一般職員　企業局→市長部局'!A:F,SQLデータ!B1890)</f>
        <v>0</v>
      </c>
    </row>
    <row r="1891" spans="1:18" x14ac:dyDescent="0.4">
      <c r="A1891" s="1">
        <v>202650001719</v>
      </c>
      <c r="B1891" s="1">
        <v>840204</v>
      </c>
      <c r="C1891" s="2">
        <v>46118</v>
      </c>
      <c r="D1891" t="s">
        <v>17</v>
      </c>
      <c r="E1891" t="s">
        <v>8</v>
      </c>
      <c r="G1891" t="s">
        <v>9</v>
      </c>
      <c r="L1891">
        <f t="shared" si="146"/>
        <v>0</v>
      </c>
      <c r="M1891">
        <f t="shared" si="147"/>
        <v>0</v>
      </c>
      <c r="N1891">
        <f t="shared" si="148"/>
        <v>0</v>
      </c>
      <c r="O1891">
        <f t="shared" si="150"/>
        <v>1</v>
      </c>
      <c r="P1891" t="str">
        <f t="shared" si="149"/>
        <v/>
      </c>
      <c r="Q1891">
        <f>COUNTIF('責任職　企業局→市長部局'!A:A,SQLデータ!B1891)</f>
        <v>0</v>
      </c>
      <c r="R1891">
        <f>COUNTIF('一般職員　企業局→市長部局'!A:F,SQLデータ!B1891)</f>
        <v>0</v>
      </c>
    </row>
    <row r="1892" spans="1:18" x14ac:dyDescent="0.4">
      <c r="A1892" s="1">
        <v>202650001720</v>
      </c>
      <c r="B1892" s="1">
        <v>910502</v>
      </c>
      <c r="C1892" s="2">
        <v>46118</v>
      </c>
      <c r="D1892" t="s">
        <v>17</v>
      </c>
      <c r="E1892" t="s">
        <v>8</v>
      </c>
      <c r="G1892" t="s">
        <v>9</v>
      </c>
      <c r="L1892">
        <f t="shared" si="146"/>
        <v>0</v>
      </c>
      <c r="M1892">
        <f t="shared" si="147"/>
        <v>0</v>
      </c>
      <c r="N1892">
        <f t="shared" si="148"/>
        <v>0</v>
      </c>
      <c r="O1892">
        <f t="shared" si="150"/>
        <v>1</v>
      </c>
      <c r="P1892" t="str">
        <f t="shared" si="149"/>
        <v/>
      </c>
      <c r="Q1892">
        <f>COUNTIF('責任職　企業局→市長部局'!A:A,SQLデータ!B1892)</f>
        <v>0</v>
      </c>
      <c r="R1892">
        <f>COUNTIF('一般職員　企業局→市長部局'!A:F,SQLデータ!B1892)</f>
        <v>0</v>
      </c>
    </row>
    <row r="1893" spans="1:18" x14ac:dyDescent="0.4">
      <c r="A1893" s="1">
        <v>202650001721</v>
      </c>
      <c r="B1893" s="1">
        <v>1151104</v>
      </c>
      <c r="C1893" s="2">
        <v>46118</v>
      </c>
      <c r="D1893" t="s">
        <v>17</v>
      </c>
      <c r="E1893" t="s">
        <v>8</v>
      </c>
      <c r="G1893" t="s">
        <v>9</v>
      </c>
      <c r="L1893">
        <f t="shared" si="146"/>
        <v>0</v>
      </c>
      <c r="M1893">
        <f t="shared" si="147"/>
        <v>0</v>
      </c>
      <c r="N1893">
        <f t="shared" si="148"/>
        <v>0</v>
      </c>
      <c r="O1893">
        <f t="shared" si="150"/>
        <v>1</v>
      </c>
      <c r="P1893" t="str">
        <f t="shared" si="149"/>
        <v/>
      </c>
      <c r="Q1893">
        <f>COUNTIF('責任職　企業局→市長部局'!A:A,SQLデータ!B1893)</f>
        <v>0</v>
      </c>
      <c r="R1893">
        <f>COUNTIF('一般職員　企業局→市長部局'!A:F,SQLデータ!B1893)</f>
        <v>0</v>
      </c>
    </row>
    <row r="1894" spans="1:18" x14ac:dyDescent="0.4">
      <c r="A1894" s="1">
        <v>202650001722</v>
      </c>
      <c r="B1894" s="1">
        <v>1031248</v>
      </c>
      <c r="C1894" s="2">
        <v>46118</v>
      </c>
      <c r="D1894" t="s">
        <v>17</v>
      </c>
      <c r="E1894" t="s">
        <v>8</v>
      </c>
      <c r="G1894" t="s">
        <v>9</v>
      </c>
      <c r="L1894">
        <f t="shared" si="146"/>
        <v>0</v>
      </c>
      <c r="M1894">
        <f t="shared" si="147"/>
        <v>0</v>
      </c>
      <c r="N1894">
        <f t="shared" si="148"/>
        <v>0</v>
      </c>
      <c r="O1894">
        <f t="shared" si="150"/>
        <v>1</v>
      </c>
      <c r="P1894" t="str">
        <f t="shared" si="149"/>
        <v/>
      </c>
      <c r="Q1894">
        <f>COUNTIF('責任職　企業局→市長部局'!A:A,SQLデータ!B1894)</f>
        <v>0</v>
      </c>
      <c r="R1894">
        <f>COUNTIF('一般職員　企業局→市長部局'!A:F,SQLデータ!B1894)</f>
        <v>0</v>
      </c>
    </row>
    <row r="1895" spans="1:18" x14ac:dyDescent="0.4">
      <c r="A1895" s="1">
        <v>202650001723</v>
      </c>
      <c r="B1895" s="1">
        <v>1236006</v>
      </c>
      <c r="C1895" s="2">
        <v>46118</v>
      </c>
      <c r="D1895" t="s">
        <v>17</v>
      </c>
      <c r="E1895" t="s">
        <v>8</v>
      </c>
      <c r="G1895" t="s">
        <v>9</v>
      </c>
      <c r="L1895">
        <f t="shared" si="146"/>
        <v>0</v>
      </c>
      <c r="M1895">
        <f t="shared" si="147"/>
        <v>0</v>
      </c>
      <c r="N1895">
        <f t="shared" si="148"/>
        <v>0</v>
      </c>
      <c r="O1895">
        <f t="shared" si="150"/>
        <v>1</v>
      </c>
      <c r="P1895" t="str">
        <f t="shared" si="149"/>
        <v/>
      </c>
      <c r="Q1895">
        <f>COUNTIF('責任職　企業局→市長部局'!A:A,SQLデータ!B1895)</f>
        <v>0</v>
      </c>
      <c r="R1895">
        <f>COUNTIF('一般職員　企業局→市長部局'!A:F,SQLデータ!B1895)</f>
        <v>0</v>
      </c>
    </row>
    <row r="1896" spans="1:18" x14ac:dyDescent="0.4">
      <c r="A1896" s="1">
        <v>202650001724</v>
      </c>
      <c r="B1896" s="1">
        <v>1186132</v>
      </c>
      <c r="C1896" s="2">
        <v>46118</v>
      </c>
      <c r="D1896" t="s">
        <v>17</v>
      </c>
      <c r="E1896" t="s">
        <v>8</v>
      </c>
      <c r="G1896" t="s">
        <v>9</v>
      </c>
      <c r="L1896">
        <f t="shared" si="146"/>
        <v>0</v>
      </c>
      <c r="M1896">
        <f t="shared" si="147"/>
        <v>0</v>
      </c>
      <c r="N1896">
        <f t="shared" si="148"/>
        <v>0</v>
      </c>
      <c r="O1896">
        <f t="shared" si="150"/>
        <v>1</v>
      </c>
      <c r="P1896" t="str">
        <f t="shared" si="149"/>
        <v/>
      </c>
      <c r="Q1896">
        <f>COUNTIF('責任職　企業局→市長部局'!A:A,SQLデータ!B1896)</f>
        <v>0</v>
      </c>
      <c r="R1896">
        <f>COUNTIF('一般職員　企業局→市長部局'!A:F,SQLデータ!B1896)</f>
        <v>0</v>
      </c>
    </row>
    <row r="1897" spans="1:18" x14ac:dyDescent="0.4">
      <c r="A1897" s="1">
        <v>202650001725</v>
      </c>
      <c r="B1897" s="1">
        <v>1056023</v>
      </c>
      <c r="C1897" s="2">
        <v>46118</v>
      </c>
      <c r="D1897" t="s">
        <v>17</v>
      </c>
      <c r="E1897" t="s">
        <v>8</v>
      </c>
      <c r="G1897" t="s">
        <v>9</v>
      </c>
      <c r="L1897">
        <f t="shared" si="146"/>
        <v>0</v>
      </c>
      <c r="M1897">
        <f t="shared" si="147"/>
        <v>0</v>
      </c>
      <c r="N1897">
        <f t="shared" si="148"/>
        <v>0</v>
      </c>
      <c r="O1897">
        <f t="shared" si="150"/>
        <v>1</v>
      </c>
      <c r="P1897" t="str">
        <f t="shared" si="149"/>
        <v/>
      </c>
      <c r="Q1897">
        <f>COUNTIF('責任職　企業局→市長部局'!A:A,SQLデータ!B1897)</f>
        <v>0</v>
      </c>
      <c r="R1897">
        <f>COUNTIF('一般職員　企業局→市長部局'!A:F,SQLデータ!B1897)</f>
        <v>0</v>
      </c>
    </row>
    <row r="1898" spans="1:18" x14ac:dyDescent="0.4">
      <c r="A1898" s="1">
        <v>202650001726</v>
      </c>
      <c r="B1898" s="1">
        <v>1166052</v>
      </c>
      <c r="C1898" s="2">
        <v>46118</v>
      </c>
      <c r="D1898" t="s">
        <v>17</v>
      </c>
      <c r="E1898" t="s">
        <v>8</v>
      </c>
      <c r="G1898" t="s">
        <v>9</v>
      </c>
      <c r="L1898">
        <f t="shared" si="146"/>
        <v>0</v>
      </c>
      <c r="M1898">
        <f t="shared" si="147"/>
        <v>0</v>
      </c>
      <c r="N1898">
        <f t="shared" si="148"/>
        <v>0</v>
      </c>
      <c r="O1898">
        <f t="shared" si="150"/>
        <v>1</v>
      </c>
      <c r="P1898" t="str">
        <f t="shared" si="149"/>
        <v/>
      </c>
      <c r="Q1898">
        <f>COUNTIF('責任職　企業局→市長部局'!A:A,SQLデータ!B1898)</f>
        <v>0</v>
      </c>
      <c r="R1898">
        <f>COUNTIF('一般職員　企業局→市長部局'!A:F,SQLデータ!B1898)</f>
        <v>0</v>
      </c>
    </row>
    <row r="1899" spans="1:18" x14ac:dyDescent="0.4">
      <c r="A1899" s="1">
        <v>202650001727</v>
      </c>
      <c r="B1899" s="1">
        <v>1036014</v>
      </c>
      <c r="C1899" s="2">
        <v>46118</v>
      </c>
      <c r="D1899" t="s">
        <v>17</v>
      </c>
      <c r="E1899" t="s">
        <v>8</v>
      </c>
      <c r="G1899" t="s">
        <v>9</v>
      </c>
      <c r="L1899">
        <f t="shared" si="146"/>
        <v>0</v>
      </c>
      <c r="M1899">
        <f t="shared" si="147"/>
        <v>0</v>
      </c>
      <c r="N1899">
        <f t="shared" si="148"/>
        <v>0</v>
      </c>
      <c r="O1899">
        <f t="shared" si="150"/>
        <v>1</v>
      </c>
      <c r="P1899" t="str">
        <f t="shared" si="149"/>
        <v/>
      </c>
      <c r="Q1899">
        <f>COUNTIF('責任職　企業局→市長部局'!A:A,SQLデータ!B1899)</f>
        <v>0</v>
      </c>
      <c r="R1899">
        <f>COUNTIF('一般職員　企業局→市長部局'!A:F,SQLデータ!B1899)</f>
        <v>0</v>
      </c>
    </row>
    <row r="1900" spans="1:18" x14ac:dyDescent="0.4">
      <c r="A1900" s="1">
        <v>202650001728</v>
      </c>
      <c r="B1900" s="1">
        <v>1096087</v>
      </c>
      <c r="C1900" s="2">
        <v>46118</v>
      </c>
      <c r="D1900" t="s">
        <v>17</v>
      </c>
      <c r="E1900" t="s">
        <v>8</v>
      </c>
      <c r="G1900" t="s">
        <v>9</v>
      </c>
      <c r="L1900">
        <f t="shared" si="146"/>
        <v>0</v>
      </c>
      <c r="M1900">
        <f t="shared" si="147"/>
        <v>0</v>
      </c>
      <c r="N1900">
        <f t="shared" si="148"/>
        <v>0</v>
      </c>
      <c r="O1900">
        <f t="shared" si="150"/>
        <v>1</v>
      </c>
      <c r="P1900" t="str">
        <f t="shared" si="149"/>
        <v/>
      </c>
      <c r="Q1900">
        <f>COUNTIF('責任職　企業局→市長部局'!A:A,SQLデータ!B1900)</f>
        <v>0</v>
      </c>
      <c r="R1900">
        <f>COUNTIF('一般職員　企業局→市長部局'!A:F,SQLデータ!B1900)</f>
        <v>0</v>
      </c>
    </row>
    <row r="1901" spans="1:18" x14ac:dyDescent="0.4">
      <c r="A1901" s="1">
        <v>202650001729</v>
      </c>
      <c r="B1901" s="1">
        <v>1091441</v>
      </c>
      <c r="C1901" s="2">
        <v>46118</v>
      </c>
      <c r="D1901" t="s">
        <v>17</v>
      </c>
      <c r="E1901" t="s">
        <v>8</v>
      </c>
      <c r="G1901" t="s">
        <v>9</v>
      </c>
      <c r="L1901">
        <f t="shared" si="146"/>
        <v>0</v>
      </c>
      <c r="M1901">
        <f t="shared" si="147"/>
        <v>0</v>
      </c>
      <c r="N1901">
        <f t="shared" si="148"/>
        <v>0</v>
      </c>
      <c r="O1901">
        <f t="shared" si="150"/>
        <v>1</v>
      </c>
      <c r="P1901" t="str">
        <f t="shared" si="149"/>
        <v/>
      </c>
      <c r="Q1901">
        <f>COUNTIF('責任職　企業局→市長部局'!A:A,SQLデータ!B1901)</f>
        <v>0</v>
      </c>
      <c r="R1901">
        <f>COUNTIF('一般職員　企業局→市長部局'!A:F,SQLデータ!B1901)</f>
        <v>0</v>
      </c>
    </row>
    <row r="1902" spans="1:18" x14ac:dyDescent="0.4">
      <c r="A1902" s="1">
        <v>202650001730</v>
      </c>
      <c r="B1902" s="1">
        <v>1181038</v>
      </c>
      <c r="C1902" s="2">
        <v>46118</v>
      </c>
      <c r="D1902" t="s">
        <v>17</v>
      </c>
      <c r="E1902" t="s">
        <v>8</v>
      </c>
      <c r="G1902" t="s">
        <v>9</v>
      </c>
      <c r="L1902">
        <f t="shared" si="146"/>
        <v>0</v>
      </c>
      <c r="M1902">
        <f t="shared" si="147"/>
        <v>0</v>
      </c>
      <c r="N1902">
        <f t="shared" si="148"/>
        <v>0</v>
      </c>
      <c r="O1902">
        <f t="shared" si="150"/>
        <v>1</v>
      </c>
      <c r="P1902" t="str">
        <f t="shared" si="149"/>
        <v/>
      </c>
      <c r="Q1902">
        <f>COUNTIF('責任職　企業局→市長部局'!A:A,SQLデータ!B1902)</f>
        <v>0</v>
      </c>
      <c r="R1902">
        <f>COUNTIF('一般職員　企業局→市長部局'!A:F,SQLデータ!B1902)</f>
        <v>0</v>
      </c>
    </row>
    <row r="1903" spans="1:18" x14ac:dyDescent="0.4">
      <c r="A1903" s="1">
        <v>202650001731</v>
      </c>
      <c r="B1903" s="1">
        <v>1061166</v>
      </c>
      <c r="C1903" s="2">
        <v>46118</v>
      </c>
      <c r="D1903" t="s">
        <v>17</v>
      </c>
      <c r="E1903" t="s">
        <v>8</v>
      </c>
      <c r="G1903" t="s">
        <v>9</v>
      </c>
      <c r="L1903">
        <f t="shared" si="146"/>
        <v>0</v>
      </c>
      <c r="M1903">
        <f t="shared" si="147"/>
        <v>0</v>
      </c>
      <c r="N1903">
        <f t="shared" si="148"/>
        <v>0</v>
      </c>
      <c r="O1903">
        <f t="shared" si="150"/>
        <v>1</v>
      </c>
      <c r="P1903" t="str">
        <f t="shared" si="149"/>
        <v/>
      </c>
      <c r="Q1903">
        <f>COUNTIF('責任職　企業局→市長部局'!A:A,SQLデータ!B1903)</f>
        <v>0</v>
      </c>
      <c r="R1903">
        <f>COUNTIF('一般職員　企業局→市長部局'!A:F,SQLデータ!B1903)</f>
        <v>0</v>
      </c>
    </row>
    <row r="1904" spans="1:18" x14ac:dyDescent="0.4">
      <c r="A1904" s="1">
        <v>202650001732</v>
      </c>
      <c r="B1904" s="1">
        <v>940569</v>
      </c>
      <c r="C1904" s="2">
        <v>46118</v>
      </c>
      <c r="D1904" t="s">
        <v>17</v>
      </c>
      <c r="E1904" t="s">
        <v>8</v>
      </c>
      <c r="G1904" t="s">
        <v>9</v>
      </c>
      <c r="L1904">
        <f t="shared" si="146"/>
        <v>0</v>
      </c>
      <c r="M1904">
        <f t="shared" si="147"/>
        <v>0</v>
      </c>
      <c r="N1904">
        <f t="shared" si="148"/>
        <v>0</v>
      </c>
      <c r="O1904">
        <f t="shared" si="150"/>
        <v>1</v>
      </c>
      <c r="P1904" t="str">
        <f t="shared" si="149"/>
        <v/>
      </c>
      <c r="Q1904">
        <f>COUNTIF('責任職　企業局→市長部局'!A:A,SQLデータ!B1904)</f>
        <v>0</v>
      </c>
      <c r="R1904">
        <f>COUNTIF('一般職員　企業局→市長部局'!A:F,SQLデータ!B1904)</f>
        <v>0</v>
      </c>
    </row>
    <row r="1905" spans="1:18" x14ac:dyDescent="0.4">
      <c r="A1905" s="1">
        <v>202650001733</v>
      </c>
      <c r="B1905" s="1">
        <v>986027</v>
      </c>
      <c r="C1905" s="2">
        <v>46118</v>
      </c>
      <c r="D1905" t="s">
        <v>17</v>
      </c>
      <c r="E1905" t="s">
        <v>8</v>
      </c>
      <c r="G1905" t="s">
        <v>9</v>
      </c>
      <c r="L1905">
        <f t="shared" si="146"/>
        <v>0</v>
      </c>
      <c r="M1905">
        <f t="shared" si="147"/>
        <v>0</v>
      </c>
      <c r="N1905">
        <f t="shared" si="148"/>
        <v>0</v>
      </c>
      <c r="O1905">
        <f t="shared" si="150"/>
        <v>1</v>
      </c>
      <c r="P1905" t="str">
        <f t="shared" si="149"/>
        <v/>
      </c>
      <c r="Q1905">
        <f>COUNTIF('責任職　企業局→市長部局'!A:A,SQLデータ!B1905)</f>
        <v>0</v>
      </c>
      <c r="R1905">
        <f>COUNTIF('一般職員　企業局→市長部局'!A:F,SQLデータ!B1905)</f>
        <v>0</v>
      </c>
    </row>
    <row r="1906" spans="1:18" x14ac:dyDescent="0.4">
      <c r="A1906" s="1">
        <v>202650001734</v>
      </c>
      <c r="B1906" s="1">
        <v>1006035</v>
      </c>
      <c r="C1906" s="2">
        <v>46118</v>
      </c>
      <c r="D1906" t="s">
        <v>17</v>
      </c>
      <c r="E1906" t="s">
        <v>8</v>
      </c>
      <c r="G1906" t="s">
        <v>9</v>
      </c>
      <c r="L1906">
        <f t="shared" si="146"/>
        <v>0</v>
      </c>
      <c r="M1906">
        <f t="shared" si="147"/>
        <v>0</v>
      </c>
      <c r="N1906">
        <f t="shared" si="148"/>
        <v>0</v>
      </c>
      <c r="O1906">
        <f t="shared" si="150"/>
        <v>1</v>
      </c>
      <c r="P1906" t="str">
        <f t="shared" si="149"/>
        <v/>
      </c>
      <c r="Q1906">
        <f>COUNTIF('責任職　企業局→市長部局'!A:A,SQLデータ!B1906)</f>
        <v>0</v>
      </c>
      <c r="R1906">
        <f>COUNTIF('一般職員　企業局→市長部局'!A:F,SQLデータ!B1906)</f>
        <v>0</v>
      </c>
    </row>
    <row r="1907" spans="1:18" x14ac:dyDescent="0.4">
      <c r="A1907" s="1">
        <v>202650001735</v>
      </c>
      <c r="B1907" s="1">
        <v>1242026</v>
      </c>
      <c r="C1907" s="2">
        <v>46118</v>
      </c>
      <c r="D1907" t="s">
        <v>17</v>
      </c>
      <c r="E1907" t="s">
        <v>8</v>
      </c>
      <c r="G1907" t="s">
        <v>9</v>
      </c>
      <c r="L1907">
        <f t="shared" si="146"/>
        <v>0</v>
      </c>
      <c r="M1907">
        <f t="shared" si="147"/>
        <v>0</v>
      </c>
      <c r="N1907">
        <f t="shared" si="148"/>
        <v>0</v>
      </c>
      <c r="O1907">
        <f t="shared" si="150"/>
        <v>1</v>
      </c>
      <c r="P1907" t="str">
        <f t="shared" si="149"/>
        <v/>
      </c>
      <c r="Q1907">
        <f>COUNTIF('責任職　企業局→市長部局'!A:A,SQLデータ!B1907)</f>
        <v>0</v>
      </c>
      <c r="R1907">
        <f>COUNTIF('一般職員　企業局→市長部局'!A:F,SQLデータ!B1907)</f>
        <v>0</v>
      </c>
    </row>
    <row r="1908" spans="1:18" x14ac:dyDescent="0.4">
      <c r="A1908" s="1">
        <v>202650001736</v>
      </c>
      <c r="B1908" s="1">
        <v>1186015</v>
      </c>
      <c r="C1908" s="2">
        <v>46118</v>
      </c>
      <c r="D1908" t="s">
        <v>17</v>
      </c>
      <c r="E1908" t="s">
        <v>8</v>
      </c>
      <c r="G1908" t="s">
        <v>9</v>
      </c>
      <c r="L1908">
        <f t="shared" si="146"/>
        <v>0</v>
      </c>
      <c r="M1908">
        <f t="shared" si="147"/>
        <v>0</v>
      </c>
      <c r="N1908">
        <f t="shared" si="148"/>
        <v>0</v>
      </c>
      <c r="O1908">
        <f t="shared" si="150"/>
        <v>1</v>
      </c>
      <c r="P1908" t="str">
        <f t="shared" si="149"/>
        <v/>
      </c>
      <c r="Q1908">
        <f>COUNTIF('責任職　企業局→市長部局'!A:A,SQLデータ!B1908)</f>
        <v>0</v>
      </c>
      <c r="R1908">
        <f>COUNTIF('一般職員　企業局→市長部局'!A:F,SQLデータ!B1908)</f>
        <v>0</v>
      </c>
    </row>
    <row r="1909" spans="1:18" x14ac:dyDescent="0.4">
      <c r="A1909" s="1">
        <v>202650001737</v>
      </c>
      <c r="B1909" s="1">
        <v>920839</v>
      </c>
      <c r="C1909" s="2">
        <v>46118</v>
      </c>
      <c r="D1909" t="s">
        <v>17</v>
      </c>
      <c r="E1909" t="s">
        <v>8</v>
      </c>
      <c r="G1909" t="s">
        <v>9</v>
      </c>
      <c r="L1909">
        <f t="shared" si="146"/>
        <v>0</v>
      </c>
      <c r="M1909">
        <f t="shared" si="147"/>
        <v>0</v>
      </c>
      <c r="N1909">
        <f t="shared" si="148"/>
        <v>0</v>
      </c>
      <c r="O1909">
        <f t="shared" si="150"/>
        <v>1</v>
      </c>
      <c r="P1909" t="str">
        <f t="shared" si="149"/>
        <v/>
      </c>
      <c r="Q1909">
        <f>COUNTIF('責任職　企業局→市長部局'!A:A,SQLデータ!B1909)</f>
        <v>0</v>
      </c>
      <c r="R1909">
        <f>COUNTIF('一般職員　企業局→市長部局'!A:F,SQLデータ!B1909)</f>
        <v>0</v>
      </c>
    </row>
    <row r="1910" spans="1:18" x14ac:dyDescent="0.4">
      <c r="A1910" s="1">
        <v>202650001738</v>
      </c>
      <c r="B1910" s="1">
        <v>1176097</v>
      </c>
      <c r="C1910" s="2">
        <v>46118</v>
      </c>
      <c r="D1910" t="s">
        <v>17</v>
      </c>
      <c r="E1910" t="s">
        <v>8</v>
      </c>
      <c r="G1910" t="s">
        <v>9</v>
      </c>
      <c r="L1910">
        <f t="shared" si="146"/>
        <v>0</v>
      </c>
      <c r="M1910">
        <f t="shared" si="147"/>
        <v>0</v>
      </c>
      <c r="N1910">
        <f t="shared" si="148"/>
        <v>0</v>
      </c>
      <c r="O1910">
        <f t="shared" si="150"/>
        <v>1</v>
      </c>
      <c r="P1910" t="str">
        <f t="shared" si="149"/>
        <v/>
      </c>
      <c r="Q1910">
        <f>COUNTIF('責任職　企業局→市長部局'!A:A,SQLデータ!B1910)</f>
        <v>0</v>
      </c>
      <c r="R1910">
        <f>COUNTIF('一般職員　企業局→市長部局'!A:F,SQLデータ!B1910)</f>
        <v>0</v>
      </c>
    </row>
    <row r="1911" spans="1:18" x14ac:dyDescent="0.4">
      <c r="A1911" s="1">
        <v>202650001739</v>
      </c>
      <c r="B1911" s="1">
        <v>1036027</v>
      </c>
      <c r="C1911" s="2">
        <v>46118</v>
      </c>
      <c r="D1911" t="s">
        <v>17</v>
      </c>
      <c r="E1911" t="s">
        <v>8</v>
      </c>
      <c r="G1911" t="s">
        <v>9</v>
      </c>
      <c r="L1911">
        <f t="shared" si="146"/>
        <v>0</v>
      </c>
      <c r="M1911">
        <f t="shared" si="147"/>
        <v>0</v>
      </c>
      <c r="N1911">
        <f t="shared" si="148"/>
        <v>0</v>
      </c>
      <c r="O1911">
        <f t="shared" si="150"/>
        <v>1</v>
      </c>
      <c r="P1911" t="str">
        <f t="shared" si="149"/>
        <v/>
      </c>
      <c r="Q1911">
        <f>COUNTIF('責任職　企業局→市長部局'!A:A,SQLデータ!B1911)</f>
        <v>0</v>
      </c>
      <c r="R1911">
        <f>COUNTIF('一般職員　企業局→市長部局'!A:F,SQLデータ!B1911)</f>
        <v>0</v>
      </c>
    </row>
    <row r="1912" spans="1:18" x14ac:dyDescent="0.4">
      <c r="A1912" s="1">
        <v>202650001740</v>
      </c>
      <c r="B1912" s="1">
        <v>1101504</v>
      </c>
      <c r="C1912" s="2">
        <v>46118</v>
      </c>
      <c r="D1912" t="s">
        <v>17</v>
      </c>
      <c r="E1912" t="s">
        <v>8</v>
      </c>
      <c r="G1912" t="s">
        <v>9</v>
      </c>
      <c r="L1912">
        <f t="shared" si="146"/>
        <v>0</v>
      </c>
      <c r="M1912">
        <f t="shared" si="147"/>
        <v>0</v>
      </c>
      <c r="N1912">
        <f t="shared" si="148"/>
        <v>0</v>
      </c>
      <c r="O1912">
        <f t="shared" si="150"/>
        <v>1</v>
      </c>
      <c r="P1912" t="str">
        <f t="shared" si="149"/>
        <v/>
      </c>
      <c r="Q1912">
        <f>COUNTIF('責任職　企業局→市長部局'!A:A,SQLデータ!B1912)</f>
        <v>0</v>
      </c>
      <c r="R1912">
        <f>COUNTIF('一般職員　企業局→市長部局'!A:F,SQLデータ!B1912)</f>
        <v>0</v>
      </c>
    </row>
    <row r="1913" spans="1:18" x14ac:dyDescent="0.4">
      <c r="A1913" s="1">
        <v>202650001741</v>
      </c>
      <c r="B1913" s="1">
        <v>840162</v>
      </c>
      <c r="C1913" s="2">
        <v>46118</v>
      </c>
      <c r="D1913" t="s">
        <v>17</v>
      </c>
      <c r="E1913" t="s">
        <v>8</v>
      </c>
      <c r="G1913" t="s">
        <v>9</v>
      </c>
      <c r="L1913">
        <f t="shared" si="146"/>
        <v>0</v>
      </c>
      <c r="M1913">
        <f t="shared" si="147"/>
        <v>0</v>
      </c>
      <c r="N1913">
        <f t="shared" si="148"/>
        <v>0</v>
      </c>
      <c r="O1913">
        <f t="shared" si="150"/>
        <v>1</v>
      </c>
      <c r="P1913" t="str">
        <f t="shared" si="149"/>
        <v/>
      </c>
      <c r="Q1913">
        <f>COUNTIF('責任職　企業局→市長部局'!A:A,SQLデータ!B1913)</f>
        <v>0</v>
      </c>
      <c r="R1913">
        <f>COUNTIF('一般職員　企業局→市長部局'!A:F,SQLデータ!B1913)</f>
        <v>0</v>
      </c>
    </row>
    <row r="1914" spans="1:18" x14ac:dyDescent="0.4">
      <c r="A1914" s="1">
        <v>202650001742</v>
      </c>
      <c r="B1914" s="1">
        <v>1066008</v>
      </c>
      <c r="C1914" s="2">
        <v>46118</v>
      </c>
      <c r="D1914" t="s">
        <v>17</v>
      </c>
      <c r="E1914" t="s">
        <v>8</v>
      </c>
      <c r="G1914" t="s">
        <v>9</v>
      </c>
      <c r="L1914">
        <f t="shared" si="146"/>
        <v>0</v>
      </c>
      <c r="M1914">
        <f t="shared" si="147"/>
        <v>0</v>
      </c>
      <c r="N1914">
        <f t="shared" si="148"/>
        <v>0</v>
      </c>
      <c r="O1914">
        <f t="shared" si="150"/>
        <v>1</v>
      </c>
      <c r="P1914" t="str">
        <f t="shared" si="149"/>
        <v/>
      </c>
      <c r="Q1914">
        <f>COUNTIF('責任職　企業局→市長部局'!A:A,SQLデータ!B1914)</f>
        <v>0</v>
      </c>
      <c r="R1914">
        <f>COUNTIF('一般職員　企業局→市長部局'!A:F,SQLデータ!B1914)</f>
        <v>0</v>
      </c>
    </row>
    <row r="1915" spans="1:18" x14ac:dyDescent="0.4">
      <c r="A1915" s="1">
        <v>202650001743</v>
      </c>
      <c r="B1915" s="1">
        <v>1166029</v>
      </c>
      <c r="C1915" s="2">
        <v>46118</v>
      </c>
      <c r="D1915" t="s">
        <v>17</v>
      </c>
      <c r="E1915" t="s">
        <v>8</v>
      </c>
      <c r="G1915" t="s">
        <v>9</v>
      </c>
      <c r="L1915">
        <f t="shared" si="146"/>
        <v>0</v>
      </c>
      <c r="M1915">
        <f t="shared" si="147"/>
        <v>0</v>
      </c>
      <c r="N1915">
        <f t="shared" si="148"/>
        <v>0</v>
      </c>
      <c r="O1915">
        <f t="shared" si="150"/>
        <v>1</v>
      </c>
      <c r="P1915" t="str">
        <f t="shared" si="149"/>
        <v/>
      </c>
      <c r="Q1915">
        <f>COUNTIF('責任職　企業局→市長部局'!A:A,SQLデータ!B1915)</f>
        <v>0</v>
      </c>
      <c r="R1915">
        <f>COUNTIF('一般職員　企業局→市長部局'!A:F,SQLデータ!B1915)</f>
        <v>0</v>
      </c>
    </row>
    <row r="1916" spans="1:18" x14ac:dyDescent="0.4">
      <c r="A1916" s="1">
        <v>202650001744</v>
      </c>
      <c r="B1916" s="1">
        <v>1031269</v>
      </c>
      <c r="C1916" s="2">
        <v>46118</v>
      </c>
      <c r="D1916" t="s">
        <v>17</v>
      </c>
      <c r="E1916" t="s">
        <v>8</v>
      </c>
      <c r="G1916" t="s">
        <v>9</v>
      </c>
      <c r="L1916">
        <f t="shared" si="146"/>
        <v>0</v>
      </c>
      <c r="M1916">
        <f t="shared" si="147"/>
        <v>0</v>
      </c>
      <c r="N1916">
        <f t="shared" si="148"/>
        <v>0</v>
      </c>
      <c r="O1916">
        <f t="shared" si="150"/>
        <v>1</v>
      </c>
      <c r="P1916" t="str">
        <f t="shared" si="149"/>
        <v/>
      </c>
      <c r="Q1916">
        <f>COUNTIF('責任職　企業局→市長部局'!A:A,SQLデータ!B1916)</f>
        <v>0</v>
      </c>
      <c r="R1916">
        <f>COUNTIF('一般職員　企業局→市長部局'!A:F,SQLデータ!B1916)</f>
        <v>0</v>
      </c>
    </row>
    <row r="1917" spans="1:18" x14ac:dyDescent="0.4">
      <c r="A1917" s="1">
        <v>202650001745</v>
      </c>
      <c r="B1917" s="1">
        <v>1154079</v>
      </c>
      <c r="C1917" s="2">
        <v>46118</v>
      </c>
      <c r="D1917" t="s">
        <v>17</v>
      </c>
      <c r="E1917" t="s">
        <v>8</v>
      </c>
      <c r="G1917" t="s">
        <v>9</v>
      </c>
      <c r="L1917">
        <f t="shared" si="146"/>
        <v>0</v>
      </c>
      <c r="M1917">
        <f t="shared" si="147"/>
        <v>0</v>
      </c>
      <c r="N1917">
        <f t="shared" si="148"/>
        <v>0</v>
      </c>
      <c r="O1917">
        <f t="shared" si="150"/>
        <v>1</v>
      </c>
      <c r="P1917" t="str">
        <f t="shared" si="149"/>
        <v/>
      </c>
      <c r="Q1917">
        <f>COUNTIF('責任職　企業局→市長部局'!A:A,SQLデータ!B1917)</f>
        <v>0</v>
      </c>
      <c r="R1917">
        <f>COUNTIF('一般職員　企業局→市長部局'!A:F,SQLデータ!B1917)</f>
        <v>0</v>
      </c>
    </row>
    <row r="1918" spans="1:18" x14ac:dyDescent="0.4">
      <c r="A1918" s="1">
        <v>202650001746</v>
      </c>
      <c r="B1918" s="1">
        <v>940155</v>
      </c>
      <c r="C1918" s="2">
        <v>46118</v>
      </c>
      <c r="D1918" t="s">
        <v>17</v>
      </c>
      <c r="E1918" t="s">
        <v>8</v>
      </c>
      <c r="G1918" t="s">
        <v>9</v>
      </c>
      <c r="L1918">
        <f t="shared" si="146"/>
        <v>0</v>
      </c>
      <c r="M1918">
        <f t="shared" si="147"/>
        <v>0</v>
      </c>
      <c r="N1918">
        <f t="shared" si="148"/>
        <v>0</v>
      </c>
      <c r="O1918">
        <f t="shared" si="150"/>
        <v>1</v>
      </c>
      <c r="P1918" t="str">
        <f t="shared" si="149"/>
        <v/>
      </c>
      <c r="Q1918">
        <f>COUNTIF('責任職　企業局→市長部局'!A:A,SQLデータ!B1918)</f>
        <v>0</v>
      </c>
      <c r="R1918">
        <f>COUNTIF('一般職員　企業局→市長部局'!A:F,SQLデータ!B1918)</f>
        <v>0</v>
      </c>
    </row>
    <row r="1919" spans="1:18" x14ac:dyDescent="0.4">
      <c r="A1919" s="1">
        <v>202650001747</v>
      </c>
      <c r="B1919" s="1">
        <v>1144078</v>
      </c>
      <c r="C1919" s="2">
        <v>46118</v>
      </c>
      <c r="D1919" t="s">
        <v>17</v>
      </c>
      <c r="E1919" t="s">
        <v>8</v>
      </c>
      <c r="G1919" t="s">
        <v>9</v>
      </c>
      <c r="L1919">
        <f t="shared" si="146"/>
        <v>0</v>
      </c>
      <c r="M1919">
        <f t="shared" si="147"/>
        <v>0</v>
      </c>
      <c r="N1919">
        <f t="shared" si="148"/>
        <v>0</v>
      </c>
      <c r="O1919">
        <f t="shared" si="150"/>
        <v>1</v>
      </c>
      <c r="P1919" t="str">
        <f t="shared" si="149"/>
        <v/>
      </c>
      <c r="Q1919">
        <f>COUNTIF('責任職　企業局→市長部局'!A:A,SQLデータ!B1919)</f>
        <v>0</v>
      </c>
      <c r="R1919">
        <f>COUNTIF('一般職員　企業局→市長部局'!A:F,SQLデータ!B1919)</f>
        <v>0</v>
      </c>
    </row>
    <row r="1920" spans="1:18" x14ac:dyDescent="0.4">
      <c r="A1920" s="1">
        <v>202650001748</v>
      </c>
      <c r="B1920" s="1">
        <v>870069</v>
      </c>
      <c r="C1920" s="2">
        <v>46118</v>
      </c>
      <c r="D1920" t="s">
        <v>17</v>
      </c>
      <c r="E1920" t="s">
        <v>8</v>
      </c>
      <c r="F1920" t="s">
        <v>54</v>
      </c>
      <c r="G1920" t="s">
        <v>9</v>
      </c>
      <c r="L1920">
        <f t="shared" si="146"/>
        <v>0</v>
      </c>
      <c r="M1920">
        <f t="shared" si="147"/>
        <v>0</v>
      </c>
      <c r="N1920">
        <f t="shared" si="148"/>
        <v>0</v>
      </c>
      <c r="O1920">
        <f t="shared" si="150"/>
        <v>1</v>
      </c>
      <c r="P1920" t="str">
        <f t="shared" si="149"/>
        <v/>
      </c>
      <c r="Q1920">
        <f>COUNTIF('責任職　企業局→市長部局'!A:A,SQLデータ!B1920)</f>
        <v>0</v>
      </c>
      <c r="R1920">
        <f>COUNTIF('一般職員　企業局→市長部局'!A:F,SQLデータ!B1920)</f>
        <v>0</v>
      </c>
    </row>
    <row r="1921" spans="1:18" x14ac:dyDescent="0.4">
      <c r="A1921" s="1">
        <v>202650001749</v>
      </c>
      <c r="B1921" s="1">
        <v>1171181</v>
      </c>
      <c r="C1921" s="2">
        <v>46118</v>
      </c>
      <c r="D1921" t="s">
        <v>17</v>
      </c>
      <c r="E1921" t="s">
        <v>8</v>
      </c>
      <c r="G1921" t="s">
        <v>9</v>
      </c>
      <c r="L1921">
        <f t="shared" si="146"/>
        <v>0</v>
      </c>
      <c r="M1921">
        <f t="shared" si="147"/>
        <v>0</v>
      </c>
      <c r="N1921">
        <f t="shared" si="148"/>
        <v>0</v>
      </c>
      <c r="O1921">
        <f t="shared" si="150"/>
        <v>1</v>
      </c>
      <c r="P1921" t="str">
        <f t="shared" si="149"/>
        <v/>
      </c>
      <c r="Q1921">
        <f>COUNTIF('責任職　企業局→市長部局'!A:A,SQLデータ!B1921)</f>
        <v>0</v>
      </c>
      <c r="R1921">
        <f>COUNTIF('一般職員　企業局→市長部局'!A:F,SQLデータ!B1921)</f>
        <v>0</v>
      </c>
    </row>
    <row r="1922" spans="1:18" x14ac:dyDescent="0.4">
      <c r="A1922" s="1">
        <v>202650001750</v>
      </c>
      <c r="B1922" s="1">
        <v>1246083</v>
      </c>
      <c r="C1922" s="2">
        <v>46118</v>
      </c>
      <c r="D1922" t="s">
        <v>17</v>
      </c>
      <c r="E1922" t="s">
        <v>8</v>
      </c>
      <c r="G1922" t="s">
        <v>9</v>
      </c>
      <c r="L1922">
        <f t="shared" ref="L1922:L1985" si="151">IF(ISBLANK(J1922),0,1)</f>
        <v>0</v>
      </c>
      <c r="M1922">
        <f t="shared" ref="M1922:M1985" si="152">IF(AND(L1922=0,I1922&lt;&gt;""),1,0)</f>
        <v>0</v>
      </c>
      <c r="N1922">
        <f t="shared" ref="N1922:N1985" si="153">IF(AND(L1922=0,M1922=0,K1922&lt;&gt;""),1,0)</f>
        <v>0</v>
      </c>
      <c r="O1922">
        <f t="shared" si="150"/>
        <v>1</v>
      </c>
      <c r="P1922" t="str">
        <f t="shared" ref="P1922:P1985" si="154">IF(D1922&lt;&gt;"扶養","",IF(E1922&lt;&gt;"確認待ち",1,IF(OR(AND(G1922="本人の結婚",O1922=1),AND(H1922="減",OR(N1922=1,O1922=1))),1,0)))</f>
        <v/>
      </c>
      <c r="Q1922">
        <f>COUNTIF('責任職　企業局→市長部局'!A:A,SQLデータ!B1922)</f>
        <v>0</v>
      </c>
      <c r="R1922">
        <f>COUNTIF('一般職員　企業局→市長部局'!A:F,SQLデータ!B1922)</f>
        <v>0</v>
      </c>
    </row>
    <row r="1923" spans="1:18" x14ac:dyDescent="0.4">
      <c r="A1923" s="1">
        <v>202650001751</v>
      </c>
      <c r="B1923" s="1">
        <v>1101503</v>
      </c>
      <c r="C1923" s="2">
        <v>46118</v>
      </c>
      <c r="D1923" t="s">
        <v>17</v>
      </c>
      <c r="E1923" t="s">
        <v>8</v>
      </c>
      <c r="G1923" t="s">
        <v>9</v>
      </c>
      <c r="L1923">
        <f t="shared" si="151"/>
        <v>0</v>
      </c>
      <c r="M1923">
        <f t="shared" si="152"/>
        <v>0</v>
      </c>
      <c r="N1923">
        <f t="shared" si="153"/>
        <v>0</v>
      </c>
      <c r="O1923">
        <f t="shared" si="150"/>
        <v>1</v>
      </c>
      <c r="P1923" t="str">
        <f t="shared" si="154"/>
        <v/>
      </c>
      <c r="Q1923">
        <f>COUNTIF('責任職　企業局→市長部局'!A:A,SQLデータ!B1923)</f>
        <v>0</v>
      </c>
      <c r="R1923">
        <f>COUNTIF('一般職員　企業局→市長部局'!A:F,SQLデータ!B1923)</f>
        <v>0</v>
      </c>
    </row>
    <row r="1924" spans="1:18" x14ac:dyDescent="0.4">
      <c r="A1924" s="1">
        <v>202650001752</v>
      </c>
      <c r="B1924" s="1">
        <v>1142109</v>
      </c>
      <c r="C1924" s="2">
        <v>46118</v>
      </c>
      <c r="D1924" t="s">
        <v>17</v>
      </c>
      <c r="E1924" t="s">
        <v>8</v>
      </c>
      <c r="G1924" t="s">
        <v>9</v>
      </c>
      <c r="L1924">
        <f t="shared" si="151"/>
        <v>0</v>
      </c>
      <c r="M1924">
        <f t="shared" si="152"/>
        <v>0</v>
      </c>
      <c r="N1924">
        <f t="shared" si="153"/>
        <v>0</v>
      </c>
      <c r="O1924">
        <f t="shared" si="150"/>
        <v>1</v>
      </c>
      <c r="P1924" t="str">
        <f t="shared" si="154"/>
        <v/>
      </c>
      <c r="Q1924">
        <f>COUNTIF('責任職　企業局→市長部局'!A:A,SQLデータ!B1924)</f>
        <v>0</v>
      </c>
      <c r="R1924">
        <f>COUNTIF('一般職員　企業局→市長部局'!A:F,SQLデータ!B1924)</f>
        <v>0</v>
      </c>
    </row>
    <row r="1925" spans="1:18" x14ac:dyDescent="0.4">
      <c r="A1925" s="1">
        <v>202650001753</v>
      </c>
      <c r="B1925" s="1">
        <v>950303</v>
      </c>
      <c r="C1925" s="2">
        <v>46118</v>
      </c>
      <c r="D1925" t="s">
        <v>17</v>
      </c>
      <c r="E1925" t="s">
        <v>8</v>
      </c>
      <c r="G1925" t="s">
        <v>9</v>
      </c>
      <c r="L1925">
        <f t="shared" si="151"/>
        <v>0</v>
      </c>
      <c r="M1925">
        <f t="shared" si="152"/>
        <v>0</v>
      </c>
      <c r="N1925">
        <f t="shared" si="153"/>
        <v>0</v>
      </c>
      <c r="O1925">
        <f t="shared" si="150"/>
        <v>1</v>
      </c>
      <c r="P1925" t="str">
        <f t="shared" si="154"/>
        <v/>
      </c>
      <c r="Q1925">
        <f>COUNTIF('責任職　企業局→市長部局'!A:A,SQLデータ!B1925)</f>
        <v>0</v>
      </c>
      <c r="R1925">
        <f>COUNTIF('一般職員　企業局→市長部局'!A:F,SQLデータ!B1925)</f>
        <v>0</v>
      </c>
    </row>
    <row r="1926" spans="1:18" x14ac:dyDescent="0.4">
      <c r="A1926" s="1">
        <v>202650001754</v>
      </c>
      <c r="B1926" s="1">
        <v>1241319</v>
      </c>
      <c r="C1926" s="2">
        <v>46118</v>
      </c>
      <c r="D1926" t="s">
        <v>17</v>
      </c>
      <c r="E1926" t="s">
        <v>8</v>
      </c>
      <c r="G1926" t="s">
        <v>9</v>
      </c>
      <c r="L1926">
        <f t="shared" si="151"/>
        <v>0</v>
      </c>
      <c r="M1926">
        <f t="shared" si="152"/>
        <v>0</v>
      </c>
      <c r="N1926">
        <f t="shared" si="153"/>
        <v>0</v>
      </c>
      <c r="O1926">
        <f t="shared" si="150"/>
        <v>1</v>
      </c>
      <c r="P1926" t="str">
        <f t="shared" si="154"/>
        <v/>
      </c>
      <c r="Q1926">
        <f>COUNTIF('責任職　企業局→市長部局'!A:A,SQLデータ!B1926)</f>
        <v>0</v>
      </c>
      <c r="R1926">
        <f>COUNTIF('一般職員　企業局→市長部局'!A:F,SQLデータ!B1926)</f>
        <v>0</v>
      </c>
    </row>
    <row r="1927" spans="1:18" x14ac:dyDescent="0.4">
      <c r="A1927" s="1">
        <v>202650001755</v>
      </c>
      <c r="B1927" s="1">
        <v>951187</v>
      </c>
      <c r="C1927" s="2">
        <v>46119</v>
      </c>
      <c r="D1927" t="s">
        <v>17</v>
      </c>
      <c r="E1927" t="s">
        <v>8</v>
      </c>
      <c r="G1927" t="s">
        <v>9</v>
      </c>
      <c r="L1927">
        <f t="shared" si="151"/>
        <v>0</v>
      </c>
      <c r="M1927">
        <f t="shared" si="152"/>
        <v>0</v>
      </c>
      <c r="N1927">
        <f t="shared" si="153"/>
        <v>0</v>
      </c>
      <c r="O1927">
        <f t="shared" si="150"/>
        <v>1</v>
      </c>
      <c r="P1927" t="str">
        <f t="shared" si="154"/>
        <v/>
      </c>
      <c r="Q1927">
        <f>COUNTIF('責任職　企業局→市長部局'!A:A,SQLデータ!B1927)</f>
        <v>0</v>
      </c>
      <c r="R1927">
        <f>COUNTIF('一般職員　企業局→市長部局'!A:F,SQLデータ!B1927)</f>
        <v>0</v>
      </c>
    </row>
    <row r="1928" spans="1:18" x14ac:dyDescent="0.4">
      <c r="A1928" s="1">
        <v>202650001756</v>
      </c>
      <c r="B1928" s="1">
        <v>930119</v>
      </c>
      <c r="C1928" s="2">
        <v>46118</v>
      </c>
      <c r="D1928" t="s">
        <v>17</v>
      </c>
      <c r="E1928" t="s">
        <v>8</v>
      </c>
      <c r="G1928" t="s">
        <v>9</v>
      </c>
      <c r="L1928">
        <f t="shared" si="151"/>
        <v>0</v>
      </c>
      <c r="M1928">
        <f t="shared" si="152"/>
        <v>0</v>
      </c>
      <c r="N1928">
        <f t="shared" si="153"/>
        <v>0</v>
      </c>
      <c r="O1928">
        <f t="shared" si="150"/>
        <v>1</v>
      </c>
      <c r="P1928" t="str">
        <f t="shared" si="154"/>
        <v/>
      </c>
      <c r="Q1928">
        <f>COUNTIF('責任職　企業局→市長部局'!A:A,SQLデータ!B1928)</f>
        <v>0</v>
      </c>
      <c r="R1928">
        <f>COUNTIF('一般職員　企業局→市長部局'!A:F,SQLデータ!B1928)</f>
        <v>0</v>
      </c>
    </row>
    <row r="1929" spans="1:18" x14ac:dyDescent="0.4">
      <c r="A1929" s="1">
        <v>202650001757</v>
      </c>
      <c r="B1929" s="1">
        <v>1061036</v>
      </c>
      <c r="C1929" s="2">
        <v>46118</v>
      </c>
      <c r="D1929" t="s">
        <v>17</v>
      </c>
      <c r="E1929" t="s">
        <v>8</v>
      </c>
      <c r="G1929" t="s">
        <v>9</v>
      </c>
      <c r="L1929">
        <f t="shared" si="151"/>
        <v>0</v>
      </c>
      <c r="M1929">
        <f t="shared" si="152"/>
        <v>0</v>
      </c>
      <c r="N1929">
        <f t="shared" si="153"/>
        <v>0</v>
      </c>
      <c r="O1929">
        <f t="shared" ref="O1929:O1992" si="155">IF(COUNTIF(L1929:N1929,0)=3,1,0)</f>
        <v>1</v>
      </c>
      <c r="P1929" t="str">
        <f t="shared" si="154"/>
        <v/>
      </c>
      <c r="Q1929">
        <f>COUNTIF('責任職　企業局→市長部局'!A:A,SQLデータ!B1929)</f>
        <v>0</v>
      </c>
      <c r="R1929">
        <f>COUNTIF('一般職員　企業局→市長部局'!A:F,SQLデータ!B1929)</f>
        <v>0</v>
      </c>
    </row>
    <row r="1930" spans="1:18" x14ac:dyDescent="0.4">
      <c r="A1930" s="1">
        <v>202650001758</v>
      </c>
      <c r="B1930" s="1">
        <v>1226095</v>
      </c>
      <c r="C1930" s="2">
        <v>46118</v>
      </c>
      <c r="D1930" t="s">
        <v>17</v>
      </c>
      <c r="E1930" t="s">
        <v>8</v>
      </c>
      <c r="G1930" t="s">
        <v>9</v>
      </c>
      <c r="L1930">
        <f t="shared" si="151"/>
        <v>0</v>
      </c>
      <c r="M1930">
        <f t="shared" si="152"/>
        <v>0</v>
      </c>
      <c r="N1930">
        <f t="shared" si="153"/>
        <v>0</v>
      </c>
      <c r="O1930">
        <f t="shared" si="155"/>
        <v>1</v>
      </c>
      <c r="P1930" t="str">
        <f t="shared" si="154"/>
        <v/>
      </c>
      <c r="Q1930">
        <f>COUNTIF('責任職　企業局→市長部局'!A:A,SQLデータ!B1930)</f>
        <v>0</v>
      </c>
      <c r="R1930">
        <f>COUNTIF('一般職員　企業局→市長部局'!A:F,SQLデータ!B1930)</f>
        <v>0</v>
      </c>
    </row>
    <row r="1931" spans="1:18" x14ac:dyDescent="0.4">
      <c r="A1931" s="1">
        <v>202650001759</v>
      </c>
      <c r="B1931" s="1">
        <v>1176052</v>
      </c>
      <c r="C1931" s="2">
        <v>46118</v>
      </c>
      <c r="D1931" t="s">
        <v>17</v>
      </c>
      <c r="E1931" t="s">
        <v>8</v>
      </c>
      <c r="G1931" t="s">
        <v>9</v>
      </c>
      <c r="L1931">
        <f t="shared" si="151"/>
        <v>0</v>
      </c>
      <c r="M1931">
        <f t="shared" si="152"/>
        <v>0</v>
      </c>
      <c r="N1931">
        <f t="shared" si="153"/>
        <v>0</v>
      </c>
      <c r="O1931">
        <f t="shared" si="155"/>
        <v>1</v>
      </c>
      <c r="P1931" t="str">
        <f t="shared" si="154"/>
        <v/>
      </c>
      <c r="Q1931">
        <f>COUNTIF('責任職　企業局→市長部局'!A:A,SQLデータ!B1931)</f>
        <v>0</v>
      </c>
      <c r="R1931">
        <f>COUNTIF('一般職員　企業局→市長部局'!A:F,SQLデータ!B1931)</f>
        <v>0</v>
      </c>
    </row>
    <row r="1932" spans="1:18" x14ac:dyDescent="0.4">
      <c r="A1932" s="1">
        <v>202650001760</v>
      </c>
      <c r="B1932" s="1">
        <v>986016</v>
      </c>
      <c r="C1932" s="2">
        <v>46118</v>
      </c>
      <c r="D1932" t="s">
        <v>17</v>
      </c>
      <c r="E1932" t="s">
        <v>8</v>
      </c>
      <c r="G1932" t="s">
        <v>9</v>
      </c>
      <c r="L1932">
        <f t="shared" si="151"/>
        <v>0</v>
      </c>
      <c r="M1932">
        <f t="shared" si="152"/>
        <v>0</v>
      </c>
      <c r="N1932">
        <f t="shared" si="153"/>
        <v>0</v>
      </c>
      <c r="O1932">
        <f t="shared" si="155"/>
        <v>1</v>
      </c>
      <c r="P1932" t="str">
        <f t="shared" si="154"/>
        <v/>
      </c>
      <c r="Q1932">
        <f>COUNTIF('責任職　企業局→市長部局'!A:A,SQLデータ!B1932)</f>
        <v>0</v>
      </c>
      <c r="R1932">
        <f>COUNTIF('一般職員　企業局→市長部局'!A:F,SQLデータ!B1932)</f>
        <v>0</v>
      </c>
    </row>
    <row r="1933" spans="1:18" x14ac:dyDescent="0.4">
      <c r="A1933" s="1">
        <v>202650001761</v>
      </c>
      <c r="B1933" s="1">
        <v>1142136</v>
      </c>
      <c r="C1933" s="2">
        <v>46118</v>
      </c>
      <c r="D1933" t="s">
        <v>17</v>
      </c>
      <c r="E1933" t="s">
        <v>8</v>
      </c>
      <c r="G1933" t="s">
        <v>9</v>
      </c>
      <c r="L1933">
        <f t="shared" si="151"/>
        <v>0</v>
      </c>
      <c r="M1933">
        <f t="shared" si="152"/>
        <v>0</v>
      </c>
      <c r="N1933">
        <f t="shared" si="153"/>
        <v>0</v>
      </c>
      <c r="O1933">
        <f t="shared" si="155"/>
        <v>1</v>
      </c>
      <c r="P1933" t="str">
        <f t="shared" si="154"/>
        <v/>
      </c>
      <c r="Q1933">
        <f>COUNTIF('責任職　企業局→市長部局'!A:A,SQLデータ!B1933)</f>
        <v>0</v>
      </c>
      <c r="R1933">
        <f>COUNTIF('一般職員　企業局→市長部局'!A:F,SQLデータ!B1933)</f>
        <v>0</v>
      </c>
    </row>
    <row r="1934" spans="1:18" x14ac:dyDescent="0.4">
      <c r="A1934" s="1">
        <v>202650001762</v>
      </c>
      <c r="B1934" s="1">
        <v>1256009</v>
      </c>
      <c r="C1934" s="2">
        <v>46119</v>
      </c>
      <c r="D1934" t="s">
        <v>17</v>
      </c>
      <c r="E1934" t="s">
        <v>8</v>
      </c>
      <c r="G1934" t="s">
        <v>9</v>
      </c>
      <c r="L1934">
        <f t="shared" si="151"/>
        <v>0</v>
      </c>
      <c r="M1934">
        <f t="shared" si="152"/>
        <v>0</v>
      </c>
      <c r="N1934">
        <f t="shared" si="153"/>
        <v>0</v>
      </c>
      <c r="O1934">
        <f t="shared" si="155"/>
        <v>1</v>
      </c>
      <c r="P1934" t="str">
        <f t="shared" si="154"/>
        <v/>
      </c>
      <c r="Q1934">
        <f>COUNTIF('責任職　企業局→市長部局'!A:A,SQLデータ!B1934)</f>
        <v>0</v>
      </c>
      <c r="R1934">
        <f>COUNTIF('一般職員　企業局→市長部局'!A:F,SQLデータ!B1934)</f>
        <v>0</v>
      </c>
    </row>
    <row r="1935" spans="1:18" x14ac:dyDescent="0.4">
      <c r="A1935" s="1">
        <v>202650001763</v>
      </c>
      <c r="B1935" s="1">
        <v>1086057</v>
      </c>
      <c r="C1935" s="2">
        <v>46118</v>
      </c>
      <c r="D1935" t="s">
        <v>17</v>
      </c>
      <c r="E1935" t="s">
        <v>8</v>
      </c>
      <c r="G1935" t="s">
        <v>9</v>
      </c>
      <c r="L1935">
        <f t="shared" si="151"/>
        <v>0</v>
      </c>
      <c r="M1935">
        <f t="shared" si="152"/>
        <v>0</v>
      </c>
      <c r="N1935">
        <f t="shared" si="153"/>
        <v>0</v>
      </c>
      <c r="O1935">
        <f t="shared" si="155"/>
        <v>1</v>
      </c>
      <c r="P1935" t="str">
        <f t="shared" si="154"/>
        <v/>
      </c>
      <c r="Q1935">
        <f>COUNTIF('責任職　企業局→市長部局'!A:A,SQLデータ!B1935)</f>
        <v>0</v>
      </c>
      <c r="R1935">
        <f>COUNTIF('一般職員　企業局→市長部局'!A:F,SQLデータ!B1935)</f>
        <v>0</v>
      </c>
    </row>
    <row r="1936" spans="1:18" x14ac:dyDescent="0.4">
      <c r="A1936" s="1">
        <v>202650001764</v>
      </c>
      <c r="B1936" s="1">
        <v>1032043</v>
      </c>
      <c r="C1936" s="2">
        <v>46118</v>
      </c>
      <c r="D1936" t="s">
        <v>17</v>
      </c>
      <c r="E1936" t="s">
        <v>8</v>
      </c>
      <c r="G1936" t="s">
        <v>9</v>
      </c>
      <c r="L1936">
        <f t="shared" si="151"/>
        <v>0</v>
      </c>
      <c r="M1936">
        <f t="shared" si="152"/>
        <v>0</v>
      </c>
      <c r="N1936">
        <f t="shared" si="153"/>
        <v>0</v>
      </c>
      <c r="O1936">
        <f t="shared" si="155"/>
        <v>1</v>
      </c>
      <c r="P1936" t="str">
        <f t="shared" si="154"/>
        <v/>
      </c>
      <c r="Q1936">
        <f>COUNTIF('責任職　企業局→市長部局'!A:A,SQLデータ!B1936)</f>
        <v>0</v>
      </c>
      <c r="R1936">
        <f>COUNTIF('一般職員　企業局→市長部局'!A:F,SQLデータ!B1936)</f>
        <v>0</v>
      </c>
    </row>
    <row r="1937" spans="1:18" x14ac:dyDescent="0.4">
      <c r="A1937" s="1">
        <v>202650001765</v>
      </c>
      <c r="B1937" s="1">
        <v>900100</v>
      </c>
      <c r="C1937" s="2">
        <v>46118</v>
      </c>
      <c r="D1937" t="s">
        <v>17</v>
      </c>
      <c r="E1937" t="s">
        <v>8</v>
      </c>
      <c r="G1937" t="s">
        <v>9</v>
      </c>
      <c r="L1937">
        <f t="shared" si="151"/>
        <v>0</v>
      </c>
      <c r="M1937">
        <f t="shared" si="152"/>
        <v>0</v>
      </c>
      <c r="N1937">
        <f t="shared" si="153"/>
        <v>0</v>
      </c>
      <c r="O1937">
        <f t="shared" si="155"/>
        <v>1</v>
      </c>
      <c r="P1937" t="str">
        <f t="shared" si="154"/>
        <v/>
      </c>
      <c r="Q1937">
        <f>COUNTIF('責任職　企業局→市長部局'!A:A,SQLデータ!B1937)</f>
        <v>0</v>
      </c>
      <c r="R1937">
        <f>COUNTIF('一般職員　企業局→市長部局'!A:F,SQLデータ!B1937)</f>
        <v>0</v>
      </c>
    </row>
    <row r="1938" spans="1:18" x14ac:dyDescent="0.4">
      <c r="A1938" s="1">
        <v>202650001766</v>
      </c>
      <c r="B1938" s="1">
        <v>1006007</v>
      </c>
      <c r="C1938" s="2">
        <v>46118</v>
      </c>
      <c r="D1938" t="s">
        <v>17</v>
      </c>
      <c r="E1938" t="s">
        <v>8</v>
      </c>
      <c r="G1938" t="s">
        <v>9</v>
      </c>
      <c r="L1938">
        <f t="shared" si="151"/>
        <v>0</v>
      </c>
      <c r="M1938">
        <f t="shared" si="152"/>
        <v>0</v>
      </c>
      <c r="N1938">
        <f t="shared" si="153"/>
        <v>0</v>
      </c>
      <c r="O1938">
        <f t="shared" si="155"/>
        <v>1</v>
      </c>
      <c r="P1938" t="str">
        <f t="shared" si="154"/>
        <v/>
      </c>
      <c r="Q1938">
        <f>COUNTIF('責任職　企業局→市長部局'!A:A,SQLデータ!B1938)</f>
        <v>0</v>
      </c>
      <c r="R1938">
        <f>COUNTIF('一般職員　企業局→市長部局'!A:F,SQLデータ!B1938)</f>
        <v>0</v>
      </c>
    </row>
    <row r="1939" spans="1:18" x14ac:dyDescent="0.4">
      <c r="A1939" s="1">
        <v>202650001767</v>
      </c>
      <c r="B1939" s="1">
        <v>1151431</v>
      </c>
      <c r="C1939" s="2">
        <v>46118</v>
      </c>
      <c r="D1939" t="s">
        <v>17</v>
      </c>
      <c r="E1939" t="s">
        <v>8</v>
      </c>
      <c r="G1939" t="s">
        <v>9</v>
      </c>
      <c r="L1939">
        <f t="shared" si="151"/>
        <v>0</v>
      </c>
      <c r="M1939">
        <f t="shared" si="152"/>
        <v>0</v>
      </c>
      <c r="N1939">
        <f t="shared" si="153"/>
        <v>0</v>
      </c>
      <c r="O1939">
        <f t="shared" si="155"/>
        <v>1</v>
      </c>
      <c r="P1939" t="str">
        <f t="shared" si="154"/>
        <v/>
      </c>
      <c r="Q1939">
        <f>COUNTIF('責任職　企業局→市長部局'!A:A,SQLデータ!B1939)</f>
        <v>0</v>
      </c>
      <c r="R1939">
        <f>COUNTIF('一般職員　企業局→市長部局'!A:F,SQLデータ!B1939)</f>
        <v>0</v>
      </c>
    </row>
    <row r="1940" spans="1:18" x14ac:dyDescent="0.4">
      <c r="A1940" s="1">
        <v>202650001768</v>
      </c>
      <c r="B1940" s="1">
        <v>5068429</v>
      </c>
      <c r="C1940" s="2">
        <v>46118</v>
      </c>
      <c r="D1940" t="s">
        <v>17</v>
      </c>
      <c r="E1940" t="s">
        <v>8</v>
      </c>
      <c r="G1940" t="s">
        <v>9</v>
      </c>
      <c r="L1940">
        <f t="shared" si="151"/>
        <v>0</v>
      </c>
      <c r="M1940">
        <f t="shared" si="152"/>
        <v>0</v>
      </c>
      <c r="N1940">
        <f t="shared" si="153"/>
        <v>0</v>
      </c>
      <c r="O1940">
        <f t="shared" si="155"/>
        <v>1</v>
      </c>
      <c r="P1940" t="str">
        <f t="shared" si="154"/>
        <v/>
      </c>
      <c r="Q1940">
        <f>COUNTIF('責任職　企業局→市長部局'!A:A,SQLデータ!B1940)</f>
        <v>0</v>
      </c>
      <c r="R1940">
        <f>COUNTIF('一般職員　企業局→市長部局'!A:F,SQLデータ!B1940)</f>
        <v>0</v>
      </c>
    </row>
    <row r="1941" spans="1:18" x14ac:dyDescent="0.4">
      <c r="A1941" s="1">
        <v>202650001769</v>
      </c>
      <c r="B1941" s="1">
        <v>5098100</v>
      </c>
      <c r="C1941" s="2">
        <v>46118</v>
      </c>
      <c r="D1941" t="s">
        <v>17</v>
      </c>
      <c r="E1941" t="s">
        <v>8</v>
      </c>
      <c r="G1941" t="s">
        <v>9</v>
      </c>
      <c r="L1941">
        <f t="shared" si="151"/>
        <v>0</v>
      </c>
      <c r="M1941">
        <f t="shared" si="152"/>
        <v>0</v>
      </c>
      <c r="N1941">
        <f t="shared" si="153"/>
        <v>0</v>
      </c>
      <c r="O1941">
        <f t="shared" si="155"/>
        <v>1</v>
      </c>
      <c r="P1941" t="str">
        <f t="shared" si="154"/>
        <v/>
      </c>
      <c r="Q1941">
        <f>COUNTIF('責任職　企業局→市長部局'!A:A,SQLデータ!B1941)</f>
        <v>0</v>
      </c>
      <c r="R1941">
        <f>COUNTIF('一般職員　企業局→市長部局'!A:F,SQLデータ!B1941)</f>
        <v>0</v>
      </c>
    </row>
    <row r="1942" spans="1:18" x14ac:dyDescent="0.4">
      <c r="A1942" s="1">
        <v>202650001770</v>
      </c>
      <c r="B1942" s="1">
        <v>1121358</v>
      </c>
      <c r="C1942" s="2">
        <v>46118</v>
      </c>
      <c r="D1942" t="s">
        <v>17</v>
      </c>
      <c r="E1942" t="s">
        <v>8</v>
      </c>
      <c r="G1942" t="s">
        <v>9</v>
      </c>
      <c r="L1942">
        <f t="shared" si="151"/>
        <v>0</v>
      </c>
      <c r="M1942">
        <f t="shared" si="152"/>
        <v>0</v>
      </c>
      <c r="N1942">
        <f t="shared" si="153"/>
        <v>0</v>
      </c>
      <c r="O1942">
        <f t="shared" si="155"/>
        <v>1</v>
      </c>
      <c r="P1942" t="str">
        <f t="shared" si="154"/>
        <v/>
      </c>
      <c r="Q1942">
        <f>COUNTIF('責任職　企業局→市長部局'!A:A,SQLデータ!B1942)</f>
        <v>0</v>
      </c>
      <c r="R1942">
        <f>COUNTIF('一般職員　企業局→市長部局'!A:F,SQLデータ!B1942)</f>
        <v>0</v>
      </c>
    </row>
    <row r="1943" spans="1:18" x14ac:dyDescent="0.4">
      <c r="A1943" s="1">
        <v>202650001771</v>
      </c>
      <c r="B1943" s="1">
        <v>910122</v>
      </c>
      <c r="C1943" s="2">
        <v>46118</v>
      </c>
      <c r="D1943" t="s">
        <v>17</v>
      </c>
      <c r="E1943" t="s">
        <v>8</v>
      </c>
      <c r="G1943" t="s">
        <v>9</v>
      </c>
      <c r="L1943">
        <f t="shared" si="151"/>
        <v>0</v>
      </c>
      <c r="M1943">
        <f t="shared" si="152"/>
        <v>0</v>
      </c>
      <c r="N1943">
        <f t="shared" si="153"/>
        <v>0</v>
      </c>
      <c r="O1943">
        <f t="shared" si="155"/>
        <v>1</v>
      </c>
      <c r="P1943" t="str">
        <f t="shared" si="154"/>
        <v/>
      </c>
      <c r="Q1943">
        <f>COUNTIF('責任職　企業局→市長部局'!A:A,SQLデータ!B1943)</f>
        <v>0</v>
      </c>
      <c r="R1943">
        <f>COUNTIF('一般職員　企業局→市長部局'!A:F,SQLデータ!B1943)</f>
        <v>0</v>
      </c>
    </row>
    <row r="1944" spans="1:18" x14ac:dyDescent="0.4">
      <c r="A1944" s="1">
        <v>202650001772</v>
      </c>
      <c r="B1944" s="1">
        <v>1191004</v>
      </c>
      <c r="C1944" s="2">
        <v>46118</v>
      </c>
      <c r="D1944" t="s">
        <v>17</v>
      </c>
      <c r="E1944" t="s">
        <v>8</v>
      </c>
      <c r="G1944" t="s">
        <v>9</v>
      </c>
      <c r="L1944">
        <f t="shared" si="151"/>
        <v>0</v>
      </c>
      <c r="M1944">
        <f t="shared" si="152"/>
        <v>0</v>
      </c>
      <c r="N1944">
        <f t="shared" si="153"/>
        <v>0</v>
      </c>
      <c r="O1944">
        <f t="shared" si="155"/>
        <v>1</v>
      </c>
      <c r="P1944" t="str">
        <f t="shared" si="154"/>
        <v/>
      </c>
      <c r="Q1944">
        <f>COUNTIF('責任職　企業局→市長部局'!A:A,SQLデータ!B1944)</f>
        <v>0</v>
      </c>
      <c r="R1944">
        <f>COUNTIF('一般職員　企業局→市長部局'!A:F,SQLデータ!B1944)</f>
        <v>0</v>
      </c>
    </row>
    <row r="1945" spans="1:18" x14ac:dyDescent="0.4">
      <c r="A1945" s="1">
        <v>202650001773</v>
      </c>
      <c r="B1945" s="1">
        <v>920448</v>
      </c>
      <c r="C1945" s="2">
        <v>46118</v>
      </c>
      <c r="D1945" t="s">
        <v>17</v>
      </c>
      <c r="E1945" t="s">
        <v>8</v>
      </c>
      <c r="G1945" t="s">
        <v>9</v>
      </c>
      <c r="L1945">
        <f t="shared" si="151"/>
        <v>0</v>
      </c>
      <c r="M1945">
        <f t="shared" si="152"/>
        <v>0</v>
      </c>
      <c r="N1945">
        <f t="shared" si="153"/>
        <v>0</v>
      </c>
      <c r="O1945">
        <f t="shared" si="155"/>
        <v>1</v>
      </c>
      <c r="P1945" t="str">
        <f t="shared" si="154"/>
        <v/>
      </c>
      <c r="Q1945">
        <f>COUNTIF('責任職　企業局→市長部局'!A:A,SQLデータ!B1945)</f>
        <v>0</v>
      </c>
      <c r="R1945">
        <f>COUNTIF('一般職員　企業局→市長部局'!A:F,SQLデータ!B1945)</f>
        <v>0</v>
      </c>
    </row>
    <row r="1946" spans="1:18" x14ac:dyDescent="0.4">
      <c r="A1946" s="1">
        <v>202650001775</v>
      </c>
      <c r="B1946" s="1">
        <v>1196003</v>
      </c>
      <c r="C1946" s="2">
        <v>46118</v>
      </c>
      <c r="D1946" t="s">
        <v>17</v>
      </c>
      <c r="E1946" t="s">
        <v>8</v>
      </c>
      <c r="G1946" t="s">
        <v>9</v>
      </c>
      <c r="L1946">
        <f t="shared" si="151"/>
        <v>0</v>
      </c>
      <c r="M1946">
        <f t="shared" si="152"/>
        <v>0</v>
      </c>
      <c r="N1946">
        <f t="shared" si="153"/>
        <v>0</v>
      </c>
      <c r="O1946">
        <f t="shared" si="155"/>
        <v>1</v>
      </c>
      <c r="P1946" t="str">
        <f t="shared" si="154"/>
        <v/>
      </c>
      <c r="Q1946">
        <f>COUNTIF('責任職　企業局→市長部局'!A:A,SQLデータ!B1946)</f>
        <v>0</v>
      </c>
      <c r="R1946">
        <f>COUNTIF('一般職員　企業局→市長部局'!A:F,SQLデータ!B1946)</f>
        <v>0</v>
      </c>
    </row>
    <row r="1947" spans="1:18" x14ac:dyDescent="0.4">
      <c r="A1947" s="1">
        <v>202650001776</v>
      </c>
      <c r="B1947" s="1">
        <v>1073004</v>
      </c>
      <c r="C1947" s="2">
        <v>46118</v>
      </c>
      <c r="D1947" t="s">
        <v>17</v>
      </c>
      <c r="E1947" t="s">
        <v>8</v>
      </c>
      <c r="G1947" t="s">
        <v>9</v>
      </c>
      <c r="L1947">
        <f t="shared" si="151"/>
        <v>0</v>
      </c>
      <c r="M1947">
        <f t="shared" si="152"/>
        <v>0</v>
      </c>
      <c r="N1947">
        <f t="shared" si="153"/>
        <v>0</v>
      </c>
      <c r="O1947">
        <f t="shared" si="155"/>
        <v>1</v>
      </c>
      <c r="P1947" t="str">
        <f t="shared" si="154"/>
        <v/>
      </c>
      <c r="Q1947">
        <f>COUNTIF('責任職　企業局→市長部局'!A:A,SQLデータ!B1947)</f>
        <v>0</v>
      </c>
      <c r="R1947">
        <f>COUNTIF('一般職員　企業局→市長部局'!A:F,SQLデータ!B1947)</f>
        <v>0</v>
      </c>
    </row>
    <row r="1948" spans="1:18" x14ac:dyDescent="0.4">
      <c r="A1948" s="1">
        <v>202650001778</v>
      </c>
      <c r="B1948" s="1">
        <v>976044</v>
      </c>
      <c r="C1948" s="2">
        <v>46118</v>
      </c>
      <c r="D1948" t="s">
        <v>17</v>
      </c>
      <c r="E1948" t="s">
        <v>8</v>
      </c>
      <c r="G1948" t="s">
        <v>9</v>
      </c>
      <c r="L1948">
        <f t="shared" si="151"/>
        <v>0</v>
      </c>
      <c r="M1948">
        <f t="shared" si="152"/>
        <v>0</v>
      </c>
      <c r="N1948">
        <f t="shared" si="153"/>
        <v>0</v>
      </c>
      <c r="O1948">
        <f t="shared" si="155"/>
        <v>1</v>
      </c>
      <c r="P1948" t="str">
        <f t="shared" si="154"/>
        <v/>
      </c>
      <c r="Q1948">
        <f>COUNTIF('責任職　企業局→市長部局'!A:A,SQLデータ!B1948)</f>
        <v>0</v>
      </c>
      <c r="R1948">
        <f>COUNTIF('一般職員　企業局→市長部局'!A:F,SQLデータ!B1948)</f>
        <v>0</v>
      </c>
    </row>
    <row r="1949" spans="1:18" x14ac:dyDescent="0.4">
      <c r="A1949" s="1">
        <v>202650001779</v>
      </c>
      <c r="B1949" s="1">
        <v>1101108</v>
      </c>
      <c r="C1949" s="2">
        <v>46118</v>
      </c>
      <c r="D1949" t="s">
        <v>17</v>
      </c>
      <c r="E1949" t="s">
        <v>8</v>
      </c>
      <c r="G1949" t="s">
        <v>9</v>
      </c>
      <c r="L1949">
        <f t="shared" si="151"/>
        <v>0</v>
      </c>
      <c r="M1949">
        <f t="shared" si="152"/>
        <v>0</v>
      </c>
      <c r="N1949">
        <f t="shared" si="153"/>
        <v>0</v>
      </c>
      <c r="O1949">
        <f t="shared" si="155"/>
        <v>1</v>
      </c>
      <c r="P1949" t="str">
        <f t="shared" si="154"/>
        <v/>
      </c>
      <c r="Q1949">
        <f>COUNTIF('責任職　企業局→市長部局'!A:A,SQLデータ!B1949)</f>
        <v>0</v>
      </c>
      <c r="R1949">
        <f>COUNTIF('一般職員　企業局→市長部局'!A:F,SQLデータ!B1949)</f>
        <v>0</v>
      </c>
    </row>
    <row r="1950" spans="1:18" x14ac:dyDescent="0.4">
      <c r="A1950" s="1">
        <v>202650001780</v>
      </c>
      <c r="B1950" s="1">
        <v>1226080</v>
      </c>
      <c r="C1950" s="2">
        <v>46118</v>
      </c>
      <c r="D1950" t="s">
        <v>17</v>
      </c>
      <c r="E1950" t="s">
        <v>8</v>
      </c>
      <c r="G1950" t="s">
        <v>9</v>
      </c>
      <c r="L1950">
        <f t="shared" si="151"/>
        <v>0</v>
      </c>
      <c r="M1950">
        <f t="shared" si="152"/>
        <v>0</v>
      </c>
      <c r="N1950">
        <f t="shared" si="153"/>
        <v>0</v>
      </c>
      <c r="O1950">
        <f t="shared" si="155"/>
        <v>1</v>
      </c>
      <c r="P1950" t="str">
        <f t="shared" si="154"/>
        <v/>
      </c>
      <c r="Q1950">
        <f>COUNTIF('責任職　企業局→市長部局'!A:A,SQLデータ!B1950)</f>
        <v>0</v>
      </c>
      <c r="R1950">
        <f>COUNTIF('一般職員　企業局→市長部局'!A:F,SQLデータ!B1950)</f>
        <v>0</v>
      </c>
    </row>
    <row r="1951" spans="1:18" x14ac:dyDescent="0.4">
      <c r="A1951" s="1">
        <v>202650001781</v>
      </c>
      <c r="B1951" s="1">
        <v>1036053</v>
      </c>
      <c r="C1951" s="2">
        <v>46118</v>
      </c>
      <c r="D1951" t="s">
        <v>17</v>
      </c>
      <c r="E1951" t="s">
        <v>8</v>
      </c>
      <c r="G1951" t="s">
        <v>9</v>
      </c>
      <c r="L1951">
        <f t="shared" si="151"/>
        <v>0</v>
      </c>
      <c r="M1951">
        <f t="shared" si="152"/>
        <v>0</v>
      </c>
      <c r="N1951">
        <f t="shared" si="153"/>
        <v>0</v>
      </c>
      <c r="O1951">
        <f t="shared" si="155"/>
        <v>1</v>
      </c>
      <c r="P1951" t="str">
        <f t="shared" si="154"/>
        <v/>
      </c>
      <c r="Q1951">
        <f>COUNTIF('責任職　企業局→市長部局'!A:A,SQLデータ!B1951)</f>
        <v>0</v>
      </c>
      <c r="R1951">
        <f>COUNTIF('一般職員　企業局→市長部局'!A:F,SQLデータ!B1951)</f>
        <v>0</v>
      </c>
    </row>
    <row r="1952" spans="1:18" x14ac:dyDescent="0.4">
      <c r="A1952" s="1">
        <v>202650001782</v>
      </c>
      <c r="B1952" s="1">
        <v>1110006</v>
      </c>
      <c r="C1952" s="2">
        <v>46118</v>
      </c>
      <c r="D1952" t="s">
        <v>17</v>
      </c>
      <c r="E1952" t="s">
        <v>8</v>
      </c>
      <c r="G1952" t="s">
        <v>9</v>
      </c>
      <c r="L1952">
        <f t="shared" si="151"/>
        <v>0</v>
      </c>
      <c r="M1952">
        <f t="shared" si="152"/>
        <v>0</v>
      </c>
      <c r="N1952">
        <f t="shared" si="153"/>
        <v>0</v>
      </c>
      <c r="O1952">
        <f t="shared" si="155"/>
        <v>1</v>
      </c>
      <c r="P1952" t="str">
        <f t="shared" si="154"/>
        <v/>
      </c>
      <c r="Q1952">
        <f>COUNTIF('責任職　企業局→市長部局'!A:A,SQLデータ!B1952)</f>
        <v>0</v>
      </c>
      <c r="R1952">
        <f>COUNTIF('一般職員　企業局→市長部局'!A:F,SQLデータ!B1952)</f>
        <v>0</v>
      </c>
    </row>
    <row r="1953" spans="1:18" x14ac:dyDescent="0.4">
      <c r="A1953" s="1">
        <v>202650001783</v>
      </c>
      <c r="B1953" s="1">
        <v>5015775</v>
      </c>
      <c r="C1953" s="2">
        <v>46118</v>
      </c>
      <c r="D1953" t="s">
        <v>17</v>
      </c>
      <c r="E1953" t="s">
        <v>8</v>
      </c>
      <c r="G1953" t="s">
        <v>9</v>
      </c>
      <c r="L1953">
        <f t="shared" si="151"/>
        <v>0</v>
      </c>
      <c r="M1953">
        <f t="shared" si="152"/>
        <v>0</v>
      </c>
      <c r="N1953">
        <f t="shared" si="153"/>
        <v>0</v>
      </c>
      <c r="O1953">
        <f t="shared" si="155"/>
        <v>1</v>
      </c>
      <c r="P1953" t="str">
        <f t="shared" si="154"/>
        <v/>
      </c>
      <c r="Q1953">
        <f>COUNTIF('責任職　企業局→市長部局'!A:A,SQLデータ!B1953)</f>
        <v>0</v>
      </c>
      <c r="R1953">
        <f>COUNTIF('一般職員　企業局→市長部局'!A:F,SQLデータ!B1953)</f>
        <v>0</v>
      </c>
    </row>
    <row r="1954" spans="1:18" x14ac:dyDescent="0.4">
      <c r="A1954" s="1">
        <v>202650001784</v>
      </c>
      <c r="B1954" s="1">
        <v>1151208</v>
      </c>
      <c r="C1954" s="2">
        <v>46118</v>
      </c>
      <c r="D1954" t="s">
        <v>17</v>
      </c>
      <c r="E1954" t="s">
        <v>8</v>
      </c>
      <c r="G1954" t="s">
        <v>9</v>
      </c>
      <c r="L1954">
        <f t="shared" si="151"/>
        <v>0</v>
      </c>
      <c r="M1954">
        <f t="shared" si="152"/>
        <v>0</v>
      </c>
      <c r="N1954">
        <f t="shared" si="153"/>
        <v>0</v>
      </c>
      <c r="O1954">
        <f t="shared" si="155"/>
        <v>1</v>
      </c>
      <c r="P1954" t="str">
        <f t="shared" si="154"/>
        <v/>
      </c>
      <c r="Q1954">
        <f>COUNTIF('責任職　企業局→市長部局'!A:A,SQLデータ!B1954)</f>
        <v>0</v>
      </c>
      <c r="R1954">
        <f>COUNTIF('一般職員　企業局→市長部局'!A:F,SQLデータ!B1954)</f>
        <v>0</v>
      </c>
    </row>
    <row r="1955" spans="1:18" x14ac:dyDescent="0.4">
      <c r="A1955" s="1">
        <v>202650001785</v>
      </c>
      <c r="B1955" s="1">
        <v>1251333</v>
      </c>
      <c r="C1955" s="2">
        <v>46118</v>
      </c>
      <c r="D1955" t="s">
        <v>17</v>
      </c>
      <c r="E1955" t="s">
        <v>8</v>
      </c>
      <c r="G1955" t="s">
        <v>9</v>
      </c>
      <c r="L1955">
        <f t="shared" si="151"/>
        <v>0</v>
      </c>
      <c r="M1955">
        <f t="shared" si="152"/>
        <v>0</v>
      </c>
      <c r="N1955">
        <f t="shared" si="153"/>
        <v>0</v>
      </c>
      <c r="O1955">
        <f t="shared" si="155"/>
        <v>1</v>
      </c>
      <c r="P1955" t="str">
        <f t="shared" si="154"/>
        <v/>
      </c>
      <c r="Q1955">
        <f>COUNTIF('責任職　企業局→市長部局'!A:A,SQLデータ!B1955)</f>
        <v>0</v>
      </c>
      <c r="R1955">
        <f>COUNTIF('一般職員　企業局→市長部局'!A:F,SQLデータ!B1955)</f>
        <v>0</v>
      </c>
    </row>
    <row r="1956" spans="1:18" x14ac:dyDescent="0.4">
      <c r="A1956" s="1">
        <v>202650001786</v>
      </c>
      <c r="B1956" s="1">
        <v>930464</v>
      </c>
      <c r="C1956" s="2">
        <v>46118</v>
      </c>
      <c r="D1956" t="s">
        <v>17</v>
      </c>
      <c r="E1956" t="s">
        <v>8</v>
      </c>
      <c r="G1956" t="s">
        <v>9</v>
      </c>
      <c r="L1956">
        <f t="shared" si="151"/>
        <v>0</v>
      </c>
      <c r="M1956">
        <f t="shared" si="152"/>
        <v>0</v>
      </c>
      <c r="N1956">
        <f t="shared" si="153"/>
        <v>0</v>
      </c>
      <c r="O1956">
        <f t="shared" si="155"/>
        <v>1</v>
      </c>
      <c r="P1956" t="str">
        <f t="shared" si="154"/>
        <v/>
      </c>
      <c r="Q1956">
        <f>COUNTIF('責任職　企業局→市長部局'!A:A,SQLデータ!B1956)</f>
        <v>0</v>
      </c>
      <c r="R1956">
        <f>COUNTIF('一般職員　企業局→市長部局'!A:F,SQLデータ!B1956)</f>
        <v>0</v>
      </c>
    </row>
    <row r="1957" spans="1:18" x14ac:dyDescent="0.4">
      <c r="A1957" s="1">
        <v>202650001787</v>
      </c>
      <c r="B1957" s="1">
        <v>930360</v>
      </c>
      <c r="C1957" s="2">
        <v>46118</v>
      </c>
      <c r="D1957" t="s">
        <v>17</v>
      </c>
      <c r="E1957" t="s">
        <v>8</v>
      </c>
      <c r="G1957" t="s">
        <v>9</v>
      </c>
      <c r="L1957">
        <f t="shared" si="151"/>
        <v>0</v>
      </c>
      <c r="M1957">
        <f t="shared" si="152"/>
        <v>0</v>
      </c>
      <c r="N1957">
        <f t="shared" si="153"/>
        <v>0</v>
      </c>
      <c r="O1957">
        <f t="shared" si="155"/>
        <v>1</v>
      </c>
      <c r="P1957" t="str">
        <f t="shared" si="154"/>
        <v/>
      </c>
      <c r="Q1957">
        <f>COUNTIF('責任職　企業局→市長部局'!A:A,SQLデータ!B1957)</f>
        <v>0</v>
      </c>
      <c r="R1957">
        <f>COUNTIF('一般職員　企業局→市長部局'!A:F,SQLデータ!B1957)</f>
        <v>0</v>
      </c>
    </row>
    <row r="1958" spans="1:18" x14ac:dyDescent="0.4">
      <c r="A1958" s="1">
        <v>202650001788</v>
      </c>
      <c r="B1958" s="1">
        <v>1086146</v>
      </c>
      <c r="C1958" s="2">
        <v>46118</v>
      </c>
      <c r="D1958" t="s">
        <v>17</v>
      </c>
      <c r="E1958" t="s">
        <v>8</v>
      </c>
      <c r="G1958" t="s">
        <v>9</v>
      </c>
      <c r="L1958">
        <f t="shared" si="151"/>
        <v>0</v>
      </c>
      <c r="M1958">
        <f t="shared" si="152"/>
        <v>0</v>
      </c>
      <c r="N1958">
        <f t="shared" si="153"/>
        <v>0</v>
      </c>
      <c r="O1958">
        <f t="shared" si="155"/>
        <v>1</v>
      </c>
      <c r="P1958" t="str">
        <f t="shared" si="154"/>
        <v/>
      </c>
      <c r="Q1958">
        <f>COUNTIF('責任職　企業局→市長部局'!A:A,SQLデータ!B1958)</f>
        <v>0</v>
      </c>
      <c r="R1958">
        <f>COUNTIF('一般職員　企業局→市長部局'!A:F,SQLデータ!B1958)</f>
        <v>0</v>
      </c>
    </row>
    <row r="1959" spans="1:18" x14ac:dyDescent="0.4">
      <c r="A1959" s="1">
        <v>202650001789</v>
      </c>
      <c r="B1959" s="1">
        <v>1211059</v>
      </c>
      <c r="C1959" s="2">
        <v>46118</v>
      </c>
      <c r="D1959" t="s">
        <v>17</v>
      </c>
      <c r="E1959" t="s">
        <v>8</v>
      </c>
      <c r="G1959" t="s">
        <v>9</v>
      </c>
      <c r="L1959">
        <f t="shared" si="151"/>
        <v>0</v>
      </c>
      <c r="M1959">
        <f t="shared" si="152"/>
        <v>0</v>
      </c>
      <c r="N1959">
        <f t="shared" si="153"/>
        <v>0</v>
      </c>
      <c r="O1959">
        <f t="shared" si="155"/>
        <v>1</v>
      </c>
      <c r="P1959" t="str">
        <f t="shared" si="154"/>
        <v/>
      </c>
      <c r="Q1959">
        <f>COUNTIF('責任職　企業局→市長部局'!A:A,SQLデータ!B1959)</f>
        <v>0</v>
      </c>
      <c r="R1959">
        <f>COUNTIF('一般職員　企業局→市長部局'!A:F,SQLデータ!B1959)</f>
        <v>0</v>
      </c>
    </row>
    <row r="1960" spans="1:18" x14ac:dyDescent="0.4">
      <c r="A1960" s="1">
        <v>202650001790</v>
      </c>
      <c r="B1960" s="1">
        <v>1226131</v>
      </c>
      <c r="C1960" s="2">
        <v>46118</v>
      </c>
      <c r="D1960" t="s">
        <v>17</v>
      </c>
      <c r="E1960" t="s">
        <v>8</v>
      </c>
      <c r="G1960" t="s">
        <v>9</v>
      </c>
      <c r="L1960">
        <f t="shared" si="151"/>
        <v>0</v>
      </c>
      <c r="M1960">
        <f t="shared" si="152"/>
        <v>0</v>
      </c>
      <c r="N1960">
        <f t="shared" si="153"/>
        <v>0</v>
      </c>
      <c r="O1960">
        <f t="shared" si="155"/>
        <v>1</v>
      </c>
      <c r="P1960" t="str">
        <f t="shared" si="154"/>
        <v/>
      </c>
      <c r="Q1960">
        <f>COUNTIF('責任職　企業局→市長部局'!A:A,SQLデータ!B1960)</f>
        <v>0</v>
      </c>
      <c r="R1960">
        <f>COUNTIF('一般職員　企業局→市長部局'!A:F,SQLデータ!B1960)</f>
        <v>0</v>
      </c>
    </row>
    <row r="1961" spans="1:18" x14ac:dyDescent="0.4">
      <c r="A1961" s="1">
        <v>202650001791</v>
      </c>
      <c r="B1961" s="1">
        <v>1136015</v>
      </c>
      <c r="C1961" s="2">
        <v>46118</v>
      </c>
      <c r="D1961" t="s">
        <v>17</v>
      </c>
      <c r="E1961" t="s">
        <v>8</v>
      </c>
      <c r="G1961" t="s">
        <v>9</v>
      </c>
      <c r="L1961">
        <f t="shared" si="151"/>
        <v>0</v>
      </c>
      <c r="M1961">
        <f t="shared" si="152"/>
        <v>0</v>
      </c>
      <c r="N1961">
        <f t="shared" si="153"/>
        <v>0</v>
      </c>
      <c r="O1961">
        <f t="shared" si="155"/>
        <v>1</v>
      </c>
      <c r="P1961" t="str">
        <f t="shared" si="154"/>
        <v/>
      </c>
      <c r="Q1961">
        <f>COUNTIF('責任職　企業局→市長部局'!A:A,SQLデータ!B1961)</f>
        <v>0</v>
      </c>
      <c r="R1961">
        <f>COUNTIF('一般職員　企業局→市長部局'!A:F,SQLデータ!B1961)</f>
        <v>0</v>
      </c>
    </row>
    <row r="1962" spans="1:18" x14ac:dyDescent="0.4">
      <c r="A1962" s="1">
        <v>202650001792</v>
      </c>
      <c r="B1962" s="1">
        <v>1036004</v>
      </c>
      <c r="C1962" s="2">
        <v>46118</v>
      </c>
      <c r="D1962" t="s">
        <v>17</v>
      </c>
      <c r="E1962" t="s">
        <v>8</v>
      </c>
      <c r="G1962" t="s">
        <v>9</v>
      </c>
      <c r="L1962">
        <f t="shared" si="151"/>
        <v>0</v>
      </c>
      <c r="M1962">
        <f t="shared" si="152"/>
        <v>0</v>
      </c>
      <c r="N1962">
        <f t="shared" si="153"/>
        <v>0</v>
      </c>
      <c r="O1962">
        <f t="shared" si="155"/>
        <v>1</v>
      </c>
      <c r="P1962" t="str">
        <f t="shared" si="154"/>
        <v/>
      </c>
      <c r="Q1962">
        <f>COUNTIF('責任職　企業局→市長部局'!A:A,SQLデータ!B1962)</f>
        <v>0</v>
      </c>
      <c r="R1962">
        <f>COUNTIF('一般職員　企業局→市長部局'!A:F,SQLデータ!B1962)</f>
        <v>0</v>
      </c>
    </row>
    <row r="1963" spans="1:18" x14ac:dyDescent="0.4">
      <c r="A1963" s="1">
        <v>202650001793</v>
      </c>
      <c r="B1963" s="1">
        <v>991261</v>
      </c>
      <c r="C1963" s="2">
        <v>46118</v>
      </c>
      <c r="D1963" t="s">
        <v>17</v>
      </c>
      <c r="E1963" t="s">
        <v>8</v>
      </c>
      <c r="G1963" t="s">
        <v>9</v>
      </c>
      <c r="L1963">
        <f t="shared" si="151"/>
        <v>0</v>
      </c>
      <c r="M1963">
        <f t="shared" si="152"/>
        <v>0</v>
      </c>
      <c r="N1963">
        <f t="shared" si="153"/>
        <v>0</v>
      </c>
      <c r="O1963">
        <f t="shared" si="155"/>
        <v>1</v>
      </c>
      <c r="P1963" t="str">
        <f t="shared" si="154"/>
        <v/>
      </c>
      <c r="Q1963">
        <f>COUNTIF('責任職　企業局→市長部局'!A:A,SQLデータ!B1963)</f>
        <v>0</v>
      </c>
      <c r="R1963">
        <f>COUNTIF('一般職員　企業局→市長部局'!A:F,SQLデータ!B1963)</f>
        <v>0</v>
      </c>
    </row>
    <row r="1964" spans="1:18" x14ac:dyDescent="0.4">
      <c r="A1964" s="1">
        <v>202650001794</v>
      </c>
      <c r="B1964" s="1">
        <v>930165</v>
      </c>
      <c r="C1964" s="2">
        <v>46118</v>
      </c>
      <c r="D1964" t="s">
        <v>17</v>
      </c>
      <c r="E1964" t="s">
        <v>8</v>
      </c>
      <c r="G1964" t="s">
        <v>9</v>
      </c>
      <c r="L1964">
        <f t="shared" si="151"/>
        <v>0</v>
      </c>
      <c r="M1964">
        <f t="shared" si="152"/>
        <v>0</v>
      </c>
      <c r="N1964">
        <f t="shared" si="153"/>
        <v>0</v>
      </c>
      <c r="O1964">
        <f t="shared" si="155"/>
        <v>1</v>
      </c>
      <c r="P1964" t="str">
        <f t="shared" si="154"/>
        <v/>
      </c>
      <c r="Q1964">
        <f>COUNTIF('責任職　企業局→市長部局'!A:A,SQLデータ!B1964)</f>
        <v>0</v>
      </c>
      <c r="R1964">
        <f>COUNTIF('一般職員　企業局→市長部局'!A:F,SQLデータ!B1964)</f>
        <v>0</v>
      </c>
    </row>
    <row r="1965" spans="1:18" x14ac:dyDescent="0.4">
      <c r="A1965" s="1">
        <v>202650001795</v>
      </c>
      <c r="B1965" s="1">
        <v>1222041</v>
      </c>
      <c r="C1965" s="2">
        <v>46125</v>
      </c>
      <c r="D1965" t="s">
        <v>17</v>
      </c>
      <c r="E1965" t="s">
        <v>8</v>
      </c>
      <c r="G1965" t="s">
        <v>9</v>
      </c>
      <c r="L1965">
        <f t="shared" si="151"/>
        <v>0</v>
      </c>
      <c r="M1965">
        <f t="shared" si="152"/>
        <v>0</v>
      </c>
      <c r="N1965">
        <f t="shared" si="153"/>
        <v>0</v>
      </c>
      <c r="O1965">
        <f t="shared" si="155"/>
        <v>1</v>
      </c>
      <c r="P1965" t="str">
        <f t="shared" si="154"/>
        <v/>
      </c>
      <c r="Q1965">
        <f>COUNTIF('責任職　企業局→市長部局'!A:A,SQLデータ!B1965)</f>
        <v>0</v>
      </c>
      <c r="R1965">
        <f>COUNTIF('一般職員　企業局→市長部局'!A:F,SQLデータ!B1965)</f>
        <v>0</v>
      </c>
    </row>
    <row r="1966" spans="1:18" x14ac:dyDescent="0.4">
      <c r="A1966" s="1">
        <v>202650001796</v>
      </c>
      <c r="B1966" s="1">
        <v>1126062</v>
      </c>
      <c r="C1966" s="2">
        <v>46118</v>
      </c>
      <c r="D1966" t="s">
        <v>17</v>
      </c>
      <c r="E1966" t="s">
        <v>8</v>
      </c>
      <c r="G1966" t="s">
        <v>9</v>
      </c>
      <c r="L1966">
        <f t="shared" si="151"/>
        <v>0</v>
      </c>
      <c r="M1966">
        <f t="shared" si="152"/>
        <v>0</v>
      </c>
      <c r="N1966">
        <f t="shared" si="153"/>
        <v>0</v>
      </c>
      <c r="O1966">
        <f t="shared" si="155"/>
        <v>1</v>
      </c>
      <c r="P1966" t="str">
        <f t="shared" si="154"/>
        <v/>
      </c>
      <c r="Q1966">
        <f>COUNTIF('責任職　企業局→市長部局'!A:A,SQLデータ!B1966)</f>
        <v>0</v>
      </c>
      <c r="R1966">
        <f>COUNTIF('一般職員　企業局→市長部局'!A:F,SQLデータ!B1966)</f>
        <v>0</v>
      </c>
    </row>
    <row r="1967" spans="1:18" x14ac:dyDescent="0.4">
      <c r="A1967" s="1">
        <v>202650001797</v>
      </c>
      <c r="B1967" s="1">
        <v>1246081</v>
      </c>
      <c r="C1967" s="2">
        <v>46118</v>
      </c>
      <c r="D1967" t="s">
        <v>17</v>
      </c>
      <c r="E1967" t="s">
        <v>8</v>
      </c>
      <c r="G1967" t="s">
        <v>9</v>
      </c>
      <c r="L1967">
        <f t="shared" si="151"/>
        <v>0</v>
      </c>
      <c r="M1967">
        <f t="shared" si="152"/>
        <v>0</v>
      </c>
      <c r="N1967">
        <f t="shared" si="153"/>
        <v>0</v>
      </c>
      <c r="O1967">
        <f t="shared" si="155"/>
        <v>1</v>
      </c>
      <c r="P1967" t="str">
        <f t="shared" si="154"/>
        <v/>
      </c>
      <c r="Q1967">
        <f>COUNTIF('責任職　企業局→市長部局'!A:A,SQLデータ!B1967)</f>
        <v>0</v>
      </c>
      <c r="R1967">
        <f>COUNTIF('一般職員　企業局→市長部局'!A:F,SQLデータ!B1967)</f>
        <v>0</v>
      </c>
    </row>
    <row r="1968" spans="1:18" x14ac:dyDescent="0.4">
      <c r="A1968" s="1">
        <v>202650001798</v>
      </c>
      <c r="B1968" s="1">
        <v>4914321</v>
      </c>
      <c r="C1968" s="2">
        <v>46118</v>
      </c>
      <c r="D1968" t="s">
        <v>17</v>
      </c>
      <c r="E1968" t="s">
        <v>8</v>
      </c>
      <c r="G1968" t="s">
        <v>9</v>
      </c>
      <c r="L1968">
        <f t="shared" si="151"/>
        <v>0</v>
      </c>
      <c r="M1968">
        <f t="shared" si="152"/>
        <v>0</v>
      </c>
      <c r="N1968">
        <f t="shared" si="153"/>
        <v>0</v>
      </c>
      <c r="O1968">
        <f t="shared" si="155"/>
        <v>1</v>
      </c>
      <c r="P1968" t="str">
        <f t="shared" si="154"/>
        <v/>
      </c>
      <c r="Q1968">
        <f>COUNTIF('責任職　企業局→市長部局'!A:A,SQLデータ!B1968)</f>
        <v>0</v>
      </c>
      <c r="R1968">
        <f>COUNTIF('一般職員　企業局→市長部局'!A:F,SQLデータ!B1968)</f>
        <v>0</v>
      </c>
    </row>
    <row r="1969" spans="1:18" x14ac:dyDescent="0.4">
      <c r="A1969" s="1">
        <v>202650001799</v>
      </c>
      <c r="B1969" s="1">
        <v>1246007</v>
      </c>
      <c r="C1969" s="2">
        <v>46118</v>
      </c>
      <c r="D1969" t="s">
        <v>17</v>
      </c>
      <c r="E1969" t="s">
        <v>8</v>
      </c>
      <c r="G1969" t="s">
        <v>9</v>
      </c>
      <c r="L1969">
        <f t="shared" si="151"/>
        <v>0</v>
      </c>
      <c r="M1969">
        <f t="shared" si="152"/>
        <v>0</v>
      </c>
      <c r="N1969">
        <f t="shared" si="153"/>
        <v>0</v>
      </c>
      <c r="O1969">
        <f t="shared" si="155"/>
        <v>1</v>
      </c>
      <c r="P1969" t="str">
        <f t="shared" si="154"/>
        <v/>
      </c>
      <c r="Q1969">
        <f>COUNTIF('責任職　企業局→市長部局'!A:A,SQLデータ!B1969)</f>
        <v>0</v>
      </c>
      <c r="R1969">
        <f>COUNTIF('一般職員　企業局→市長部局'!A:F,SQLデータ!B1969)</f>
        <v>0</v>
      </c>
    </row>
    <row r="1970" spans="1:18" x14ac:dyDescent="0.4">
      <c r="A1970" s="1">
        <v>202650001800</v>
      </c>
      <c r="B1970" s="1">
        <v>1111206</v>
      </c>
      <c r="C1970" s="2">
        <v>46118</v>
      </c>
      <c r="D1970" t="s">
        <v>17</v>
      </c>
      <c r="E1970" t="s">
        <v>8</v>
      </c>
      <c r="G1970" t="s">
        <v>9</v>
      </c>
      <c r="L1970">
        <f t="shared" si="151"/>
        <v>0</v>
      </c>
      <c r="M1970">
        <f t="shared" si="152"/>
        <v>0</v>
      </c>
      <c r="N1970">
        <f t="shared" si="153"/>
        <v>0</v>
      </c>
      <c r="O1970">
        <f t="shared" si="155"/>
        <v>1</v>
      </c>
      <c r="P1970" t="str">
        <f t="shared" si="154"/>
        <v/>
      </c>
      <c r="Q1970">
        <f>COUNTIF('責任職　企業局→市長部局'!A:A,SQLデータ!B1970)</f>
        <v>0</v>
      </c>
      <c r="R1970">
        <f>COUNTIF('一般職員　企業局→市長部局'!A:F,SQLデータ!B1970)</f>
        <v>0</v>
      </c>
    </row>
    <row r="1971" spans="1:18" x14ac:dyDescent="0.4">
      <c r="A1971" s="1">
        <v>202650001801</v>
      </c>
      <c r="B1971" s="1">
        <v>1124047</v>
      </c>
      <c r="C1971" s="2">
        <v>46118</v>
      </c>
      <c r="D1971" t="s">
        <v>17</v>
      </c>
      <c r="E1971" t="s">
        <v>8</v>
      </c>
      <c r="G1971" t="s">
        <v>9</v>
      </c>
      <c r="L1971">
        <f t="shared" si="151"/>
        <v>0</v>
      </c>
      <c r="M1971">
        <f t="shared" si="152"/>
        <v>0</v>
      </c>
      <c r="N1971">
        <f t="shared" si="153"/>
        <v>0</v>
      </c>
      <c r="O1971">
        <f t="shared" si="155"/>
        <v>1</v>
      </c>
      <c r="P1971" t="str">
        <f t="shared" si="154"/>
        <v/>
      </c>
      <c r="Q1971">
        <f>COUNTIF('責任職　企業局→市長部局'!A:A,SQLデータ!B1971)</f>
        <v>0</v>
      </c>
      <c r="R1971">
        <f>COUNTIF('一般職員　企業局→市長部局'!A:F,SQLデータ!B1971)</f>
        <v>0</v>
      </c>
    </row>
    <row r="1972" spans="1:18" x14ac:dyDescent="0.4">
      <c r="A1972" s="1">
        <v>202650001803</v>
      </c>
      <c r="B1972" s="1">
        <v>1041059</v>
      </c>
      <c r="C1972" s="2">
        <v>46118</v>
      </c>
      <c r="D1972" t="s">
        <v>17</v>
      </c>
      <c r="E1972" t="s">
        <v>8</v>
      </c>
      <c r="G1972" t="s">
        <v>9</v>
      </c>
      <c r="L1972">
        <f t="shared" si="151"/>
        <v>0</v>
      </c>
      <c r="M1972">
        <f t="shared" si="152"/>
        <v>0</v>
      </c>
      <c r="N1972">
        <f t="shared" si="153"/>
        <v>0</v>
      </c>
      <c r="O1972">
        <f t="shared" si="155"/>
        <v>1</v>
      </c>
      <c r="P1972" t="str">
        <f t="shared" si="154"/>
        <v/>
      </c>
      <c r="Q1972">
        <f>COUNTIF('責任職　企業局→市長部局'!A:A,SQLデータ!B1972)</f>
        <v>0</v>
      </c>
      <c r="R1972">
        <f>COUNTIF('一般職員　企業局→市長部局'!A:F,SQLデータ!B1972)</f>
        <v>0</v>
      </c>
    </row>
    <row r="1973" spans="1:18" x14ac:dyDescent="0.4">
      <c r="A1973" s="1">
        <v>202650001804</v>
      </c>
      <c r="B1973" s="1">
        <v>1246038</v>
      </c>
      <c r="C1973" s="2">
        <v>46118</v>
      </c>
      <c r="D1973" t="s">
        <v>17</v>
      </c>
      <c r="E1973" t="s">
        <v>8</v>
      </c>
      <c r="G1973" t="s">
        <v>9</v>
      </c>
      <c r="L1973">
        <f t="shared" si="151"/>
        <v>0</v>
      </c>
      <c r="M1973">
        <f t="shared" si="152"/>
        <v>0</v>
      </c>
      <c r="N1973">
        <f t="shared" si="153"/>
        <v>0</v>
      </c>
      <c r="O1973">
        <f t="shared" si="155"/>
        <v>1</v>
      </c>
      <c r="P1973" t="str">
        <f t="shared" si="154"/>
        <v/>
      </c>
      <c r="Q1973">
        <f>COUNTIF('責任職　企業局→市長部局'!A:A,SQLデータ!B1973)</f>
        <v>0</v>
      </c>
      <c r="R1973">
        <f>COUNTIF('一般職員　企業局→市長部局'!A:F,SQLデータ!B1973)</f>
        <v>0</v>
      </c>
    </row>
    <row r="1974" spans="1:18" x14ac:dyDescent="0.4">
      <c r="A1974" s="1">
        <v>202650001805</v>
      </c>
      <c r="B1974" s="1">
        <v>1006012</v>
      </c>
      <c r="C1974" s="2">
        <v>46118</v>
      </c>
      <c r="D1974" t="s">
        <v>17</v>
      </c>
      <c r="E1974" t="s">
        <v>8</v>
      </c>
      <c r="G1974" t="s">
        <v>9</v>
      </c>
      <c r="L1974">
        <f t="shared" si="151"/>
        <v>0</v>
      </c>
      <c r="M1974">
        <f t="shared" si="152"/>
        <v>0</v>
      </c>
      <c r="N1974">
        <f t="shared" si="153"/>
        <v>0</v>
      </c>
      <c r="O1974">
        <f t="shared" si="155"/>
        <v>1</v>
      </c>
      <c r="P1974" t="str">
        <f t="shared" si="154"/>
        <v/>
      </c>
      <c r="Q1974">
        <f>COUNTIF('責任職　企業局→市長部局'!A:A,SQLデータ!B1974)</f>
        <v>0</v>
      </c>
      <c r="R1974">
        <f>COUNTIF('一般職員　企業局→市長部局'!A:F,SQLデータ!B1974)</f>
        <v>0</v>
      </c>
    </row>
    <row r="1975" spans="1:18" x14ac:dyDescent="0.4">
      <c r="A1975" s="1">
        <v>202650001806</v>
      </c>
      <c r="B1975" s="1">
        <v>1071103</v>
      </c>
      <c r="C1975" s="2">
        <v>46118</v>
      </c>
      <c r="D1975" t="s">
        <v>17</v>
      </c>
      <c r="E1975" t="s">
        <v>8</v>
      </c>
      <c r="G1975" t="s">
        <v>9</v>
      </c>
      <c r="L1975">
        <f t="shared" si="151"/>
        <v>0</v>
      </c>
      <c r="M1975">
        <f t="shared" si="152"/>
        <v>0</v>
      </c>
      <c r="N1975">
        <f t="shared" si="153"/>
        <v>0</v>
      </c>
      <c r="O1975">
        <f t="shared" si="155"/>
        <v>1</v>
      </c>
      <c r="P1975" t="str">
        <f t="shared" si="154"/>
        <v/>
      </c>
      <c r="Q1975">
        <f>COUNTIF('責任職　企業局→市長部局'!A:A,SQLデータ!B1975)</f>
        <v>0</v>
      </c>
      <c r="R1975">
        <f>COUNTIF('一般職員　企業局→市長部局'!A:F,SQLデータ!B1975)</f>
        <v>0</v>
      </c>
    </row>
    <row r="1976" spans="1:18" x14ac:dyDescent="0.4">
      <c r="A1976" s="1">
        <v>202650001808</v>
      </c>
      <c r="B1976" s="1">
        <v>1051020</v>
      </c>
      <c r="C1976" s="2">
        <v>46118</v>
      </c>
      <c r="D1976" t="s">
        <v>17</v>
      </c>
      <c r="E1976" t="s">
        <v>8</v>
      </c>
      <c r="G1976" t="s">
        <v>9</v>
      </c>
      <c r="L1976">
        <f t="shared" si="151"/>
        <v>0</v>
      </c>
      <c r="M1976">
        <f t="shared" si="152"/>
        <v>0</v>
      </c>
      <c r="N1976">
        <f t="shared" si="153"/>
        <v>0</v>
      </c>
      <c r="O1976">
        <f t="shared" si="155"/>
        <v>1</v>
      </c>
      <c r="P1976" t="str">
        <f t="shared" si="154"/>
        <v/>
      </c>
      <c r="Q1976">
        <f>COUNTIF('責任職　企業局→市長部局'!A:A,SQLデータ!B1976)</f>
        <v>0</v>
      </c>
      <c r="R1976">
        <f>COUNTIF('一般職員　企業局→市長部局'!A:F,SQLデータ!B1976)</f>
        <v>0</v>
      </c>
    </row>
    <row r="1977" spans="1:18" x14ac:dyDescent="0.4">
      <c r="A1977" s="1">
        <v>202650001809</v>
      </c>
      <c r="B1977" s="1">
        <v>1181444</v>
      </c>
      <c r="C1977" s="2">
        <v>46118</v>
      </c>
      <c r="D1977" t="s">
        <v>17</v>
      </c>
      <c r="E1977" t="s">
        <v>8</v>
      </c>
      <c r="G1977" t="s">
        <v>9</v>
      </c>
      <c r="L1977">
        <f t="shared" si="151"/>
        <v>0</v>
      </c>
      <c r="M1977">
        <f t="shared" si="152"/>
        <v>0</v>
      </c>
      <c r="N1977">
        <f t="shared" si="153"/>
        <v>0</v>
      </c>
      <c r="O1977">
        <f t="shared" si="155"/>
        <v>1</v>
      </c>
      <c r="P1977" t="str">
        <f t="shared" si="154"/>
        <v/>
      </c>
      <c r="Q1977">
        <f>COUNTIF('責任職　企業局→市長部局'!A:A,SQLデータ!B1977)</f>
        <v>0</v>
      </c>
      <c r="R1977">
        <f>COUNTIF('一般職員　企業局→市長部局'!A:F,SQLデータ!B1977)</f>
        <v>0</v>
      </c>
    </row>
    <row r="1978" spans="1:18" x14ac:dyDescent="0.4">
      <c r="A1978" s="1">
        <v>202650001810</v>
      </c>
      <c r="B1978" s="1">
        <v>971087</v>
      </c>
      <c r="C1978" s="2">
        <v>46118</v>
      </c>
      <c r="D1978" t="s">
        <v>17</v>
      </c>
      <c r="E1978" t="s">
        <v>8</v>
      </c>
      <c r="G1978" t="s">
        <v>9</v>
      </c>
      <c r="L1978">
        <f t="shared" si="151"/>
        <v>0</v>
      </c>
      <c r="M1978">
        <f t="shared" si="152"/>
        <v>0</v>
      </c>
      <c r="N1978">
        <f t="shared" si="153"/>
        <v>0</v>
      </c>
      <c r="O1978">
        <f t="shared" si="155"/>
        <v>1</v>
      </c>
      <c r="P1978" t="str">
        <f t="shared" si="154"/>
        <v/>
      </c>
      <c r="Q1978">
        <f>COUNTIF('責任職　企業局→市長部局'!A:A,SQLデータ!B1978)</f>
        <v>0</v>
      </c>
      <c r="R1978">
        <f>COUNTIF('一般職員　企業局→市長部局'!A:F,SQLデータ!B1978)</f>
        <v>0</v>
      </c>
    </row>
    <row r="1979" spans="1:18" x14ac:dyDescent="0.4">
      <c r="A1979" s="1">
        <v>202650001811</v>
      </c>
      <c r="B1979" s="1">
        <v>1221154</v>
      </c>
      <c r="C1979" s="2">
        <v>46118</v>
      </c>
      <c r="D1979" t="s">
        <v>17</v>
      </c>
      <c r="E1979" t="s">
        <v>8</v>
      </c>
      <c r="G1979" t="s">
        <v>9</v>
      </c>
      <c r="L1979">
        <f t="shared" si="151"/>
        <v>0</v>
      </c>
      <c r="M1979">
        <f t="shared" si="152"/>
        <v>0</v>
      </c>
      <c r="N1979">
        <f t="shared" si="153"/>
        <v>0</v>
      </c>
      <c r="O1979">
        <f t="shared" si="155"/>
        <v>1</v>
      </c>
      <c r="P1979" t="str">
        <f t="shared" si="154"/>
        <v/>
      </c>
      <c r="Q1979">
        <f>COUNTIF('責任職　企業局→市長部局'!A:A,SQLデータ!B1979)</f>
        <v>0</v>
      </c>
      <c r="R1979">
        <f>COUNTIF('一般職員　企業局→市長部局'!A:F,SQLデータ!B1979)</f>
        <v>0</v>
      </c>
    </row>
    <row r="1980" spans="1:18" x14ac:dyDescent="0.4">
      <c r="A1980" s="1">
        <v>202650001812</v>
      </c>
      <c r="B1980" s="1">
        <v>1021004</v>
      </c>
      <c r="C1980" s="2">
        <v>46118</v>
      </c>
      <c r="D1980" t="s">
        <v>17</v>
      </c>
      <c r="E1980" t="s">
        <v>8</v>
      </c>
      <c r="G1980" t="s">
        <v>9</v>
      </c>
      <c r="L1980">
        <f t="shared" si="151"/>
        <v>0</v>
      </c>
      <c r="M1980">
        <f t="shared" si="152"/>
        <v>0</v>
      </c>
      <c r="N1980">
        <f t="shared" si="153"/>
        <v>0</v>
      </c>
      <c r="O1980">
        <f t="shared" si="155"/>
        <v>1</v>
      </c>
      <c r="P1980" t="str">
        <f t="shared" si="154"/>
        <v/>
      </c>
      <c r="Q1980">
        <f>COUNTIF('責任職　企業局→市長部局'!A:A,SQLデータ!B1980)</f>
        <v>0</v>
      </c>
      <c r="R1980">
        <f>COUNTIF('一般職員　企業局→市長部局'!A:F,SQLデータ!B1980)</f>
        <v>0</v>
      </c>
    </row>
    <row r="1981" spans="1:18" x14ac:dyDescent="0.4">
      <c r="A1981" s="1">
        <v>202650001813</v>
      </c>
      <c r="B1981" s="1">
        <v>940041</v>
      </c>
      <c r="C1981" s="2">
        <v>46119</v>
      </c>
      <c r="D1981" t="s">
        <v>17</v>
      </c>
      <c r="E1981" t="s">
        <v>8</v>
      </c>
      <c r="G1981" t="s">
        <v>9</v>
      </c>
      <c r="L1981">
        <f t="shared" si="151"/>
        <v>0</v>
      </c>
      <c r="M1981">
        <f t="shared" si="152"/>
        <v>0</v>
      </c>
      <c r="N1981">
        <f t="shared" si="153"/>
        <v>0</v>
      </c>
      <c r="O1981">
        <f t="shared" si="155"/>
        <v>1</v>
      </c>
      <c r="P1981" t="str">
        <f t="shared" si="154"/>
        <v/>
      </c>
      <c r="Q1981">
        <f>COUNTIF('責任職　企業局→市長部局'!A:A,SQLデータ!B1981)</f>
        <v>0</v>
      </c>
      <c r="R1981">
        <f>COUNTIF('一般職員　企業局→市長部局'!A:F,SQLデータ!B1981)</f>
        <v>0</v>
      </c>
    </row>
    <row r="1982" spans="1:18" x14ac:dyDescent="0.4">
      <c r="A1982" s="1">
        <v>202650001814</v>
      </c>
      <c r="B1982" s="1">
        <v>950426</v>
      </c>
      <c r="C1982" s="2">
        <v>46118</v>
      </c>
      <c r="D1982" t="s">
        <v>17</v>
      </c>
      <c r="E1982" t="s">
        <v>8</v>
      </c>
      <c r="G1982" t="s">
        <v>9</v>
      </c>
      <c r="L1982">
        <f t="shared" si="151"/>
        <v>0</v>
      </c>
      <c r="M1982">
        <f t="shared" si="152"/>
        <v>0</v>
      </c>
      <c r="N1982">
        <f t="shared" si="153"/>
        <v>0</v>
      </c>
      <c r="O1982">
        <f t="shared" si="155"/>
        <v>1</v>
      </c>
      <c r="P1982" t="str">
        <f t="shared" si="154"/>
        <v/>
      </c>
      <c r="Q1982">
        <f>COUNTIF('責任職　企業局→市長部局'!A:A,SQLデータ!B1982)</f>
        <v>0</v>
      </c>
      <c r="R1982">
        <f>COUNTIF('一般職員　企業局→市長部局'!A:F,SQLデータ!B1982)</f>
        <v>0</v>
      </c>
    </row>
    <row r="1983" spans="1:18" x14ac:dyDescent="0.4">
      <c r="A1983" s="1">
        <v>202650001816</v>
      </c>
      <c r="B1983" s="1">
        <v>1001026</v>
      </c>
      <c r="C1983" s="2">
        <v>46118</v>
      </c>
      <c r="D1983" t="s">
        <v>17</v>
      </c>
      <c r="E1983" t="s">
        <v>8</v>
      </c>
      <c r="G1983" t="s">
        <v>9</v>
      </c>
      <c r="L1983">
        <f t="shared" si="151"/>
        <v>0</v>
      </c>
      <c r="M1983">
        <f t="shared" si="152"/>
        <v>0</v>
      </c>
      <c r="N1983">
        <f t="shared" si="153"/>
        <v>0</v>
      </c>
      <c r="O1983">
        <f t="shared" si="155"/>
        <v>1</v>
      </c>
      <c r="P1983" t="str">
        <f t="shared" si="154"/>
        <v/>
      </c>
      <c r="Q1983">
        <f>COUNTIF('責任職　企業局→市長部局'!A:A,SQLデータ!B1983)</f>
        <v>0</v>
      </c>
      <c r="R1983">
        <f>COUNTIF('一般職員　企業局→市長部局'!A:F,SQLデータ!B1983)</f>
        <v>0</v>
      </c>
    </row>
    <row r="1984" spans="1:18" x14ac:dyDescent="0.4">
      <c r="A1984" s="1">
        <v>202650001817</v>
      </c>
      <c r="B1984" s="1">
        <v>5047767</v>
      </c>
      <c r="C1984" s="2">
        <v>46118</v>
      </c>
      <c r="D1984" t="s">
        <v>17</v>
      </c>
      <c r="E1984" t="s">
        <v>8</v>
      </c>
      <c r="F1984" t="s">
        <v>54</v>
      </c>
      <c r="G1984" t="s">
        <v>9</v>
      </c>
      <c r="L1984">
        <f t="shared" si="151"/>
        <v>0</v>
      </c>
      <c r="M1984">
        <f t="shared" si="152"/>
        <v>0</v>
      </c>
      <c r="N1984">
        <f t="shared" si="153"/>
        <v>0</v>
      </c>
      <c r="O1984">
        <f t="shared" si="155"/>
        <v>1</v>
      </c>
      <c r="P1984" t="str">
        <f t="shared" si="154"/>
        <v/>
      </c>
      <c r="Q1984">
        <f>COUNTIF('責任職　企業局→市長部局'!A:A,SQLデータ!B1984)</f>
        <v>0</v>
      </c>
      <c r="R1984">
        <f>COUNTIF('一般職員　企業局→市長部局'!A:F,SQLデータ!B1984)</f>
        <v>0</v>
      </c>
    </row>
    <row r="1985" spans="1:18" x14ac:dyDescent="0.4">
      <c r="A1985" s="1">
        <v>202650001818</v>
      </c>
      <c r="B1985" s="1">
        <v>996035</v>
      </c>
      <c r="C1985" s="2">
        <v>46118</v>
      </c>
      <c r="D1985" t="s">
        <v>17</v>
      </c>
      <c r="E1985" t="s">
        <v>8</v>
      </c>
      <c r="G1985" t="s">
        <v>9</v>
      </c>
      <c r="L1985">
        <f t="shared" si="151"/>
        <v>0</v>
      </c>
      <c r="M1985">
        <f t="shared" si="152"/>
        <v>0</v>
      </c>
      <c r="N1985">
        <f t="shared" si="153"/>
        <v>0</v>
      </c>
      <c r="O1985">
        <f t="shared" si="155"/>
        <v>1</v>
      </c>
      <c r="P1985" t="str">
        <f t="shared" si="154"/>
        <v/>
      </c>
      <c r="Q1985">
        <f>COUNTIF('責任職　企業局→市長部局'!A:A,SQLデータ!B1985)</f>
        <v>0</v>
      </c>
      <c r="R1985">
        <f>COUNTIF('一般職員　企業局→市長部局'!A:F,SQLデータ!B1985)</f>
        <v>0</v>
      </c>
    </row>
    <row r="1986" spans="1:18" x14ac:dyDescent="0.4">
      <c r="A1986" s="1">
        <v>202650001819</v>
      </c>
      <c r="B1986" s="1">
        <v>1161204</v>
      </c>
      <c r="C1986" s="2">
        <v>46118</v>
      </c>
      <c r="D1986" t="s">
        <v>17</v>
      </c>
      <c r="E1986" t="s">
        <v>8</v>
      </c>
      <c r="G1986" t="s">
        <v>9</v>
      </c>
      <c r="L1986">
        <f t="shared" ref="L1986:L2049" si="156">IF(ISBLANK(J1986),0,1)</f>
        <v>0</v>
      </c>
      <c r="M1986">
        <f t="shared" ref="M1986:M2049" si="157">IF(AND(L1986=0,I1986&lt;&gt;""),1,0)</f>
        <v>0</v>
      </c>
      <c r="N1986">
        <f t="shared" ref="N1986:N2049" si="158">IF(AND(L1986=0,M1986=0,K1986&lt;&gt;""),1,0)</f>
        <v>0</v>
      </c>
      <c r="O1986">
        <f t="shared" si="155"/>
        <v>1</v>
      </c>
      <c r="P1986" t="str">
        <f t="shared" ref="P1986:P2049" si="159">IF(D1986&lt;&gt;"扶養","",IF(E1986&lt;&gt;"確認待ち",1,IF(OR(AND(G1986="本人の結婚",O1986=1),AND(H1986="減",OR(N1986=1,O1986=1))),1,0)))</f>
        <v/>
      </c>
      <c r="Q1986">
        <f>COUNTIF('責任職　企業局→市長部局'!A:A,SQLデータ!B1986)</f>
        <v>0</v>
      </c>
      <c r="R1986">
        <f>COUNTIF('一般職員　企業局→市長部局'!A:F,SQLデータ!B1986)</f>
        <v>0</v>
      </c>
    </row>
    <row r="1987" spans="1:18" x14ac:dyDescent="0.4">
      <c r="A1987" s="1">
        <v>202650001821</v>
      </c>
      <c r="B1987" s="1">
        <v>1003016</v>
      </c>
      <c r="C1987" s="2">
        <v>46118</v>
      </c>
      <c r="D1987" t="s">
        <v>17</v>
      </c>
      <c r="E1987" t="s">
        <v>8</v>
      </c>
      <c r="G1987" t="s">
        <v>9</v>
      </c>
      <c r="L1987">
        <f t="shared" si="156"/>
        <v>0</v>
      </c>
      <c r="M1987">
        <f t="shared" si="157"/>
        <v>0</v>
      </c>
      <c r="N1987">
        <f t="shared" si="158"/>
        <v>0</v>
      </c>
      <c r="O1987">
        <f t="shared" si="155"/>
        <v>1</v>
      </c>
      <c r="P1987" t="str">
        <f t="shared" si="159"/>
        <v/>
      </c>
      <c r="Q1987">
        <f>COUNTIF('責任職　企業局→市長部局'!A:A,SQLデータ!B1987)</f>
        <v>0</v>
      </c>
      <c r="R1987">
        <f>COUNTIF('一般職員　企業局→市長部局'!A:F,SQLデータ!B1987)</f>
        <v>0</v>
      </c>
    </row>
    <row r="1988" spans="1:18" x14ac:dyDescent="0.4">
      <c r="A1988" s="1">
        <v>202650001822</v>
      </c>
      <c r="B1988" s="1">
        <v>940066</v>
      </c>
      <c r="C1988" s="2">
        <v>46118</v>
      </c>
      <c r="D1988" t="s">
        <v>17</v>
      </c>
      <c r="E1988" t="s">
        <v>8</v>
      </c>
      <c r="G1988" t="s">
        <v>9</v>
      </c>
      <c r="L1988">
        <f t="shared" si="156"/>
        <v>0</v>
      </c>
      <c r="M1988">
        <f t="shared" si="157"/>
        <v>0</v>
      </c>
      <c r="N1988">
        <f t="shared" si="158"/>
        <v>0</v>
      </c>
      <c r="O1988">
        <f t="shared" si="155"/>
        <v>1</v>
      </c>
      <c r="P1988" t="str">
        <f t="shared" si="159"/>
        <v/>
      </c>
      <c r="Q1988">
        <f>COUNTIF('責任職　企業局→市長部局'!A:A,SQLデータ!B1988)</f>
        <v>0</v>
      </c>
      <c r="R1988">
        <f>COUNTIF('一般職員　企業局→市長部局'!A:F,SQLデータ!B1988)</f>
        <v>0</v>
      </c>
    </row>
    <row r="1989" spans="1:18" x14ac:dyDescent="0.4">
      <c r="A1989" s="1">
        <v>202650001823</v>
      </c>
      <c r="B1989" s="1">
        <v>1171577</v>
      </c>
      <c r="C1989" s="2">
        <v>46118</v>
      </c>
      <c r="D1989" t="s">
        <v>17</v>
      </c>
      <c r="E1989" t="s">
        <v>8</v>
      </c>
      <c r="G1989" t="s">
        <v>9</v>
      </c>
      <c r="L1989">
        <f t="shared" si="156"/>
        <v>0</v>
      </c>
      <c r="M1989">
        <f t="shared" si="157"/>
        <v>0</v>
      </c>
      <c r="N1989">
        <f t="shared" si="158"/>
        <v>0</v>
      </c>
      <c r="O1989">
        <f t="shared" si="155"/>
        <v>1</v>
      </c>
      <c r="P1989" t="str">
        <f t="shared" si="159"/>
        <v/>
      </c>
      <c r="Q1989">
        <f>COUNTIF('責任職　企業局→市長部局'!A:A,SQLデータ!B1989)</f>
        <v>0</v>
      </c>
      <c r="R1989">
        <f>COUNTIF('一般職員　企業局→市長部局'!A:F,SQLデータ!B1989)</f>
        <v>0</v>
      </c>
    </row>
    <row r="1990" spans="1:18" x14ac:dyDescent="0.4">
      <c r="A1990" s="1">
        <v>202650001824</v>
      </c>
      <c r="B1990" s="1">
        <v>908159</v>
      </c>
      <c r="C1990" s="2">
        <v>46118</v>
      </c>
      <c r="D1990" t="s">
        <v>17</v>
      </c>
      <c r="E1990" t="s">
        <v>8</v>
      </c>
      <c r="G1990" t="s">
        <v>9</v>
      </c>
      <c r="L1990">
        <f t="shared" si="156"/>
        <v>0</v>
      </c>
      <c r="M1990">
        <f t="shared" si="157"/>
        <v>0</v>
      </c>
      <c r="N1990">
        <f t="shared" si="158"/>
        <v>0</v>
      </c>
      <c r="O1990">
        <f t="shared" si="155"/>
        <v>1</v>
      </c>
      <c r="P1990" t="str">
        <f t="shared" si="159"/>
        <v/>
      </c>
      <c r="Q1990">
        <f>COUNTIF('責任職　企業局→市長部局'!A:A,SQLデータ!B1990)</f>
        <v>0</v>
      </c>
      <c r="R1990">
        <f>COUNTIF('一般職員　企業局→市長部局'!A:F,SQLデータ!B1990)</f>
        <v>0</v>
      </c>
    </row>
    <row r="1991" spans="1:18" x14ac:dyDescent="0.4">
      <c r="A1991" s="1">
        <v>202650001825</v>
      </c>
      <c r="B1991" s="1">
        <v>1221233</v>
      </c>
      <c r="C1991" s="2">
        <v>46118</v>
      </c>
      <c r="D1991" t="s">
        <v>17</v>
      </c>
      <c r="E1991" t="s">
        <v>8</v>
      </c>
      <c r="G1991" t="s">
        <v>9</v>
      </c>
      <c r="L1991">
        <f t="shared" si="156"/>
        <v>0</v>
      </c>
      <c r="M1991">
        <f t="shared" si="157"/>
        <v>0</v>
      </c>
      <c r="N1991">
        <f t="shared" si="158"/>
        <v>0</v>
      </c>
      <c r="O1991">
        <f t="shared" si="155"/>
        <v>1</v>
      </c>
      <c r="P1991" t="str">
        <f t="shared" si="159"/>
        <v/>
      </c>
      <c r="Q1991">
        <f>COUNTIF('責任職　企業局→市長部局'!A:A,SQLデータ!B1991)</f>
        <v>0</v>
      </c>
      <c r="R1991">
        <f>COUNTIF('一般職員　企業局→市長部局'!A:F,SQLデータ!B1991)</f>
        <v>0</v>
      </c>
    </row>
    <row r="1992" spans="1:18" x14ac:dyDescent="0.4">
      <c r="A1992" s="1">
        <v>202650001826</v>
      </c>
      <c r="B1992" s="1">
        <v>1186147</v>
      </c>
      <c r="C1992" s="2">
        <v>46118</v>
      </c>
      <c r="D1992" t="s">
        <v>17</v>
      </c>
      <c r="E1992" t="s">
        <v>8</v>
      </c>
      <c r="G1992" t="s">
        <v>9</v>
      </c>
      <c r="L1992">
        <f t="shared" si="156"/>
        <v>0</v>
      </c>
      <c r="M1992">
        <f t="shared" si="157"/>
        <v>0</v>
      </c>
      <c r="N1992">
        <f t="shared" si="158"/>
        <v>0</v>
      </c>
      <c r="O1992">
        <f t="shared" si="155"/>
        <v>1</v>
      </c>
      <c r="P1992" t="str">
        <f t="shared" si="159"/>
        <v/>
      </c>
      <c r="Q1992">
        <f>COUNTIF('責任職　企業局→市長部局'!A:A,SQLデータ!B1992)</f>
        <v>0</v>
      </c>
      <c r="R1992">
        <f>COUNTIF('一般職員　企業局→市長部局'!A:F,SQLデータ!B1992)</f>
        <v>0</v>
      </c>
    </row>
    <row r="1993" spans="1:18" x14ac:dyDescent="0.4">
      <c r="A1993" s="1">
        <v>202650001827</v>
      </c>
      <c r="B1993" s="1">
        <v>1126050</v>
      </c>
      <c r="C1993" s="2">
        <v>46118</v>
      </c>
      <c r="D1993" t="s">
        <v>17</v>
      </c>
      <c r="E1993" t="s">
        <v>8</v>
      </c>
      <c r="G1993" t="s">
        <v>9</v>
      </c>
      <c r="L1993">
        <f t="shared" si="156"/>
        <v>0</v>
      </c>
      <c r="M1993">
        <f t="shared" si="157"/>
        <v>0</v>
      </c>
      <c r="N1993">
        <f t="shared" si="158"/>
        <v>0</v>
      </c>
      <c r="O1993">
        <f t="shared" ref="O1993:O2056" si="160">IF(COUNTIF(L1993:N1993,0)=3,1,0)</f>
        <v>1</v>
      </c>
      <c r="P1993" t="str">
        <f t="shared" si="159"/>
        <v/>
      </c>
      <c r="Q1993">
        <f>COUNTIF('責任職　企業局→市長部局'!A:A,SQLデータ!B1993)</f>
        <v>0</v>
      </c>
      <c r="R1993">
        <f>COUNTIF('一般職員　企業局→市長部局'!A:F,SQLデータ!B1993)</f>
        <v>0</v>
      </c>
    </row>
    <row r="1994" spans="1:18" x14ac:dyDescent="0.4">
      <c r="A1994" s="1">
        <v>202650001828</v>
      </c>
      <c r="B1994" s="1">
        <v>1121309</v>
      </c>
      <c r="C1994" s="2">
        <v>46118</v>
      </c>
      <c r="D1994" t="s">
        <v>17</v>
      </c>
      <c r="E1994" t="s">
        <v>8</v>
      </c>
      <c r="G1994" t="s">
        <v>9</v>
      </c>
      <c r="L1994">
        <f t="shared" si="156"/>
        <v>0</v>
      </c>
      <c r="M1994">
        <f t="shared" si="157"/>
        <v>0</v>
      </c>
      <c r="N1994">
        <f t="shared" si="158"/>
        <v>0</v>
      </c>
      <c r="O1994">
        <f t="shared" si="160"/>
        <v>1</v>
      </c>
      <c r="P1994" t="str">
        <f t="shared" si="159"/>
        <v/>
      </c>
      <c r="Q1994">
        <f>COUNTIF('責任職　企業局→市長部局'!A:A,SQLデータ!B1994)</f>
        <v>0</v>
      </c>
      <c r="R1994">
        <f>COUNTIF('一般職員　企業局→市長部局'!A:F,SQLデータ!B1994)</f>
        <v>0</v>
      </c>
    </row>
    <row r="1995" spans="1:18" x14ac:dyDescent="0.4">
      <c r="A1995" s="1">
        <v>202650001829</v>
      </c>
      <c r="B1995" s="1">
        <v>1186135</v>
      </c>
      <c r="C1995" s="2">
        <v>46118</v>
      </c>
      <c r="D1995" t="s">
        <v>17</v>
      </c>
      <c r="E1995" t="s">
        <v>8</v>
      </c>
      <c r="G1995" t="s">
        <v>9</v>
      </c>
      <c r="L1995">
        <f t="shared" si="156"/>
        <v>0</v>
      </c>
      <c r="M1995">
        <f t="shared" si="157"/>
        <v>0</v>
      </c>
      <c r="N1995">
        <f t="shared" si="158"/>
        <v>0</v>
      </c>
      <c r="O1995">
        <f t="shared" si="160"/>
        <v>1</v>
      </c>
      <c r="P1995" t="str">
        <f t="shared" si="159"/>
        <v/>
      </c>
      <c r="Q1995">
        <f>COUNTIF('責任職　企業局→市長部局'!A:A,SQLデータ!B1995)</f>
        <v>0</v>
      </c>
      <c r="R1995">
        <f>COUNTIF('一般職員　企業局→市長部局'!A:F,SQLデータ!B1995)</f>
        <v>0</v>
      </c>
    </row>
    <row r="1996" spans="1:18" x14ac:dyDescent="0.4">
      <c r="A1996" s="1">
        <v>202650001830</v>
      </c>
      <c r="B1996" s="1">
        <v>920154</v>
      </c>
      <c r="C1996" s="2">
        <v>46118</v>
      </c>
      <c r="D1996" t="s">
        <v>17</v>
      </c>
      <c r="E1996" t="s">
        <v>8</v>
      </c>
      <c r="G1996" t="s">
        <v>9</v>
      </c>
      <c r="L1996">
        <f t="shared" si="156"/>
        <v>0</v>
      </c>
      <c r="M1996">
        <f t="shared" si="157"/>
        <v>0</v>
      </c>
      <c r="N1996">
        <f t="shared" si="158"/>
        <v>0</v>
      </c>
      <c r="O1996">
        <f t="shared" si="160"/>
        <v>1</v>
      </c>
      <c r="P1996" t="str">
        <f t="shared" si="159"/>
        <v/>
      </c>
      <c r="Q1996">
        <f>COUNTIF('責任職　企業局→市長部局'!A:A,SQLデータ!B1996)</f>
        <v>0</v>
      </c>
      <c r="R1996">
        <f>COUNTIF('一般職員　企業局→市長部局'!A:F,SQLデータ!B1996)</f>
        <v>0</v>
      </c>
    </row>
    <row r="1997" spans="1:18" x14ac:dyDescent="0.4">
      <c r="A1997" s="1">
        <v>202650001831</v>
      </c>
      <c r="B1997" s="1">
        <v>1011237</v>
      </c>
      <c r="C1997" s="2">
        <v>46118</v>
      </c>
      <c r="D1997" t="s">
        <v>17</v>
      </c>
      <c r="E1997" t="s">
        <v>8</v>
      </c>
      <c r="G1997" t="s">
        <v>9</v>
      </c>
      <c r="L1997">
        <f t="shared" si="156"/>
        <v>0</v>
      </c>
      <c r="M1997">
        <f t="shared" si="157"/>
        <v>0</v>
      </c>
      <c r="N1997">
        <f t="shared" si="158"/>
        <v>0</v>
      </c>
      <c r="O1997">
        <f t="shared" si="160"/>
        <v>1</v>
      </c>
      <c r="P1997" t="str">
        <f t="shared" si="159"/>
        <v/>
      </c>
      <c r="Q1997">
        <f>COUNTIF('責任職　企業局→市長部局'!A:A,SQLデータ!B1997)</f>
        <v>0</v>
      </c>
      <c r="R1997">
        <f>COUNTIF('一般職員　企業局→市長部局'!A:F,SQLデータ!B1997)</f>
        <v>0</v>
      </c>
    </row>
    <row r="1998" spans="1:18" x14ac:dyDescent="0.4">
      <c r="A1998" s="1">
        <v>202650001832</v>
      </c>
      <c r="B1998" s="1">
        <v>1196116</v>
      </c>
      <c r="C1998" s="2">
        <v>46118</v>
      </c>
      <c r="D1998" t="s">
        <v>17</v>
      </c>
      <c r="E1998" t="s">
        <v>8</v>
      </c>
      <c r="G1998" t="s">
        <v>9</v>
      </c>
      <c r="L1998">
        <f t="shared" si="156"/>
        <v>0</v>
      </c>
      <c r="M1998">
        <f t="shared" si="157"/>
        <v>0</v>
      </c>
      <c r="N1998">
        <f t="shared" si="158"/>
        <v>0</v>
      </c>
      <c r="O1998">
        <f t="shared" si="160"/>
        <v>1</v>
      </c>
      <c r="P1998" t="str">
        <f t="shared" si="159"/>
        <v/>
      </c>
      <c r="Q1998">
        <f>COUNTIF('責任職　企業局→市長部局'!A:A,SQLデータ!B1998)</f>
        <v>0</v>
      </c>
      <c r="R1998">
        <f>COUNTIF('一般職員　企業局→市長部局'!A:F,SQLデータ!B1998)</f>
        <v>0</v>
      </c>
    </row>
    <row r="1999" spans="1:18" x14ac:dyDescent="0.4">
      <c r="A1999" s="1">
        <v>202650001833</v>
      </c>
      <c r="B1999" s="1">
        <v>986001</v>
      </c>
      <c r="C1999" s="2">
        <v>46118</v>
      </c>
      <c r="D1999" t="s">
        <v>17</v>
      </c>
      <c r="E1999" t="s">
        <v>8</v>
      </c>
      <c r="G1999" t="s">
        <v>9</v>
      </c>
      <c r="L1999">
        <f t="shared" si="156"/>
        <v>0</v>
      </c>
      <c r="M1999">
        <f t="shared" si="157"/>
        <v>0</v>
      </c>
      <c r="N1999">
        <f t="shared" si="158"/>
        <v>0</v>
      </c>
      <c r="O1999">
        <f t="shared" si="160"/>
        <v>1</v>
      </c>
      <c r="P1999" t="str">
        <f t="shared" si="159"/>
        <v/>
      </c>
      <c r="Q1999">
        <f>COUNTIF('責任職　企業局→市長部局'!A:A,SQLデータ!B1999)</f>
        <v>0</v>
      </c>
      <c r="R1999">
        <f>COUNTIF('一般職員　企業局→市長部局'!A:F,SQLデータ!B1999)</f>
        <v>0</v>
      </c>
    </row>
    <row r="2000" spans="1:18" x14ac:dyDescent="0.4">
      <c r="A2000" s="1">
        <v>202650001834</v>
      </c>
      <c r="B2000" s="1">
        <v>1136031</v>
      </c>
      <c r="C2000" s="2">
        <v>46121</v>
      </c>
      <c r="D2000" t="s">
        <v>17</v>
      </c>
      <c r="E2000" t="s">
        <v>8</v>
      </c>
      <c r="G2000" t="s">
        <v>9</v>
      </c>
      <c r="L2000">
        <f t="shared" si="156"/>
        <v>0</v>
      </c>
      <c r="M2000">
        <f t="shared" si="157"/>
        <v>0</v>
      </c>
      <c r="N2000">
        <f t="shared" si="158"/>
        <v>0</v>
      </c>
      <c r="O2000">
        <f t="shared" si="160"/>
        <v>1</v>
      </c>
      <c r="P2000" t="str">
        <f t="shared" si="159"/>
        <v/>
      </c>
      <c r="Q2000">
        <f>COUNTIF('責任職　企業局→市長部局'!A:A,SQLデータ!B2000)</f>
        <v>0</v>
      </c>
      <c r="R2000">
        <f>COUNTIF('一般職員　企業局→市長部局'!A:F,SQLデータ!B2000)</f>
        <v>0</v>
      </c>
    </row>
    <row r="2001" spans="1:18" x14ac:dyDescent="0.4">
      <c r="A2001" s="1">
        <v>202650001835</v>
      </c>
      <c r="B2001" s="1">
        <v>971220</v>
      </c>
      <c r="C2001" s="2">
        <v>46118</v>
      </c>
      <c r="D2001" t="s">
        <v>17</v>
      </c>
      <c r="E2001" t="s">
        <v>8</v>
      </c>
      <c r="G2001" t="s">
        <v>9</v>
      </c>
      <c r="L2001">
        <f t="shared" si="156"/>
        <v>0</v>
      </c>
      <c r="M2001">
        <f t="shared" si="157"/>
        <v>0</v>
      </c>
      <c r="N2001">
        <f t="shared" si="158"/>
        <v>0</v>
      </c>
      <c r="O2001">
        <f t="shared" si="160"/>
        <v>1</v>
      </c>
      <c r="P2001" t="str">
        <f t="shared" si="159"/>
        <v/>
      </c>
      <c r="Q2001">
        <f>COUNTIF('責任職　企業局→市長部局'!A:A,SQLデータ!B2001)</f>
        <v>0</v>
      </c>
      <c r="R2001">
        <f>COUNTIF('一般職員　企業局→市長部局'!A:F,SQLデータ!B2001)</f>
        <v>0</v>
      </c>
    </row>
    <row r="2002" spans="1:18" x14ac:dyDescent="0.4">
      <c r="A2002" s="1">
        <v>202650001836</v>
      </c>
      <c r="B2002" s="1">
        <v>1081334</v>
      </c>
      <c r="C2002" s="2">
        <v>46118</v>
      </c>
      <c r="D2002" t="s">
        <v>17</v>
      </c>
      <c r="E2002" t="s">
        <v>8</v>
      </c>
      <c r="G2002" t="s">
        <v>9</v>
      </c>
      <c r="L2002">
        <f t="shared" si="156"/>
        <v>0</v>
      </c>
      <c r="M2002">
        <f t="shared" si="157"/>
        <v>0</v>
      </c>
      <c r="N2002">
        <f t="shared" si="158"/>
        <v>0</v>
      </c>
      <c r="O2002">
        <f t="shared" si="160"/>
        <v>1</v>
      </c>
      <c r="P2002" t="str">
        <f t="shared" si="159"/>
        <v/>
      </c>
      <c r="Q2002">
        <f>COUNTIF('責任職　企業局→市長部局'!A:A,SQLデータ!B2002)</f>
        <v>0</v>
      </c>
      <c r="R2002">
        <f>COUNTIF('一般職員　企業局→市長部局'!A:F,SQLデータ!B2002)</f>
        <v>0</v>
      </c>
    </row>
    <row r="2003" spans="1:18" x14ac:dyDescent="0.4">
      <c r="A2003" s="1">
        <v>202650001837</v>
      </c>
      <c r="B2003" s="1">
        <v>1066079</v>
      </c>
      <c r="C2003" s="2">
        <v>46118</v>
      </c>
      <c r="D2003" t="s">
        <v>17</v>
      </c>
      <c r="E2003" t="s">
        <v>8</v>
      </c>
      <c r="G2003" t="s">
        <v>9</v>
      </c>
      <c r="L2003">
        <f t="shared" si="156"/>
        <v>0</v>
      </c>
      <c r="M2003">
        <f t="shared" si="157"/>
        <v>0</v>
      </c>
      <c r="N2003">
        <f t="shared" si="158"/>
        <v>0</v>
      </c>
      <c r="O2003">
        <f t="shared" si="160"/>
        <v>1</v>
      </c>
      <c r="P2003" t="str">
        <f t="shared" si="159"/>
        <v/>
      </c>
      <c r="Q2003">
        <f>COUNTIF('責任職　企業局→市長部局'!A:A,SQLデータ!B2003)</f>
        <v>0</v>
      </c>
      <c r="R2003">
        <f>COUNTIF('一般職員　企業局→市長部局'!A:F,SQLデータ!B2003)</f>
        <v>0</v>
      </c>
    </row>
    <row r="2004" spans="1:18" x14ac:dyDescent="0.4">
      <c r="A2004" s="1">
        <v>202650001838</v>
      </c>
      <c r="B2004" s="1">
        <v>920061</v>
      </c>
      <c r="C2004" s="2">
        <v>46118</v>
      </c>
      <c r="D2004" t="s">
        <v>17</v>
      </c>
      <c r="E2004" t="s">
        <v>8</v>
      </c>
      <c r="G2004" t="s">
        <v>9</v>
      </c>
      <c r="L2004">
        <f t="shared" si="156"/>
        <v>0</v>
      </c>
      <c r="M2004">
        <f t="shared" si="157"/>
        <v>0</v>
      </c>
      <c r="N2004">
        <f t="shared" si="158"/>
        <v>0</v>
      </c>
      <c r="O2004">
        <f t="shared" si="160"/>
        <v>1</v>
      </c>
      <c r="P2004" t="str">
        <f t="shared" si="159"/>
        <v/>
      </c>
      <c r="Q2004">
        <f>COUNTIF('責任職　企業局→市長部局'!A:A,SQLデータ!B2004)</f>
        <v>0</v>
      </c>
      <c r="R2004">
        <f>COUNTIF('一般職員　企業局→市長部局'!A:F,SQLデータ!B2004)</f>
        <v>0</v>
      </c>
    </row>
    <row r="2005" spans="1:18" x14ac:dyDescent="0.4">
      <c r="A2005" s="1">
        <v>202650001839</v>
      </c>
      <c r="B2005" s="1">
        <v>930262</v>
      </c>
      <c r="C2005" s="2">
        <v>46118</v>
      </c>
      <c r="D2005" t="s">
        <v>17</v>
      </c>
      <c r="E2005" t="s">
        <v>8</v>
      </c>
      <c r="G2005" t="s">
        <v>9</v>
      </c>
      <c r="L2005">
        <f t="shared" si="156"/>
        <v>0</v>
      </c>
      <c r="M2005">
        <f t="shared" si="157"/>
        <v>0</v>
      </c>
      <c r="N2005">
        <f t="shared" si="158"/>
        <v>0</v>
      </c>
      <c r="O2005">
        <f t="shared" si="160"/>
        <v>1</v>
      </c>
      <c r="P2005" t="str">
        <f t="shared" si="159"/>
        <v/>
      </c>
      <c r="Q2005">
        <f>COUNTIF('責任職　企業局→市長部局'!A:A,SQLデータ!B2005)</f>
        <v>0</v>
      </c>
      <c r="R2005">
        <f>COUNTIF('一般職員　企業局→市長部局'!A:F,SQLデータ!B2005)</f>
        <v>0</v>
      </c>
    </row>
    <row r="2006" spans="1:18" x14ac:dyDescent="0.4">
      <c r="A2006" s="1">
        <v>202650001840</v>
      </c>
      <c r="B2006" s="1">
        <v>840941</v>
      </c>
      <c r="C2006" s="2">
        <v>46119</v>
      </c>
      <c r="D2006" t="s">
        <v>17</v>
      </c>
      <c r="E2006" t="s">
        <v>8</v>
      </c>
      <c r="G2006" t="s">
        <v>9</v>
      </c>
      <c r="L2006">
        <f t="shared" si="156"/>
        <v>0</v>
      </c>
      <c r="M2006">
        <f t="shared" si="157"/>
        <v>0</v>
      </c>
      <c r="N2006">
        <f t="shared" si="158"/>
        <v>0</v>
      </c>
      <c r="O2006">
        <f t="shared" si="160"/>
        <v>1</v>
      </c>
      <c r="P2006" t="str">
        <f t="shared" si="159"/>
        <v/>
      </c>
      <c r="Q2006">
        <f>COUNTIF('責任職　企業局→市長部局'!A:A,SQLデータ!B2006)</f>
        <v>0</v>
      </c>
      <c r="R2006">
        <f>COUNTIF('一般職員　企業局→市長部局'!A:F,SQLデータ!B2006)</f>
        <v>0</v>
      </c>
    </row>
    <row r="2007" spans="1:18" x14ac:dyDescent="0.4">
      <c r="A2007" s="1">
        <v>202650001841</v>
      </c>
      <c r="B2007" s="1">
        <v>840249</v>
      </c>
      <c r="C2007" s="2">
        <v>46118</v>
      </c>
      <c r="D2007" t="s">
        <v>17</v>
      </c>
      <c r="E2007" t="s">
        <v>8</v>
      </c>
      <c r="G2007" t="s">
        <v>9</v>
      </c>
      <c r="L2007">
        <f t="shared" si="156"/>
        <v>0</v>
      </c>
      <c r="M2007">
        <f t="shared" si="157"/>
        <v>0</v>
      </c>
      <c r="N2007">
        <f t="shared" si="158"/>
        <v>0</v>
      </c>
      <c r="O2007">
        <f t="shared" si="160"/>
        <v>1</v>
      </c>
      <c r="P2007" t="str">
        <f t="shared" si="159"/>
        <v/>
      </c>
      <c r="Q2007">
        <f>COUNTIF('責任職　企業局→市長部局'!A:A,SQLデータ!B2007)</f>
        <v>0</v>
      </c>
      <c r="R2007">
        <f>COUNTIF('一般職員　企業局→市長部局'!A:F,SQLデータ!B2007)</f>
        <v>0</v>
      </c>
    </row>
    <row r="2008" spans="1:18" x14ac:dyDescent="0.4">
      <c r="A2008" s="1">
        <v>202650001842</v>
      </c>
      <c r="B2008" s="1">
        <v>950309</v>
      </c>
      <c r="C2008" s="2">
        <v>46118</v>
      </c>
      <c r="D2008" t="s">
        <v>17</v>
      </c>
      <c r="E2008" t="s">
        <v>8</v>
      </c>
      <c r="G2008" t="s">
        <v>9</v>
      </c>
      <c r="L2008">
        <f t="shared" si="156"/>
        <v>0</v>
      </c>
      <c r="M2008">
        <f t="shared" si="157"/>
        <v>0</v>
      </c>
      <c r="N2008">
        <f t="shared" si="158"/>
        <v>0</v>
      </c>
      <c r="O2008">
        <f t="shared" si="160"/>
        <v>1</v>
      </c>
      <c r="P2008" t="str">
        <f t="shared" si="159"/>
        <v/>
      </c>
      <c r="Q2008">
        <f>COUNTIF('責任職　企業局→市長部局'!A:A,SQLデータ!B2008)</f>
        <v>0</v>
      </c>
      <c r="R2008">
        <f>COUNTIF('一般職員　企業局→市長部局'!A:F,SQLデータ!B2008)</f>
        <v>0</v>
      </c>
    </row>
    <row r="2009" spans="1:18" x14ac:dyDescent="0.4">
      <c r="A2009" s="1">
        <v>202650001843</v>
      </c>
      <c r="B2009" s="1">
        <v>950207</v>
      </c>
      <c r="C2009" s="2">
        <v>46118</v>
      </c>
      <c r="D2009" t="s">
        <v>17</v>
      </c>
      <c r="E2009" t="s">
        <v>8</v>
      </c>
      <c r="G2009" t="s">
        <v>9</v>
      </c>
      <c r="L2009">
        <f t="shared" si="156"/>
        <v>0</v>
      </c>
      <c r="M2009">
        <f t="shared" si="157"/>
        <v>0</v>
      </c>
      <c r="N2009">
        <f t="shared" si="158"/>
        <v>0</v>
      </c>
      <c r="O2009">
        <f t="shared" si="160"/>
        <v>1</v>
      </c>
      <c r="P2009" t="str">
        <f t="shared" si="159"/>
        <v/>
      </c>
      <c r="Q2009">
        <f>COUNTIF('責任職　企業局→市長部局'!A:A,SQLデータ!B2009)</f>
        <v>0</v>
      </c>
      <c r="R2009">
        <f>COUNTIF('一般職員　企業局→市長部局'!A:F,SQLデータ!B2009)</f>
        <v>0</v>
      </c>
    </row>
    <row r="2010" spans="1:18" x14ac:dyDescent="0.4">
      <c r="A2010" s="1">
        <v>202650001844</v>
      </c>
      <c r="B2010" s="1">
        <v>976034</v>
      </c>
      <c r="C2010" s="2">
        <v>46118</v>
      </c>
      <c r="D2010" t="s">
        <v>17</v>
      </c>
      <c r="E2010" t="s">
        <v>8</v>
      </c>
      <c r="G2010" t="s">
        <v>9</v>
      </c>
      <c r="L2010">
        <f t="shared" si="156"/>
        <v>0</v>
      </c>
      <c r="M2010">
        <f t="shared" si="157"/>
        <v>0</v>
      </c>
      <c r="N2010">
        <f t="shared" si="158"/>
        <v>0</v>
      </c>
      <c r="O2010">
        <f t="shared" si="160"/>
        <v>1</v>
      </c>
      <c r="P2010" t="str">
        <f t="shared" si="159"/>
        <v/>
      </c>
      <c r="Q2010">
        <f>COUNTIF('責任職　企業局→市長部局'!A:A,SQLデータ!B2010)</f>
        <v>0</v>
      </c>
      <c r="R2010">
        <f>COUNTIF('一般職員　企業局→市長部局'!A:F,SQLデータ!B2010)</f>
        <v>0</v>
      </c>
    </row>
    <row r="2011" spans="1:18" x14ac:dyDescent="0.4">
      <c r="A2011" s="1">
        <v>202650001845</v>
      </c>
      <c r="B2011" s="1">
        <v>1072045</v>
      </c>
      <c r="C2011" s="2">
        <v>46118</v>
      </c>
      <c r="D2011" t="s">
        <v>17</v>
      </c>
      <c r="E2011" t="s">
        <v>8</v>
      </c>
      <c r="G2011" t="s">
        <v>9</v>
      </c>
      <c r="L2011">
        <f t="shared" si="156"/>
        <v>0</v>
      </c>
      <c r="M2011">
        <f t="shared" si="157"/>
        <v>0</v>
      </c>
      <c r="N2011">
        <f t="shared" si="158"/>
        <v>0</v>
      </c>
      <c r="O2011">
        <f t="shared" si="160"/>
        <v>1</v>
      </c>
      <c r="P2011" t="str">
        <f t="shared" si="159"/>
        <v/>
      </c>
      <c r="Q2011">
        <f>COUNTIF('責任職　企業局→市長部局'!A:A,SQLデータ!B2011)</f>
        <v>0</v>
      </c>
      <c r="R2011">
        <f>COUNTIF('一般職員　企業局→市長部局'!A:F,SQLデータ!B2011)</f>
        <v>0</v>
      </c>
    </row>
    <row r="2012" spans="1:18" x14ac:dyDescent="0.4">
      <c r="A2012" s="1">
        <v>202650001846</v>
      </c>
      <c r="B2012" s="1">
        <v>1191550</v>
      </c>
      <c r="C2012" s="2">
        <v>46118</v>
      </c>
      <c r="D2012" t="s">
        <v>17</v>
      </c>
      <c r="E2012" t="s">
        <v>8</v>
      </c>
      <c r="G2012" t="s">
        <v>9</v>
      </c>
      <c r="L2012">
        <f t="shared" si="156"/>
        <v>0</v>
      </c>
      <c r="M2012">
        <f t="shared" si="157"/>
        <v>0</v>
      </c>
      <c r="N2012">
        <f t="shared" si="158"/>
        <v>0</v>
      </c>
      <c r="O2012">
        <f t="shared" si="160"/>
        <v>1</v>
      </c>
      <c r="P2012" t="str">
        <f t="shared" si="159"/>
        <v/>
      </c>
      <c r="Q2012">
        <f>COUNTIF('責任職　企業局→市長部局'!A:A,SQLデータ!B2012)</f>
        <v>0</v>
      </c>
      <c r="R2012">
        <f>COUNTIF('一般職員　企業局→市長部局'!A:F,SQLデータ!B2012)</f>
        <v>0</v>
      </c>
    </row>
    <row r="2013" spans="1:18" x14ac:dyDescent="0.4">
      <c r="A2013" s="1">
        <v>202650001847</v>
      </c>
      <c r="B2013" s="1">
        <v>1026064</v>
      </c>
      <c r="C2013" s="2">
        <v>46118</v>
      </c>
      <c r="D2013" t="s">
        <v>17</v>
      </c>
      <c r="E2013" t="s">
        <v>8</v>
      </c>
      <c r="G2013" t="s">
        <v>9</v>
      </c>
      <c r="L2013">
        <f t="shared" si="156"/>
        <v>0</v>
      </c>
      <c r="M2013">
        <f t="shared" si="157"/>
        <v>0</v>
      </c>
      <c r="N2013">
        <f t="shared" si="158"/>
        <v>0</v>
      </c>
      <c r="O2013">
        <f t="shared" si="160"/>
        <v>1</v>
      </c>
      <c r="P2013" t="str">
        <f t="shared" si="159"/>
        <v/>
      </c>
      <c r="Q2013">
        <f>COUNTIF('責任職　企業局→市長部局'!A:A,SQLデータ!B2013)</f>
        <v>0</v>
      </c>
      <c r="R2013">
        <f>COUNTIF('一般職員　企業局→市長部局'!A:F,SQLデータ!B2013)</f>
        <v>0</v>
      </c>
    </row>
    <row r="2014" spans="1:18" x14ac:dyDescent="0.4">
      <c r="A2014" s="1">
        <v>202650001848</v>
      </c>
      <c r="B2014" s="1">
        <v>1186027</v>
      </c>
      <c r="C2014" s="2">
        <v>46118</v>
      </c>
      <c r="D2014" t="s">
        <v>17</v>
      </c>
      <c r="E2014" t="s">
        <v>8</v>
      </c>
      <c r="G2014" t="s">
        <v>9</v>
      </c>
      <c r="L2014">
        <f t="shared" si="156"/>
        <v>0</v>
      </c>
      <c r="M2014">
        <f t="shared" si="157"/>
        <v>0</v>
      </c>
      <c r="N2014">
        <f t="shared" si="158"/>
        <v>0</v>
      </c>
      <c r="O2014">
        <f t="shared" si="160"/>
        <v>1</v>
      </c>
      <c r="P2014" t="str">
        <f t="shared" si="159"/>
        <v/>
      </c>
      <c r="Q2014">
        <f>COUNTIF('責任職　企業局→市長部局'!A:A,SQLデータ!B2014)</f>
        <v>0</v>
      </c>
      <c r="R2014">
        <f>COUNTIF('一般職員　企業局→市長部局'!A:F,SQLデータ!B2014)</f>
        <v>0</v>
      </c>
    </row>
    <row r="2015" spans="1:18" x14ac:dyDescent="0.4">
      <c r="A2015" s="1">
        <v>202650001850</v>
      </c>
      <c r="B2015" s="1">
        <v>1026044</v>
      </c>
      <c r="C2015" s="2">
        <v>46118</v>
      </c>
      <c r="D2015" t="s">
        <v>17</v>
      </c>
      <c r="E2015" t="s">
        <v>8</v>
      </c>
      <c r="G2015" t="s">
        <v>9</v>
      </c>
      <c r="L2015">
        <f t="shared" si="156"/>
        <v>0</v>
      </c>
      <c r="M2015">
        <f t="shared" si="157"/>
        <v>0</v>
      </c>
      <c r="N2015">
        <f t="shared" si="158"/>
        <v>0</v>
      </c>
      <c r="O2015">
        <f t="shared" si="160"/>
        <v>1</v>
      </c>
      <c r="P2015" t="str">
        <f t="shared" si="159"/>
        <v/>
      </c>
      <c r="Q2015">
        <f>COUNTIF('責任職　企業局→市長部局'!A:A,SQLデータ!B2015)</f>
        <v>0</v>
      </c>
      <c r="R2015">
        <f>COUNTIF('一般職員　企業局→市長部局'!A:F,SQLデータ!B2015)</f>
        <v>0</v>
      </c>
    </row>
    <row r="2016" spans="1:18" x14ac:dyDescent="0.4">
      <c r="A2016" s="1">
        <v>202650001851</v>
      </c>
      <c r="B2016" s="1">
        <v>971060</v>
      </c>
      <c r="C2016" s="2">
        <v>46118</v>
      </c>
      <c r="D2016" t="s">
        <v>17</v>
      </c>
      <c r="E2016" t="s">
        <v>8</v>
      </c>
      <c r="G2016" t="s">
        <v>9</v>
      </c>
      <c r="L2016">
        <f t="shared" si="156"/>
        <v>0</v>
      </c>
      <c r="M2016">
        <f t="shared" si="157"/>
        <v>0</v>
      </c>
      <c r="N2016">
        <f t="shared" si="158"/>
        <v>0</v>
      </c>
      <c r="O2016">
        <f t="shared" si="160"/>
        <v>1</v>
      </c>
      <c r="P2016" t="str">
        <f t="shared" si="159"/>
        <v/>
      </c>
      <c r="Q2016">
        <f>COUNTIF('責任職　企業局→市長部局'!A:A,SQLデータ!B2016)</f>
        <v>0</v>
      </c>
      <c r="R2016">
        <f>COUNTIF('一般職員　企業局→市長部局'!A:F,SQLデータ!B2016)</f>
        <v>0</v>
      </c>
    </row>
    <row r="2017" spans="1:18" x14ac:dyDescent="0.4">
      <c r="A2017" s="1">
        <v>202650001852</v>
      </c>
      <c r="B2017" s="1">
        <v>1086080</v>
      </c>
      <c r="C2017" s="2">
        <v>46118</v>
      </c>
      <c r="D2017" t="s">
        <v>17</v>
      </c>
      <c r="E2017" t="s">
        <v>8</v>
      </c>
      <c r="G2017" t="s">
        <v>9</v>
      </c>
      <c r="L2017">
        <f t="shared" si="156"/>
        <v>0</v>
      </c>
      <c r="M2017">
        <f t="shared" si="157"/>
        <v>0</v>
      </c>
      <c r="N2017">
        <f t="shared" si="158"/>
        <v>0</v>
      </c>
      <c r="O2017">
        <f t="shared" si="160"/>
        <v>1</v>
      </c>
      <c r="P2017" t="str">
        <f t="shared" si="159"/>
        <v/>
      </c>
      <c r="Q2017">
        <f>COUNTIF('責任職　企業局→市長部局'!A:A,SQLデータ!B2017)</f>
        <v>0</v>
      </c>
      <c r="R2017">
        <f>COUNTIF('一般職員　企業局→市長部局'!A:F,SQLデータ!B2017)</f>
        <v>0</v>
      </c>
    </row>
    <row r="2018" spans="1:18" x14ac:dyDescent="0.4">
      <c r="A2018" s="1">
        <v>202650001853</v>
      </c>
      <c r="B2018" s="1">
        <v>940247</v>
      </c>
      <c r="C2018" s="2">
        <v>46118</v>
      </c>
      <c r="D2018" t="s">
        <v>17</v>
      </c>
      <c r="E2018" t="s">
        <v>8</v>
      </c>
      <c r="G2018" t="s">
        <v>9</v>
      </c>
      <c r="L2018">
        <f t="shared" si="156"/>
        <v>0</v>
      </c>
      <c r="M2018">
        <f t="shared" si="157"/>
        <v>0</v>
      </c>
      <c r="N2018">
        <f t="shared" si="158"/>
        <v>0</v>
      </c>
      <c r="O2018">
        <f t="shared" si="160"/>
        <v>1</v>
      </c>
      <c r="P2018" t="str">
        <f t="shared" si="159"/>
        <v/>
      </c>
      <c r="Q2018">
        <f>COUNTIF('責任職　企業局→市長部局'!A:A,SQLデータ!B2018)</f>
        <v>0</v>
      </c>
      <c r="R2018">
        <f>COUNTIF('一般職員　企業局→市長部局'!A:F,SQLデータ!B2018)</f>
        <v>0</v>
      </c>
    </row>
    <row r="2019" spans="1:18" x14ac:dyDescent="0.4">
      <c r="A2019" s="1">
        <v>202650001854</v>
      </c>
      <c r="B2019" s="1">
        <v>1041039</v>
      </c>
      <c r="C2019" s="2">
        <v>46118</v>
      </c>
      <c r="D2019" t="s">
        <v>17</v>
      </c>
      <c r="E2019" t="s">
        <v>8</v>
      </c>
      <c r="G2019" t="s">
        <v>9</v>
      </c>
      <c r="L2019">
        <f t="shared" si="156"/>
        <v>0</v>
      </c>
      <c r="M2019">
        <f t="shared" si="157"/>
        <v>0</v>
      </c>
      <c r="N2019">
        <f t="shared" si="158"/>
        <v>0</v>
      </c>
      <c r="O2019">
        <f t="shared" si="160"/>
        <v>1</v>
      </c>
      <c r="P2019" t="str">
        <f t="shared" si="159"/>
        <v/>
      </c>
      <c r="Q2019">
        <f>COUNTIF('責任職　企業局→市長部局'!A:A,SQLデータ!B2019)</f>
        <v>0</v>
      </c>
      <c r="R2019">
        <f>COUNTIF('一般職員　企業局→市長部局'!A:F,SQLデータ!B2019)</f>
        <v>0</v>
      </c>
    </row>
    <row r="2020" spans="1:18" x14ac:dyDescent="0.4">
      <c r="A2020" s="1">
        <v>202650001855</v>
      </c>
      <c r="B2020" s="1">
        <v>1091005</v>
      </c>
      <c r="C2020" s="2">
        <v>46120</v>
      </c>
      <c r="D2020" t="s">
        <v>17</v>
      </c>
      <c r="E2020" t="s">
        <v>8</v>
      </c>
      <c r="G2020" t="s">
        <v>9</v>
      </c>
      <c r="L2020">
        <f t="shared" si="156"/>
        <v>0</v>
      </c>
      <c r="M2020">
        <f t="shared" si="157"/>
        <v>0</v>
      </c>
      <c r="N2020">
        <f t="shared" si="158"/>
        <v>0</v>
      </c>
      <c r="O2020">
        <f t="shared" si="160"/>
        <v>1</v>
      </c>
      <c r="P2020" t="str">
        <f t="shared" si="159"/>
        <v/>
      </c>
      <c r="Q2020">
        <f>COUNTIF('責任職　企業局→市長部局'!A:A,SQLデータ!B2020)</f>
        <v>0</v>
      </c>
      <c r="R2020">
        <f>COUNTIF('一般職員　企業局→市長部局'!A:F,SQLデータ!B2020)</f>
        <v>0</v>
      </c>
    </row>
    <row r="2021" spans="1:18" x14ac:dyDescent="0.4">
      <c r="A2021" s="1">
        <v>202650001856</v>
      </c>
      <c r="B2021" s="1">
        <v>1051096</v>
      </c>
      <c r="C2021" s="2">
        <v>46118</v>
      </c>
      <c r="D2021" t="s">
        <v>17</v>
      </c>
      <c r="E2021" t="s">
        <v>8</v>
      </c>
      <c r="G2021" t="s">
        <v>9</v>
      </c>
      <c r="L2021">
        <f t="shared" si="156"/>
        <v>0</v>
      </c>
      <c r="M2021">
        <f t="shared" si="157"/>
        <v>0</v>
      </c>
      <c r="N2021">
        <f t="shared" si="158"/>
        <v>0</v>
      </c>
      <c r="O2021">
        <f t="shared" si="160"/>
        <v>1</v>
      </c>
      <c r="P2021" t="str">
        <f t="shared" si="159"/>
        <v/>
      </c>
      <c r="Q2021">
        <f>COUNTIF('責任職　企業局→市長部局'!A:A,SQLデータ!B2021)</f>
        <v>0</v>
      </c>
      <c r="R2021">
        <f>COUNTIF('一般職員　企業局→市長部局'!A:F,SQLデータ!B2021)</f>
        <v>0</v>
      </c>
    </row>
    <row r="2022" spans="1:18" x14ac:dyDescent="0.4">
      <c r="A2022" s="1">
        <v>202650001857</v>
      </c>
      <c r="B2022" s="1">
        <v>976037</v>
      </c>
      <c r="C2022" s="2">
        <v>46118</v>
      </c>
      <c r="D2022" t="s">
        <v>17</v>
      </c>
      <c r="E2022" t="s">
        <v>8</v>
      </c>
      <c r="G2022" t="s">
        <v>9</v>
      </c>
      <c r="L2022">
        <f t="shared" si="156"/>
        <v>0</v>
      </c>
      <c r="M2022">
        <f t="shared" si="157"/>
        <v>0</v>
      </c>
      <c r="N2022">
        <f t="shared" si="158"/>
        <v>0</v>
      </c>
      <c r="O2022">
        <f t="shared" si="160"/>
        <v>1</v>
      </c>
      <c r="P2022" t="str">
        <f t="shared" si="159"/>
        <v/>
      </c>
      <c r="Q2022">
        <f>COUNTIF('責任職　企業局→市長部局'!A:A,SQLデータ!B2022)</f>
        <v>0</v>
      </c>
      <c r="R2022">
        <f>COUNTIF('一般職員　企業局→市長部局'!A:F,SQLデータ!B2022)</f>
        <v>0</v>
      </c>
    </row>
    <row r="2023" spans="1:18" x14ac:dyDescent="0.4">
      <c r="A2023" s="1">
        <v>202650001858</v>
      </c>
      <c r="B2023" s="1">
        <v>971155</v>
      </c>
      <c r="C2023" s="2">
        <v>46118</v>
      </c>
      <c r="D2023" t="s">
        <v>17</v>
      </c>
      <c r="E2023" t="s">
        <v>8</v>
      </c>
      <c r="G2023" t="s">
        <v>9</v>
      </c>
      <c r="L2023">
        <f t="shared" si="156"/>
        <v>0</v>
      </c>
      <c r="M2023">
        <f t="shared" si="157"/>
        <v>0</v>
      </c>
      <c r="N2023">
        <f t="shared" si="158"/>
        <v>0</v>
      </c>
      <c r="O2023">
        <f t="shared" si="160"/>
        <v>1</v>
      </c>
      <c r="P2023" t="str">
        <f t="shared" si="159"/>
        <v/>
      </c>
      <c r="Q2023">
        <f>COUNTIF('責任職　企業局→市長部局'!A:A,SQLデータ!B2023)</f>
        <v>0</v>
      </c>
      <c r="R2023">
        <f>COUNTIF('一般職員　企業局→市長部局'!A:F,SQLデータ!B2023)</f>
        <v>0</v>
      </c>
    </row>
    <row r="2024" spans="1:18" x14ac:dyDescent="0.4">
      <c r="A2024" s="1">
        <v>202650001859</v>
      </c>
      <c r="B2024" s="1">
        <v>1026013</v>
      </c>
      <c r="C2024" s="2">
        <v>46118</v>
      </c>
      <c r="D2024" t="s">
        <v>17</v>
      </c>
      <c r="E2024" t="s">
        <v>8</v>
      </c>
      <c r="G2024" t="s">
        <v>9</v>
      </c>
      <c r="L2024">
        <f t="shared" si="156"/>
        <v>0</v>
      </c>
      <c r="M2024">
        <f t="shared" si="157"/>
        <v>0</v>
      </c>
      <c r="N2024">
        <f t="shared" si="158"/>
        <v>0</v>
      </c>
      <c r="O2024">
        <f t="shared" si="160"/>
        <v>1</v>
      </c>
      <c r="P2024" t="str">
        <f t="shared" si="159"/>
        <v/>
      </c>
      <c r="Q2024">
        <f>COUNTIF('責任職　企業局→市長部局'!A:A,SQLデータ!B2024)</f>
        <v>0</v>
      </c>
      <c r="R2024">
        <f>COUNTIF('一般職員　企業局→市長部局'!A:F,SQLデータ!B2024)</f>
        <v>0</v>
      </c>
    </row>
    <row r="2025" spans="1:18" x14ac:dyDescent="0.4">
      <c r="A2025" s="1">
        <v>202650001860</v>
      </c>
      <c r="B2025" s="1">
        <v>1256016</v>
      </c>
      <c r="C2025" s="2">
        <v>46118</v>
      </c>
      <c r="D2025" t="s">
        <v>17</v>
      </c>
      <c r="E2025" t="s">
        <v>8</v>
      </c>
      <c r="G2025" t="s">
        <v>9</v>
      </c>
      <c r="L2025">
        <f t="shared" si="156"/>
        <v>0</v>
      </c>
      <c r="M2025">
        <f t="shared" si="157"/>
        <v>0</v>
      </c>
      <c r="N2025">
        <f t="shared" si="158"/>
        <v>0</v>
      </c>
      <c r="O2025">
        <f t="shared" si="160"/>
        <v>1</v>
      </c>
      <c r="P2025" t="str">
        <f t="shared" si="159"/>
        <v/>
      </c>
      <c r="Q2025">
        <f>COUNTIF('責任職　企業局→市長部局'!A:A,SQLデータ!B2025)</f>
        <v>0</v>
      </c>
      <c r="R2025">
        <f>COUNTIF('一般職員　企業局→市長部局'!A:F,SQLデータ!B2025)</f>
        <v>0</v>
      </c>
    </row>
    <row r="2026" spans="1:18" x14ac:dyDescent="0.4">
      <c r="A2026" s="1">
        <v>202650001861</v>
      </c>
      <c r="B2026" s="1">
        <v>5087860</v>
      </c>
      <c r="C2026" s="2">
        <v>46118</v>
      </c>
      <c r="D2026" t="s">
        <v>17</v>
      </c>
      <c r="E2026" t="s">
        <v>8</v>
      </c>
      <c r="G2026" t="s">
        <v>9</v>
      </c>
      <c r="L2026">
        <f t="shared" si="156"/>
        <v>0</v>
      </c>
      <c r="M2026">
        <f t="shared" si="157"/>
        <v>0</v>
      </c>
      <c r="N2026">
        <f t="shared" si="158"/>
        <v>0</v>
      </c>
      <c r="O2026">
        <f t="shared" si="160"/>
        <v>1</v>
      </c>
      <c r="P2026" t="str">
        <f t="shared" si="159"/>
        <v/>
      </c>
      <c r="Q2026">
        <f>COUNTIF('責任職　企業局→市長部局'!A:A,SQLデータ!B2026)</f>
        <v>0</v>
      </c>
      <c r="R2026">
        <f>COUNTIF('一般職員　企業局→市長部局'!A:F,SQLデータ!B2026)</f>
        <v>0</v>
      </c>
    </row>
    <row r="2027" spans="1:18" x14ac:dyDescent="0.4">
      <c r="A2027" s="1">
        <v>202650001863</v>
      </c>
      <c r="B2027" s="1">
        <v>1086016</v>
      </c>
      <c r="C2027" s="2">
        <v>46118</v>
      </c>
      <c r="D2027" t="s">
        <v>17</v>
      </c>
      <c r="E2027" t="s">
        <v>8</v>
      </c>
      <c r="G2027" t="s">
        <v>9</v>
      </c>
      <c r="L2027">
        <f t="shared" si="156"/>
        <v>0</v>
      </c>
      <c r="M2027">
        <f t="shared" si="157"/>
        <v>0</v>
      </c>
      <c r="N2027">
        <f t="shared" si="158"/>
        <v>0</v>
      </c>
      <c r="O2027">
        <f t="shared" si="160"/>
        <v>1</v>
      </c>
      <c r="P2027" t="str">
        <f t="shared" si="159"/>
        <v/>
      </c>
      <c r="Q2027">
        <f>COUNTIF('責任職　企業局→市長部局'!A:A,SQLデータ!B2027)</f>
        <v>0</v>
      </c>
      <c r="R2027">
        <f>COUNTIF('一般職員　企業局→市長部局'!A:F,SQLデータ!B2027)</f>
        <v>0</v>
      </c>
    </row>
    <row r="2028" spans="1:18" x14ac:dyDescent="0.4">
      <c r="A2028" s="1">
        <v>202650001864</v>
      </c>
      <c r="B2028" s="1">
        <v>1232319</v>
      </c>
      <c r="C2028" s="2">
        <v>46118</v>
      </c>
      <c r="D2028" t="s">
        <v>17</v>
      </c>
      <c r="E2028" t="s">
        <v>8</v>
      </c>
      <c r="G2028" t="s">
        <v>9</v>
      </c>
      <c r="L2028">
        <f t="shared" si="156"/>
        <v>0</v>
      </c>
      <c r="M2028">
        <f t="shared" si="157"/>
        <v>0</v>
      </c>
      <c r="N2028">
        <f t="shared" si="158"/>
        <v>0</v>
      </c>
      <c r="O2028">
        <f t="shared" si="160"/>
        <v>1</v>
      </c>
      <c r="P2028" t="str">
        <f t="shared" si="159"/>
        <v/>
      </c>
      <c r="Q2028">
        <f>COUNTIF('責任職　企業局→市長部局'!A:A,SQLデータ!B2028)</f>
        <v>0</v>
      </c>
      <c r="R2028">
        <f>COUNTIF('一般職員　企業局→市長部局'!A:F,SQLデータ!B2028)</f>
        <v>0</v>
      </c>
    </row>
    <row r="2029" spans="1:18" x14ac:dyDescent="0.4">
      <c r="A2029" s="1">
        <v>202650001865</v>
      </c>
      <c r="B2029" s="1">
        <v>920642</v>
      </c>
      <c r="C2029" s="2">
        <v>46118</v>
      </c>
      <c r="D2029" t="s">
        <v>17</v>
      </c>
      <c r="E2029" t="s">
        <v>8</v>
      </c>
      <c r="G2029" t="s">
        <v>9</v>
      </c>
      <c r="L2029">
        <f t="shared" si="156"/>
        <v>0</v>
      </c>
      <c r="M2029">
        <f t="shared" si="157"/>
        <v>0</v>
      </c>
      <c r="N2029">
        <f t="shared" si="158"/>
        <v>0</v>
      </c>
      <c r="O2029">
        <f t="shared" si="160"/>
        <v>1</v>
      </c>
      <c r="P2029" t="str">
        <f t="shared" si="159"/>
        <v/>
      </c>
      <c r="Q2029">
        <f>COUNTIF('責任職　企業局→市長部局'!A:A,SQLデータ!B2029)</f>
        <v>0</v>
      </c>
      <c r="R2029">
        <f>COUNTIF('一般職員　企業局→市長部局'!A:F,SQLデータ!B2029)</f>
        <v>0</v>
      </c>
    </row>
    <row r="2030" spans="1:18" x14ac:dyDescent="0.4">
      <c r="A2030" s="1">
        <v>202650001866</v>
      </c>
      <c r="B2030" s="1">
        <v>1161192</v>
      </c>
      <c r="C2030" s="2">
        <v>46118</v>
      </c>
      <c r="D2030" t="s">
        <v>17</v>
      </c>
      <c r="E2030" t="s">
        <v>8</v>
      </c>
      <c r="G2030" t="s">
        <v>9</v>
      </c>
      <c r="L2030">
        <f t="shared" si="156"/>
        <v>0</v>
      </c>
      <c r="M2030">
        <f t="shared" si="157"/>
        <v>0</v>
      </c>
      <c r="N2030">
        <f t="shared" si="158"/>
        <v>0</v>
      </c>
      <c r="O2030">
        <f t="shared" si="160"/>
        <v>1</v>
      </c>
      <c r="P2030" t="str">
        <f t="shared" si="159"/>
        <v/>
      </c>
      <c r="Q2030">
        <f>COUNTIF('責任職　企業局→市長部局'!A:A,SQLデータ!B2030)</f>
        <v>0</v>
      </c>
      <c r="R2030">
        <f>COUNTIF('一般職員　企業局→市長部局'!A:F,SQLデータ!B2030)</f>
        <v>0</v>
      </c>
    </row>
    <row r="2031" spans="1:18" x14ac:dyDescent="0.4">
      <c r="A2031" s="1">
        <v>202650001867</v>
      </c>
      <c r="B2031" s="1">
        <v>940351</v>
      </c>
      <c r="C2031" s="2">
        <v>46118</v>
      </c>
      <c r="D2031" t="s">
        <v>17</v>
      </c>
      <c r="E2031" t="s">
        <v>8</v>
      </c>
      <c r="G2031" t="s">
        <v>9</v>
      </c>
      <c r="L2031">
        <f t="shared" si="156"/>
        <v>0</v>
      </c>
      <c r="M2031">
        <f t="shared" si="157"/>
        <v>0</v>
      </c>
      <c r="N2031">
        <f t="shared" si="158"/>
        <v>0</v>
      </c>
      <c r="O2031">
        <f t="shared" si="160"/>
        <v>1</v>
      </c>
      <c r="P2031" t="str">
        <f t="shared" si="159"/>
        <v/>
      </c>
      <c r="Q2031">
        <f>COUNTIF('責任職　企業局→市長部局'!A:A,SQLデータ!B2031)</f>
        <v>0</v>
      </c>
      <c r="R2031">
        <f>COUNTIF('一般職員　企業局→市長部局'!A:F,SQLデータ!B2031)</f>
        <v>0</v>
      </c>
    </row>
    <row r="2032" spans="1:18" x14ac:dyDescent="0.4">
      <c r="A2032" s="1">
        <v>202650001868</v>
      </c>
      <c r="B2032" s="1">
        <v>1171530</v>
      </c>
      <c r="C2032" s="2">
        <v>46118</v>
      </c>
      <c r="D2032" t="s">
        <v>17</v>
      </c>
      <c r="E2032" t="s">
        <v>8</v>
      </c>
      <c r="G2032" t="s">
        <v>9</v>
      </c>
      <c r="L2032">
        <f t="shared" si="156"/>
        <v>0</v>
      </c>
      <c r="M2032">
        <f t="shared" si="157"/>
        <v>0</v>
      </c>
      <c r="N2032">
        <f t="shared" si="158"/>
        <v>0</v>
      </c>
      <c r="O2032">
        <f t="shared" si="160"/>
        <v>1</v>
      </c>
      <c r="P2032" t="str">
        <f t="shared" si="159"/>
        <v/>
      </c>
      <c r="Q2032">
        <f>COUNTIF('責任職　企業局→市長部局'!A:A,SQLデータ!B2032)</f>
        <v>0</v>
      </c>
      <c r="R2032">
        <f>COUNTIF('一般職員　企業局→市長部局'!A:F,SQLデータ!B2032)</f>
        <v>0</v>
      </c>
    </row>
    <row r="2033" spans="1:18" x14ac:dyDescent="0.4">
      <c r="A2033" s="1">
        <v>202650001869</v>
      </c>
      <c r="B2033" s="1">
        <v>5047894</v>
      </c>
      <c r="C2033" s="2">
        <v>46118</v>
      </c>
      <c r="D2033" t="s">
        <v>17</v>
      </c>
      <c r="E2033" t="s">
        <v>8</v>
      </c>
      <c r="F2033" t="s">
        <v>54</v>
      </c>
      <c r="G2033" t="s">
        <v>9</v>
      </c>
      <c r="L2033">
        <f t="shared" si="156"/>
        <v>0</v>
      </c>
      <c r="M2033">
        <f t="shared" si="157"/>
        <v>0</v>
      </c>
      <c r="N2033">
        <f t="shared" si="158"/>
        <v>0</v>
      </c>
      <c r="O2033">
        <f t="shared" si="160"/>
        <v>1</v>
      </c>
      <c r="P2033" t="str">
        <f t="shared" si="159"/>
        <v/>
      </c>
      <c r="Q2033">
        <f>COUNTIF('責任職　企業局→市長部局'!A:A,SQLデータ!B2033)</f>
        <v>0</v>
      </c>
      <c r="R2033">
        <f>COUNTIF('一般職員　企業局→市長部局'!A:F,SQLデータ!B2033)</f>
        <v>0</v>
      </c>
    </row>
    <row r="2034" spans="1:18" x14ac:dyDescent="0.4">
      <c r="A2034" s="1">
        <v>202650001870</v>
      </c>
      <c r="B2034" s="1">
        <v>1236033</v>
      </c>
      <c r="C2034" s="2">
        <v>46118</v>
      </c>
      <c r="D2034" t="s">
        <v>17</v>
      </c>
      <c r="E2034" t="s">
        <v>8</v>
      </c>
      <c r="G2034" t="s">
        <v>9</v>
      </c>
      <c r="L2034">
        <f t="shared" si="156"/>
        <v>0</v>
      </c>
      <c r="M2034">
        <f t="shared" si="157"/>
        <v>0</v>
      </c>
      <c r="N2034">
        <f t="shared" si="158"/>
        <v>0</v>
      </c>
      <c r="O2034">
        <f t="shared" si="160"/>
        <v>1</v>
      </c>
      <c r="P2034" t="str">
        <f t="shared" si="159"/>
        <v/>
      </c>
      <c r="Q2034">
        <f>COUNTIF('責任職　企業局→市長部局'!A:A,SQLデータ!B2034)</f>
        <v>0</v>
      </c>
      <c r="R2034">
        <f>COUNTIF('一般職員　企業局→市長部局'!A:F,SQLデータ!B2034)</f>
        <v>0</v>
      </c>
    </row>
    <row r="2035" spans="1:18" x14ac:dyDescent="0.4">
      <c r="A2035" s="1">
        <v>202650001871</v>
      </c>
      <c r="B2035" s="1">
        <v>1186086</v>
      </c>
      <c r="C2035" s="2">
        <v>46118</v>
      </c>
      <c r="D2035" t="s">
        <v>17</v>
      </c>
      <c r="E2035" t="s">
        <v>8</v>
      </c>
      <c r="G2035" t="s">
        <v>9</v>
      </c>
      <c r="L2035">
        <f t="shared" si="156"/>
        <v>0</v>
      </c>
      <c r="M2035">
        <f t="shared" si="157"/>
        <v>0</v>
      </c>
      <c r="N2035">
        <f t="shared" si="158"/>
        <v>0</v>
      </c>
      <c r="O2035">
        <f t="shared" si="160"/>
        <v>1</v>
      </c>
      <c r="P2035" t="str">
        <f t="shared" si="159"/>
        <v/>
      </c>
      <c r="Q2035">
        <f>COUNTIF('責任職　企業局→市長部局'!A:A,SQLデータ!B2035)</f>
        <v>0</v>
      </c>
      <c r="R2035">
        <f>COUNTIF('一般職員　企業局→市長部局'!A:F,SQLデータ!B2035)</f>
        <v>0</v>
      </c>
    </row>
    <row r="2036" spans="1:18" x14ac:dyDescent="0.4">
      <c r="A2036" s="1">
        <v>202650001872</v>
      </c>
      <c r="B2036" s="1">
        <v>1196007</v>
      </c>
      <c r="C2036" s="2">
        <v>46118</v>
      </c>
      <c r="D2036" t="s">
        <v>17</v>
      </c>
      <c r="E2036" t="s">
        <v>8</v>
      </c>
      <c r="G2036" t="s">
        <v>9</v>
      </c>
      <c r="L2036">
        <f t="shared" si="156"/>
        <v>0</v>
      </c>
      <c r="M2036">
        <f t="shared" si="157"/>
        <v>0</v>
      </c>
      <c r="N2036">
        <f t="shared" si="158"/>
        <v>0</v>
      </c>
      <c r="O2036">
        <f t="shared" si="160"/>
        <v>1</v>
      </c>
      <c r="P2036" t="str">
        <f t="shared" si="159"/>
        <v/>
      </c>
      <c r="Q2036">
        <f>COUNTIF('責任職　企業局→市長部局'!A:A,SQLデータ!B2036)</f>
        <v>0</v>
      </c>
      <c r="R2036">
        <f>COUNTIF('一般職員　企業局→市長部局'!A:F,SQLデータ!B2036)</f>
        <v>0</v>
      </c>
    </row>
    <row r="2037" spans="1:18" x14ac:dyDescent="0.4">
      <c r="A2037" s="1">
        <v>202650001873</v>
      </c>
      <c r="B2037" s="1">
        <v>1226030</v>
      </c>
      <c r="C2037" s="2">
        <v>46118</v>
      </c>
      <c r="D2037" t="s">
        <v>17</v>
      </c>
      <c r="E2037" t="s">
        <v>8</v>
      </c>
      <c r="G2037" t="s">
        <v>9</v>
      </c>
      <c r="L2037">
        <f t="shared" si="156"/>
        <v>0</v>
      </c>
      <c r="M2037">
        <f t="shared" si="157"/>
        <v>0</v>
      </c>
      <c r="N2037">
        <f t="shared" si="158"/>
        <v>0</v>
      </c>
      <c r="O2037">
        <f t="shared" si="160"/>
        <v>1</v>
      </c>
      <c r="P2037" t="str">
        <f t="shared" si="159"/>
        <v/>
      </c>
      <c r="Q2037">
        <f>COUNTIF('責任職　企業局→市長部局'!A:A,SQLデータ!B2037)</f>
        <v>0</v>
      </c>
      <c r="R2037">
        <f>COUNTIF('一般職員　企業局→市長部局'!A:F,SQLデータ!B2037)</f>
        <v>0</v>
      </c>
    </row>
    <row r="2038" spans="1:18" x14ac:dyDescent="0.4">
      <c r="A2038" s="1">
        <v>202650001874</v>
      </c>
      <c r="B2038" s="1">
        <v>1226011</v>
      </c>
      <c r="C2038" s="2">
        <v>46118</v>
      </c>
      <c r="D2038" t="s">
        <v>17</v>
      </c>
      <c r="E2038" t="s">
        <v>8</v>
      </c>
      <c r="G2038" t="s">
        <v>9</v>
      </c>
      <c r="L2038">
        <f t="shared" si="156"/>
        <v>0</v>
      </c>
      <c r="M2038">
        <f t="shared" si="157"/>
        <v>0</v>
      </c>
      <c r="N2038">
        <f t="shared" si="158"/>
        <v>0</v>
      </c>
      <c r="O2038">
        <f t="shared" si="160"/>
        <v>1</v>
      </c>
      <c r="P2038" t="str">
        <f t="shared" si="159"/>
        <v/>
      </c>
      <c r="Q2038">
        <f>COUNTIF('責任職　企業局→市長部局'!A:A,SQLデータ!B2038)</f>
        <v>0</v>
      </c>
      <c r="R2038">
        <f>COUNTIF('一般職員　企業局→市長部局'!A:F,SQLデータ!B2038)</f>
        <v>0</v>
      </c>
    </row>
    <row r="2039" spans="1:18" x14ac:dyDescent="0.4">
      <c r="A2039" s="1">
        <v>202650001875</v>
      </c>
      <c r="B2039" s="1">
        <v>986042</v>
      </c>
      <c r="C2039" s="2">
        <v>46118</v>
      </c>
      <c r="D2039" t="s">
        <v>17</v>
      </c>
      <c r="E2039" t="s">
        <v>8</v>
      </c>
      <c r="G2039" t="s">
        <v>9</v>
      </c>
      <c r="L2039">
        <f t="shared" si="156"/>
        <v>0</v>
      </c>
      <c r="M2039">
        <f t="shared" si="157"/>
        <v>0</v>
      </c>
      <c r="N2039">
        <f t="shared" si="158"/>
        <v>0</v>
      </c>
      <c r="O2039">
        <f t="shared" si="160"/>
        <v>1</v>
      </c>
      <c r="P2039" t="str">
        <f t="shared" si="159"/>
        <v/>
      </c>
      <c r="Q2039">
        <f>COUNTIF('責任職　企業局→市長部局'!A:A,SQLデータ!B2039)</f>
        <v>0</v>
      </c>
      <c r="R2039">
        <f>COUNTIF('一般職員　企業局→市長部局'!A:F,SQLデータ!B2039)</f>
        <v>0</v>
      </c>
    </row>
    <row r="2040" spans="1:18" x14ac:dyDescent="0.4">
      <c r="A2040" s="1">
        <v>202650001876</v>
      </c>
      <c r="B2040" s="1">
        <v>1082017</v>
      </c>
      <c r="C2040" s="2">
        <v>46118</v>
      </c>
      <c r="D2040" t="s">
        <v>17</v>
      </c>
      <c r="E2040" t="s">
        <v>8</v>
      </c>
      <c r="G2040" t="s">
        <v>9</v>
      </c>
      <c r="L2040">
        <f t="shared" si="156"/>
        <v>0</v>
      </c>
      <c r="M2040">
        <f t="shared" si="157"/>
        <v>0</v>
      </c>
      <c r="N2040">
        <f t="shared" si="158"/>
        <v>0</v>
      </c>
      <c r="O2040">
        <f t="shared" si="160"/>
        <v>1</v>
      </c>
      <c r="P2040" t="str">
        <f t="shared" si="159"/>
        <v/>
      </c>
      <c r="Q2040">
        <f>COUNTIF('責任職　企業局→市長部局'!A:A,SQLデータ!B2040)</f>
        <v>0</v>
      </c>
      <c r="R2040">
        <f>COUNTIF('一般職員　企業局→市長部局'!A:F,SQLデータ!B2040)</f>
        <v>0</v>
      </c>
    </row>
    <row r="2041" spans="1:18" x14ac:dyDescent="0.4">
      <c r="A2041" s="1">
        <v>202650001877</v>
      </c>
      <c r="B2041" s="1">
        <v>1216123</v>
      </c>
      <c r="C2041" s="2">
        <v>46118</v>
      </c>
      <c r="D2041" t="s">
        <v>17</v>
      </c>
      <c r="E2041" t="s">
        <v>8</v>
      </c>
      <c r="G2041" t="s">
        <v>9</v>
      </c>
      <c r="L2041">
        <f t="shared" si="156"/>
        <v>0</v>
      </c>
      <c r="M2041">
        <f t="shared" si="157"/>
        <v>0</v>
      </c>
      <c r="N2041">
        <f t="shared" si="158"/>
        <v>0</v>
      </c>
      <c r="O2041">
        <f t="shared" si="160"/>
        <v>1</v>
      </c>
      <c r="P2041" t="str">
        <f t="shared" si="159"/>
        <v/>
      </c>
      <c r="Q2041">
        <f>COUNTIF('責任職　企業局→市長部局'!A:A,SQLデータ!B2041)</f>
        <v>0</v>
      </c>
      <c r="R2041">
        <f>COUNTIF('一般職員　企業局→市長部局'!A:F,SQLデータ!B2041)</f>
        <v>0</v>
      </c>
    </row>
    <row r="2042" spans="1:18" x14ac:dyDescent="0.4">
      <c r="A2042" s="1">
        <v>202650001878</v>
      </c>
      <c r="B2042" s="1">
        <v>1066031</v>
      </c>
      <c r="C2042" s="2">
        <v>46118</v>
      </c>
      <c r="D2042" t="s">
        <v>17</v>
      </c>
      <c r="E2042" t="s">
        <v>8</v>
      </c>
      <c r="G2042" t="s">
        <v>9</v>
      </c>
      <c r="L2042">
        <f t="shared" si="156"/>
        <v>0</v>
      </c>
      <c r="M2042">
        <f t="shared" si="157"/>
        <v>0</v>
      </c>
      <c r="N2042">
        <f t="shared" si="158"/>
        <v>0</v>
      </c>
      <c r="O2042">
        <f t="shared" si="160"/>
        <v>1</v>
      </c>
      <c r="P2042" t="str">
        <f t="shared" si="159"/>
        <v/>
      </c>
      <c r="Q2042">
        <f>COUNTIF('責任職　企業局→市長部局'!A:A,SQLデータ!B2042)</f>
        <v>0</v>
      </c>
      <c r="R2042">
        <f>COUNTIF('一般職員　企業局→市長部局'!A:F,SQLデータ!B2042)</f>
        <v>0</v>
      </c>
    </row>
    <row r="2043" spans="1:18" x14ac:dyDescent="0.4">
      <c r="A2043" s="1">
        <v>202650001879</v>
      </c>
      <c r="B2043" s="1">
        <v>1172192</v>
      </c>
      <c r="C2043" s="2">
        <v>46118</v>
      </c>
      <c r="D2043" t="s">
        <v>17</v>
      </c>
      <c r="E2043" t="s">
        <v>8</v>
      </c>
      <c r="G2043" t="s">
        <v>9</v>
      </c>
      <c r="L2043">
        <f t="shared" si="156"/>
        <v>0</v>
      </c>
      <c r="M2043">
        <f t="shared" si="157"/>
        <v>0</v>
      </c>
      <c r="N2043">
        <f t="shared" si="158"/>
        <v>0</v>
      </c>
      <c r="O2043">
        <f t="shared" si="160"/>
        <v>1</v>
      </c>
      <c r="P2043" t="str">
        <f t="shared" si="159"/>
        <v/>
      </c>
      <c r="Q2043">
        <f>COUNTIF('責任職　企業局→市長部局'!A:A,SQLデータ!B2043)</f>
        <v>0</v>
      </c>
      <c r="R2043">
        <f>COUNTIF('一般職員　企業局→市長部局'!A:F,SQLデータ!B2043)</f>
        <v>0</v>
      </c>
    </row>
    <row r="2044" spans="1:18" x14ac:dyDescent="0.4">
      <c r="A2044" s="1">
        <v>202650001880</v>
      </c>
      <c r="B2044" s="1">
        <v>1026006</v>
      </c>
      <c r="C2044" s="2">
        <v>46118</v>
      </c>
      <c r="D2044" t="s">
        <v>17</v>
      </c>
      <c r="E2044" t="s">
        <v>8</v>
      </c>
      <c r="G2044" t="s">
        <v>9</v>
      </c>
      <c r="L2044">
        <f t="shared" si="156"/>
        <v>0</v>
      </c>
      <c r="M2044">
        <f t="shared" si="157"/>
        <v>0</v>
      </c>
      <c r="N2044">
        <f t="shared" si="158"/>
        <v>0</v>
      </c>
      <c r="O2044">
        <f t="shared" si="160"/>
        <v>1</v>
      </c>
      <c r="P2044" t="str">
        <f t="shared" si="159"/>
        <v/>
      </c>
      <c r="Q2044">
        <f>COUNTIF('責任職　企業局→市長部局'!A:A,SQLデータ!B2044)</f>
        <v>0</v>
      </c>
      <c r="R2044">
        <f>COUNTIF('一般職員　企業局→市長部局'!A:F,SQLデータ!B2044)</f>
        <v>0</v>
      </c>
    </row>
    <row r="2045" spans="1:18" x14ac:dyDescent="0.4">
      <c r="A2045" s="1">
        <v>202650001881</v>
      </c>
      <c r="B2045" s="1">
        <v>1126055</v>
      </c>
      <c r="C2045" s="2">
        <v>46118</v>
      </c>
      <c r="D2045" t="s">
        <v>17</v>
      </c>
      <c r="E2045" t="s">
        <v>8</v>
      </c>
      <c r="G2045" t="s">
        <v>9</v>
      </c>
      <c r="L2045">
        <f t="shared" si="156"/>
        <v>0</v>
      </c>
      <c r="M2045">
        <f t="shared" si="157"/>
        <v>0</v>
      </c>
      <c r="N2045">
        <f t="shared" si="158"/>
        <v>0</v>
      </c>
      <c r="O2045">
        <f t="shared" si="160"/>
        <v>1</v>
      </c>
      <c r="P2045" t="str">
        <f t="shared" si="159"/>
        <v/>
      </c>
      <c r="Q2045">
        <f>COUNTIF('責任職　企業局→市長部局'!A:A,SQLデータ!B2045)</f>
        <v>0</v>
      </c>
      <c r="R2045">
        <f>COUNTIF('一般職員　企業局→市長部局'!A:F,SQLデータ!B2045)</f>
        <v>0</v>
      </c>
    </row>
    <row r="2046" spans="1:18" x14ac:dyDescent="0.4">
      <c r="A2046" s="1">
        <v>202650001882</v>
      </c>
      <c r="B2046" s="1">
        <v>976045</v>
      </c>
      <c r="C2046" s="2">
        <v>46118</v>
      </c>
      <c r="D2046" t="s">
        <v>17</v>
      </c>
      <c r="E2046" t="s">
        <v>8</v>
      </c>
      <c r="G2046" t="s">
        <v>9</v>
      </c>
      <c r="L2046">
        <f t="shared" si="156"/>
        <v>0</v>
      </c>
      <c r="M2046">
        <f t="shared" si="157"/>
        <v>0</v>
      </c>
      <c r="N2046">
        <f t="shared" si="158"/>
        <v>0</v>
      </c>
      <c r="O2046">
        <f t="shared" si="160"/>
        <v>1</v>
      </c>
      <c r="P2046" t="str">
        <f t="shared" si="159"/>
        <v/>
      </c>
      <c r="Q2046">
        <f>COUNTIF('責任職　企業局→市長部局'!A:A,SQLデータ!B2046)</f>
        <v>0</v>
      </c>
      <c r="R2046">
        <f>COUNTIF('一般職員　企業局→市長部局'!A:F,SQLデータ!B2046)</f>
        <v>0</v>
      </c>
    </row>
    <row r="2047" spans="1:18" x14ac:dyDescent="0.4">
      <c r="A2047" s="1">
        <v>202650001883</v>
      </c>
      <c r="B2047" s="1">
        <v>1181284</v>
      </c>
      <c r="C2047" s="2">
        <v>46118</v>
      </c>
      <c r="D2047" t="s">
        <v>17</v>
      </c>
      <c r="E2047" t="s">
        <v>8</v>
      </c>
      <c r="G2047" t="s">
        <v>9</v>
      </c>
      <c r="L2047">
        <f t="shared" si="156"/>
        <v>0</v>
      </c>
      <c r="M2047">
        <f t="shared" si="157"/>
        <v>0</v>
      </c>
      <c r="N2047">
        <f t="shared" si="158"/>
        <v>0</v>
      </c>
      <c r="O2047">
        <f t="shared" si="160"/>
        <v>1</v>
      </c>
      <c r="P2047" t="str">
        <f t="shared" si="159"/>
        <v/>
      </c>
      <c r="Q2047">
        <f>COUNTIF('責任職　企業局→市長部局'!A:A,SQLデータ!B2047)</f>
        <v>0</v>
      </c>
      <c r="R2047">
        <f>COUNTIF('一般職員　企業局→市長部局'!A:F,SQLデータ!B2047)</f>
        <v>0</v>
      </c>
    </row>
    <row r="2048" spans="1:18" x14ac:dyDescent="0.4">
      <c r="A2048" s="1">
        <v>202650001884</v>
      </c>
      <c r="B2048" s="1">
        <v>1256081</v>
      </c>
      <c r="C2048" s="2">
        <v>46118</v>
      </c>
      <c r="D2048" t="s">
        <v>17</v>
      </c>
      <c r="E2048" t="s">
        <v>8</v>
      </c>
      <c r="G2048" t="s">
        <v>9</v>
      </c>
      <c r="L2048">
        <f t="shared" si="156"/>
        <v>0</v>
      </c>
      <c r="M2048">
        <f t="shared" si="157"/>
        <v>0</v>
      </c>
      <c r="N2048">
        <f t="shared" si="158"/>
        <v>0</v>
      </c>
      <c r="O2048">
        <f t="shared" si="160"/>
        <v>1</v>
      </c>
      <c r="P2048" t="str">
        <f t="shared" si="159"/>
        <v/>
      </c>
      <c r="Q2048">
        <f>COUNTIF('責任職　企業局→市長部局'!A:A,SQLデータ!B2048)</f>
        <v>0</v>
      </c>
      <c r="R2048">
        <f>COUNTIF('一般職員　企業局→市長部局'!A:F,SQLデータ!B2048)</f>
        <v>0</v>
      </c>
    </row>
    <row r="2049" spans="1:18" x14ac:dyDescent="0.4">
      <c r="A2049" s="1">
        <v>202650001885</v>
      </c>
      <c r="B2049" s="1">
        <v>880687</v>
      </c>
      <c r="C2049" s="2">
        <v>46118</v>
      </c>
      <c r="D2049" t="s">
        <v>17</v>
      </c>
      <c r="E2049" t="s">
        <v>8</v>
      </c>
      <c r="G2049" t="s">
        <v>9</v>
      </c>
      <c r="L2049">
        <f t="shared" si="156"/>
        <v>0</v>
      </c>
      <c r="M2049">
        <f t="shared" si="157"/>
        <v>0</v>
      </c>
      <c r="N2049">
        <f t="shared" si="158"/>
        <v>0</v>
      </c>
      <c r="O2049">
        <f t="shared" si="160"/>
        <v>1</v>
      </c>
      <c r="P2049" t="str">
        <f t="shared" si="159"/>
        <v/>
      </c>
      <c r="Q2049">
        <f>COUNTIF('責任職　企業局→市長部局'!A:A,SQLデータ!B2049)</f>
        <v>0</v>
      </c>
      <c r="R2049">
        <f>COUNTIF('一般職員　企業局→市長部局'!A:F,SQLデータ!B2049)</f>
        <v>0</v>
      </c>
    </row>
    <row r="2050" spans="1:18" x14ac:dyDescent="0.4">
      <c r="A2050" s="1">
        <v>202650001886</v>
      </c>
      <c r="B2050" s="1">
        <v>1256067</v>
      </c>
      <c r="C2050" s="2">
        <v>46118</v>
      </c>
      <c r="D2050" t="s">
        <v>17</v>
      </c>
      <c r="E2050" t="s">
        <v>8</v>
      </c>
      <c r="G2050" t="s">
        <v>9</v>
      </c>
      <c r="L2050">
        <f t="shared" ref="L2050:L2113" si="161">IF(ISBLANK(J2050),0,1)</f>
        <v>0</v>
      </c>
      <c r="M2050">
        <f t="shared" ref="M2050:M2113" si="162">IF(AND(L2050=0,I2050&lt;&gt;""),1,0)</f>
        <v>0</v>
      </c>
      <c r="N2050">
        <f t="shared" ref="N2050:N2113" si="163">IF(AND(L2050=0,M2050=0,K2050&lt;&gt;""),1,0)</f>
        <v>0</v>
      </c>
      <c r="O2050">
        <f t="shared" si="160"/>
        <v>1</v>
      </c>
      <c r="P2050" t="str">
        <f t="shared" ref="P2050:P2113" si="164">IF(D2050&lt;&gt;"扶養","",IF(E2050&lt;&gt;"確認待ち",1,IF(OR(AND(G2050="本人の結婚",O2050=1),AND(H2050="減",OR(N2050=1,O2050=1))),1,0)))</f>
        <v/>
      </c>
      <c r="Q2050">
        <f>COUNTIF('責任職　企業局→市長部局'!A:A,SQLデータ!B2050)</f>
        <v>0</v>
      </c>
      <c r="R2050">
        <f>COUNTIF('一般職員　企業局→市長部局'!A:F,SQLデータ!B2050)</f>
        <v>0</v>
      </c>
    </row>
    <row r="2051" spans="1:18" x14ac:dyDescent="0.4">
      <c r="A2051" s="1">
        <v>202650001887</v>
      </c>
      <c r="B2051" s="1">
        <v>1136003</v>
      </c>
      <c r="C2051" s="2">
        <v>46118</v>
      </c>
      <c r="D2051" t="s">
        <v>17</v>
      </c>
      <c r="E2051" t="s">
        <v>8</v>
      </c>
      <c r="G2051" t="s">
        <v>9</v>
      </c>
      <c r="L2051">
        <f t="shared" si="161"/>
        <v>0</v>
      </c>
      <c r="M2051">
        <f t="shared" si="162"/>
        <v>0</v>
      </c>
      <c r="N2051">
        <f t="shared" si="163"/>
        <v>0</v>
      </c>
      <c r="O2051">
        <f t="shared" si="160"/>
        <v>1</v>
      </c>
      <c r="P2051" t="str">
        <f t="shared" si="164"/>
        <v/>
      </c>
      <c r="Q2051">
        <f>COUNTIF('責任職　企業局→市長部局'!A:A,SQLデータ!B2051)</f>
        <v>0</v>
      </c>
      <c r="R2051">
        <f>COUNTIF('一般職員　企業局→市長部局'!A:F,SQLデータ!B2051)</f>
        <v>0</v>
      </c>
    </row>
    <row r="2052" spans="1:18" x14ac:dyDescent="0.4">
      <c r="A2052" s="1">
        <v>202650001888</v>
      </c>
      <c r="B2052" s="1">
        <v>1036036</v>
      </c>
      <c r="C2052" s="2">
        <v>46118</v>
      </c>
      <c r="D2052" t="s">
        <v>17</v>
      </c>
      <c r="E2052" t="s">
        <v>8</v>
      </c>
      <c r="G2052" t="s">
        <v>9</v>
      </c>
      <c r="L2052">
        <f t="shared" si="161"/>
        <v>0</v>
      </c>
      <c r="M2052">
        <f t="shared" si="162"/>
        <v>0</v>
      </c>
      <c r="N2052">
        <f t="shared" si="163"/>
        <v>0</v>
      </c>
      <c r="O2052">
        <f t="shared" si="160"/>
        <v>1</v>
      </c>
      <c r="P2052" t="str">
        <f t="shared" si="164"/>
        <v/>
      </c>
      <c r="Q2052">
        <f>COUNTIF('責任職　企業局→市長部局'!A:A,SQLデータ!B2052)</f>
        <v>0</v>
      </c>
      <c r="R2052">
        <f>COUNTIF('一般職員　企業局→市長部局'!A:F,SQLデータ!B2052)</f>
        <v>0</v>
      </c>
    </row>
    <row r="2053" spans="1:18" x14ac:dyDescent="0.4">
      <c r="A2053" s="1">
        <v>202650001890</v>
      </c>
      <c r="B2053" s="1">
        <v>920309</v>
      </c>
      <c r="C2053" s="2">
        <v>46118</v>
      </c>
      <c r="D2053" t="s">
        <v>17</v>
      </c>
      <c r="E2053" t="s">
        <v>8</v>
      </c>
      <c r="G2053" t="s">
        <v>9</v>
      </c>
      <c r="L2053">
        <f t="shared" si="161"/>
        <v>0</v>
      </c>
      <c r="M2053">
        <f t="shared" si="162"/>
        <v>0</v>
      </c>
      <c r="N2053">
        <f t="shared" si="163"/>
        <v>0</v>
      </c>
      <c r="O2053">
        <f t="shared" si="160"/>
        <v>1</v>
      </c>
      <c r="P2053" t="str">
        <f t="shared" si="164"/>
        <v/>
      </c>
      <c r="Q2053">
        <f>COUNTIF('責任職　企業局→市長部局'!A:A,SQLデータ!B2053)</f>
        <v>0</v>
      </c>
      <c r="R2053">
        <f>COUNTIF('一般職員　企業局→市長部局'!A:F,SQLデータ!B2053)</f>
        <v>0</v>
      </c>
    </row>
    <row r="2054" spans="1:18" x14ac:dyDescent="0.4">
      <c r="A2054" s="1">
        <v>202650001891</v>
      </c>
      <c r="B2054" s="1">
        <v>1256037</v>
      </c>
      <c r="C2054" s="2">
        <v>46118</v>
      </c>
      <c r="D2054" t="s">
        <v>17</v>
      </c>
      <c r="E2054" t="s">
        <v>8</v>
      </c>
      <c r="G2054" t="s">
        <v>9</v>
      </c>
      <c r="L2054">
        <f t="shared" si="161"/>
        <v>0</v>
      </c>
      <c r="M2054">
        <f t="shared" si="162"/>
        <v>0</v>
      </c>
      <c r="N2054">
        <f t="shared" si="163"/>
        <v>0</v>
      </c>
      <c r="O2054">
        <f t="shared" si="160"/>
        <v>1</v>
      </c>
      <c r="P2054" t="str">
        <f t="shared" si="164"/>
        <v/>
      </c>
      <c r="Q2054">
        <f>COUNTIF('責任職　企業局→市長部局'!A:A,SQLデータ!B2054)</f>
        <v>0</v>
      </c>
      <c r="R2054">
        <f>COUNTIF('一般職員　企業局→市長部局'!A:F,SQLデータ!B2054)</f>
        <v>0</v>
      </c>
    </row>
    <row r="2055" spans="1:18" x14ac:dyDescent="0.4">
      <c r="A2055" s="1">
        <v>202650001892</v>
      </c>
      <c r="B2055" s="1">
        <v>1026055</v>
      </c>
      <c r="C2055" s="2">
        <v>46118</v>
      </c>
      <c r="D2055" t="s">
        <v>17</v>
      </c>
      <c r="E2055" t="s">
        <v>8</v>
      </c>
      <c r="G2055" t="s">
        <v>9</v>
      </c>
      <c r="L2055">
        <f t="shared" si="161"/>
        <v>0</v>
      </c>
      <c r="M2055">
        <f t="shared" si="162"/>
        <v>0</v>
      </c>
      <c r="N2055">
        <f t="shared" si="163"/>
        <v>0</v>
      </c>
      <c r="O2055">
        <f t="shared" si="160"/>
        <v>1</v>
      </c>
      <c r="P2055" t="str">
        <f t="shared" si="164"/>
        <v/>
      </c>
      <c r="Q2055">
        <f>COUNTIF('責任職　企業局→市長部局'!A:A,SQLデータ!B2055)</f>
        <v>0</v>
      </c>
      <c r="R2055">
        <f>COUNTIF('一般職員　企業局→市長部局'!A:F,SQLデータ!B2055)</f>
        <v>0</v>
      </c>
    </row>
    <row r="2056" spans="1:18" x14ac:dyDescent="0.4">
      <c r="A2056" s="1">
        <v>202650001893</v>
      </c>
      <c r="B2056" s="1">
        <v>1221216</v>
      </c>
      <c r="C2056" s="2">
        <v>46118</v>
      </c>
      <c r="D2056" t="s">
        <v>17</v>
      </c>
      <c r="E2056" t="s">
        <v>8</v>
      </c>
      <c r="G2056" t="s">
        <v>9</v>
      </c>
      <c r="L2056">
        <f t="shared" si="161"/>
        <v>0</v>
      </c>
      <c r="M2056">
        <f t="shared" si="162"/>
        <v>0</v>
      </c>
      <c r="N2056">
        <f t="shared" si="163"/>
        <v>0</v>
      </c>
      <c r="O2056">
        <f t="shared" si="160"/>
        <v>1</v>
      </c>
      <c r="P2056" t="str">
        <f t="shared" si="164"/>
        <v/>
      </c>
      <c r="Q2056">
        <f>COUNTIF('責任職　企業局→市長部局'!A:A,SQLデータ!B2056)</f>
        <v>0</v>
      </c>
      <c r="R2056">
        <f>COUNTIF('一般職員　企業局→市長部局'!A:F,SQLデータ!B2056)</f>
        <v>0</v>
      </c>
    </row>
    <row r="2057" spans="1:18" x14ac:dyDescent="0.4">
      <c r="A2057" s="1">
        <v>202650001894</v>
      </c>
      <c r="B2057" s="1">
        <v>1041104</v>
      </c>
      <c r="C2057" s="2">
        <v>46118</v>
      </c>
      <c r="D2057" t="s">
        <v>17</v>
      </c>
      <c r="E2057" t="s">
        <v>8</v>
      </c>
      <c r="G2057" t="s">
        <v>9</v>
      </c>
      <c r="L2057">
        <f t="shared" si="161"/>
        <v>0</v>
      </c>
      <c r="M2057">
        <f t="shared" si="162"/>
        <v>0</v>
      </c>
      <c r="N2057">
        <f t="shared" si="163"/>
        <v>0</v>
      </c>
      <c r="O2057">
        <f t="shared" ref="O2057:O2120" si="165">IF(COUNTIF(L2057:N2057,0)=3,1,0)</f>
        <v>1</v>
      </c>
      <c r="P2057" t="str">
        <f t="shared" si="164"/>
        <v/>
      </c>
      <c r="Q2057">
        <f>COUNTIF('責任職　企業局→市長部局'!A:A,SQLデータ!B2057)</f>
        <v>0</v>
      </c>
      <c r="R2057">
        <f>COUNTIF('一般職員　企業局→市長部局'!A:F,SQLデータ!B2057)</f>
        <v>0</v>
      </c>
    </row>
    <row r="2058" spans="1:18" x14ac:dyDescent="0.4">
      <c r="A2058" s="1">
        <v>202650001895</v>
      </c>
      <c r="B2058" s="1">
        <v>1066064</v>
      </c>
      <c r="C2058" s="2">
        <v>46118</v>
      </c>
      <c r="D2058" t="s">
        <v>17</v>
      </c>
      <c r="E2058" t="s">
        <v>8</v>
      </c>
      <c r="G2058" t="s">
        <v>9</v>
      </c>
      <c r="L2058">
        <f t="shared" si="161"/>
        <v>0</v>
      </c>
      <c r="M2058">
        <f t="shared" si="162"/>
        <v>0</v>
      </c>
      <c r="N2058">
        <f t="shared" si="163"/>
        <v>0</v>
      </c>
      <c r="O2058">
        <f t="shared" si="165"/>
        <v>1</v>
      </c>
      <c r="P2058" t="str">
        <f t="shared" si="164"/>
        <v/>
      </c>
      <c r="Q2058">
        <f>COUNTIF('責任職　企業局→市長部局'!A:A,SQLデータ!B2058)</f>
        <v>0</v>
      </c>
      <c r="R2058">
        <f>COUNTIF('一般職員　企業局→市長部局'!A:F,SQLデータ!B2058)</f>
        <v>0</v>
      </c>
    </row>
    <row r="2059" spans="1:18" x14ac:dyDescent="0.4">
      <c r="A2059" s="1">
        <v>202650001896</v>
      </c>
      <c r="B2059" s="1">
        <v>1186148</v>
      </c>
      <c r="C2059" s="2">
        <v>46118</v>
      </c>
      <c r="D2059" t="s">
        <v>17</v>
      </c>
      <c r="E2059" t="s">
        <v>8</v>
      </c>
      <c r="G2059" t="s">
        <v>9</v>
      </c>
      <c r="L2059">
        <f t="shared" si="161"/>
        <v>0</v>
      </c>
      <c r="M2059">
        <f t="shared" si="162"/>
        <v>0</v>
      </c>
      <c r="N2059">
        <f t="shared" si="163"/>
        <v>0</v>
      </c>
      <c r="O2059">
        <f t="shared" si="165"/>
        <v>1</v>
      </c>
      <c r="P2059" t="str">
        <f t="shared" si="164"/>
        <v/>
      </c>
      <c r="Q2059">
        <f>COUNTIF('責任職　企業局→市長部局'!A:A,SQLデータ!B2059)</f>
        <v>0</v>
      </c>
      <c r="R2059">
        <f>COUNTIF('一般職員　企業局→市長部局'!A:F,SQLデータ!B2059)</f>
        <v>0</v>
      </c>
    </row>
    <row r="2060" spans="1:18" x14ac:dyDescent="0.4">
      <c r="A2060" s="1">
        <v>202650001898</v>
      </c>
      <c r="B2060" s="1">
        <v>1181435</v>
      </c>
      <c r="C2060" s="2">
        <v>46118</v>
      </c>
      <c r="D2060" t="s">
        <v>17</v>
      </c>
      <c r="E2060" t="s">
        <v>8</v>
      </c>
      <c r="G2060" t="s">
        <v>9</v>
      </c>
      <c r="L2060">
        <f t="shared" si="161"/>
        <v>0</v>
      </c>
      <c r="M2060">
        <f t="shared" si="162"/>
        <v>0</v>
      </c>
      <c r="N2060">
        <f t="shared" si="163"/>
        <v>0</v>
      </c>
      <c r="O2060">
        <f t="shared" si="165"/>
        <v>1</v>
      </c>
      <c r="P2060" t="str">
        <f t="shared" si="164"/>
        <v/>
      </c>
      <c r="Q2060">
        <f>COUNTIF('責任職　企業局→市長部局'!A:A,SQLデータ!B2060)</f>
        <v>0</v>
      </c>
      <c r="R2060">
        <f>COUNTIF('一般職員　企業局→市長部局'!A:F,SQLデータ!B2060)</f>
        <v>0</v>
      </c>
    </row>
    <row r="2061" spans="1:18" x14ac:dyDescent="0.4">
      <c r="A2061" s="1">
        <v>202650001899</v>
      </c>
      <c r="B2061" s="1">
        <v>1116145</v>
      </c>
      <c r="C2061" s="2">
        <v>46118</v>
      </c>
      <c r="D2061" t="s">
        <v>17</v>
      </c>
      <c r="E2061" t="s">
        <v>8</v>
      </c>
      <c r="G2061" t="s">
        <v>9</v>
      </c>
      <c r="L2061">
        <f t="shared" si="161"/>
        <v>0</v>
      </c>
      <c r="M2061">
        <f t="shared" si="162"/>
        <v>0</v>
      </c>
      <c r="N2061">
        <f t="shared" si="163"/>
        <v>0</v>
      </c>
      <c r="O2061">
        <f t="shared" si="165"/>
        <v>1</v>
      </c>
      <c r="P2061" t="str">
        <f t="shared" si="164"/>
        <v/>
      </c>
      <c r="Q2061">
        <f>COUNTIF('責任職　企業局→市長部局'!A:A,SQLデータ!B2061)</f>
        <v>0</v>
      </c>
      <c r="R2061">
        <f>COUNTIF('一般職員　企業局→市長部局'!A:F,SQLデータ!B2061)</f>
        <v>0</v>
      </c>
    </row>
    <row r="2062" spans="1:18" x14ac:dyDescent="0.4">
      <c r="A2062" s="1">
        <v>202650001900</v>
      </c>
      <c r="B2062" s="1">
        <v>1136016</v>
      </c>
      <c r="C2062" s="2">
        <v>46119</v>
      </c>
      <c r="D2062" t="s">
        <v>17</v>
      </c>
      <c r="E2062" t="s">
        <v>8</v>
      </c>
      <c r="G2062" t="s">
        <v>9</v>
      </c>
      <c r="L2062">
        <f t="shared" si="161"/>
        <v>0</v>
      </c>
      <c r="M2062">
        <f t="shared" si="162"/>
        <v>0</v>
      </c>
      <c r="N2062">
        <f t="shared" si="163"/>
        <v>0</v>
      </c>
      <c r="O2062">
        <f t="shared" si="165"/>
        <v>1</v>
      </c>
      <c r="P2062" t="str">
        <f t="shared" si="164"/>
        <v/>
      </c>
      <c r="Q2062">
        <f>COUNTIF('責任職　企業局→市長部局'!A:A,SQLデータ!B2062)</f>
        <v>0</v>
      </c>
      <c r="R2062">
        <f>COUNTIF('一般職員　企業局→市長部局'!A:F,SQLデータ!B2062)</f>
        <v>0</v>
      </c>
    </row>
    <row r="2063" spans="1:18" x14ac:dyDescent="0.4">
      <c r="A2063" s="1">
        <v>202650001901</v>
      </c>
      <c r="B2063" s="1">
        <v>1226064</v>
      </c>
      <c r="C2063" s="2">
        <v>46119</v>
      </c>
      <c r="D2063" t="s">
        <v>17</v>
      </c>
      <c r="E2063" t="s">
        <v>8</v>
      </c>
      <c r="G2063" t="s">
        <v>9</v>
      </c>
      <c r="L2063">
        <f t="shared" si="161"/>
        <v>0</v>
      </c>
      <c r="M2063">
        <f t="shared" si="162"/>
        <v>0</v>
      </c>
      <c r="N2063">
        <f t="shared" si="163"/>
        <v>0</v>
      </c>
      <c r="O2063">
        <f t="shared" si="165"/>
        <v>1</v>
      </c>
      <c r="P2063" t="str">
        <f t="shared" si="164"/>
        <v/>
      </c>
      <c r="Q2063">
        <f>COUNTIF('責任職　企業局→市長部局'!A:A,SQLデータ!B2063)</f>
        <v>0</v>
      </c>
      <c r="R2063">
        <f>COUNTIF('一般職員　企業局→市長部局'!A:F,SQLデータ!B2063)</f>
        <v>0</v>
      </c>
    </row>
    <row r="2064" spans="1:18" x14ac:dyDescent="0.4">
      <c r="A2064" s="1">
        <v>202650001902</v>
      </c>
      <c r="B2064" s="1">
        <v>1176086</v>
      </c>
      <c r="C2064" s="2">
        <v>46119</v>
      </c>
      <c r="D2064" t="s">
        <v>17</v>
      </c>
      <c r="E2064" t="s">
        <v>8</v>
      </c>
      <c r="G2064" t="s">
        <v>9</v>
      </c>
      <c r="L2064">
        <f t="shared" si="161"/>
        <v>0</v>
      </c>
      <c r="M2064">
        <f t="shared" si="162"/>
        <v>0</v>
      </c>
      <c r="N2064">
        <f t="shared" si="163"/>
        <v>0</v>
      </c>
      <c r="O2064">
        <f t="shared" si="165"/>
        <v>1</v>
      </c>
      <c r="P2064" t="str">
        <f t="shared" si="164"/>
        <v/>
      </c>
      <c r="Q2064">
        <f>COUNTIF('責任職　企業局→市長部局'!A:A,SQLデータ!B2064)</f>
        <v>0</v>
      </c>
      <c r="R2064">
        <f>COUNTIF('一般職員　企業局→市長部局'!A:F,SQLデータ!B2064)</f>
        <v>0</v>
      </c>
    </row>
    <row r="2065" spans="1:18" x14ac:dyDescent="0.4">
      <c r="A2065" s="1">
        <v>202650001903</v>
      </c>
      <c r="B2065" s="1">
        <v>1036020</v>
      </c>
      <c r="C2065" s="2">
        <v>46119</v>
      </c>
      <c r="D2065" t="s">
        <v>17</v>
      </c>
      <c r="E2065" t="s">
        <v>8</v>
      </c>
      <c r="G2065" t="s">
        <v>9</v>
      </c>
      <c r="L2065">
        <f t="shared" si="161"/>
        <v>0</v>
      </c>
      <c r="M2065">
        <f t="shared" si="162"/>
        <v>0</v>
      </c>
      <c r="N2065">
        <f t="shared" si="163"/>
        <v>0</v>
      </c>
      <c r="O2065">
        <f t="shared" si="165"/>
        <v>1</v>
      </c>
      <c r="P2065" t="str">
        <f t="shared" si="164"/>
        <v/>
      </c>
      <c r="Q2065">
        <f>COUNTIF('責任職　企業局→市長部局'!A:A,SQLデータ!B2065)</f>
        <v>0</v>
      </c>
      <c r="R2065">
        <f>COUNTIF('一般職員　企業局→市長部局'!A:F,SQLデータ!B2065)</f>
        <v>0</v>
      </c>
    </row>
    <row r="2066" spans="1:18" x14ac:dyDescent="0.4">
      <c r="A2066" s="1">
        <v>202650001904</v>
      </c>
      <c r="B2066" s="1">
        <v>5098366</v>
      </c>
      <c r="C2066" s="2">
        <v>46119</v>
      </c>
      <c r="D2066" t="s">
        <v>17</v>
      </c>
      <c r="E2066" t="s">
        <v>8</v>
      </c>
      <c r="F2066" t="s">
        <v>54</v>
      </c>
      <c r="G2066" t="s">
        <v>9</v>
      </c>
      <c r="L2066">
        <f t="shared" si="161"/>
        <v>0</v>
      </c>
      <c r="M2066">
        <f t="shared" si="162"/>
        <v>0</v>
      </c>
      <c r="N2066">
        <f t="shared" si="163"/>
        <v>0</v>
      </c>
      <c r="O2066">
        <f t="shared" si="165"/>
        <v>1</v>
      </c>
      <c r="P2066" t="str">
        <f t="shared" si="164"/>
        <v/>
      </c>
      <c r="Q2066">
        <f>COUNTIF('責任職　企業局→市長部局'!A:A,SQLデータ!B2066)</f>
        <v>0</v>
      </c>
      <c r="R2066">
        <f>COUNTIF('一般職員　企業局→市長部局'!A:F,SQLデータ!B2066)</f>
        <v>0</v>
      </c>
    </row>
    <row r="2067" spans="1:18" x14ac:dyDescent="0.4">
      <c r="A2067" s="1">
        <v>202650001905</v>
      </c>
      <c r="B2067" s="1">
        <v>1246042</v>
      </c>
      <c r="C2067" s="2">
        <v>46119</v>
      </c>
      <c r="D2067" t="s">
        <v>17</v>
      </c>
      <c r="E2067" t="s">
        <v>8</v>
      </c>
      <c r="F2067" t="s">
        <v>54</v>
      </c>
      <c r="G2067" t="s">
        <v>9</v>
      </c>
      <c r="L2067">
        <f t="shared" si="161"/>
        <v>0</v>
      </c>
      <c r="M2067">
        <f t="shared" si="162"/>
        <v>0</v>
      </c>
      <c r="N2067">
        <f t="shared" si="163"/>
        <v>0</v>
      </c>
      <c r="O2067">
        <f t="shared" si="165"/>
        <v>1</v>
      </c>
      <c r="P2067" t="str">
        <f t="shared" si="164"/>
        <v/>
      </c>
      <c r="Q2067">
        <f>COUNTIF('責任職　企業局→市長部局'!A:A,SQLデータ!B2067)</f>
        <v>0</v>
      </c>
      <c r="R2067">
        <f>COUNTIF('一般職員　企業局→市長部局'!A:F,SQLデータ!B2067)</f>
        <v>0</v>
      </c>
    </row>
    <row r="2068" spans="1:18" x14ac:dyDescent="0.4">
      <c r="A2068" s="1">
        <v>202650001906</v>
      </c>
      <c r="B2068" s="1">
        <v>1246103</v>
      </c>
      <c r="C2068" s="2">
        <v>46119</v>
      </c>
      <c r="D2068" t="s">
        <v>17</v>
      </c>
      <c r="E2068" t="s">
        <v>8</v>
      </c>
      <c r="G2068" t="s">
        <v>9</v>
      </c>
      <c r="L2068">
        <f t="shared" si="161"/>
        <v>0</v>
      </c>
      <c r="M2068">
        <f t="shared" si="162"/>
        <v>0</v>
      </c>
      <c r="N2068">
        <f t="shared" si="163"/>
        <v>0</v>
      </c>
      <c r="O2068">
        <f t="shared" si="165"/>
        <v>1</v>
      </c>
      <c r="P2068" t="str">
        <f t="shared" si="164"/>
        <v/>
      </c>
      <c r="Q2068">
        <f>COUNTIF('責任職　企業局→市長部局'!A:A,SQLデータ!B2068)</f>
        <v>0</v>
      </c>
      <c r="R2068">
        <f>COUNTIF('一般職員　企業局→市長部局'!A:F,SQLデータ!B2068)</f>
        <v>0</v>
      </c>
    </row>
    <row r="2069" spans="1:18" x14ac:dyDescent="0.4">
      <c r="A2069" s="1">
        <v>202650001907</v>
      </c>
      <c r="B2069" s="1">
        <v>1212321</v>
      </c>
      <c r="C2069" s="2">
        <v>46127</v>
      </c>
      <c r="D2069" t="s">
        <v>17</v>
      </c>
      <c r="E2069" t="s">
        <v>8</v>
      </c>
      <c r="G2069" t="s">
        <v>9</v>
      </c>
      <c r="L2069">
        <f t="shared" si="161"/>
        <v>0</v>
      </c>
      <c r="M2069">
        <f t="shared" si="162"/>
        <v>0</v>
      </c>
      <c r="N2069">
        <f t="shared" si="163"/>
        <v>0</v>
      </c>
      <c r="O2069">
        <f t="shared" si="165"/>
        <v>1</v>
      </c>
      <c r="P2069" t="str">
        <f t="shared" si="164"/>
        <v/>
      </c>
      <c r="Q2069">
        <f>COUNTIF('責任職　企業局→市長部局'!A:A,SQLデータ!B2069)</f>
        <v>0</v>
      </c>
      <c r="R2069">
        <f>COUNTIF('一般職員　企業局→市長部局'!A:F,SQLデータ!B2069)</f>
        <v>0</v>
      </c>
    </row>
    <row r="2070" spans="1:18" x14ac:dyDescent="0.4">
      <c r="A2070" s="1">
        <v>202650001908</v>
      </c>
      <c r="B2070" s="1">
        <v>5078441</v>
      </c>
      <c r="C2070" s="2">
        <v>46119</v>
      </c>
      <c r="D2070" t="s">
        <v>17</v>
      </c>
      <c r="E2070" t="s">
        <v>8</v>
      </c>
      <c r="F2070" t="s">
        <v>54</v>
      </c>
      <c r="G2070" t="s">
        <v>9</v>
      </c>
      <c r="L2070">
        <f t="shared" si="161"/>
        <v>0</v>
      </c>
      <c r="M2070">
        <f t="shared" si="162"/>
        <v>0</v>
      </c>
      <c r="N2070">
        <f t="shared" si="163"/>
        <v>0</v>
      </c>
      <c r="O2070">
        <f t="shared" si="165"/>
        <v>1</v>
      </c>
      <c r="P2070" t="str">
        <f t="shared" si="164"/>
        <v/>
      </c>
      <c r="Q2070">
        <f>COUNTIF('責任職　企業局→市長部局'!A:A,SQLデータ!B2070)</f>
        <v>0</v>
      </c>
      <c r="R2070">
        <f>COUNTIF('一般職員　企業局→市長部局'!A:F,SQLデータ!B2070)</f>
        <v>0</v>
      </c>
    </row>
    <row r="2071" spans="1:18" x14ac:dyDescent="0.4">
      <c r="A2071" s="1">
        <v>202650001909</v>
      </c>
      <c r="B2071" s="1">
        <v>1106095</v>
      </c>
      <c r="C2071" s="2">
        <v>46119</v>
      </c>
      <c r="D2071" t="s">
        <v>17</v>
      </c>
      <c r="E2071" t="s">
        <v>8</v>
      </c>
      <c r="G2071" t="s">
        <v>9</v>
      </c>
      <c r="L2071">
        <f t="shared" si="161"/>
        <v>0</v>
      </c>
      <c r="M2071">
        <f t="shared" si="162"/>
        <v>0</v>
      </c>
      <c r="N2071">
        <f t="shared" si="163"/>
        <v>0</v>
      </c>
      <c r="O2071">
        <f t="shared" si="165"/>
        <v>1</v>
      </c>
      <c r="P2071" t="str">
        <f t="shared" si="164"/>
        <v/>
      </c>
      <c r="Q2071">
        <f>COUNTIF('責任職　企業局→市長部局'!A:A,SQLデータ!B2071)</f>
        <v>0</v>
      </c>
      <c r="R2071">
        <f>COUNTIF('一般職員　企業局→市長部局'!A:F,SQLデータ!B2071)</f>
        <v>0</v>
      </c>
    </row>
    <row r="2072" spans="1:18" x14ac:dyDescent="0.4">
      <c r="A2072" s="1">
        <v>202650001910</v>
      </c>
      <c r="B2072" s="1">
        <v>920156</v>
      </c>
      <c r="C2072" s="2">
        <v>46119</v>
      </c>
      <c r="D2072" t="s">
        <v>17</v>
      </c>
      <c r="E2072" t="s">
        <v>8</v>
      </c>
      <c r="G2072" t="s">
        <v>9</v>
      </c>
      <c r="L2072">
        <f t="shared" si="161"/>
        <v>0</v>
      </c>
      <c r="M2072">
        <f t="shared" si="162"/>
        <v>0</v>
      </c>
      <c r="N2072">
        <f t="shared" si="163"/>
        <v>0</v>
      </c>
      <c r="O2072">
        <f t="shared" si="165"/>
        <v>1</v>
      </c>
      <c r="P2072" t="str">
        <f t="shared" si="164"/>
        <v/>
      </c>
      <c r="Q2072">
        <f>COUNTIF('責任職　企業局→市長部局'!A:A,SQLデータ!B2072)</f>
        <v>0</v>
      </c>
      <c r="R2072">
        <f>COUNTIF('一般職員　企業局→市長部局'!A:F,SQLデータ!B2072)</f>
        <v>0</v>
      </c>
    </row>
    <row r="2073" spans="1:18" x14ac:dyDescent="0.4">
      <c r="A2073" s="1">
        <v>202650001911</v>
      </c>
      <c r="B2073" s="1">
        <v>1246046</v>
      </c>
      <c r="C2073" s="2">
        <v>46119</v>
      </c>
      <c r="D2073" t="s">
        <v>17</v>
      </c>
      <c r="E2073" t="s">
        <v>8</v>
      </c>
      <c r="G2073" t="s">
        <v>9</v>
      </c>
      <c r="L2073">
        <f t="shared" si="161"/>
        <v>0</v>
      </c>
      <c r="M2073">
        <f t="shared" si="162"/>
        <v>0</v>
      </c>
      <c r="N2073">
        <f t="shared" si="163"/>
        <v>0</v>
      </c>
      <c r="O2073">
        <f t="shared" si="165"/>
        <v>1</v>
      </c>
      <c r="P2073" t="str">
        <f t="shared" si="164"/>
        <v/>
      </c>
      <c r="Q2073">
        <f>COUNTIF('責任職　企業局→市長部局'!A:A,SQLデータ!B2073)</f>
        <v>0</v>
      </c>
      <c r="R2073">
        <f>COUNTIF('一般職員　企業局→市長部局'!A:F,SQLデータ!B2073)</f>
        <v>0</v>
      </c>
    </row>
    <row r="2074" spans="1:18" x14ac:dyDescent="0.4">
      <c r="A2074" s="1">
        <v>202650001912</v>
      </c>
      <c r="B2074" s="1">
        <v>1131380</v>
      </c>
      <c r="C2074" s="2">
        <v>46119</v>
      </c>
      <c r="D2074" t="s">
        <v>17</v>
      </c>
      <c r="E2074" t="s">
        <v>8</v>
      </c>
      <c r="G2074" t="s">
        <v>9</v>
      </c>
      <c r="L2074">
        <f t="shared" si="161"/>
        <v>0</v>
      </c>
      <c r="M2074">
        <f t="shared" si="162"/>
        <v>0</v>
      </c>
      <c r="N2074">
        <f t="shared" si="163"/>
        <v>0</v>
      </c>
      <c r="O2074">
        <f t="shared" si="165"/>
        <v>1</v>
      </c>
      <c r="P2074" t="str">
        <f t="shared" si="164"/>
        <v/>
      </c>
      <c r="Q2074">
        <f>COUNTIF('責任職　企業局→市長部局'!A:A,SQLデータ!B2074)</f>
        <v>0</v>
      </c>
      <c r="R2074">
        <f>COUNTIF('一般職員　企業局→市長部局'!A:F,SQLデータ!B2074)</f>
        <v>0</v>
      </c>
    </row>
    <row r="2075" spans="1:18" x14ac:dyDescent="0.4">
      <c r="A2075" s="1">
        <v>202650001913</v>
      </c>
      <c r="B2075" s="1">
        <v>1223027</v>
      </c>
      <c r="C2075" s="2">
        <v>46121</v>
      </c>
      <c r="D2075" t="s">
        <v>17</v>
      </c>
      <c r="E2075" t="s">
        <v>8</v>
      </c>
      <c r="G2075" t="s">
        <v>9</v>
      </c>
      <c r="L2075">
        <f t="shared" si="161"/>
        <v>0</v>
      </c>
      <c r="M2075">
        <f t="shared" si="162"/>
        <v>0</v>
      </c>
      <c r="N2075">
        <f t="shared" si="163"/>
        <v>0</v>
      </c>
      <c r="O2075">
        <f t="shared" si="165"/>
        <v>1</v>
      </c>
      <c r="P2075" t="str">
        <f t="shared" si="164"/>
        <v/>
      </c>
      <c r="Q2075">
        <f>COUNTIF('責任職　企業局→市長部局'!A:A,SQLデータ!B2075)</f>
        <v>0</v>
      </c>
      <c r="R2075">
        <f>COUNTIF('一般職員　企業局→市長部局'!A:F,SQLデータ!B2075)</f>
        <v>0</v>
      </c>
    </row>
    <row r="2076" spans="1:18" x14ac:dyDescent="0.4">
      <c r="A2076" s="1">
        <v>202650001914</v>
      </c>
      <c r="B2076" s="1">
        <v>1216109</v>
      </c>
      <c r="C2076" s="2">
        <v>46119</v>
      </c>
      <c r="D2076" t="s">
        <v>17</v>
      </c>
      <c r="E2076" t="s">
        <v>8</v>
      </c>
      <c r="G2076" t="s">
        <v>9</v>
      </c>
      <c r="L2076">
        <f t="shared" si="161"/>
        <v>0</v>
      </c>
      <c r="M2076">
        <f t="shared" si="162"/>
        <v>0</v>
      </c>
      <c r="N2076">
        <f t="shared" si="163"/>
        <v>0</v>
      </c>
      <c r="O2076">
        <f t="shared" si="165"/>
        <v>1</v>
      </c>
      <c r="P2076" t="str">
        <f t="shared" si="164"/>
        <v/>
      </c>
      <c r="Q2076">
        <f>COUNTIF('責任職　企業局→市長部局'!A:A,SQLデータ!B2076)</f>
        <v>0</v>
      </c>
      <c r="R2076">
        <f>COUNTIF('一般職員　企業局→市長部局'!A:F,SQLデータ!B2076)</f>
        <v>0</v>
      </c>
    </row>
    <row r="2077" spans="1:18" x14ac:dyDescent="0.4">
      <c r="A2077" s="1">
        <v>202650001915</v>
      </c>
      <c r="B2077" s="1">
        <v>1086009</v>
      </c>
      <c r="C2077" s="2">
        <v>46119</v>
      </c>
      <c r="D2077" t="s">
        <v>17</v>
      </c>
      <c r="E2077" t="s">
        <v>8</v>
      </c>
      <c r="G2077" t="s">
        <v>9</v>
      </c>
      <c r="L2077">
        <f t="shared" si="161"/>
        <v>0</v>
      </c>
      <c r="M2077">
        <f t="shared" si="162"/>
        <v>0</v>
      </c>
      <c r="N2077">
        <f t="shared" si="163"/>
        <v>0</v>
      </c>
      <c r="O2077">
        <f t="shared" si="165"/>
        <v>1</v>
      </c>
      <c r="P2077" t="str">
        <f t="shared" si="164"/>
        <v/>
      </c>
      <c r="Q2077">
        <f>COUNTIF('責任職　企業局→市長部局'!A:A,SQLデータ!B2077)</f>
        <v>0</v>
      </c>
      <c r="R2077">
        <f>COUNTIF('一般職員　企業局→市長部局'!A:F,SQLデータ!B2077)</f>
        <v>0</v>
      </c>
    </row>
    <row r="2078" spans="1:18" x14ac:dyDescent="0.4">
      <c r="A2078" s="1">
        <v>202650001916</v>
      </c>
      <c r="B2078" s="1">
        <v>1171113</v>
      </c>
      <c r="C2078" s="2">
        <v>46119</v>
      </c>
      <c r="D2078" t="s">
        <v>17</v>
      </c>
      <c r="E2078" t="s">
        <v>8</v>
      </c>
      <c r="G2078" t="s">
        <v>9</v>
      </c>
      <c r="L2078">
        <f t="shared" si="161"/>
        <v>0</v>
      </c>
      <c r="M2078">
        <f t="shared" si="162"/>
        <v>0</v>
      </c>
      <c r="N2078">
        <f t="shared" si="163"/>
        <v>0</v>
      </c>
      <c r="O2078">
        <f t="shared" si="165"/>
        <v>1</v>
      </c>
      <c r="P2078" t="str">
        <f t="shared" si="164"/>
        <v/>
      </c>
      <c r="Q2078">
        <f>COUNTIF('責任職　企業局→市長部局'!A:A,SQLデータ!B2078)</f>
        <v>0</v>
      </c>
      <c r="R2078">
        <f>COUNTIF('一般職員　企業局→市長部局'!A:F,SQLデータ!B2078)</f>
        <v>0</v>
      </c>
    </row>
    <row r="2079" spans="1:18" x14ac:dyDescent="0.4">
      <c r="A2079" s="1">
        <v>202650001917</v>
      </c>
      <c r="B2079" s="1">
        <v>1141150</v>
      </c>
      <c r="C2079" s="2">
        <v>46127</v>
      </c>
      <c r="D2079" t="s">
        <v>17</v>
      </c>
      <c r="E2079" t="s">
        <v>8</v>
      </c>
      <c r="G2079" t="s">
        <v>9</v>
      </c>
      <c r="L2079">
        <f t="shared" si="161"/>
        <v>0</v>
      </c>
      <c r="M2079">
        <f t="shared" si="162"/>
        <v>0</v>
      </c>
      <c r="N2079">
        <f t="shared" si="163"/>
        <v>0</v>
      </c>
      <c r="O2079">
        <f t="shared" si="165"/>
        <v>1</v>
      </c>
      <c r="P2079" t="str">
        <f t="shared" si="164"/>
        <v/>
      </c>
      <c r="Q2079">
        <f>COUNTIF('責任職　企業局→市長部局'!A:A,SQLデータ!B2079)</f>
        <v>0</v>
      </c>
      <c r="R2079">
        <f>COUNTIF('一般職員　企業局→市長部局'!A:F,SQLデータ!B2079)</f>
        <v>0</v>
      </c>
    </row>
    <row r="2080" spans="1:18" x14ac:dyDescent="0.4">
      <c r="A2080" s="1">
        <v>202650001918</v>
      </c>
      <c r="B2080" s="1">
        <v>1021220</v>
      </c>
      <c r="C2080" s="2">
        <v>46119</v>
      </c>
      <c r="D2080" t="s">
        <v>17</v>
      </c>
      <c r="E2080" t="s">
        <v>8</v>
      </c>
      <c r="G2080" t="s">
        <v>9</v>
      </c>
      <c r="L2080">
        <f t="shared" si="161"/>
        <v>0</v>
      </c>
      <c r="M2080">
        <f t="shared" si="162"/>
        <v>0</v>
      </c>
      <c r="N2080">
        <f t="shared" si="163"/>
        <v>0</v>
      </c>
      <c r="O2080">
        <f t="shared" si="165"/>
        <v>1</v>
      </c>
      <c r="P2080" t="str">
        <f t="shared" si="164"/>
        <v/>
      </c>
      <c r="Q2080">
        <f>COUNTIF('責任職　企業局→市長部局'!A:A,SQLデータ!B2080)</f>
        <v>0</v>
      </c>
      <c r="R2080">
        <f>COUNTIF('一般職員　企業局→市長部局'!A:F,SQLデータ!B2080)</f>
        <v>0</v>
      </c>
    </row>
    <row r="2081" spans="1:18" x14ac:dyDescent="0.4">
      <c r="A2081" s="1">
        <v>202650001919</v>
      </c>
      <c r="B2081" s="1">
        <v>991161</v>
      </c>
      <c r="C2081" s="2">
        <v>46119</v>
      </c>
      <c r="D2081" t="s">
        <v>17</v>
      </c>
      <c r="E2081" t="s">
        <v>8</v>
      </c>
      <c r="G2081" t="s">
        <v>9</v>
      </c>
      <c r="L2081">
        <f t="shared" si="161"/>
        <v>0</v>
      </c>
      <c r="M2081">
        <f t="shared" si="162"/>
        <v>0</v>
      </c>
      <c r="N2081">
        <f t="shared" si="163"/>
        <v>0</v>
      </c>
      <c r="O2081">
        <f t="shared" si="165"/>
        <v>1</v>
      </c>
      <c r="P2081" t="str">
        <f t="shared" si="164"/>
        <v/>
      </c>
      <c r="Q2081">
        <f>COUNTIF('責任職　企業局→市長部局'!A:A,SQLデータ!B2081)</f>
        <v>0</v>
      </c>
      <c r="R2081">
        <f>COUNTIF('一般職員　企業局→市長部局'!A:F,SQLデータ!B2081)</f>
        <v>0</v>
      </c>
    </row>
    <row r="2082" spans="1:18" x14ac:dyDescent="0.4">
      <c r="A2082" s="1">
        <v>202650001920</v>
      </c>
      <c r="B2082" s="1">
        <v>1204033</v>
      </c>
      <c r="C2082" s="2">
        <v>46119</v>
      </c>
      <c r="D2082" t="s">
        <v>17</v>
      </c>
      <c r="E2082" t="s">
        <v>8</v>
      </c>
      <c r="G2082" t="s">
        <v>9</v>
      </c>
      <c r="L2082">
        <f t="shared" si="161"/>
        <v>0</v>
      </c>
      <c r="M2082">
        <f t="shared" si="162"/>
        <v>0</v>
      </c>
      <c r="N2082">
        <f t="shared" si="163"/>
        <v>0</v>
      </c>
      <c r="O2082">
        <f t="shared" si="165"/>
        <v>1</v>
      </c>
      <c r="P2082" t="str">
        <f t="shared" si="164"/>
        <v/>
      </c>
      <c r="Q2082">
        <f>COUNTIF('責任職　企業局→市長部局'!A:A,SQLデータ!B2082)</f>
        <v>0</v>
      </c>
      <c r="R2082">
        <f>COUNTIF('一般職員　企業局→市長部局'!A:F,SQLデータ!B2082)</f>
        <v>0</v>
      </c>
    </row>
    <row r="2083" spans="1:18" x14ac:dyDescent="0.4">
      <c r="A2083" s="1">
        <v>202650001921</v>
      </c>
      <c r="B2083" s="1">
        <v>1091210</v>
      </c>
      <c r="C2083" s="2">
        <v>46119</v>
      </c>
      <c r="D2083" t="s">
        <v>17</v>
      </c>
      <c r="E2083" t="s">
        <v>8</v>
      </c>
      <c r="G2083" t="s">
        <v>9</v>
      </c>
      <c r="L2083">
        <f t="shared" si="161"/>
        <v>0</v>
      </c>
      <c r="M2083">
        <f t="shared" si="162"/>
        <v>0</v>
      </c>
      <c r="N2083">
        <f t="shared" si="163"/>
        <v>0</v>
      </c>
      <c r="O2083">
        <f t="shared" si="165"/>
        <v>1</v>
      </c>
      <c r="P2083" t="str">
        <f t="shared" si="164"/>
        <v/>
      </c>
      <c r="Q2083">
        <f>COUNTIF('責任職　企業局→市長部局'!A:A,SQLデータ!B2083)</f>
        <v>0</v>
      </c>
      <c r="R2083">
        <f>COUNTIF('一般職員　企業局→市長部局'!A:F,SQLデータ!B2083)</f>
        <v>0</v>
      </c>
    </row>
    <row r="2084" spans="1:18" x14ac:dyDescent="0.4">
      <c r="A2084" s="1">
        <v>202650001922</v>
      </c>
      <c r="B2084" s="1">
        <v>950145</v>
      </c>
      <c r="C2084" s="2">
        <v>46119</v>
      </c>
      <c r="D2084" t="s">
        <v>17</v>
      </c>
      <c r="E2084" t="s">
        <v>8</v>
      </c>
      <c r="G2084" t="s">
        <v>9</v>
      </c>
      <c r="L2084">
        <f t="shared" si="161"/>
        <v>0</v>
      </c>
      <c r="M2084">
        <f t="shared" si="162"/>
        <v>0</v>
      </c>
      <c r="N2084">
        <f t="shared" si="163"/>
        <v>0</v>
      </c>
      <c r="O2084">
        <f t="shared" si="165"/>
        <v>1</v>
      </c>
      <c r="P2084" t="str">
        <f t="shared" si="164"/>
        <v/>
      </c>
      <c r="Q2084">
        <f>COUNTIF('責任職　企業局→市長部局'!A:A,SQLデータ!B2084)</f>
        <v>0</v>
      </c>
      <c r="R2084">
        <f>COUNTIF('一般職員　企業局→市長部局'!A:F,SQLデータ!B2084)</f>
        <v>0</v>
      </c>
    </row>
    <row r="2085" spans="1:18" x14ac:dyDescent="0.4">
      <c r="A2085" s="1">
        <v>202650001923</v>
      </c>
      <c r="B2085" s="1">
        <v>1018009</v>
      </c>
      <c r="C2085" s="2">
        <v>46119</v>
      </c>
      <c r="D2085" t="s">
        <v>17</v>
      </c>
      <c r="E2085" t="s">
        <v>8</v>
      </c>
      <c r="G2085" t="s">
        <v>9</v>
      </c>
      <c r="L2085">
        <f t="shared" si="161"/>
        <v>0</v>
      </c>
      <c r="M2085">
        <f t="shared" si="162"/>
        <v>0</v>
      </c>
      <c r="N2085">
        <f t="shared" si="163"/>
        <v>0</v>
      </c>
      <c r="O2085">
        <f t="shared" si="165"/>
        <v>1</v>
      </c>
      <c r="P2085" t="str">
        <f t="shared" si="164"/>
        <v/>
      </c>
      <c r="Q2085">
        <f>COUNTIF('責任職　企業局→市長部局'!A:A,SQLデータ!B2085)</f>
        <v>0</v>
      </c>
      <c r="R2085">
        <f>COUNTIF('一般職員　企業局→市長部局'!A:F,SQLデータ!B2085)</f>
        <v>0</v>
      </c>
    </row>
    <row r="2086" spans="1:18" x14ac:dyDescent="0.4">
      <c r="A2086" s="1">
        <v>202650001925</v>
      </c>
      <c r="B2086" s="1">
        <v>1026077</v>
      </c>
      <c r="C2086" s="2">
        <v>46119</v>
      </c>
      <c r="D2086" t="s">
        <v>17</v>
      </c>
      <c r="E2086" t="s">
        <v>8</v>
      </c>
      <c r="G2086" t="s">
        <v>9</v>
      </c>
      <c r="L2086">
        <f t="shared" si="161"/>
        <v>0</v>
      </c>
      <c r="M2086">
        <f t="shared" si="162"/>
        <v>0</v>
      </c>
      <c r="N2086">
        <f t="shared" si="163"/>
        <v>0</v>
      </c>
      <c r="O2086">
        <f t="shared" si="165"/>
        <v>1</v>
      </c>
      <c r="P2086" t="str">
        <f t="shared" si="164"/>
        <v/>
      </c>
      <c r="Q2086">
        <f>COUNTIF('責任職　企業局→市長部局'!A:A,SQLデータ!B2086)</f>
        <v>0</v>
      </c>
      <c r="R2086">
        <f>COUNTIF('一般職員　企業局→市長部局'!A:F,SQLデータ!B2086)</f>
        <v>0</v>
      </c>
    </row>
    <row r="2087" spans="1:18" x14ac:dyDescent="0.4">
      <c r="A2087" s="1">
        <v>202650001926</v>
      </c>
      <c r="B2087" s="1">
        <v>5108019</v>
      </c>
      <c r="C2087" s="2">
        <v>46119</v>
      </c>
      <c r="D2087" t="s">
        <v>17</v>
      </c>
      <c r="E2087" t="s">
        <v>8</v>
      </c>
      <c r="F2087" t="s">
        <v>54</v>
      </c>
      <c r="G2087" t="s">
        <v>9</v>
      </c>
      <c r="L2087">
        <f t="shared" si="161"/>
        <v>0</v>
      </c>
      <c r="M2087">
        <f t="shared" si="162"/>
        <v>0</v>
      </c>
      <c r="N2087">
        <f t="shared" si="163"/>
        <v>0</v>
      </c>
      <c r="O2087">
        <f t="shared" si="165"/>
        <v>1</v>
      </c>
      <c r="P2087" t="str">
        <f t="shared" si="164"/>
        <v/>
      </c>
      <c r="Q2087">
        <f>COUNTIF('責任職　企業局→市長部局'!A:A,SQLデータ!B2087)</f>
        <v>0</v>
      </c>
      <c r="R2087">
        <f>COUNTIF('一般職員　企業局→市長部局'!A:F,SQLデータ!B2087)</f>
        <v>0</v>
      </c>
    </row>
    <row r="2088" spans="1:18" x14ac:dyDescent="0.4">
      <c r="A2088" s="1">
        <v>202650001927</v>
      </c>
      <c r="B2088" s="1">
        <v>1101535</v>
      </c>
      <c r="C2088" s="2">
        <v>46119</v>
      </c>
      <c r="D2088" t="s">
        <v>17</v>
      </c>
      <c r="E2088" t="s">
        <v>8</v>
      </c>
      <c r="G2088" t="s">
        <v>9</v>
      </c>
      <c r="L2088">
        <f t="shared" si="161"/>
        <v>0</v>
      </c>
      <c r="M2088">
        <f t="shared" si="162"/>
        <v>0</v>
      </c>
      <c r="N2088">
        <f t="shared" si="163"/>
        <v>0</v>
      </c>
      <c r="O2088">
        <f t="shared" si="165"/>
        <v>1</v>
      </c>
      <c r="P2088" t="str">
        <f t="shared" si="164"/>
        <v/>
      </c>
      <c r="Q2088">
        <f>COUNTIF('責任職　企業局→市長部局'!A:A,SQLデータ!B2088)</f>
        <v>0</v>
      </c>
      <c r="R2088">
        <f>COUNTIF('一般職員　企業局→市長部局'!A:F,SQLデータ!B2088)</f>
        <v>0</v>
      </c>
    </row>
    <row r="2089" spans="1:18" x14ac:dyDescent="0.4">
      <c r="A2089" s="1">
        <v>202650001928</v>
      </c>
      <c r="B2089" s="1">
        <v>1172173</v>
      </c>
      <c r="C2089" s="2">
        <v>46119</v>
      </c>
      <c r="D2089" t="s">
        <v>17</v>
      </c>
      <c r="E2089" t="s">
        <v>8</v>
      </c>
      <c r="G2089" t="s">
        <v>9</v>
      </c>
      <c r="L2089">
        <f t="shared" si="161"/>
        <v>0</v>
      </c>
      <c r="M2089">
        <f t="shared" si="162"/>
        <v>0</v>
      </c>
      <c r="N2089">
        <f t="shared" si="163"/>
        <v>0</v>
      </c>
      <c r="O2089">
        <f t="shared" si="165"/>
        <v>1</v>
      </c>
      <c r="P2089" t="str">
        <f t="shared" si="164"/>
        <v/>
      </c>
      <c r="Q2089">
        <f>COUNTIF('責任職　企業局→市長部局'!A:A,SQLデータ!B2089)</f>
        <v>0</v>
      </c>
      <c r="R2089">
        <f>COUNTIF('一般職員　企業局→市長部局'!A:F,SQLデータ!B2089)</f>
        <v>0</v>
      </c>
    </row>
    <row r="2090" spans="1:18" x14ac:dyDescent="0.4">
      <c r="A2090" s="1">
        <v>202650001929</v>
      </c>
      <c r="B2090" s="1">
        <v>1256051</v>
      </c>
      <c r="C2090" s="2">
        <v>46119</v>
      </c>
      <c r="D2090" t="s">
        <v>17</v>
      </c>
      <c r="E2090" t="s">
        <v>8</v>
      </c>
      <c r="G2090" t="s">
        <v>9</v>
      </c>
      <c r="L2090">
        <f t="shared" si="161"/>
        <v>0</v>
      </c>
      <c r="M2090">
        <f t="shared" si="162"/>
        <v>0</v>
      </c>
      <c r="N2090">
        <f t="shared" si="163"/>
        <v>0</v>
      </c>
      <c r="O2090">
        <f t="shared" si="165"/>
        <v>1</v>
      </c>
      <c r="P2090" t="str">
        <f t="shared" si="164"/>
        <v/>
      </c>
      <c r="Q2090">
        <f>COUNTIF('責任職　企業局→市長部局'!A:A,SQLデータ!B2090)</f>
        <v>0</v>
      </c>
      <c r="R2090">
        <f>COUNTIF('一般職員　企業局→市長部局'!A:F,SQLデータ!B2090)</f>
        <v>0</v>
      </c>
    </row>
    <row r="2091" spans="1:18" x14ac:dyDescent="0.4">
      <c r="A2091" s="1">
        <v>202650001930</v>
      </c>
      <c r="B2091" s="1">
        <v>1028046</v>
      </c>
      <c r="C2091" s="2">
        <v>46119</v>
      </c>
      <c r="D2091" t="s">
        <v>17</v>
      </c>
      <c r="E2091" t="s">
        <v>8</v>
      </c>
      <c r="G2091" t="s">
        <v>9</v>
      </c>
      <c r="L2091">
        <f t="shared" si="161"/>
        <v>0</v>
      </c>
      <c r="M2091">
        <f t="shared" si="162"/>
        <v>0</v>
      </c>
      <c r="N2091">
        <f t="shared" si="163"/>
        <v>0</v>
      </c>
      <c r="O2091">
        <f t="shared" si="165"/>
        <v>1</v>
      </c>
      <c r="P2091" t="str">
        <f t="shared" si="164"/>
        <v/>
      </c>
      <c r="Q2091">
        <f>COUNTIF('責任職　企業局→市長部局'!A:A,SQLデータ!B2091)</f>
        <v>0</v>
      </c>
      <c r="R2091">
        <f>COUNTIF('一般職員　企業局→市長部局'!A:F,SQLデータ!B2091)</f>
        <v>0</v>
      </c>
    </row>
    <row r="2092" spans="1:18" x14ac:dyDescent="0.4">
      <c r="A2092" s="1">
        <v>202650001931</v>
      </c>
      <c r="B2092" s="1">
        <v>976067</v>
      </c>
      <c r="C2092" s="2">
        <v>46119</v>
      </c>
      <c r="D2092" t="s">
        <v>17</v>
      </c>
      <c r="E2092" t="s">
        <v>8</v>
      </c>
      <c r="F2092" t="s">
        <v>54</v>
      </c>
      <c r="G2092" t="s">
        <v>9</v>
      </c>
      <c r="L2092">
        <f t="shared" si="161"/>
        <v>0</v>
      </c>
      <c r="M2092">
        <f t="shared" si="162"/>
        <v>0</v>
      </c>
      <c r="N2092">
        <f t="shared" si="163"/>
        <v>0</v>
      </c>
      <c r="O2092">
        <f t="shared" si="165"/>
        <v>1</v>
      </c>
      <c r="P2092" t="str">
        <f t="shared" si="164"/>
        <v/>
      </c>
      <c r="Q2092">
        <f>COUNTIF('責任職　企業局→市長部局'!A:A,SQLデータ!B2092)</f>
        <v>0</v>
      </c>
      <c r="R2092">
        <f>COUNTIF('一般職員　企業局→市長部局'!A:F,SQLデータ!B2092)</f>
        <v>0</v>
      </c>
    </row>
    <row r="2093" spans="1:18" x14ac:dyDescent="0.4">
      <c r="A2093" s="1">
        <v>202650001932</v>
      </c>
      <c r="B2093" s="1">
        <v>1122113</v>
      </c>
      <c r="C2093" s="2">
        <v>46119</v>
      </c>
      <c r="D2093" t="s">
        <v>17</v>
      </c>
      <c r="E2093" t="s">
        <v>8</v>
      </c>
      <c r="G2093" t="s">
        <v>9</v>
      </c>
      <c r="L2093">
        <f t="shared" si="161"/>
        <v>0</v>
      </c>
      <c r="M2093">
        <f t="shared" si="162"/>
        <v>0</v>
      </c>
      <c r="N2093">
        <f t="shared" si="163"/>
        <v>0</v>
      </c>
      <c r="O2093">
        <f t="shared" si="165"/>
        <v>1</v>
      </c>
      <c r="P2093" t="str">
        <f t="shared" si="164"/>
        <v/>
      </c>
      <c r="Q2093">
        <f>COUNTIF('責任職　企業局→市長部局'!A:A,SQLデータ!B2093)</f>
        <v>0</v>
      </c>
      <c r="R2093">
        <f>COUNTIF('一般職員　企業局→市長部局'!A:F,SQLデータ!B2093)</f>
        <v>0</v>
      </c>
    </row>
    <row r="2094" spans="1:18" x14ac:dyDescent="0.4">
      <c r="A2094" s="1">
        <v>202650001933</v>
      </c>
      <c r="B2094" s="1">
        <v>1036019</v>
      </c>
      <c r="C2094" s="2">
        <v>46119</v>
      </c>
      <c r="D2094" t="s">
        <v>17</v>
      </c>
      <c r="E2094" t="s">
        <v>8</v>
      </c>
      <c r="G2094" t="s">
        <v>9</v>
      </c>
      <c r="L2094">
        <f t="shared" si="161"/>
        <v>0</v>
      </c>
      <c r="M2094">
        <f t="shared" si="162"/>
        <v>0</v>
      </c>
      <c r="N2094">
        <f t="shared" si="163"/>
        <v>0</v>
      </c>
      <c r="O2094">
        <f t="shared" si="165"/>
        <v>1</v>
      </c>
      <c r="P2094" t="str">
        <f t="shared" si="164"/>
        <v/>
      </c>
      <c r="Q2094">
        <f>COUNTIF('責任職　企業局→市長部局'!A:A,SQLデータ!B2094)</f>
        <v>0</v>
      </c>
      <c r="R2094">
        <f>COUNTIF('一般職員　企業局→市長部局'!A:F,SQLデータ!B2094)</f>
        <v>0</v>
      </c>
    </row>
    <row r="2095" spans="1:18" x14ac:dyDescent="0.4">
      <c r="A2095" s="1">
        <v>202650001934</v>
      </c>
      <c r="B2095" s="1">
        <v>1211388</v>
      </c>
      <c r="C2095" s="2">
        <v>46119</v>
      </c>
      <c r="D2095" t="s">
        <v>17</v>
      </c>
      <c r="E2095" t="s">
        <v>8</v>
      </c>
      <c r="G2095" t="s">
        <v>9</v>
      </c>
      <c r="L2095">
        <f t="shared" si="161"/>
        <v>0</v>
      </c>
      <c r="M2095">
        <f t="shared" si="162"/>
        <v>0</v>
      </c>
      <c r="N2095">
        <f t="shared" si="163"/>
        <v>0</v>
      </c>
      <c r="O2095">
        <f t="shared" si="165"/>
        <v>1</v>
      </c>
      <c r="P2095" t="str">
        <f t="shared" si="164"/>
        <v/>
      </c>
      <c r="Q2095">
        <f>COUNTIF('責任職　企業局→市長部局'!A:A,SQLデータ!B2095)</f>
        <v>0</v>
      </c>
      <c r="R2095">
        <f>COUNTIF('一般職員　企業局→市長部局'!A:F,SQLデータ!B2095)</f>
        <v>0</v>
      </c>
    </row>
    <row r="2096" spans="1:18" x14ac:dyDescent="0.4">
      <c r="A2096" s="1">
        <v>202650001935</v>
      </c>
      <c r="B2096" s="1">
        <v>1146102</v>
      </c>
      <c r="C2096" s="2">
        <v>46119</v>
      </c>
      <c r="D2096" t="s">
        <v>17</v>
      </c>
      <c r="E2096" t="s">
        <v>8</v>
      </c>
      <c r="G2096" t="s">
        <v>9</v>
      </c>
      <c r="L2096">
        <f t="shared" si="161"/>
        <v>0</v>
      </c>
      <c r="M2096">
        <f t="shared" si="162"/>
        <v>0</v>
      </c>
      <c r="N2096">
        <f t="shared" si="163"/>
        <v>0</v>
      </c>
      <c r="O2096">
        <f t="shared" si="165"/>
        <v>1</v>
      </c>
      <c r="P2096" t="str">
        <f t="shared" si="164"/>
        <v/>
      </c>
      <c r="Q2096">
        <f>COUNTIF('責任職　企業局→市長部局'!A:A,SQLデータ!B2096)</f>
        <v>0</v>
      </c>
      <c r="R2096">
        <f>COUNTIF('一般職員　企業局→市長部局'!A:F,SQLデータ!B2096)</f>
        <v>0</v>
      </c>
    </row>
    <row r="2097" spans="1:18" x14ac:dyDescent="0.4">
      <c r="A2097" s="1">
        <v>202650001936</v>
      </c>
      <c r="B2097" s="1">
        <v>900329</v>
      </c>
      <c r="C2097" s="2">
        <v>46119</v>
      </c>
      <c r="D2097" t="s">
        <v>17</v>
      </c>
      <c r="E2097" t="s">
        <v>8</v>
      </c>
      <c r="G2097" t="s">
        <v>9</v>
      </c>
      <c r="L2097">
        <f t="shared" si="161"/>
        <v>0</v>
      </c>
      <c r="M2097">
        <f t="shared" si="162"/>
        <v>0</v>
      </c>
      <c r="N2097">
        <f t="shared" si="163"/>
        <v>0</v>
      </c>
      <c r="O2097">
        <f t="shared" si="165"/>
        <v>1</v>
      </c>
      <c r="P2097" t="str">
        <f t="shared" si="164"/>
        <v/>
      </c>
      <c r="Q2097">
        <f>COUNTIF('責任職　企業局→市長部局'!A:A,SQLデータ!B2097)</f>
        <v>0</v>
      </c>
      <c r="R2097">
        <f>COUNTIF('一般職員　企業局→市長部局'!A:F,SQLデータ!B2097)</f>
        <v>0</v>
      </c>
    </row>
    <row r="2098" spans="1:18" x14ac:dyDescent="0.4">
      <c r="A2098" s="1">
        <v>202650001937</v>
      </c>
      <c r="B2098" s="1">
        <v>5128370</v>
      </c>
      <c r="C2098" s="2">
        <v>46119</v>
      </c>
      <c r="D2098" t="s">
        <v>17</v>
      </c>
      <c r="E2098" t="s">
        <v>8</v>
      </c>
      <c r="F2098" t="s">
        <v>54</v>
      </c>
      <c r="G2098" t="s">
        <v>9</v>
      </c>
      <c r="L2098">
        <f t="shared" si="161"/>
        <v>0</v>
      </c>
      <c r="M2098">
        <f t="shared" si="162"/>
        <v>0</v>
      </c>
      <c r="N2098">
        <f t="shared" si="163"/>
        <v>0</v>
      </c>
      <c r="O2098">
        <f t="shared" si="165"/>
        <v>1</v>
      </c>
      <c r="P2098" t="str">
        <f t="shared" si="164"/>
        <v/>
      </c>
      <c r="Q2098">
        <f>COUNTIF('責任職　企業局→市長部局'!A:A,SQLデータ!B2098)</f>
        <v>0</v>
      </c>
      <c r="R2098">
        <f>COUNTIF('一般職員　企業局→市長部局'!A:F,SQLデータ!B2098)</f>
        <v>0</v>
      </c>
    </row>
    <row r="2099" spans="1:18" x14ac:dyDescent="0.4">
      <c r="A2099" s="1">
        <v>202650001938</v>
      </c>
      <c r="B2099" s="1">
        <v>1120010</v>
      </c>
      <c r="C2099" s="2">
        <v>46119</v>
      </c>
      <c r="D2099" t="s">
        <v>17</v>
      </c>
      <c r="E2099" t="s">
        <v>8</v>
      </c>
      <c r="G2099" t="s">
        <v>9</v>
      </c>
      <c r="L2099">
        <f t="shared" si="161"/>
        <v>0</v>
      </c>
      <c r="M2099">
        <f t="shared" si="162"/>
        <v>0</v>
      </c>
      <c r="N2099">
        <f t="shared" si="163"/>
        <v>0</v>
      </c>
      <c r="O2099">
        <f t="shared" si="165"/>
        <v>1</v>
      </c>
      <c r="P2099" t="str">
        <f t="shared" si="164"/>
        <v/>
      </c>
      <c r="Q2099">
        <f>COUNTIF('責任職　企業局→市長部局'!A:A,SQLデータ!B2099)</f>
        <v>0</v>
      </c>
      <c r="R2099">
        <f>COUNTIF('一般職員　企業局→市長部局'!A:F,SQLデータ!B2099)</f>
        <v>0</v>
      </c>
    </row>
    <row r="2100" spans="1:18" x14ac:dyDescent="0.4">
      <c r="A2100" s="1">
        <v>202650001939</v>
      </c>
      <c r="B2100" s="1">
        <v>1076038</v>
      </c>
      <c r="C2100" s="2">
        <v>46119</v>
      </c>
      <c r="D2100" t="s">
        <v>17</v>
      </c>
      <c r="E2100" t="s">
        <v>8</v>
      </c>
      <c r="G2100" t="s">
        <v>9</v>
      </c>
      <c r="L2100">
        <f t="shared" si="161"/>
        <v>0</v>
      </c>
      <c r="M2100">
        <f t="shared" si="162"/>
        <v>0</v>
      </c>
      <c r="N2100">
        <f t="shared" si="163"/>
        <v>0</v>
      </c>
      <c r="O2100">
        <f t="shared" si="165"/>
        <v>1</v>
      </c>
      <c r="P2100" t="str">
        <f t="shared" si="164"/>
        <v/>
      </c>
      <c r="Q2100">
        <f>COUNTIF('責任職　企業局→市長部局'!A:A,SQLデータ!B2100)</f>
        <v>0</v>
      </c>
      <c r="R2100">
        <f>COUNTIF('一般職員　企業局→市長部局'!A:F,SQLデータ!B2100)</f>
        <v>0</v>
      </c>
    </row>
    <row r="2101" spans="1:18" x14ac:dyDescent="0.4">
      <c r="A2101" s="1">
        <v>202650001941</v>
      </c>
      <c r="B2101" s="1">
        <v>1056043</v>
      </c>
      <c r="C2101" s="2">
        <v>46119</v>
      </c>
      <c r="D2101" t="s">
        <v>17</v>
      </c>
      <c r="E2101" t="s">
        <v>8</v>
      </c>
      <c r="G2101" t="s">
        <v>9</v>
      </c>
      <c r="L2101">
        <f t="shared" si="161"/>
        <v>0</v>
      </c>
      <c r="M2101">
        <f t="shared" si="162"/>
        <v>0</v>
      </c>
      <c r="N2101">
        <f t="shared" si="163"/>
        <v>0</v>
      </c>
      <c r="O2101">
        <f t="shared" si="165"/>
        <v>1</v>
      </c>
      <c r="P2101" t="str">
        <f t="shared" si="164"/>
        <v/>
      </c>
      <c r="Q2101">
        <f>COUNTIF('責任職　企業局→市長部局'!A:A,SQLデータ!B2101)</f>
        <v>0</v>
      </c>
      <c r="R2101">
        <f>COUNTIF('一般職員　企業局→市長部局'!A:F,SQLデータ!B2101)</f>
        <v>0</v>
      </c>
    </row>
    <row r="2102" spans="1:18" x14ac:dyDescent="0.4">
      <c r="A2102" s="1">
        <v>202650001942</v>
      </c>
      <c r="B2102" s="1">
        <v>1081347</v>
      </c>
      <c r="C2102" s="2">
        <v>46119</v>
      </c>
      <c r="D2102" t="s">
        <v>17</v>
      </c>
      <c r="E2102" t="s">
        <v>8</v>
      </c>
      <c r="G2102" t="s">
        <v>9</v>
      </c>
      <c r="L2102">
        <f t="shared" si="161"/>
        <v>0</v>
      </c>
      <c r="M2102">
        <f t="shared" si="162"/>
        <v>0</v>
      </c>
      <c r="N2102">
        <f t="shared" si="163"/>
        <v>0</v>
      </c>
      <c r="O2102">
        <f t="shared" si="165"/>
        <v>1</v>
      </c>
      <c r="P2102" t="str">
        <f t="shared" si="164"/>
        <v/>
      </c>
      <c r="Q2102">
        <f>COUNTIF('責任職　企業局→市長部局'!A:A,SQLデータ!B2102)</f>
        <v>0</v>
      </c>
      <c r="R2102">
        <f>COUNTIF('一般職員　企業局→市長部局'!A:F,SQLデータ!B2102)</f>
        <v>0</v>
      </c>
    </row>
    <row r="2103" spans="1:18" x14ac:dyDescent="0.4">
      <c r="A2103" s="1">
        <v>202650001943</v>
      </c>
      <c r="B2103" s="1">
        <v>900090</v>
      </c>
      <c r="C2103" s="2">
        <v>46119</v>
      </c>
      <c r="D2103" t="s">
        <v>17</v>
      </c>
      <c r="E2103" t="s">
        <v>8</v>
      </c>
      <c r="G2103" t="s">
        <v>9</v>
      </c>
      <c r="L2103">
        <f t="shared" si="161"/>
        <v>0</v>
      </c>
      <c r="M2103">
        <f t="shared" si="162"/>
        <v>0</v>
      </c>
      <c r="N2103">
        <f t="shared" si="163"/>
        <v>0</v>
      </c>
      <c r="O2103">
        <f t="shared" si="165"/>
        <v>1</v>
      </c>
      <c r="P2103" t="str">
        <f t="shared" si="164"/>
        <v/>
      </c>
      <c r="Q2103">
        <f>COUNTIF('責任職　企業局→市長部局'!A:A,SQLデータ!B2103)</f>
        <v>0</v>
      </c>
      <c r="R2103">
        <f>COUNTIF('一般職員　企業局→市長部局'!A:F,SQLデータ!B2103)</f>
        <v>0</v>
      </c>
    </row>
    <row r="2104" spans="1:18" x14ac:dyDescent="0.4">
      <c r="A2104" s="1">
        <v>202650001944</v>
      </c>
      <c r="B2104" s="1">
        <v>1024180</v>
      </c>
      <c r="C2104" s="2">
        <v>46119</v>
      </c>
      <c r="D2104" t="s">
        <v>17</v>
      </c>
      <c r="E2104" t="s">
        <v>8</v>
      </c>
      <c r="G2104" t="s">
        <v>9</v>
      </c>
      <c r="L2104">
        <f t="shared" si="161"/>
        <v>0</v>
      </c>
      <c r="M2104">
        <f t="shared" si="162"/>
        <v>0</v>
      </c>
      <c r="N2104">
        <f t="shared" si="163"/>
        <v>0</v>
      </c>
      <c r="O2104">
        <f t="shared" si="165"/>
        <v>1</v>
      </c>
      <c r="P2104" t="str">
        <f t="shared" si="164"/>
        <v/>
      </c>
      <c r="Q2104">
        <f>COUNTIF('責任職　企業局→市長部局'!A:A,SQLデータ!B2104)</f>
        <v>0</v>
      </c>
      <c r="R2104">
        <f>COUNTIF('一般職員　企業局→市長部局'!A:F,SQLデータ!B2104)</f>
        <v>0</v>
      </c>
    </row>
    <row r="2105" spans="1:18" x14ac:dyDescent="0.4">
      <c r="A2105" s="1">
        <v>202650001945</v>
      </c>
      <c r="B2105" s="1">
        <v>890712</v>
      </c>
      <c r="C2105" s="2">
        <v>46119</v>
      </c>
      <c r="D2105" t="s">
        <v>17</v>
      </c>
      <c r="E2105" t="s">
        <v>8</v>
      </c>
      <c r="G2105" t="s">
        <v>9</v>
      </c>
      <c r="L2105">
        <f t="shared" si="161"/>
        <v>0</v>
      </c>
      <c r="M2105">
        <f t="shared" si="162"/>
        <v>0</v>
      </c>
      <c r="N2105">
        <f t="shared" si="163"/>
        <v>0</v>
      </c>
      <c r="O2105">
        <f t="shared" si="165"/>
        <v>1</v>
      </c>
      <c r="P2105" t="str">
        <f t="shared" si="164"/>
        <v/>
      </c>
      <c r="Q2105">
        <f>COUNTIF('責任職　企業局→市長部局'!A:A,SQLデータ!B2105)</f>
        <v>0</v>
      </c>
      <c r="R2105">
        <f>COUNTIF('一般職員　企業局→市長部局'!A:F,SQLデータ!B2105)</f>
        <v>0</v>
      </c>
    </row>
    <row r="2106" spans="1:18" x14ac:dyDescent="0.4">
      <c r="A2106" s="1">
        <v>202650001946</v>
      </c>
      <c r="B2106" s="1">
        <v>1046066</v>
      </c>
      <c r="C2106" s="2">
        <v>46119</v>
      </c>
      <c r="D2106" t="s">
        <v>17</v>
      </c>
      <c r="E2106" t="s">
        <v>8</v>
      </c>
      <c r="G2106" t="s">
        <v>9</v>
      </c>
      <c r="L2106">
        <f t="shared" si="161"/>
        <v>0</v>
      </c>
      <c r="M2106">
        <f t="shared" si="162"/>
        <v>0</v>
      </c>
      <c r="N2106">
        <f t="shared" si="163"/>
        <v>0</v>
      </c>
      <c r="O2106">
        <f t="shared" si="165"/>
        <v>1</v>
      </c>
      <c r="P2106" t="str">
        <f t="shared" si="164"/>
        <v/>
      </c>
      <c r="Q2106">
        <f>COUNTIF('責任職　企業局→市長部局'!A:A,SQLデータ!B2106)</f>
        <v>0</v>
      </c>
      <c r="R2106">
        <f>COUNTIF('一般職員　企業局→市長部局'!A:F,SQLデータ!B2106)</f>
        <v>0</v>
      </c>
    </row>
    <row r="2107" spans="1:18" x14ac:dyDescent="0.4">
      <c r="A2107" s="1">
        <v>202650001947</v>
      </c>
      <c r="B2107" s="1">
        <v>1086131</v>
      </c>
      <c r="C2107" s="2">
        <v>46119</v>
      </c>
      <c r="D2107" t="s">
        <v>17</v>
      </c>
      <c r="E2107" t="s">
        <v>8</v>
      </c>
      <c r="G2107" t="s">
        <v>9</v>
      </c>
      <c r="L2107">
        <f t="shared" si="161"/>
        <v>0</v>
      </c>
      <c r="M2107">
        <f t="shared" si="162"/>
        <v>0</v>
      </c>
      <c r="N2107">
        <f t="shared" si="163"/>
        <v>0</v>
      </c>
      <c r="O2107">
        <f t="shared" si="165"/>
        <v>1</v>
      </c>
      <c r="P2107" t="str">
        <f t="shared" si="164"/>
        <v/>
      </c>
      <c r="Q2107">
        <f>COUNTIF('責任職　企業局→市長部局'!A:A,SQLデータ!B2107)</f>
        <v>0</v>
      </c>
      <c r="R2107">
        <f>COUNTIF('一般職員　企業局→市長部局'!A:F,SQLデータ!B2107)</f>
        <v>0</v>
      </c>
    </row>
    <row r="2108" spans="1:18" x14ac:dyDescent="0.4">
      <c r="A2108" s="1">
        <v>202650001948</v>
      </c>
      <c r="B2108" s="1">
        <v>1121138</v>
      </c>
      <c r="C2108" s="2">
        <v>46119</v>
      </c>
      <c r="D2108" t="s">
        <v>17</v>
      </c>
      <c r="E2108" t="s">
        <v>8</v>
      </c>
      <c r="G2108" t="s">
        <v>9</v>
      </c>
      <c r="L2108">
        <f t="shared" si="161"/>
        <v>0</v>
      </c>
      <c r="M2108">
        <f t="shared" si="162"/>
        <v>0</v>
      </c>
      <c r="N2108">
        <f t="shared" si="163"/>
        <v>0</v>
      </c>
      <c r="O2108">
        <f t="shared" si="165"/>
        <v>1</v>
      </c>
      <c r="P2108" t="str">
        <f t="shared" si="164"/>
        <v/>
      </c>
      <c r="Q2108">
        <f>COUNTIF('責任職　企業局→市長部局'!A:A,SQLデータ!B2108)</f>
        <v>0</v>
      </c>
      <c r="R2108">
        <f>COUNTIF('一般職員　企業局→市長部局'!A:F,SQLデータ!B2108)</f>
        <v>0</v>
      </c>
    </row>
    <row r="2109" spans="1:18" x14ac:dyDescent="0.4">
      <c r="A2109" s="1">
        <v>202650001949</v>
      </c>
      <c r="B2109" s="1">
        <v>1176055</v>
      </c>
      <c r="C2109" s="2">
        <v>46119</v>
      </c>
      <c r="D2109" t="s">
        <v>17</v>
      </c>
      <c r="E2109" t="s">
        <v>8</v>
      </c>
      <c r="G2109" t="s">
        <v>9</v>
      </c>
      <c r="L2109">
        <f t="shared" si="161"/>
        <v>0</v>
      </c>
      <c r="M2109">
        <f t="shared" si="162"/>
        <v>0</v>
      </c>
      <c r="N2109">
        <f t="shared" si="163"/>
        <v>0</v>
      </c>
      <c r="O2109">
        <f t="shared" si="165"/>
        <v>1</v>
      </c>
      <c r="P2109" t="str">
        <f t="shared" si="164"/>
        <v/>
      </c>
      <c r="Q2109">
        <f>COUNTIF('責任職　企業局→市長部局'!A:A,SQLデータ!B2109)</f>
        <v>0</v>
      </c>
      <c r="R2109">
        <f>COUNTIF('一般職員　企業局→市長部局'!A:F,SQLデータ!B2109)</f>
        <v>0</v>
      </c>
    </row>
    <row r="2110" spans="1:18" x14ac:dyDescent="0.4">
      <c r="A2110" s="1">
        <v>202650001950</v>
      </c>
      <c r="B2110" s="1">
        <v>930231</v>
      </c>
      <c r="C2110" s="2">
        <v>46119</v>
      </c>
      <c r="D2110" t="s">
        <v>17</v>
      </c>
      <c r="E2110" t="s">
        <v>8</v>
      </c>
      <c r="G2110" t="s">
        <v>9</v>
      </c>
      <c r="L2110">
        <f t="shared" si="161"/>
        <v>0</v>
      </c>
      <c r="M2110">
        <f t="shared" si="162"/>
        <v>0</v>
      </c>
      <c r="N2110">
        <f t="shared" si="163"/>
        <v>0</v>
      </c>
      <c r="O2110">
        <f t="shared" si="165"/>
        <v>1</v>
      </c>
      <c r="P2110" t="str">
        <f t="shared" si="164"/>
        <v/>
      </c>
      <c r="Q2110">
        <f>COUNTIF('責任職　企業局→市長部局'!A:A,SQLデータ!B2110)</f>
        <v>0</v>
      </c>
      <c r="R2110">
        <f>COUNTIF('一般職員　企業局→市長部局'!A:F,SQLデータ!B2110)</f>
        <v>0</v>
      </c>
    </row>
    <row r="2111" spans="1:18" x14ac:dyDescent="0.4">
      <c r="A2111" s="1">
        <v>202650001951</v>
      </c>
      <c r="B2111" s="1">
        <v>1026067</v>
      </c>
      <c r="C2111" s="2">
        <v>46119</v>
      </c>
      <c r="D2111" t="s">
        <v>17</v>
      </c>
      <c r="E2111" t="s">
        <v>8</v>
      </c>
      <c r="G2111" t="s">
        <v>9</v>
      </c>
      <c r="L2111">
        <f t="shared" si="161"/>
        <v>0</v>
      </c>
      <c r="M2111">
        <f t="shared" si="162"/>
        <v>0</v>
      </c>
      <c r="N2111">
        <f t="shared" si="163"/>
        <v>0</v>
      </c>
      <c r="O2111">
        <f t="shared" si="165"/>
        <v>1</v>
      </c>
      <c r="P2111" t="str">
        <f t="shared" si="164"/>
        <v/>
      </c>
      <c r="Q2111">
        <f>COUNTIF('責任職　企業局→市長部局'!A:A,SQLデータ!B2111)</f>
        <v>0</v>
      </c>
      <c r="R2111">
        <f>COUNTIF('一般職員　企業局→市長部局'!A:F,SQLデータ!B2111)</f>
        <v>0</v>
      </c>
    </row>
    <row r="2112" spans="1:18" x14ac:dyDescent="0.4">
      <c r="A2112" s="1">
        <v>202650001952</v>
      </c>
      <c r="B2112" s="1">
        <v>910126</v>
      </c>
      <c r="C2112" s="2">
        <v>46119</v>
      </c>
      <c r="D2112" t="s">
        <v>17</v>
      </c>
      <c r="E2112" t="s">
        <v>8</v>
      </c>
      <c r="G2112" t="s">
        <v>9</v>
      </c>
      <c r="L2112">
        <f t="shared" si="161"/>
        <v>0</v>
      </c>
      <c r="M2112">
        <f t="shared" si="162"/>
        <v>0</v>
      </c>
      <c r="N2112">
        <f t="shared" si="163"/>
        <v>0</v>
      </c>
      <c r="O2112">
        <f t="shared" si="165"/>
        <v>1</v>
      </c>
      <c r="P2112" t="str">
        <f t="shared" si="164"/>
        <v/>
      </c>
      <c r="Q2112">
        <f>COUNTIF('責任職　企業局→市長部局'!A:A,SQLデータ!B2112)</f>
        <v>0</v>
      </c>
      <c r="R2112">
        <f>COUNTIF('一般職員　企業局→市長部局'!A:F,SQLデータ!B2112)</f>
        <v>0</v>
      </c>
    </row>
    <row r="2113" spans="1:18" x14ac:dyDescent="0.4">
      <c r="A2113" s="1">
        <v>202650001953</v>
      </c>
      <c r="B2113" s="1">
        <v>960235</v>
      </c>
      <c r="C2113" s="2">
        <v>46119</v>
      </c>
      <c r="D2113" t="s">
        <v>17</v>
      </c>
      <c r="E2113" t="s">
        <v>8</v>
      </c>
      <c r="G2113" t="s">
        <v>9</v>
      </c>
      <c r="L2113">
        <f t="shared" si="161"/>
        <v>0</v>
      </c>
      <c r="M2113">
        <f t="shared" si="162"/>
        <v>0</v>
      </c>
      <c r="N2113">
        <f t="shared" si="163"/>
        <v>0</v>
      </c>
      <c r="O2113">
        <f t="shared" si="165"/>
        <v>1</v>
      </c>
      <c r="P2113" t="str">
        <f t="shared" si="164"/>
        <v/>
      </c>
      <c r="Q2113">
        <f>COUNTIF('責任職　企業局→市長部局'!A:A,SQLデータ!B2113)</f>
        <v>0</v>
      </c>
      <c r="R2113">
        <f>COUNTIF('一般職員　企業局→市長部局'!A:F,SQLデータ!B2113)</f>
        <v>0</v>
      </c>
    </row>
    <row r="2114" spans="1:18" x14ac:dyDescent="0.4">
      <c r="A2114" s="1">
        <v>202650001954</v>
      </c>
      <c r="B2114" s="1">
        <v>1146049</v>
      </c>
      <c r="C2114" s="2">
        <v>46119</v>
      </c>
      <c r="D2114" t="s">
        <v>17</v>
      </c>
      <c r="E2114" t="s">
        <v>8</v>
      </c>
      <c r="G2114" t="s">
        <v>9</v>
      </c>
      <c r="L2114">
        <f t="shared" ref="L2114:L2177" si="166">IF(ISBLANK(J2114),0,1)</f>
        <v>0</v>
      </c>
      <c r="M2114">
        <f t="shared" ref="M2114:M2177" si="167">IF(AND(L2114=0,I2114&lt;&gt;""),1,0)</f>
        <v>0</v>
      </c>
      <c r="N2114">
        <f t="shared" ref="N2114:N2177" si="168">IF(AND(L2114=0,M2114=0,K2114&lt;&gt;""),1,0)</f>
        <v>0</v>
      </c>
      <c r="O2114">
        <f t="shared" si="165"/>
        <v>1</v>
      </c>
      <c r="P2114" t="str">
        <f t="shared" ref="P2114:P2177" si="169">IF(D2114&lt;&gt;"扶養","",IF(E2114&lt;&gt;"確認待ち",1,IF(OR(AND(G2114="本人の結婚",O2114=1),AND(H2114="減",OR(N2114=1,O2114=1))),1,0)))</f>
        <v/>
      </c>
      <c r="Q2114">
        <f>COUNTIF('責任職　企業局→市長部局'!A:A,SQLデータ!B2114)</f>
        <v>0</v>
      </c>
      <c r="R2114">
        <f>COUNTIF('一般職員　企業局→市長部局'!A:F,SQLデータ!B2114)</f>
        <v>0</v>
      </c>
    </row>
    <row r="2115" spans="1:18" x14ac:dyDescent="0.4">
      <c r="A2115" s="1">
        <v>202650001955</v>
      </c>
      <c r="B2115" s="1">
        <v>1256091</v>
      </c>
      <c r="C2115" s="2">
        <v>46119</v>
      </c>
      <c r="D2115" t="s">
        <v>17</v>
      </c>
      <c r="E2115" t="s">
        <v>8</v>
      </c>
      <c r="G2115" t="s">
        <v>9</v>
      </c>
      <c r="L2115">
        <f t="shared" si="166"/>
        <v>0</v>
      </c>
      <c r="M2115">
        <f t="shared" si="167"/>
        <v>0</v>
      </c>
      <c r="N2115">
        <f t="shared" si="168"/>
        <v>0</v>
      </c>
      <c r="O2115">
        <f t="shared" si="165"/>
        <v>1</v>
      </c>
      <c r="P2115" t="str">
        <f t="shared" si="169"/>
        <v/>
      </c>
      <c r="Q2115">
        <f>COUNTIF('責任職　企業局→市長部局'!A:A,SQLデータ!B2115)</f>
        <v>0</v>
      </c>
      <c r="R2115">
        <f>COUNTIF('一般職員　企業局→市長部局'!A:F,SQLデータ!B2115)</f>
        <v>0</v>
      </c>
    </row>
    <row r="2116" spans="1:18" x14ac:dyDescent="0.4">
      <c r="A2116" s="1">
        <v>202650001956</v>
      </c>
      <c r="B2116" s="1">
        <v>1066075</v>
      </c>
      <c r="C2116" s="2">
        <v>46119</v>
      </c>
      <c r="D2116" t="s">
        <v>17</v>
      </c>
      <c r="E2116" t="s">
        <v>8</v>
      </c>
      <c r="G2116" t="s">
        <v>9</v>
      </c>
      <c r="L2116">
        <f t="shared" si="166"/>
        <v>0</v>
      </c>
      <c r="M2116">
        <f t="shared" si="167"/>
        <v>0</v>
      </c>
      <c r="N2116">
        <f t="shared" si="168"/>
        <v>0</v>
      </c>
      <c r="O2116">
        <f t="shared" si="165"/>
        <v>1</v>
      </c>
      <c r="P2116" t="str">
        <f t="shared" si="169"/>
        <v/>
      </c>
      <c r="Q2116">
        <f>COUNTIF('責任職　企業局→市長部局'!A:A,SQLデータ!B2116)</f>
        <v>0</v>
      </c>
      <c r="R2116">
        <f>COUNTIF('一般職員　企業局→市長部局'!A:F,SQLデータ!B2116)</f>
        <v>0</v>
      </c>
    </row>
    <row r="2117" spans="1:18" x14ac:dyDescent="0.4">
      <c r="A2117" s="1">
        <v>202650001957</v>
      </c>
      <c r="B2117" s="1">
        <v>1036007</v>
      </c>
      <c r="C2117" s="2">
        <v>46119</v>
      </c>
      <c r="D2117" t="s">
        <v>17</v>
      </c>
      <c r="E2117" t="s">
        <v>8</v>
      </c>
      <c r="G2117" t="s">
        <v>9</v>
      </c>
      <c r="L2117">
        <f t="shared" si="166"/>
        <v>0</v>
      </c>
      <c r="M2117">
        <f t="shared" si="167"/>
        <v>0</v>
      </c>
      <c r="N2117">
        <f t="shared" si="168"/>
        <v>0</v>
      </c>
      <c r="O2117">
        <f t="shared" si="165"/>
        <v>1</v>
      </c>
      <c r="P2117" t="str">
        <f t="shared" si="169"/>
        <v/>
      </c>
      <c r="Q2117">
        <f>COUNTIF('責任職　企業局→市長部局'!A:A,SQLデータ!B2117)</f>
        <v>0</v>
      </c>
      <c r="R2117">
        <f>COUNTIF('一般職員　企業局→市長部局'!A:F,SQLデータ!B2117)</f>
        <v>0</v>
      </c>
    </row>
    <row r="2118" spans="1:18" x14ac:dyDescent="0.4">
      <c r="A2118" s="1">
        <v>202650001958</v>
      </c>
      <c r="B2118" s="1">
        <v>1131101</v>
      </c>
      <c r="C2118" s="2">
        <v>46119</v>
      </c>
      <c r="D2118" t="s">
        <v>17</v>
      </c>
      <c r="E2118" t="s">
        <v>8</v>
      </c>
      <c r="G2118" t="s">
        <v>9</v>
      </c>
      <c r="L2118">
        <f t="shared" si="166"/>
        <v>0</v>
      </c>
      <c r="M2118">
        <f t="shared" si="167"/>
        <v>0</v>
      </c>
      <c r="N2118">
        <f t="shared" si="168"/>
        <v>0</v>
      </c>
      <c r="O2118">
        <f t="shared" si="165"/>
        <v>1</v>
      </c>
      <c r="P2118" t="str">
        <f t="shared" si="169"/>
        <v/>
      </c>
      <c r="Q2118">
        <f>COUNTIF('責任職　企業局→市長部局'!A:A,SQLデータ!B2118)</f>
        <v>0</v>
      </c>
      <c r="R2118">
        <f>COUNTIF('一般職員　企業局→市長部局'!A:F,SQLデータ!B2118)</f>
        <v>0</v>
      </c>
    </row>
    <row r="2119" spans="1:18" x14ac:dyDescent="0.4">
      <c r="A2119" s="1">
        <v>202650001959</v>
      </c>
      <c r="B2119" s="1">
        <v>1196109</v>
      </c>
      <c r="C2119" s="2">
        <v>46119</v>
      </c>
      <c r="D2119" t="s">
        <v>17</v>
      </c>
      <c r="E2119" t="s">
        <v>8</v>
      </c>
      <c r="G2119" t="s">
        <v>9</v>
      </c>
      <c r="L2119">
        <f t="shared" si="166"/>
        <v>0</v>
      </c>
      <c r="M2119">
        <f t="shared" si="167"/>
        <v>0</v>
      </c>
      <c r="N2119">
        <f t="shared" si="168"/>
        <v>0</v>
      </c>
      <c r="O2119">
        <f t="shared" si="165"/>
        <v>1</v>
      </c>
      <c r="P2119" t="str">
        <f t="shared" si="169"/>
        <v/>
      </c>
      <c r="Q2119">
        <f>COUNTIF('責任職　企業局→市長部局'!A:A,SQLデータ!B2119)</f>
        <v>0</v>
      </c>
      <c r="R2119">
        <f>COUNTIF('一般職員　企業局→市長部局'!A:F,SQLデータ!B2119)</f>
        <v>0</v>
      </c>
    </row>
    <row r="2120" spans="1:18" x14ac:dyDescent="0.4">
      <c r="A2120" s="1">
        <v>202650001960</v>
      </c>
      <c r="B2120" s="1">
        <v>930049</v>
      </c>
      <c r="C2120" s="2">
        <v>46119</v>
      </c>
      <c r="D2120" t="s">
        <v>17</v>
      </c>
      <c r="E2120" t="s">
        <v>8</v>
      </c>
      <c r="G2120" t="s">
        <v>9</v>
      </c>
      <c r="L2120">
        <f t="shared" si="166"/>
        <v>0</v>
      </c>
      <c r="M2120">
        <f t="shared" si="167"/>
        <v>0</v>
      </c>
      <c r="N2120">
        <f t="shared" si="168"/>
        <v>0</v>
      </c>
      <c r="O2120">
        <f t="shared" si="165"/>
        <v>1</v>
      </c>
      <c r="P2120" t="str">
        <f t="shared" si="169"/>
        <v/>
      </c>
      <c r="Q2120">
        <f>COUNTIF('責任職　企業局→市長部局'!A:A,SQLデータ!B2120)</f>
        <v>0</v>
      </c>
      <c r="R2120">
        <f>COUNTIF('一般職員　企業局→市長部局'!A:F,SQLデータ!B2120)</f>
        <v>0</v>
      </c>
    </row>
    <row r="2121" spans="1:18" x14ac:dyDescent="0.4">
      <c r="A2121" s="1">
        <v>202650001961</v>
      </c>
      <c r="B2121" s="1">
        <v>993003</v>
      </c>
      <c r="C2121" s="2">
        <v>46119</v>
      </c>
      <c r="D2121" t="s">
        <v>17</v>
      </c>
      <c r="E2121" t="s">
        <v>8</v>
      </c>
      <c r="G2121" t="s">
        <v>9</v>
      </c>
      <c r="L2121">
        <f t="shared" si="166"/>
        <v>0</v>
      </c>
      <c r="M2121">
        <f t="shared" si="167"/>
        <v>0</v>
      </c>
      <c r="N2121">
        <f t="shared" si="168"/>
        <v>0</v>
      </c>
      <c r="O2121">
        <f t="shared" ref="O2121:O2184" si="170">IF(COUNTIF(L2121:N2121,0)=3,1,0)</f>
        <v>1</v>
      </c>
      <c r="P2121" t="str">
        <f t="shared" si="169"/>
        <v/>
      </c>
      <c r="Q2121">
        <f>COUNTIF('責任職　企業局→市長部局'!A:A,SQLデータ!B2121)</f>
        <v>0</v>
      </c>
      <c r="R2121">
        <f>COUNTIF('一般職員　企業局→市長部局'!A:F,SQLデータ!B2121)</f>
        <v>0</v>
      </c>
    </row>
    <row r="2122" spans="1:18" x14ac:dyDescent="0.4">
      <c r="A2122" s="1">
        <v>202650001962</v>
      </c>
      <c r="B2122" s="1">
        <v>1142116</v>
      </c>
      <c r="C2122" s="2">
        <v>46119</v>
      </c>
      <c r="D2122" t="s">
        <v>17</v>
      </c>
      <c r="E2122" t="s">
        <v>8</v>
      </c>
      <c r="G2122" t="s">
        <v>9</v>
      </c>
      <c r="L2122">
        <f t="shared" si="166"/>
        <v>0</v>
      </c>
      <c r="M2122">
        <f t="shared" si="167"/>
        <v>0</v>
      </c>
      <c r="N2122">
        <f t="shared" si="168"/>
        <v>0</v>
      </c>
      <c r="O2122">
        <f t="shared" si="170"/>
        <v>1</v>
      </c>
      <c r="P2122" t="str">
        <f t="shared" si="169"/>
        <v/>
      </c>
      <c r="Q2122">
        <f>COUNTIF('責任職　企業局→市長部局'!A:A,SQLデータ!B2122)</f>
        <v>0</v>
      </c>
      <c r="R2122">
        <f>COUNTIF('一般職員　企業局→市長部局'!A:F,SQLデータ!B2122)</f>
        <v>0</v>
      </c>
    </row>
    <row r="2123" spans="1:18" x14ac:dyDescent="0.4">
      <c r="A2123" s="1">
        <v>202650001963</v>
      </c>
      <c r="B2123" s="1">
        <v>1236097</v>
      </c>
      <c r="C2123" s="2">
        <v>46119</v>
      </c>
      <c r="D2123" t="s">
        <v>17</v>
      </c>
      <c r="E2123" t="s">
        <v>8</v>
      </c>
      <c r="G2123" t="s">
        <v>9</v>
      </c>
      <c r="L2123">
        <f t="shared" si="166"/>
        <v>0</v>
      </c>
      <c r="M2123">
        <f t="shared" si="167"/>
        <v>0</v>
      </c>
      <c r="N2123">
        <f t="shared" si="168"/>
        <v>0</v>
      </c>
      <c r="O2123">
        <f t="shared" si="170"/>
        <v>1</v>
      </c>
      <c r="P2123" t="str">
        <f t="shared" si="169"/>
        <v/>
      </c>
      <c r="Q2123">
        <f>COUNTIF('責任職　企業局→市長部局'!A:A,SQLデータ!B2123)</f>
        <v>0</v>
      </c>
      <c r="R2123">
        <f>COUNTIF('一般職員　企業局→市長部局'!A:F,SQLデータ!B2123)</f>
        <v>0</v>
      </c>
    </row>
    <row r="2124" spans="1:18" x14ac:dyDescent="0.4">
      <c r="A2124" s="1">
        <v>202650001964</v>
      </c>
      <c r="B2124" s="1">
        <v>1226037</v>
      </c>
      <c r="C2124" s="2">
        <v>46119</v>
      </c>
      <c r="D2124" t="s">
        <v>17</v>
      </c>
      <c r="E2124" t="s">
        <v>8</v>
      </c>
      <c r="G2124" t="s">
        <v>9</v>
      </c>
      <c r="L2124">
        <f t="shared" si="166"/>
        <v>0</v>
      </c>
      <c r="M2124">
        <f t="shared" si="167"/>
        <v>0</v>
      </c>
      <c r="N2124">
        <f t="shared" si="168"/>
        <v>0</v>
      </c>
      <c r="O2124">
        <f t="shared" si="170"/>
        <v>1</v>
      </c>
      <c r="P2124" t="str">
        <f t="shared" si="169"/>
        <v/>
      </c>
      <c r="Q2124">
        <f>COUNTIF('責任職　企業局→市長部局'!A:A,SQLデータ!B2124)</f>
        <v>0</v>
      </c>
      <c r="R2124">
        <f>COUNTIF('一般職員　企業局→市長部局'!A:F,SQLデータ!B2124)</f>
        <v>0</v>
      </c>
    </row>
    <row r="2125" spans="1:18" x14ac:dyDescent="0.4">
      <c r="A2125" s="1">
        <v>202650001965</v>
      </c>
      <c r="B2125" s="1">
        <v>860080</v>
      </c>
      <c r="C2125" s="2">
        <v>46119</v>
      </c>
      <c r="D2125" t="s">
        <v>17</v>
      </c>
      <c r="E2125" t="s">
        <v>8</v>
      </c>
      <c r="G2125" t="s">
        <v>9</v>
      </c>
      <c r="L2125">
        <f t="shared" si="166"/>
        <v>0</v>
      </c>
      <c r="M2125">
        <f t="shared" si="167"/>
        <v>0</v>
      </c>
      <c r="N2125">
        <f t="shared" si="168"/>
        <v>0</v>
      </c>
      <c r="O2125">
        <f t="shared" si="170"/>
        <v>1</v>
      </c>
      <c r="P2125" t="str">
        <f t="shared" si="169"/>
        <v/>
      </c>
      <c r="Q2125">
        <f>COUNTIF('責任職　企業局→市長部局'!A:A,SQLデータ!B2125)</f>
        <v>0</v>
      </c>
      <c r="R2125">
        <f>COUNTIF('一般職員　企業局→市長部局'!A:F,SQLデータ!B2125)</f>
        <v>0</v>
      </c>
    </row>
    <row r="2126" spans="1:18" x14ac:dyDescent="0.4">
      <c r="A2126" s="1">
        <v>202650001966</v>
      </c>
      <c r="B2126" s="1">
        <v>1166010</v>
      </c>
      <c r="C2126" s="2">
        <v>46119</v>
      </c>
      <c r="D2126" t="s">
        <v>17</v>
      </c>
      <c r="E2126" t="s">
        <v>8</v>
      </c>
      <c r="G2126" t="s">
        <v>9</v>
      </c>
      <c r="L2126">
        <f t="shared" si="166"/>
        <v>0</v>
      </c>
      <c r="M2126">
        <f t="shared" si="167"/>
        <v>0</v>
      </c>
      <c r="N2126">
        <f t="shared" si="168"/>
        <v>0</v>
      </c>
      <c r="O2126">
        <f t="shared" si="170"/>
        <v>1</v>
      </c>
      <c r="P2126" t="str">
        <f t="shared" si="169"/>
        <v/>
      </c>
      <c r="Q2126">
        <f>COUNTIF('責任職　企業局→市長部局'!A:A,SQLデータ!B2126)</f>
        <v>0</v>
      </c>
      <c r="R2126">
        <f>COUNTIF('一般職員　企業局→市長部局'!A:F,SQLデータ!B2126)</f>
        <v>0</v>
      </c>
    </row>
    <row r="2127" spans="1:18" x14ac:dyDescent="0.4">
      <c r="A2127" s="1">
        <v>202650001968</v>
      </c>
      <c r="B2127" s="1">
        <v>1006013</v>
      </c>
      <c r="C2127" s="2">
        <v>46119</v>
      </c>
      <c r="D2127" t="s">
        <v>17</v>
      </c>
      <c r="E2127" t="s">
        <v>8</v>
      </c>
      <c r="G2127" t="s">
        <v>9</v>
      </c>
      <c r="L2127">
        <f t="shared" si="166"/>
        <v>0</v>
      </c>
      <c r="M2127">
        <f t="shared" si="167"/>
        <v>0</v>
      </c>
      <c r="N2127">
        <f t="shared" si="168"/>
        <v>0</v>
      </c>
      <c r="O2127">
        <f t="shared" si="170"/>
        <v>1</v>
      </c>
      <c r="P2127" t="str">
        <f t="shared" si="169"/>
        <v/>
      </c>
      <c r="Q2127">
        <f>COUNTIF('責任職　企業局→市長部局'!A:A,SQLデータ!B2127)</f>
        <v>0</v>
      </c>
      <c r="R2127">
        <f>COUNTIF('一般職員　企業局→市長部局'!A:F,SQLデータ!B2127)</f>
        <v>0</v>
      </c>
    </row>
    <row r="2128" spans="1:18" x14ac:dyDescent="0.4">
      <c r="A2128" s="1">
        <v>202650001969</v>
      </c>
      <c r="B2128" s="1">
        <v>5027852</v>
      </c>
      <c r="C2128" s="2">
        <v>46119</v>
      </c>
      <c r="D2128" t="s">
        <v>17</v>
      </c>
      <c r="E2128" t="s">
        <v>8</v>
      </c>
      <c r="F2128" t="s">
        <v>54</v>
      </c>
      <c r="G2128" t="s">
        <v>9</v>
      </c>
      <c r="L2128">
        <f t="shared" si="166"/>
        <v>0</v>
      </c>
      <c r="M2128">
        <f t="shared" si="167"/>
        <v>0</v>
      </c>
      <c r="N2128">
        <f t="shared" si="168"/>
        <v>0</v>
      </c>
      <c r="O2128">
        <f t="shared" si="170"/>
        <v>1</v>
      </c>
      <c r="P2128" t="str">
        <f t="shared" si="169"/>
        <v/>
      </c>
      <c r="Q2128">
        <f>COUNTIF('責任職　企業局→市長部局'!A:A,SQLデータ!B2128)</f>
        <v>0</v>
      </c>
      <c r="R2128">
        <f>COUNTIF('一般職員　企業局→市長部局'!A:F,SQLデータ!B2128)</f>
        <v>0</v>
      </c>
    </row>
    <row r="2129" spans="1:18" x14ac:dyDescent="0.4">
      <c r="A2129" s="1">
        <v>202650001970</v>
      </c>
      <c r="B2129" s="1">
        <v>940286</v>
      </c>
      <c r="C2129" s="2">
        <v>46119</v>
      </c>
      <c r="D2129" t="s">
        <v>17</v>
      </c>
      <c r="E2129" t="s">
        <v>8</v>
      </c>
      <c r="G2129" t="s">
        <v>9</v>
      </c>
      <c r="L2129">
        <f t="shared" si="166"/>
        <v>0</v>
      </c>
      <c r="M2129">
        <f t="shared" si="167"/>
        <v>0</v>
      </c>
      <c r="N2129">
        <f t="shared" si="168"/>
        <v>0</v>
      </c>
      <c r="O2129">
        <f t="shared" si="170"/>
        <v>1</v>
      </c>
      <c r="P2129" t="str">
        <f t="shared" si="169"/>
        <v/>
      </c>
      <c r="Q2129">
        <f>COUNTIF('責任職　企業局→市長部局'!A:A,SQLデータ!B2129)</f>
        <v>0</v>
      </c>
      <c r="R2129">
        <f>COUNTIF('一般職員　企業局→市長部局'!A:F,SQLデータ!B2129)</f>
        <v>0</v>
      </c>
    </row>
    <row r="2130" spans="1:18" x14ac:dyDescent="0.4">
      <c r="A2130" s="1">
        <v>202650001971</v>
      </c>
      <c r="B2130" s="1">
        <v>1141035</v>
      </c>
      <c r="C2130" s="2">
        <v>46119</v>
      </c>
      <c r="D2130" t="s">
        <v>17</v>
      </c>
      <c r="E2130" t="s">
        <v>8</v>
      </c>
      <c r="G2130" t="s">
        <v>9</v>
      </c>
      <c r="L2130">
        <f t="shared" si="166"/>
        <v>0</v>
      </c>
      <c r="M2130">
        <f t="shared" si="167"/>
        <v>0</v>
      </c>
      <c r="N2130">
        <f t="shared" si="168"/>
        <v>0</v>
      </c>
      <c r="O2130">
        <f t="shared" si="170"/>
        <v>1</v>
      </c>
      <c r="P2130" t="str">
        <f t="shared" si="169"/>
        <v/>
      </c>
      <c r="Q2130">
        <f>COUNTIF('責任職　企業局→市長部局'!A:A,SQLデータ!B2130)</f>
        <v>0</v>
      </c>
      <c r="R2130">
        <f>COUNTIF('一般職員　企業局→市長部局'!A:F,SQLデータ!B2130)</f>
        <v>0</v>
      </c>
    </row>
    <row r="2131" spans="1:18" x14ac:dyDescent="0.4">
      <c r="A2131" s="1">
        <v>202650001972</v>
      </c>
      <c r="B2131" s="1">
        <v>991167</v>
      </c>
      <c r="C2131" s="2">
        <v>46119</v>
      </c>
      <c r="D2131" t="s">
        <v>17</v>
      </c>
      <c r="E2131" t="s">
        <v>8</v>
      </c>
      <c r="G2131" t="s">
        <v>9</v>
      </c>
      <c r="L2131">
        <f t="shared" si="166"/>
        <v>0</v>
      </c>
      <c r="M2131">
        <f t="shared" si="167"/>
        <v>0</v>
      </c>
      <c r="N2131">
        <f t="shared" si="168"/>
        <v>0</v>
      </c>
      <c r="O2131">
        <f t="shared" si="170"/>
        <v>1</v>
      </c>
      <c r="P2131" t="str">
        <f t="shared" si="169"/>
        <v/>
      </c>
      <c r="Q2131">
        <f>COUNTIF('責任職　企業局→市長部局'!A:A,SQLデータ!B2131)</f>
        <v>0</v>
      </c>
      <c r="R2131">
        <f>COUNTIF('一般職員　企業局→市長部局'!A:F,SQLデータ!B2131)</f>
        <v>0</v>
      </c>
    </row>
    <row r="2132" spans="1:18" x14ac:dyDescent="0.4">
      <c r="A2132" s="1">
        <v>202650001973</v>
      </c>
      <c r="B2132" s="1">
        <v>1166159</v>
      </c>
      <c r="C2132" s="2">
        <v>46119</v>
      </c>
      <c r="D2132" t="s">
        <v>17</v>
      </c>
      <c r="E2132" t="s">
        <v>8</v>
      </c>
      <c r="G2132" t="s">
        <v>9</v>
      </c>
      <c r="L2132">
        <f t="shared" si="166"/>
        <v>0</v>
      </c>
      <c r="M2132">
        <f t="shared" si="167"/>
        <v>0</v>
      </c>
      <c r="N2132">
        <f t="shared" si="168"/>
        <v>0</v>
      </c>
      <c r="O2132">
        <f t="shared" si="170"/>
        <v>1</v>
      </c>
      <c r="P2132" t="str">
        <f t="shared" si="169"/>
        <v/>
      </c>
      <c r="Q2132">
        <f>COUNTIF('責任職　企業局→市長部局'!A:A,SQLデータ!B2132)</f>
        <v>0</v>
      </c>
      <c r="R2132">
        <f>COUNTIF('一般職員　企業局→市長部局'!A:F,SQLデータ!B2132)</f>
        <v>0</v>
      </c>
    </row>
    <row r="2133" spans="1:18" x14ac:dyDescent="0.4">
      <c r="A2133" s="1">
        <v>202650001974</v>
      </c>
      <c r="B2133" s="1">
        <v>1201069</v>
      </c>
      <c r="C2133" s="2">
        <v>46119</v>
      </c>
      <c r="D2133" t="s">
        <v>17</v>
      </c>
      <c r="E2133" t="s">
        <v>8</v>
      </c>
      <c r="G2133" t="s">
        <v>9</v>
      </c>
      <c r="L2133">
        <f t="shared" si="166"/>
        <v>0</v>
      </c>
      <c r="M2133">
        <f t="shared" si="167"/>
        <v>0</v>
      </c>
      <c r="N2133">
        <f t="shared" si="168"/>
        <v>0</v>
      </c>
      <c r="O2133">
        <f t="shared" si="170"/>
        <v>1</v>
      </c>
      <c r="P2133" t="str">
        <f t="shared" si="169"/>
        <v/>
      </c>
      <c r="Q2133">
        <f>COUNTIF('責任職　企業局→市長部局'!A:A,SQLデータ!B2133)</f>
        <v>0</v>
      </c>
      <c r="R2133">
        <f>COUNTIF('一般職員　企業局→市長部局'!A:F,SQLデータ!B2133)</f>
        <v>0</v>
      </c>
    </row>
    <row r="2134" spans="1:18" x14ac:dyDescent="0.4">
      <c r="A2134" s="1">
        <v>202650001975</v>
      </c>
      <c r="B2134" s="1">
        <v>1126016</v>
      </c>
      <c r="C2134" s="2">
        <v>46119</v>
      </c>
      <c r="D2134" t="s">
        <v>17</v>
      </c>
      <c r="E2134" t="s">
        <v>8</v>
      </c>
      <c r="G2134" t="s">
        <v>9</v>
      </c>
      <c r="L2134">
        <f t="shared" si="166"/>
        <v>0</v>
      </c>
      <c r="M2134">
        <f t="shared" si="167"/>
        <v>0</v>
      </c>
      <c r="N2134">
        <f t="shared" si="168"/>
        <v>0</v>
      </c>
      <c r="O2134">
        <f t="shared" si="170"/>
        <v>1</v>
      </c>
      <c r="P2134" t="str">
        <f t="shared" si="169"/>
        <v/>
      </c>
      <c r="Q2134">
        <f>COUNTIF('責任職　企業局→市長部局'!A:A,SQLデータ!B2134)</f>
        <v>0</v>
      </c>
      <c r="R2134">
        <f>COUNTIF('一般職員　企業局→市長部局'!A:F,SQLデータ!B2134)</f>
        <v>0</v>
      </c>
    </row>
    <row r="2135" spans="1:18" x14ac:dyDescent="0.4">
      <c r="A2135" s="1">
        <v>202650001976</v>
      </c>
      <c r="B2135" s="1">
        <v>984308</v>
      </c>
      <c r="C2135" s="2">
        <v>46119</v>
      </c>
      <c r="D2135" t="s">
        <v>17</v>
      </c>
      <c r="E2135" t="s">
        <v>8</v>
      </c>
      <c r="G2135" t="s">
        <v>9</v>
      </c>
      <c r="L2135">
        <f t="shared" si="166"/>
        <v>0</v>
      </c>
      <c r="M2135">
        <f t="shared" si="167"/>
        <v>0</v>
      </c>
      <c r="N2135">
        <f t="shared" si="168"/>
        <v>0</v>
      </c>
      <c r="O2135">
        <f t="shared" si="170"/>
        <v>1</v>
      </c>
      <c r="P2135" t="str">
        <f t="shared" si="169"/>
        <v/>
      </c>
      <c r="Q2135">
        <f>COUNTIF('責任職　企業局→市長部局'!A:A,SQLデータ!B2135)</f>
        <v>0</v>
      </c>
      <c r="R2135">
        <f>COUNTIF('一般職員　企業局→市長部局'!A:F,SQLデータ!B2135)</f>
        <v>0</v>
      </c>
    </row>
    <row r="2136" spans="1:18" x14ac:dyDescent="0.4">
      <c r="A2136" s="1">
        <v>202650001977</v>
      </c>
      <c r="B2136" s="1">
        <v>1021181</v>
      </c>
      <c r="C2136" s="2">
        <v>46119</v>
      </c>
      <c r="D2136" t="s">
        <v>17</v>
      </c>
      <c r="E2136" t="s">
        <v>8</v>
      </c>
      <c r="G2136" t="s">
        <v>9</v>
      </c>
      <c r="L2136">
        <f t="shared" si="166"/>
        <v>0</v>
      </c>
      <c r="M2136">
        <f t="shared" si="167"/>
        <v>0</v>
      </c>
      <c r="N2136">
        <f t="shared" si="168"/>
        <v>0</v>
      </c>
      <c r="O2136">
        <f t="shared" si="170"/>
        <v>1</v>
      </c>
      <c r="P2136" t="str">
        <f t="shared" si="169"/>
        <v/>
      </c>
      <c r="Q2136">
        <f>COUNTIF('責任職　企業局→市長部局'!A:A,SQLデータ!B2136)</f>
        <v>0</v>
      </c>
      <c r="R2136">
        <f>COUNTIF('一般職員　企業局→市長部局'!A:F,SQLデータ!B2136)</f>
        <v>0</v>
      </c>
    </row>
    <row r="2137" spans="1:18" x14ac:dyDescent="0.4">
      <c r="A2137" s="1">
        <v>202650001978</v>
      </c>
      <c r="B2137" s="1">
        <v>930276</v>
      </c>
      <c r="C2137" s="2">
        <v>46119</v>
      </c>
      <c r="D2137" t="s">
        <v>17</v>
      </c>
      <c r="E2137" t="s">
        <v>8</v>
      </c>
      <c r="G2137" t="s">
        <v>9</v>
      </c>
      <c r="L2137">
        <f t="shared" si="166"/>
        <v>0</v>
      </c>
      <c r="M2137">
        <f t="shared" si="167"/>
        <v>0</v>
      </c>
      <c r="N2137">
        <f t="shared" si="168"/>
        <v>0</v>
      </c>
      <c r="O2137">
        <f t="shared" si="170"/>
        <v>1</v>
      </c>
      <c r="P2137" t="str">
        <f t="shared" si="169"/>
        <v/>
      </c>
      <c r="Q2137">
        <f>COUNTIF('責任職　企業局→市長部局'!A:A,SQLデータ!B2137)</f>
        <v>0</v>
      </c>
      <c r="R2137">
        <f>COUNTIF('一般職員　企業局→市長部局'!A:F,SQLデータ!B2137)</f>
        <v>0</v>
      </c>
    </row>
    <row r="2138" spans="1:18" x14ac:dyDescent="0.4">
      <c r="A2138" s="1">
        <v>202650001979</v>
      </c>
      <c r="B2138" s="1">
        <v>1081211</v>
      </c>
      <c r="C2138" s="2">
        <v>46128</v>
      </c>
      <c r="D2138" t="s">
        <v>17</v>
      </c>
      <c r="E2138" t="s">
        <v>8</v>
      </c>
      <c r="G2138" t="s">
        <v>9</v>
      </c>
      <c r="L2138">
        <f t="shared" si="166"/>
        <v>0</v>
      </c>
      <c r="M2138">
        <f t="shared" si="167"/>
        <v>0</v>
      </c>
      <c r="N2138">
        <f t="shared" si="168"/>
        <v>0</v>
      </c>
      <c r="O2138">
        <f t="shared" si="170"/>
        <v>1</v>
      </c>
      <c r="P2138" t="str">
        <f t="shared" si="169"/>
        <v/>
      </c>
      <c r="Q2138">
        <f>COUNTIF('責任職　企業局→市長部局'!A:A,SQLデータ!B2138)</f>
        <v>0</v>
      </c>
      <c r="R2138">
        <f>COUNTIF('一般職員　企業局→市長部局'!A:F,SQLデータ!B2138)</f>
        <v>0</v>
      </c>
    </row>
    <row r="2139" spans="1:18" x14ac:dyDescent="0.4">
      <c r="A2139" s="1">
        <v>202650001980</v>
      </c>
      <c r="B2139" s="1">
        <v>1216113</v>
      </c>
      <c r="C2139" s="2">
        <v>46119</v>
      </c>
      <c r="D2139" t="s">
        <v>17</v>
      </c>
      <c r="E2139" t="s">
        <v>8</v>
      </c>
      <c r="G2139" t="s">
        <v>9</v>
      </c>
      <c r="L2139">
        <f t="shared" si="166"/>
        <v>0</v>
      </c>
      <c r="M2139">
        <f t="shared" si="167"/>
        <v>0</v>
      </c>
      <c r="N2139">
        <f t="shared" si="168"/>
        <v>0</v>
      </c>
      <c r="O2139">
        <f t="shared" si="170"/>
        <v>1</v>
      </c>
      <c r="P2139" t="str">
        <f t="shared" si="169"/>
        <v/>
      </c>
      <c r="Q2139">
        <f>COUNTIF('責任職　企業局→市長部局'!A:A,SQLデータ!B2139)</f>
        <v>0</v>
      </c>
      <c r="R2139">
        <f>COUNTIF('一般職員　企業局→市長部局'!A:F,SQLデータ!B2139)</f>
        <v>0</v>
      </c>
    </row>
    <row r="2140" spans="1:18" x14ac:dyDescent="0.4">
      <c r="A2140" s="1">
        <v>202650001981</v>
      </c>
      <c r="B2140" s="1">
        <v>910283</v>
      </c>
      <c r="C2140" s="2">
        <v>46119</v>
      </c>
      <c r="D2140" t="s">
        <v>17</v>
      </c>
      <c r="E2140" t="s">
        <v>8</v>
      </c>
      <c r="G2140" t="s">
        <v>9</v>
      </c>
      <c r="L2140">
        <f t="shared" si="166"/>
        <v>0</v>
      </c>
      <c r="M2140">
        <f t="shared" si="167"/>
        <v>0</v>
      </c>
      <c r="N2140">
        <f t="shared" si="168"/>
        <v>0</v>
      </c>
      <c r="O2140">
        <f t="shared" si="170"/>
        <v>1</v>
      </c>
      <c r="P2140" t="str">
        <f t="shared" si="169"/>
        <v/>
      </c>
      <c r="Q2140">
        <f>COUNTIF('責任職　企業局→市長部局'!A:A,SQLデータ!B2140)</f>
        <v>0</v>
      </c>
      <c r="R2140">
        <f>COUNTIF('一般職員　企業局→市長部局'!A:F,SQLデータ!B2140)</f>
        <v>0</v>
      </c>
    </row>
    <row r="2141" spans="1:18" x14ac:dyDescent="0.4">
      <c r="A2141" s="1">
        <v>202650001982</v>
      </c>
      <c r="B2141" s="1">
        <v>1151057</v>
      </c>
      <c r="C2141" s="2">
        <v>46119</v>
      </c>
      <c r="D2141" t="s">
        <v>17</v>
      </c>
      <c r="E2141" t="s">
        <v>8</v>
      </c>
      <c r="G2141" t="s">
        <v>9</v>
      </c>
      <c r="L2141">
        <f t="shared" si="166"/>
        <v>0</v>
      </c>
      <c r="M2141">
        <f t="shared" si="167"/>
        <v>0</v>
      </c>
      <c r="N2141">
        <f t="shared" si="168"/>
        <v>0</v>
      </c>
      <c r="O2141">
        <f t="shared" si="170"/>
        <v>1</v>
      </c>
      <c r="P2141" t="str">
        <f t="shared" si="169"/>
        <v/>
      </c>
      <c r="Q2141">
        <f>COUNTIF('責任職　企業局→市長部局'!A:A,SQLデータ!B2141)</f>
        <v>0</v>
      </c>
      <c r="R2141">
        <f>COUNTIF('一般職員　企業局→市長部局'!A:F,SQLデータ!B2141)</f>
        <v>0</v>
      </c>
    </row>
    <row r="2142" spans="1:18" x14ac:dyDescent="0.4">
      <c r="A2142" s="1">
        <v>202650001983</v>
      </c>
      <c r="B2142" s="1">
        <v>974090</v>
      </c>
      <c r="C2142" s="2">
        <v>46112</v>
      </c>
      <c r="D2142" t="s">
        <v>17</v>
      </c>
      <c r="E2142" t="s">
        <v>8</v>
      </c>
      <c r="G2142" t="s">
        <v>9</v>
      </c>
      <c r="L2142">
        <f t="shared" si="166"/>
        <v>0</v>
      </c>
      <c r="M2142">
        <f t="shared" si="167"/>
        <v>0</v>
      </c>
      <c r="N2142">
        <f t="shared" si="168"/>
        <v>0</v>
      </c>
      <c r="O2142">
        <f t="shared" si="170"/>
        <v>1</v>
      </c>
      <c r="P2142" t="str">
        <f t="shared" si="169"/>
        <v/>
      </c>
      <c r="Q2142">
        <f>COUNTIF('責任職　企業局→市長部局'!A:A,SQLデータ!B2142)</f>
        <v>0</v>
      </c>
      <c r="R2142">
        <f>COUNTIF('一般職員　企業局→市長部局'!A:F,SQLデータ!B2142)</f>
        <v>0</v>
      </c>
    </row>
    <row r="2143" spans="1:18" x14ac:dyDescent="0.4">
      <c r="A2143" s="1">
        <v>202650001984</v>
      </c>
      <c r="B2143" s="1">
        <v>1201264</v>
      </c>
      <c r="C2143" s="2">
        <v>46119</v>
      </c>
      <c r="D2143" t="s">
        <v>17</v>
      </c>
      <c r="E2143" t="s">
        <v>8</v>
      </c>
      <c r="G2143" t="s">
        <v>9</v>
      </c>
      <c r="L2143">
        <f t="shared" si="166"/>
        <v>0</v>
      </c>
      <c r="M2143">
        <f t="shared" si="167"/>
        <v>0</v>
      </c>
      <c r="N2143">
        <f t="shared" si="168"/>
        <v>0</v>
      </c>
      <c r="O2143">
        <f t="shared" si="170"/>
        <v>1</v>
      </c>
      <c r="P2143" t="str">
        <f t="shared" si="169"/>
        <v/>
      </c>
      <c r="Q2143">
        <f>COUNTIF('責任職　企業局→市長部局'!A:A,SQLデータ!B2143)</f>
        <v>0</v>
      </c>
      <c r="R2143">
        <f>COUNTIF('一般職員　企業局→市長部局'!A:F,SQLデータ!B2143)</f>
        <v>0</v>
      </c>
    </row>
    <row r="2144" spans="1:18" x14ac:dyDescent="0.4">
      <c r="A2144" s="1">
        <v>202650001985</v>
      </c>
      <c r="B2144" s="1">
        <v>1253010</v>
      </c>
      <c r="C2144" s="2">
        <v>46119</v>
      </c>
      <c r="D2144" t="s">
        <v>17</v>
      </c>
      <c r="E2144" t="s">
        <v>8</v>
      </c>
      <c r="G2144" t="s">
        <v>9</v>
      </c>
      <c r="L2144">
        <f t="shared" si="166"/>
        <v>0</v>
      </c>
      <c r="M2144">
        <f t="shared" si="167"/>
        <v>0</v>
      </c>
      <c r="N2144">
        <f t="shared" si="168"/>
        <v>0</v>
      </c>
      <c r="O2144">
        <f t="shared" si="170"/>
        <v>1</v>
      </c>
      <c r="P2144" t="str">
        <f t="shared" si="169"/>
        <v/>
      </c>
      <c r="Q2144">
        <f>COUNTIF('責任職　企業局→市長部局'!A:A,SQLデータ!B2144)</f>
        <v>0</v>
      </c>
      <c r="R2144">
        <f>COUNTIF('一般職員　企業局→市長部局'!A:F,SQLデータ!B2144)</f>
        <v>0</v>
      </c>
    </row>
    <row r="2145" spans="1:18" x14ac:dyDescent="0.4">
      <c r="A2145" s="1">
        <v>202650001986</v>
      </c>
      <c r="B2145" s="1">
        <v>960164</v>
      </c>
      <c r="C2145" s="2">
        <v>46119</v>
      </c>
      <c r="D2145" t="s">
        <v>17</v>
      </c>
      <c r="E2145" t="s">
        <v>8</v>
      </c>
      <c r="G2145" t="s">
        <v>9</v>
      </c>
      <c r="L2145">
        <f t="shared" si="166"/>
        <v>0</v>
      </c>
      <c r="M2145">
        <f t="shared" si="167"/>
        <v>0</v>
      </c>
      <c r="N2145">
        <f t="shared" si="168"/>
        <v>0</v>
      </c>
      <c r="O2145">
        <f t="shared" si="170"/>
        <v>1</v>
      </c>
      <c r="P2145" t="str">
        <f t="shared" si="169"/>
        <v/>
      </c>
      <c r="Q2145">
        <f>COUNTIF('責任職　企業局→市長部局'!A:A,SQLデータ!B2145)</f>
        <v>0</v>
      </c>
      <c r="R2145">
        <f>COUNTIF('一般職員　企業局→市長部局'!A:F,SQLデータ!B2145)</f>
        <v>0</v>
      </c>
    </row>
    <row r="2146" spans="1:18" x14ac:dyDescent="0.4">
      <c r="A2146" s="1">
        <v>202650001987</v>
      </c>
      <c r="B2146" s="1">
        <v>1091496</v>
      </c>
      <c r="C2146" s="2">
        <v>46119</v>
      </c>
      <c r="D2146" t="s">
        <v>17</v>
      </c>
      <c r="E2146" t="s">
        <v>8</v>
      </c>
      <c r="G2146" t="s">
        <v>9</v>
      </c>
      <c r="L2146">
        <f t="shared" si="166"/>
        <v>0</v>
      </c>
      <c r="M2146">
        <f t="shared" si="167"/>
        <v>0</v>
      </c>
      <c r="N2146">
        <f t="shared" si="168"/>
        <v>0</v>
      </c>
      <c r="O2146">
        <f t="shared" si="170"/>
        <v>1</v>
      </c>
      <c r="P2146" t="str">
        <f t="shared" si="169"/>
        <v/>
      </c>
      <c r="Q2146">
        <f>COUNTIF('責任職　企業局→市長部局'!A:A,SQLデータ!B2146)</f>
        <v>0</v>
      </c>
      <c r="R2146">
        <f>COUNTIF('一般職員　企業局→市長部局'!A:F,SQLデータ!B2146)</f>
        <v>0</v>
      </c>
    </row>
    <row r="2147" spans="1:18" x14ac:dyDescent="0.4">
      <c r="A2147" s="1">
        <v>202650001988</v>
      </c>
      <c r="B2147" s="1">
        <v>1010095</v>
      </c>
      <c r="C2147" s="2">
        <v>46119</v>
      </c>
      <c r="D2147" t="s">
        <v>17</v>
      </c>
      <c r="E2147" t="s">
        <v>8</v>
      </c>
      <c r="G2147" t="s">
        <v>9</v>
      </c>
      <c r="L2147">
        <f t="shared" si="166"/>
        <v>0</v>
      </c>
      <c r="M2147">
        <f t="shared" si="167"/>
        <v>0</v>
      </c>
      <c r="N2147">
        <f t="shared" si="168"/>
        <v>0</v>
      </c>
      <c r="O2147">
        <f t="shared" si="170"/>
        <v>1</v>
      </c>
      <c r="P2147" t="str">
        <f t="shared" si="169"/>
        <v/>
      </c>
      <c r="Q2147">
        <f>COUNTIF('責任職　企業局→市長部局'!A:A,SQLデータ!B2147)</f>
        <v>0</v>
      </c>
      <c r="R2147">
        <f>COUNTIF('一般職員　企業局→市長部局'!A:F,SQLデータ!B2147)</f>
        <v>0</v>
      </c>
    </row>
    <row r="2148" spans="1:18" x14ac:dyDescent="0.4">
      <c r="A2148" s="1">
        <v>202650001989</v>
      </c>
      <c r="B2148" s="1">
        <v>1041107</v>
      </c>
      <c r="C2148" s="2">
        <v>46119</v>
      </c>
      <c r="D2148" t="s">
        <v>17</v>
      </c>
      <c r="E2148" t="s">
        <v>8</v>
      </c>
      <c r="G2148" t="s">
        <v>9</v>
      </c>
      <c r="L2148">
        <f t="shared" si="166"/>
        <v>0</v>
      </c>
      <c r="M2148">
        <f t="shared" si="167"/>
        <v>0</v>
      </c>
      <c r="N2148">
        <f t="shared" si="168"/>
        <v>0</v>
      </c>
      <c r="O2148">
        <f t="shared" si="170"/>
        <v>1</v>
      </c>
      <c r="P2148" t="str">
        <f t="shared" si="169"/>
        <v/>
      </c>
      <c r="Q2148">
        <f>COUNTIF('責任職　企業局→市長部局'!A:A,SQLデータ!B2148)</f>
        <v>0</v>
      </c>
      <c r="R2148">
        <f>COUNTIF('一般職員　企業局→市長部局'!A:F,SQLデータ!B2148)</f>
        <v>0</v>
      </c>
    </row>
    <row r="2149" spans="1:18" x14ac:dyDescent="0.4">
      <c r="A2149" s="1">
        <v>202650001990</v>
      </c>
      <c r="B2149" s="1">
        <v>1156070</v>
      </c>
      <c r="C2149" s="2">
        <v>46119</v>
      </c>
      <c r="D2149" t="s">
        <v>17</v>
      </c>
      <c r="E2149" t="s">
        <v>8</v>
      </c>
      <c r="G2149" t="s">
        <v>9</v>
      </c>
      <c r="L2149">
        <f t="shared" si="166"/>
        <v>0</v>
      </c>
      <c r="M2149">
        <f t="shared" si="167"/>
        <v>0</v>
      </c>
      <c r="N2149">
        <f t="shared" si="168"/>
        <v>0</v>
      </c>
      <c r="O2149">
        <f t="shared" si="170"/>
        <v>1</v>
      </c>
      <c r="P2149" t="str">
        <f t="shared" si="169"/>
        <v/>
      </c>
      <c r="Q2149">
        <f>COUNTIF('責任職　企業局→市長部局'!A:A,SQLデータ!B2149)</f>
        <v>0</v>
      </c>
      <c r="R2149">
        <f>COUNTIF('一般職員　企業局→市長部局'!A:F,SQLデータ!B2149)</f>
        <v>0</v>
      </c>
    </row>
    <row r="2150" spans="1:18" x14ac:dyDescent="0.4">
      <c r="A2150" s="1">
        <v>202650001991</v>
      </c>
      <c r="B2150" s="1">
        <v>1096089</v>
      </c>
      <c r="C2150" s="2">
        <v>46119</v>
      </c>
      <c r="D2150" t="s">
        <v>17</v>
      </c>
      <c r="E2150" t="s">
        <v>8</v>
      </c>
      <c r="G2150" t="s">
        <v>9</v>
      </c>
      <c r="L2150">
        <f t="shared" si="166"/>
        <v>0</v>
      </c>
      <c r="M2150">
        <f t="shared" si="167"/>
        <v>0</v>
      </c>
      <c r="N2150">
        <f t="shared" si="168"/>
        <v>0</v>
      </c>
      <c r="O2150">
        <f t="shared" si="170"/>
        <v>1</v>
      </c>
      <c r="P2150" t="str">
        <f t="shared" si="169"/>
        <v/>
      </c>
      <c r="Q2150">
        <f>COUNTIF('責任職　企業局→市長部局'!A:A,SQLデータ!B2150)</f>
        <v>0</v>
      </c>
      <c r="R2150">
        <f>COUNTIF('一般職員　企業局→市長部局'!A:F,SQLデータ!B2150)</f>
        <v>0</v>
      </c>
    </row>
    <row r="2151" spans="1:18" x14ac:dyDescent="0.4">
      <c r="A2151" s="1">
        <v>202650001992</v>
      </c>
      <c r="B2151" s="1">
        <v>1151447</v>
      </c>
      <c r="C2151" s="2">
        <v>46119</v>
      </c>
      <c r="D2151" t="s">
        <v>17</v>
      </c>
      <c r="E2151" t="s">
        <v>8</v>
      </c>
      <c r="G2151" t="s">
        <v>9</v>
      </c>
      <c r="L2151">
        <f t="shared" si="166"/>
        <v>0</v>
      </c>
      <c r="M2151">
        <f t="shared" si="167"/>
        <v>0</v>
      </c>
      <c r="N2151">
        <f t="shared" si="168"/>
        <v>0</v>
      </c>
      <c r="O2151">
        <f t="shared" si="170"/>
        <v>1</v>
      </c>
      <c r="P2151" t="str">
        <f t="shared" si="169"/>
        <v/>
      </c>
      <c r="Q2151">
        <f>COUNTIF('責任職　企業局→市長部局'!A:A,SQLデータ!B2151)</f>
        <v>0</v>
      </c>
      <c r="R2151">
        <f>COUNTIF('一般職員　企業局→市長部局'!A:F,SQLデータ!B2151)</f>
        <v>0</v>
      </c>
    </row>
    <row r="2152" spans="1:18" x14ac:dyDescent="0.4">
      <c r="A2152" s="1">
        <v>202650001993</v>
      </c>
      <c r="B2152" s="1">
        <v>5028197</v>
      </c>
      <c r="C2152" s="2">
        <v>46119</v>
      </c>
      <c r="D2152" t="s">
        <v>17</v>
      </c>
      <c r="E2152" t="s">
        <v>8</v>
      </c>
      <c r="F2152" t="s">
        <v>54</v>
      </c>
      <c r="G2152" t="s">
        <v>9</v>
      </c>
      <c r="L2152">
        <f t="shared" si="166"/>
        <v>0</v>
      </c>
      <c r="M2152">
        <f t="shared" si="167"/>
        <v>0</v>
      </c>
      <c r="N2152">
        <f t="shared" si="168"/>
        <v>0</v>
      </c>
      <c r="O2152">
        <f t="shared" si="170"/>
        <v>1</v>
      </c>
      <c r="P2152" t="str">
        <f t="shared" si="169"/>
        <v/>
      </c>
      <c r="Q2152">
        <f>COUNTIF('責任職　企業局→市長部局'!A:A,SQLデータ!B2152)</f>
        <v>0</v>
      </c>
      <c r="R2152">
        <f>COUNTIF('一般職員　企業局→市長部局'!A:F,SQLデータ!B2152)</f>
        <v>0</v>
      </c>
    </row>
    <row r="2153" spans="1:18" x14ac:dyDescent="0.4">
      <c r="A2153" s="1">
        <v>202650001995</v>
      </c>
      <c r="B2153" s="1">
        <v>1194105</v>
      </c>
      <c r="C2153" s="2">
        <v>46113</v>
      </c>
      <c r="D2153" t="s">
        <v>17</v>
      </c>
      <c r="E2153" t="s">
        <v>8</v>
      </c>
      <c r="G2153" t="s">
        <v>9</v>
      </c>
      <c r="L2153">
        <f t="shared" si="166"/>
        <v>0</v>
      </c>
      <c r="M2153">
        <f t="shared" si="167"/>
        <v>0</v>
      </c>
      <c r="N2153">
        <f t="shared" si="168"/>
        <v>0</v>
      </c>
      <c r="O2153">
        <f t="shared" si="170"/>
        <v>1</v>
      </c>
      <c r="P2153" t="str">
        <f t="shared" si="169"/>
        <v/>
      </c>
      <c r="Q2153">
        <f>COUNTIF('責任職　企業局→市長部局'!A:A,SQLデータ!B2153)</f>
        <v>0</v>
      </c>
      <c r="R2153">
        <f>COUNTIF('一般職員　企業局→市長部局'!A:F,SQLデータ!B2153)</f>
        <v>0</v>
      </c>
    </row>
    <row r="2154" spans="1:18" x14ac:dyDescent="0.4">
      <c r="A2154" s="1">
        <v>202650001996</v>
      </c>
      <c r="B2154" s="1">
        <v>940251</v>
      </c>
      <c r="C2154" s="2">
        <v>46119</v>
      </c>
      <c r="D2154" t="s">
        <v>17</v>
      </c>
      <c r="E2154" t="s">
        <v>8</v>
      </c>
      <c r="G2154" t="s">
        <v>9</v>
      </c>
      <c r="L2154">
        <f t="shared" si="166"/>
        <v>0</v>
      </c>
      <c r="M2154">
        <f t="shared" si="167"/>
        <v>0</v>
      </c>
      <c r="N2154">
        <f t="shared" si="168"/>
        <v>0</v>
      </c>
      <c r="O2154">
        <f t="shared" si="170"/>
        <v>1</v>
      </c>
      <c r="P2154" t="str">
        <f t="shared" si="169"/>
        <v/>
      </c>
      <c r="Q2154">
        <f>COUNTIF('責任職　企業局→市長部局'!A:A,SQLデータ!B2154)</f>
        <v>0</v>
      </c>
      <c r="R2154">
        <f>COUNTIF('一般職員　企業局→市長部局'!A:F,SQLデータ!B2154)</f>
        <v>0</v>
      </c>
    </row>
    <row r="2155" spans="1:18" x14ac:dyDescent="0.4">
      <c r="A2155" s="1">
        <v>202650001997</v>
      </c>
      <c r="B2155" s="1">
        <v>991252</v>
      </c>
      <c r="C2155" s="2">
        <v>46119</v>
      </c>
      <c r="D2155" t="s">
        <v>17</v>
      </c>
      <c r="E2155" t="s">
        <v>8</v>
      </c>
      <c r="G2155" t="s">
        <v>9</v>
      </c>
      <c r="L2155">
        <f t="shared" si="166"/>
        <v>0</v>
      </c>
      <c r="M2155">
        <f t="shared" si="167"/>
        <v>0</v>
      </c>
      <c r="N2155">
        <f t="shared" si="168"/>
        <v>0</v>
      </c>
      <c r="O2155">
        <f t="shared" si="170"/>
        <v>1</v>
      </c>
      <c r="P2155" t="str">
        <f t="shared" si="169"/>
        <v/>
      </c>
      <c r="Q2155">
        <f>COUNTIF('責任職　企業局→市長部局'!A:A,SQLデータ!B2155)</f>
        <v>0</v>
      </c>
      <c r="R2155">
        <f>COUNTIF('一般職員　企業局→市長部局'!A:F,SQLデータ!B2155)</f>
        <v>0</v>
      </c>
    </row>
    <row r="2156" spans="1:18" x14ac:dyDescent="0.4">
      <c r="A2156" s="1">
        <v>202650001998</v>
      </c>
      <c r="B2156" s="1">
        <v>5027994</v>
      </c>
      <c r="C2156" s="2">
        <v>46119</v>
      </c>
      <c r="D2156" t="s">
        <v>17</v>
      </c>
      <c r="E2156" t="s">
        <v>8</v>
      </c>
      <c r="F2156" t="s">
        <v>54</v>
      </c>
      <c r="G2156" t="s">
        <v>9</v>
      </c>
      <c r="L2156">
        <f t="shared" si="166"/>
        <v>0</v>
      </c>
      <c r="M2156">
        <f t="shared" si="167"/>
        <v>0</v>
      </c>
      <c r="N2156">
        <f t="shared" si="168"/>
        <v>0</v>
      </c>
      <c r="O2156">
        <f t="shared" si="170"/>
        <v>1</v>
      </c>
      <c r="P2156" t="str">
        <f t="shared" si="169"/>
        <v/>
      </c>
      <c r="Q2156">
        <f>COUNTIF('責任職　企業局→市長部局'!A:A,SQLデータ!B2156)</f>
        <v>0</v>
      </c>
      <c r="R2156">
        <f>COUNTIF('一般職員　企業局→市長部局'!A:F,SQLデータ!B2156)</f>
        <v>0</v>
      </c>
    </row>
    <row r="2157" spans="1:18" x14ac:dyDescent="0.4">
      <c r="A2157" s="1">
        <v>202650001999</v>
      </c>
      <c r="B2157" s="1">
        <v>1126147</v>
      </c>
      <c r="C2157" s="2">
        <v>46119</v>
      </c>
      <c r="D2157" t="s">
        <v>17</v>
      </c>
      <c r="E2157" t="s">
        <v>8</v>
      </c>
      <c r="G2157" t="s">
        <v>9</v>
      </c>
      <c r="L2157">
        <f t="shared" si="166"/>
        <v>0</v>
      </c>
      <c r="M2157">
        <f t="shared" si="167"/>
        <v>0</v>
      </c>
      <c r="N2157">
        <f t="shared" si="168"/>
        <v>0</v>
      </c>
      <c r="O2157">
        <f t="shared" si="170"/>
        <v>1</v>
      </c>
      <c r="P2157" t="str">
        <f t="shared" si="169"/>
        <v/>
      </c>
      <c r="Q2157">
        <f>COUNTIF('責任職　企業局→市長部局'!A:A,SQLデータ!B2157)</f>
        <v>0</v>
      </c>
      <c r="R2157">
        <f>COUNTIF('一般職員　企業局→市長部局'!A:F,SQLデータ!B2157)</f>
        <v>0</v>
      </c>
    </row>
    <row r="2158" spans="1:18" x14ac:dyDescent="0.4">
      <c r="A2158" s="1">
        <v>202650002000</v>
      </c>
      <c r="B2158" s="1">
        <v>5067912</v>
      </c>
      <c r="C2158" s="2">
        <v>46119</v>
      </c>
      <c r="D2158" t="s">
        <v>17</v>
      </c>
      <c r="E2158" t="s">
        <v>8</v>
      </c>
      <c r="F2158" t="s">
        <v>54</v>
      </c>
      <c r="G2158" t="s">
        <v>9</v>
      </c>
      <c r="L2158">
        <f t="shared" si="166"/>
        <v>0</v>
      </c>
      <c r="M2158">
        <f t="shared" si="167"/>
        <v>0</v>
      </c>
      <c r="N2158">
        <f t="shared" si="168"/>
        <v>0</v>
      </c>
      <c r="O2158">
        <f t="shared" si="170"/>
        <v>1</v>
      </c>
      <c r="P2158" t="str">
        <f t="shared" si="169"/>
        <v/>
      </c>
      <c r="Q2158">
        <f>COUNTIF('責任職　企業局→市長部局'!A:A,SQLデータ!B2158)</f>
        <v>0</v>
      </c>
      <c r="R2158">
        <f>COUNTIF('一般職員　企業局→市長部局'!A:F,SQLデータ!B2158)</f>
        <v>0</v>
      </c>
    </row>
    <row r="2159" spans="1:18" x14ac:dyDescent="0.4">
      <c r="A2159" s="1">
        <v>202650002001</v>
      </c>
      <c r="B2159" s="1">
        <v>1156105</v>
      </c>
      <c r="C2159" s="2">
        <v>46119</v>
      </c>
      <c r="D2159" t="s">
        <v>17</v>
      </c>
      <c r="E2159" t="s">
        <v>8</v>
      </c>
      <c r="G2159" t="s">
        <v>9</v>
      </c>
      <c r="L2159">
        <f t="shared" si="166"/>
        <v>0</v>
      </c>
      <c r="M2159">
        <f t="shared" si="167"/>
        <v>0</v>
      </c>
      <c r="N2159">
        <f t="shared" si="168"/>
        <v>0</v>
      </c>
      <c r="O2159">
        <f t="shared" si="170"/>
        <v>1</v>
      </c>
      <c r="P2159" t="str">
        <f t="shared" si="169"/>
        <v/>
      </c>
      <c r="Q2159">
        <f>COUNTIF('責任職　企業局→市長部局'!A:A,SQLデータ!B2159)</f>
        <v>0</v>
      </c>
      <c r="R2159">
        <f>COUNTIF('一般職員　企業局→市長部局'!A:F,SQLデータ!B2159)</f>
        <v>0</v>
      </c>
    </row>
    <row r="2160" spans="1:18" x14ac:dyDescent="0.4">
      <c r="A2160" s="1">
        <v>202650002002</v>
      </c>
      <c r="B2160" s="1">
        <v>930870</v>
      </c>
      <c r="C2160" s="2">
        <v>46119</v>
      </c>
      <c r="D2160" t="s">
        <v>17</v>
      </c>
      <c r="E2160" t="s">
        <v>8</v>
      </c>
      <c r="G2160" t="s">
        <v>9</v>
      </c>
      <c r="L2160">
        <f t="shared" si="166"/>
        <v>0</v>
      </c>
      <c r="M2160">
        <f t="shared" si="167"/>
        <v>0</v>
      </c>
      <c r="N2160">
        <f t="shared" si="168"/>
        <v>0</v>
      </c>
      <c r="O2160">
        <f t="shared" si="170"/>
        <v>1</v>
      </c>
      <c r="P2160" t="str">
        <f t="shared" si="169"/>
        <v/>
      </c>
      <c r="Q2160">
        <f>COUNTIF('責任職　企業局→市長部局'!A:A,SQLデータ!B2160)</f>
        <v>0</v>
      </c>
      <c r="R2160">
        <f>COUNTIF('一般職員　企業局→市長部局'!A:F,SQLデータ!B2160)</f>
        <v>0</v>
      </c>
    </row>
    <row r="2161" spans="1:18" x14ac:dyDescent="0.4">
      <c r="A2161" s="1">
        <v>202650002003</v>
      </c>
      <c r="B2161" s="1">
        <v>991104</v>
      </c>
      <c r="C2161" s="2">
        <v>46119</v>
      </c>
      <c r="D2161" t="s">
        <v>17</v>
      </c>
      <c r="E2161" t="s">
        <v>8</v>
      </c>
      <c r="G2161" t="s">
        <v>9</v>
      </c>
      <c r="L2161">
        <f t="shared" si="166"/>
        <v>0</v>
      </c>
      <c r="M2161">
        <f t="shared" si="167"/>
        <v>0</v>
      </c>
      <c r="N2161">
        <f t="shared" si="168"/>
        <v>0</v>
      </c>
      <c r="O2161">
        <f t="shared" si="170"/>
        <v>1</v>
      </c>
      <c r="P2161" t="str">
        <f t="shared" si="169"/>
        <v/>
      </c>
      <c r="Q2161">
        <f>COUNTIF('責任職　企業局→市長部局'!A:A,SQLデータ!B2161)</f>
        <v>0</v>
      </c>
      <c r="R2161">
        <f>COUNTIF('一般職員　企業局→市長部局'!A:F,SQLデータ!B2161)</f>
        <v>0</v>
      </c>
    </row>
    <row r="2162" spans="1:18" x14ac:dyDescent="0.4">
      <c r="A2162" s="1">
        <v>202650002004</v>
      </c>
      <c r="B2162" s="1">
        <v>1071089</v>
      </c>
      <c r="C2162" s="2">
        <v>46119</v>
      </c>
      <c r="D2162" t="s">
        <v>17</v>
      </c>
      <c r="E2162" t="s">
        <v>8</v>
      </c>
      <c r="G2162" t="s">
        <v>9</v>
      </c>
      <c r="L2162">
        <f t="shared" si="166"/>
        <v>0</v>
      </c>
      <c r="M2162">
        <f t="shared" si="167"/>
        <v>0</v>
      </c>
      <c r="N2162">
        <f t="shared" si="168"/>
        <v>0</v>
      </c>
      <c r="O2162">
        <f t="shared" si="170"/>
        <v>1</v>
      </c>
      <c r="P2162" t="str">
        <f t="shared" si="169"/>
        <v/>
      </c>
      <c r="Q2162">
        <f>COUNTIF('責任職　企業局→市長部局'!A:A,SQLデータ!B2162)</f>
        <v>0</v>
      </c>
      <c r="R2162">
        <f>COUNTIF('一般職員　企業局→市長部局'!A:F,SQLデータ!B2162)</f>
        <v>0</v>
      </c>
    </row>
    <row r="2163" spans="1:18" x14ac:dyDescent="0.4">
      <c r="A2163" s="1">
        <v>202650002005</v>
      </c>
      <c r="B2163" s="1">
        <v>1206088</v>
      </c>
      <c r="C2163" s="2">
        <v>46119</v>
      </c>
      <c r="D2163" t="s">
        <v>17</v>
      </c>
      <c r="E2163" t="s">
        <v>8</v>
      </c>
      <c r="G2163" t="s">
        <v>9</v>
      </c>
      <c r="L2163">
        <f t="shared" si="166"/>
        <v>0</v>
      </c>
      <c r="M2163">
        <f t="shared" si="167"/>
        <v>0</v>
      </c>
      <c r="N2163">
        <f t="shared" si="168"/>
        <v>0</v>
      </c>
      <c r="O2163">
        <f t="shared" si="170"/>
        <v>1</v>
      </c>
      <c r="P2163" t="str">
        <f t="shared" si="169"/>
        <v/>
      </c>
      <c r="Q2163">
        <f>COUNTIF('責任職　企業局→市長部局'!A:A,SQLデータ!B2163)</f>
        <v>0</v>
      </c>
      <c r="R2163">
        <f>COUNTIF('一般職員　企業局→市長部局'!A:F,SQLデータ!B2163)</f>
        <v>0</v>
      </c>
    </row>
    <row r="2164" spans="1:18" x14ac:dyDescent="0.4">
      <c r="A2164" s="1">
        <v>202650002007</v>
      </c>
      <c r="B2164" s="1">
        <v>930609</v>
      </c>
      <c r="C2164" s="2">
        <v>46119</v>
      </c>
      <c r="D2164" t="s">
        <v>17</v>
      </c>
      <c r="E2164" t="s">
        <v>8</v>
      </c>
      <c r="G2164" t="s">
        <v>9</v>
      </c>
      <c r="L2164">
        <f t="shared" si="166"/>
        <v>0</v>
      </c>
      <c r="M2164">
        <f t="shared" si="167"/>
        <v>0</v>
      </c>
      <c r="N2164">
        <f t="shared" si="168"/>
        <v>0</v>
      </c>
      <c r="O2164">
        <f t="shared" si="170"/>
        <v>1</v>
      </c>
      <c r="P2164" t="str">
        <f t="shared" si="169"/>
        <v/>
      </c>
      <c r="Q2164">
        <f>COUNTIF('責任職　企業局→市長部局'!A:A,SQLデータ!B2164)</f>
        <v>0</v>
      </c>
      <c r="R2164">
        <f>COUNTIF('一般職員　企業局→市長部局'!A:F,SQLデータ!B2164)</f>
        <v>0</v>
      </c>
    </row>
    <row r="2165" spans="1:18" x14ac:dyDescent="0.4">
      <c r="A2165" s="1">
        <v>202650002008</v>
      </c>
      <c r="B2165" s="1">
        <v>940036</v>
      </c>
      <c r="C2165" s="2">
        <v>46119</v>
      </c>
      <c r="D2165" t="s">
        <v>17</v>
      </c>
      <c r="E2165" t="s">
        <v>8</v>
      </c>
      <c r="G2165" t="s">
        <v>9</v>
      </c>
      <c r="L2165">
        <f t="shared" si="166"/>
        <v>0</v>
      </c>
      <c r="M2165">
        <f t="shared" si="167"/>
        <v>0</v>
      </c>
      <c r="N2165">
        <f t="shared" si="168"/>
        <v>0</v>
      </c>
      <c r="O2165">
        <f t="shared" si="170"/>
        <v>1</v>
      </c>
      <c r="P2165" t="str">
        <f t="shared" si="169"/>
        <v/>
      </c>
      <c r="Q2165">
        <f>COUNTIF('責任職　企業局→市長部局'!A:A,SQLデータ!B2165)</f>
        <v>0</v>
      </c>
      <c r="R2165">
        <f>COUNTIF('一般職員　企業局→市長部局'!A:F,SQLデータ!B2165)</f>
        <v>0</v>
      </c>
    </row>
    <row r="2166" spans="1:18" x14ac:dyDescent="0.4">
      <c r="A2166" s="1">
        <v>202650002009</v>
      </c>
      <c r="B2166" s="1">
        <v>5068805</v>
      </c>
      <c r="C2166" s="2">
        <v>46119</v>
      </c>
      <c r="D2166" t="s">
        <v>17</v>
      </c>
      <c r="E2166" t="s">
        <v>8</v>
      </c>
      <c r="F2166" t="s">
        <v>54</v>
      </c>
      <c r="G2166" t="s">
        <v>9</v>
      </c>
      <c r="L2166">
        <f t="shared" si="166"/>
        <v>0</v>
      </c>
      <c r="M2166">
        <f t="shared" si="167"/>
        <v>0</v>
      </c>
      <c r="N2166">
        <f t="shared" si="168"/>
        <v>0</v>
      </c>
      <c r="O2166">
        <f t="shared" si="170"/>
        <v>1</v>
      </c>
      <c r="P2166" t="str">
        <f t="shared" si="169"/>
        <v/>
      </c>
      <c r="Q2166">
        <f>COUNTIF('責任職　企業局→市長部局'!A:A,SQLデータ!B2166)</f>
        <v>0</v>
      </c>
      <c r="R2166">
        <f>COUNTIF('一般職員　企業局→市長部局'!A:F,SQLデータ!B2166)</f>
        <v>0</v>
      </c>
    </row>
    <row r="2167" spans="1:18" x14ac:dyDescent="0.4">
      <c r="A2167" s="1">
        <v>202650002010</v>
      </c>
      <c r="B2167" s="1">
        <v>1171549</v>
      </c>
      <c r="C2167" s="2">
        <v>46119</v>
      </c>
      <c r="D2167" t="s">
        <v>17</v>
      </c>
      <c r="E2167" t="s">
        <v>8</v>
      </c>
      <c r="G2167" t="s">
        <v>9</v>
      </c>
      <c r="L2167">
        <f t="shared" si="166"/>
        <v>0</v>
      </c>
      <c r="M2167">
        <f t="shared" si="167"/>
        <v>0</v>
      </c>
      <c r="N2167">
        <f t="shared" si="168"/>
        <v>0</v>
      </c>
      <c r="O2167">
        <f t="shared" si="170"/>
        <v>1</v>
      </c>
      <c r="P2167" t="str">
        <f t="shared" si="169"/>
        <v/>
      </c>
      <c r="Q2167">
        <f>COUNTIF('責任職　企業局→市長部局'!A:A,SQLデータ!B2167)</f>
        <v>0</v>
      </c>
      <c r="R2167">
        <f>COUNTIF('一般職員　企業局→市長部局'!A:F,SQLデータ!B2167)</f>
        <v>0</v>
      </c>
    </row>
    <row r="2168" spans="1:18" x14ac:dyDescent="0.4">
      <c r="A2168" s="1">
        <v>202650002011</v>
      </c>
      <c r="B2168" s="1">
        <v>1132002</v>
      </c>
      <c r="C2168" s="2">
        <v>46119</v>
      </c>
      <c r="D2168" t="s">
        <v>17</v>
      </c>
      <c r="E2168" t="s">
        <v>8</v>
      </c>
      <c r="G2168" t="s">
        <v>9</v>
      </c>
      <c r="L2168">
        <f t="shared" si="166"/>
        <v>0</v>
      </c>
      <c r="M2168">
        <f t="shared" si="167"/>
        <v>0</v>
      </c>
      <c r="N2168">
        <f t="shared" si="168"/>
        <v>0</v>
      </c>
      <c r="O2168">
        <f t="shared" si="170"/>
        <v>1</v>
      </c>
      <c r="P2168" t="str">
        <f t="shared" si="169"/>
        <v/>
      </c>
      <c r="Q2168">
        <f>COUNTIF('責任職　企業局→市長部局'!A:A,SQLデータ!B2168)</f>
        <v>0</v>
      </c>
      <c r="R2168">
        <f>COUNTIF('一般職員　企業局→市長部局'!A:F,SQLデータ!B2168)</f>
        <v>0</v>
      </c>
    </row>
    <row r="2169" spans="1:18" x14ac:dyDescent="0.4">
      <c r="A2169" s="1">
        <v>202650002012</v>
      </c>
      <c r="B2169" s="1">
        <v>910587</v>
      </c>
      <c r="C2169" s="2">
        <v>46119</v>
      </c>
      <c r="D2169" t="s">
        <v>17</v>
      </c>
      <c r="E2169" t="s">
        <v>8</v>
      </c>
      <c r="G2169" t="s">
        <v>9</v>
      </c>
      <c r="L2169">
        <f t="shared" si="166"/>
        <v>0</v>
      </c>
      <c r="M2169">
        <f t="shared" si="167"/>
        <v>0</v>
      </c>
      <c r="N2169">
        <f t="shared" si="168"/>
        <v>0</v>
      </c>
      <c r="O2169">
        <f t="shared" si="170"/>
        <v>1</v>
      </c>
      <c r="P2169" t="str">
        <f t="shared" si="169"/>
        <v/>
      </c>
      <c r="Q2169">
        <f>COUNTIF('責任職　企業局→市長部局'!A:A,SQLデータ!B2169)</f>
        <v>0</v>
      </c>
      <c r="R2169">
        <f>COUNTIF('一般職員　企業局→市長部局'!A:F,SQLデータ!B2169)</f>
        <v>0</v>
      </c>
    </row>
    <row r="2170" spans="1:18" x14ac:dyDescent="0.4">
      <c r="A2170" s="1">
        <v>202650002013</v>
      </c>
      <c r="B2170" s="1">
        <v>1001046</v>
      </c>
      <c r="C2170" s="2">
        <v>46119</v>
      </c>
      <c r="D2170" t="s">
        <v>17</v>
      </c>
      <c r="E2170" t="s">
        <v>8</v>
      </c>
      <c r="G2170" t="s">
        <v>9</v>
      </c>
      <c r="L2170">
        <f t="shared" si="166"/>
        <v>0</v>
      </c>
      <c r="M2170">
        <f t="shared" si="167"/>
        <v>0</v>
      </c>
      <c r="N2170">
        <f t="shared" si="168"/>
        <v>0</v>
      </c>
      <c r="O2170">
        <f t="shared" si="170"/>
        <v>1</v>
      </c>
      <c r="P2170" t="str">
        <f t="shared" si="169"/>
        <v/>
      </c>
      <c r="Q2170">
        <f>COUNTIF('責任職　企業局→市長部局'!A:A,SQLデータ!B2170)</f>
        <v>0</v>
      </c>
      <c r="R2170">
        <f>COUNTIF('一般職員　企業局→市長部局'!A:F,SQLデータ!B2170)</f>
        <v>0</v>
      </c>
    </row>
    <row r="2171" spans="1:18" x14ac:dyDescent="0.4">
      <c r="A2171" s="1">
        <v>202650002014</v>
      </c>
      <c r="B2171" s="1">
        <v>1086084</v>
      </c>
      <c r="C2171" s="2">
        <v>46119</v>
      </c>
      <c r="D2171" t="s">
        <v>17</v>
      </c>
      <c r="E2171" t="s">
        <v>8</v>
      </c>
      <c r="G2171" t="s">
        <v>9</v>
      </c>
      <c r="L2171">
        <f t="shared" si="166"/>
        <v>0</v>
      </c>
      <c r="M2171">
        <f t="shared" si="167"/>
        <v>0</v>
      </c>
      <c r="N2171">
        <f t="shared" si="168"/>
        <v>0</v>
      </c>
      <c r="O2171">
        <f t="shared" si="170"/>
        <v>1</v>
      </c>
      <c r="P2171" t="str">
        <f t="shared" si="169"/>
        <v/>
      </c>
      <c r="Q2171">
        <f>COUNTIF('責任職　企業局→市長部局'!A:A,SQLデータ!B2171)</f>
        <v>0</v>
      </c>
      <c r="R2171">
        <f>COUNTIF('一般職員　企業局→市長部局'!A:F,SQLデータ!B2171)</f>
        <v>0</v>
      </c>
    </row>
    <row r="2172" spans="1:18" x14ac:dyDescent="0.4">
      <c r="A2172" s="1">
        <v>202650002015</v>
      </c>
      <c r="B2172" s="1">
        <v>1112168</v>
      </c>
      <c r="C2172" s="2">
        <v>46119</v>
      </c>
      <c r="D2172" t="s">
        <v>17</v>
      </c>
      <c r="E2172" t="s">
        <v>8</v>
      </c>
      <c r="G2172" t="s">
        <v>9</v>
      </c>
      <c r="L2172">
        <f t="shared" si="166"/>
        <v>0</v>
      </c>
      <c r="M2172">
        <f t="shared" si="167"/>
        <v>0</v>
      </c>
      <c r="N2172">
        <f t="shared" si="168"/>
        <v>0</v>
      </c>
      <c r="O2172">
        <f t="shared" si="170"/>
        <v>1</v>
      </c>
      <c r="P2172" t="str">
        <f t="shared" si="169"/>
        <v/>
      </c>
      <c r="Q2172">
        <f>COUNTIF('責任職　企業局→市長部局'!A:A,SQLデータ!B2172)</f>
        <v>0</v>
      </c>
      <c r="R2172">
        <f>COUNTIF('一般職員　企業局→市長部局'!A:F,SQLデータ!B2172)</f>
        <v>0</v>
      </c>
    </row>
    <row r="2173" spans="1:18" x14ac:dyDescent="0.4">
      <c r="A2173" s="1">
        <v>202650002017</v>
      </c>
      <c r="B2173" s="1">
        <v>1071167</v>
      </c>
      <c r="C2173" s="2">
        <v>46119</v>
      </c>
      <c r="D2173" t="s">
        <v>17</v>
      </c>
      <c r="E2173" t="s">
        <v>8</v>
      </c>
      <c r="G2173" t="s">
        <v>9</v>
      </c>
      <c r="L2173">
        <f t="shared" si="166"/>
        <v>0</v>
      </c>
      <c r="M2173">
        <f t="shared" si="167"/>
        <v>0</v>
      </c>
      <c r="N2173">
        <f t="shared" si="168"/>
        <v>0</v>
      </c>
      <c r="O2173">
        <f t="shared" si="170"/>
        <v>1</v>
      </c>
      <c r="P2173" t="str">
        <f t="shared" si="169"/>
        <v/>
      </c>
      <c r="Q2173">
        <f>COUNTIF('責任職　企業局→市長部局'!A:A,SQLデータ!B2173)</f>
        <v>0</v>
      </c>
      <c r="R2173">
        <f>COUNTIF('一般職員　企業局→市長部局'!A:F,SQLデータ!B2173)</f>
        <v>0</v>
      </c>
    </row>
    <row r="2174" spans="1:18" x14ac:dyDescent="0.4">
      <c r="A2174" s="1">
        <v>202650002018</v>
      </c>
      <c r="B2174" s="1">
        <v>971069</v>
      </c>
      <c r="C2174" s="2">
        <v>46119</v>
      </c>
      <c r="D2174" t="s">
        <v>17</v>
      </c>
      <c r="E2174" t="s">
        <v>8</v>
      </c>
      <c r="G2174" t="s">
        <v>9</v>
      </c>
      <c r="L2174">
        <f t="shared" si="166"/>
        <v>0</v>
      </c>
      <c r="M2174">
        <f t="shared" si="167"/>
        <v>0</v>
      </c>
      <c r="N2174">
        <f t="shared" si="168"/>
        <v>0</v>
      </c>
      <c r="O2174">
        <f t="shared" si="170"/>
        <v>1</v>
      </c>
      <c r="P2174" t="str">
        <f t="shared" si="169"/>
        <v/>
      </c>
      <c r="Q2174">
        <f>COUNTIF('責任職　企業局→市長部局'!A:A,SQLデータ!B2174)</f>
        <v>0</v>
      </c>
      <c r="R2174">
        <f>COUNTIF('一般職員　企業局→市長部局'!A:F,SQLデータ!B2174)</f>
        <v>0</v>
      </c>
    </row>
    <row r="2175" spans="1:18" x14ac:dyDescent="0.4">
      <c r="A2175" s="1">
        <v>202650002019</v>
      </c>
      <c r="B2175" s="1">
        <v>1131342</v>
      </c>
      <c r="C2175" s="2">
        <v>46119</v>
      </c>
      <c r="D2175" t="s">
        <v>17</v>
      </c>
      <c r="E2175" t="s">
        <v>8</v>
      </c>
      <c r="G2175" t="s">
        <v>9</v>
      </c>
      <c r="L2175">
        <f t="shared" si="166"/>
        <v>0</v>
      </c>
      <c r="M2175">
        <f t="shared" si="167"/>
        <v>0</v>
      </c>
      <c r="N2175">
        <f t="shared" si="168"/>
        <v>0</v>
      </c>
      <c r="O2175">
        <f t="shared" si="170"/>
        <v>1</v>
      </c>
      <c r="P2175" t="str">
        <f t="shared" si="169"/>
        <v/>
      </c>
      <c r="Q2175">
        <f>COUNTIF('責任職　企業局→市長部局'!A:A,SQLデータ!B2175)</f>
        <v>0</v>
      </c>
      <c r="R2175">
        <f>COUNTIF('一般職員　企業局→市長部局'!A:F,SQLデータ!B2175)</f>
        <v>0</v>
      </c>
    </row>
    <row r="2176" spans="1:18" x14ac:dyDescent="0.4">
      <c r="A2176" s="1">
        <v>202650002020</v>
      </c>
      <c r="B2176" s="1">
        <v>1256065</v>
      </c>
      <c r="C2176" s="2">
        <v>46119</v>
      </c>
      <c r="D2176" t="s">
        <v>17</v>
      </c>
      <c r="E2176" t="s">
        <v>8</v>
      </c>
      <c r="G2176" t="s">
        <v>9</v>
      </c>
      <c r="L2176">
        <f t="shared" si="166"/>
        <v>0</v>
      </c>
      <c r="M2176">
        <f t="shared" si="167"/>
        <v>0</v>
      </c>
      <c r="N2176">
        <f t="shared" si="168"/>
        <v>0</v>
      </c>
      <c r="O2176">
        <f t="shared" si="170"/>
        <v>1</v>
      </c>
      <c r="P2176" t="str">
        <f t="shared" si="169"/>
        <v/>
      </c>
      <c r="Q2176">
        <f>COUNTIF('責任職　企業局→市長部局'!A:A,SQLデータ!B2176)</f>
        <v>0</v>
      </c>
      <c r="R2176">
        <f>COUNTIF('一般職員　企業局→市長部局'!A:F,SQLデータ!B2176)</f>
        <v>0</v>
      </c>
    </row>
    <row r="2177" spans="1:18" x14ac:dyDescent="0.4">
      <c r="A2177" s="1">
        <v>202650002022</v>
      </c>
      <c r="B2177" s="1">
        <v>1201516</v>
      </c>
      <c r="C2177" s="2">
        <v>46119</v>
      </c>
      <c r="D2177" t="s">
        <v>17</v>
      </c>
      <c r="E2177" t="s">
        <v>8</v>
      </c>
      <c r="G2177" t="s">
        <v>9</v>
      </c>
      <c r="L2177">
        <f t="shared" si="166"/>
        <v>0</v>
      </c>
      <c r="M2177">
        <f t="shared" si="167"/>
        <v>0</v>
      </c>
      <c r="N2177">
        <f t="shared" si="168"/>
        <v>0</v>
      </c>
      <c r="O2177">
        <f t="shared" si="170"/>
        <v>1</v>
      </c>
      <c r="P2177" t="str">
        <f t="shared" si="169"/>
        <v/>
      </c>
      <c r="Q2177">
        <f>COUNTIF('責任職　企業局→市長部局'!A:A,SQLデータ!B2177)</f>
        <v>0</v>
      </c>
      <c r="R2177">
        <f>COUNTIF('一般職員　企業局→市長部局'!A:F,SQLデータ!B2177)</f>
        <v>0</v>
      </c>
    </row>
    <row r="2178" spans="1:18" x14ac:dyDescent="0.4">
      <c r="A2178" s="1">
        <v>202650002023</v>
      </c>
      <c r="B2178" s="1">
        <v>830448</v>
      </c>
      <c r="C2178" s="2">
        <v>46119</v>
      </c>
      <c r="D2178" t="s">
        <v>17</v>
      </c>
      <c r="E2178" t="s">
        <v>8</v>
      </c>
      <c r="F2178" t="s">
        <v>54</v>
      </c>
      <c r="G2178" t="s">
        <v>9</v>
      </c>
      <c r="L2178">
        <f t="shared" ref="L2178:L2241" si="171">IF(ISBLANK(J2178),0,1)</f>
        <v>0</v>
      </c>
      <c r="M2178">
        <f t="shared" ref="M2178:M2241" si="172">IF(AND(L2178=0,I2178&lt;&gt;""),1,0)</f>
        <v>0</v>
      </c>
      <c r="N2178">
        <f t="shared" ref="N2178:N2241" si="173">IF(AND(L2178=0,M2178=0,K2178&lt;&gt;""),1,0)</f>
        <v>0</v>
      </c>
      <c r="O2178">
        <f t="shared" si="170"/>
        <v>1</v>
      </c>
      <c r="P2178" t="str">
        <f t="shared" ref="P2178:P2241" si="174">IF(D2178&lt;&gt;"扶養","",IF(E2178&lt;&gt;"確認待ち",1,IF(OR(AND(G2178="本人の結婚",O2178=1),AND(H2178="減",OR(N2178=1,O2178=1))),1,0)))</f>
        <v/>
      </c>
      <c r="Q2178">
        <f>COUNTIF('責任職　企業局→市長部局'!A:A,SQLデータ!B2178)</f>
        <v>0</v>
      </c>
      <c r="R2178">
        <f>COUNTIF('一般職員　企業局→市長部局'!A:F,SQLデータ!B2178)</f>
        <v>0</v>
      </c>
    </row>
    <row r="2179" spans="1:18" x14ac:dyDescent="0.4">
      <c r="A2179" s="1">
        <v>202650002024</v>
      </c>
      <c r="B2179" s="1">
        <v>1202303</v>
      </c>
      <c r="C2179" s="2">
        <v>46119</v>
      </c>
      <c r="D2179" t="s">
        <v>17</v>
      </c>
      <c r="E2179" t="s">
        <v>8</v>
      </c>
      <c r="G2179" t="s">
        <v>9</v>
      </c>
      <c r="L2179">
        <f t="shared" si="171"/>
        <v>0</v>
      </c>
      <c r="M2179">
        <f t="shared" si="172"/>
        <v>0</v>
      </c>
      <c r="N2179">
        <f t="shared" si="173"/>
        <v>0</v>
      </c>
      <c r="O2179">
        <f t="shared" si="170"/>
        <v>1</v>
      </c>
      <c r="P2179" t="str">
        <f t="shared" si="174"/>
        <v/>
      </c>
      <c r="Q2179">
        <f>COUNTIF('責任職　企業局→市長部局'!A:A,SQLデータ!B2179)</f>
        <v>0</v>
      </c>
      <c r="R2179">
        <f>COUNTIF('一般職員　企業局→市長部局'!A:F,SQLデータ!B2179)</f>
        <v>0</v>
      </c>
    </row>
    <row r="2180" spans="1:18" x14ac:dyDescent="0.4">
      <c r="A2180" s="1">
        <v>202650002025</v>
      </c>
      <c r="B2180" s="1">
        <v>1232011</v>
      </c>
      <c r="C2180" s="2">
        <v>46119</v>
      </c>
      <c r="D2180" t="s">
        <v>17</v>
      </c>
      <c r="E2180" t="s">
        <v>8</v>
      </c>
      <c r="G2180" t="s">
        <v>9</v>
      </c>
      <c r="L2180">
        <f t="shared" si="171"/>
        <v>0</v>
      </c>
      <c r="M2180">
        <f t="shared" si="172"/>
        <v>0</v>
      </c>
      <c r="N2180">
        <f t="shared" si="173"/>
        <v>0</v>
      </c>
      <c r="O2180">
        <f t="shared" si="170"/>
        <v>1</v>
      </c>
      <c r="P2180" t="str">
        <f t="shared" si="174"/>
        <v/>
      </c>
      <c r="Q2180">
        <f>COUNTIF('責任職　企業局→市長部局'!A:A,SQLデータ!B2180)</f>
        <v>0</v>
      </c>
      <c r="R2180">
        <f>COUNTIF('一般職員　企業局→市長部局'!A:F,SQLデータ!B2180)</f>
        <v>0</v>
      </c>
    </row>
    <row r="2181" spans="1:18" x14ac:dyDescent="0.4">
      <c r="A2181" s="1">
        <v>202650002026</v>
      </c>
      <c r="B2181" s="1">
        <v>1106011</v>
      </c>
      <c r="C2181" s="2">
        <v>46119</v>
      </c>
      <c r="D2181" t="s">
        <v>17</v>
      </c>
      <c r="E2181" t="s">
        <v>8</v>
      </c>
      <c r="G2181" t="s">
        <v>9</v>
      </c>
      <c r="L2181">
        <f t="shared" si="171"/>
        <v>0</v>
      </c>
      <c r="M2181">
        <f t="shared" si="172"/>
        <v>0</v>
      </c>
      <c r="N2181">
        <f t="shared" si="173"/>
        <v>0</v>
      </c>
      <c r="O2181">
        <f t="shared" si="170"/>
        <v>1</v>
      </c>
      <c r="P2181" t="str">
        <f t="shared" si="174"/>
        <v/>
      </c>
      <c r="Q2181">
        <f>COUNTIF('責任職　企業局→市長部局'!A:A,SQLデータ!B2181)</f>
        <v>0</v>
      </c>
      <c r="R2181">
        <f>COUNTIF('一般職員　企業局→市長部局'!A:F,SQLデータ!B2181)</f>
        <v>0</v>
      </c>
    </row>
    <row r="2182" spans="1:18" x14ac:dyDescent="0.4">
      <c r="A2182" s="1">
        <v>202650002027</v>
      </c>
      <c r="B2182" s="1">
        <v>1014138</v>
      </c>
      <c r="C2182" s="2">
        <v>46115</v>
      </c>
      <c r="D2182" t="s">
        <v>17</v>
      </c>
      <c r="E2182" t="s">
        <v>8</v>
      </c>
      <c r="G2182" t="s">
        <v>9</v>
      </c>
      <c r="L2182">
        <f t="shared" si="171"/>
        <v>0</v>
      </c>
      <c r="M2182">
        <f t="shared" si="172"/>
        <v>0</v>
      </c>
      <c r="N2182">
        <f t="shared" si="173"/>
        <v>0</v>
      </c>
      <c r="O2182">
        <f t="shared" si="170"/>
        <v>1</v>
      </c>
      <c r="P2182" t="str">
        <f t="shared" si="174"/>
        <v/>
      </c>
      <c r="Q2182">
        <f>COUNTIF('責任職　企業局→市長部局'!A:A,SQLデータ!B2182)</f>
        <v>0</v>
      </c>
      <c r="R2182">
        <f>COUNTIF('一般職員　企業局→市長部局'!A:F,SQLデータ!B2182)</f>
        <v>0</v>
      </c>
    </row>
    <row r="2183" spans="1:18" x14ac:dyDescent="0.4">
      <c r="A2183" s="1">
        <v>202650002029</v>
      </c>
      <c r="B2183" s="1">
        <v>1026053</v>
      </c>
      <c r="C2183" s="2">
        <v>46119</v>
      </c>
      <c r="D2183" t="s">
        <v>17</v>
      </c>
      <c r="E2183" t="s">
        <v>8</v>
      </c>
      <c r="G2183" t="s">
        <v>9</v>
      </c>
      <c r="L2183">
        <f t="shared" si="171"/>
        <v>0</v>
      </c>
      <c r="M2183">
        <f t="shared" si="172"/>
        <v>0</v>
      </c>
      <c r="N2183">
        <f t="shared" si="173"/>
        <v>0</v>
      </c>
      <c r="O2183">
        <f t="shared" si="170"/>
        <v>1</v>
      </c>
      <c r="P2183" t="str">
        <f t="shared" si="174"/>
        <v/>
      </c>
      <c r="Q2183">
        <f>COUNTIF('責任職　企業局→市長部局'!A:A,SQLデータ!B2183)</f>
        <v>0</v>
      </c>
      <c r="R2183">
        <f>COUNTIF('一般職員　企業局→市長部局'!A:F,SQLデータ!B2183)</f>
        <v>0</v>
      </c>
    </row>
    <row r="2184" spans="1:18" x14ac:dyDescent="0.4">
      <c r="A2184" s="1">
        <v>202650002030</v>
      </c>
      <c r="B2184" s="1">
        <v>880713</v>
      </c>
      <c r="C2184" s="2">
        <v>46119</v>
      </c>
      <c r="D2184" t="s">
        <v>17</v>
      </c>
      <c r="E2184" t="s">
        <v>8</v>
      </c>
      <c r="F2184" t="s">
        <v>54</v>
      </c>
      <c r="G2184" t="s">
        <v>9</v>
      </c>
      <c r="L2184">
        <f t="shared" si="171"/>
        <v>0</v>
      </c>
      <c r="M2184">
        <f t="shared" si="172"/>
        <v>0</v>
      </c>
      <c r="N2184">
        <f t="shared" si="173"/>
        <v>0</v>
      </c>
      <c r="O2184">
        <f t="shared" si="170"/>
        <v>1</v>
      </c>
      <c r="P2184" t="str">
        <f t="shared" si="174"/>
        <v/>
      </c>
      <c r="Q2184">
        <f>COUNTIF('責任職　企業局→市長部局'!A:A,SQLデータ!B2184)</f>
        <v>0</v>
      </c>
      <c r="R2184">
        <f>COUNTIF('一般職員　企業局→市長部局'!A:F,SQLデータ!B2184)</f>
        <v>0</v>
      </c>
    </row>
    <row r="2185" spans="1:18" x14ac:dyDescent="0.4">
      <c r="A2185" s="1">
        <v>202650002031</v>
      </c>
      <c r="B2185" s="1">
        <v>950205</v>
      </c>
      <c r="C2185" s="2">
        <v>46119</v>
      </c>
      <c r="D2185" t="s">
        <v>17</v>
      </c>
      <c r="E2185" t="s">
        <v>8</v>
      </c>
      <c r="G2185" t="s">
        <v>9</v>
      </c>
      <c r="L2185">
        <f t="shared" si="171"/>
        <v>0</v>
      </c>
      <c r="M2185">
        <f t="shared" si="172"/>
        <v>0</v>
      </c>
      <c r="N2185">
        <f t="shared" si="173"/>
        <v>0</v>
      </c>
      <c r="O2185">
        <f t="shared" ref="O2185:O2248" si="175">IF(COUNTIF(L2185:N2185,0)=3,1,0)</f>
        <v>1</v>
      </c>
      <c r="P2185" t="str">
        <f t="shared" si="174"/>
        <v/>
      </c>
      <c r="Q2185">
        <f>COUNTIF('責任職　企業局→市長部局'!A:A,SQLデータ!B2185)</f>
        <v>0</v>
      </c>
      <c r="R2185">
        <f>COUNTIF('一般職員　企業局→市長部局'!A:F,SQLデータ!B2185)</f>
        <v>0</v>
      </c>
    </row>
    <row r="2186" spans="1:18" x14ac:dyDescent="0.4">
      <c r="A2186" s="1">
        <v>202650002032</v>
      </c>
      <c r="B2186" s="1">
        <v>1196047</v>
      </c>
      <c r="C2186" s="2">
        <v>46119</v>
      </c>
      <c r="D2186" t="s">
        <v>17</v>
      </c>
      <c r="E2186" t="s">
        <v>8</v>
      </c>
      <c r="G2186" t="s">
        <v>9</v>
      </c>
      <c r="L2186">
        <f t="shared" si="171"/>
        <v>0</v>
      </c>
      <c r="M2186">
        <f t="shared" si="172"/>
        <v>0</v>
      </c>
      <c r="N2186">
        <f t="shared" si="173"/>
        <v>0</v>
      </c>
      <c r="O2186">
        <f t="shared" si="175"/>
        <v>1</v>
      </c>
      <c r="P2186" t="str">
        <f t="shared" si="174"/>
        <v/>
      </c>
      <c r="Q2186">
        <f>COUNTIF('責任職　企業局→市長部局'!A:A,SQLデータ!B2186)</f>
        <v>0</v>
      </c>
      <c r="R2186">
        <f>COUNTIF('一般職員　企業局→市長部局'!A:F,SQLデータ!B2186)</f>
        <v>0</v>
      </c>
    </row>
    <row r="2187" spans="1:18" x14ac:dyDescent="0.4">
      <c r="A2187" s="1">
        <v>202650002033</v>
      </c>
      <c r="B2187" s="1">
        <v>910362</v>
      </c>
      <c r="C2187" s="2">
        <v>46119</v>
      </c>
      <c r="D2187" t="s">
        <v>17</v>
      </c>
      <c r="E2187" t="s">
        <v>8</v>
      </c>
      <c r="G2187" t="s">
        <v>9</v>
      </c>
      <c r="L2187">
        <f t="shared" si="171"/>
        <v>0</v>
      </c>
      <c r="M2187">
        <f t="shared" si="172"/>
        <v>0</v>
      </c>
      <c r="N2187">
        <f t="shared" si="173"/>
        <v>0</v>
      </c>
      <c r="O2187">
        <f t="shared" si="175"/>
        <v>1</v>
      </c>
      <c r="P2187" t="str">
        <f t="shared" si="174"/>
        <v/>
      </c>
      <c r="Q2187">
        <f>COUNTIF('責任職　企業局→市長部局'!A:A,SQLデータ!B2187)</f>
        <v>0</v>
      </c>
      <c r="R2187">
        <f>COUNTIF('一般職員　企業局→市長部局'!A:F,SQLデータ!B2187)</f>
        <v>0</v>
      </c>
    </row>
    <row r="2188" spans="1:18" x14ac:dyDescent="0.4">
      <c r="A2188" s="1">
        <v>202650002034</v>
      </c>
      <c r="B2188" s="1">
        <v>950297</v>
      </c>
      <c r="C2188" s="2">
        <v>46119</v>
      </c>
      <c r="D2188" t="s">
        <v>17</v>
      </c>
      <c r="E2188" t="s">
        <v>8</v>
      </c>
      <c r="G2188" t="s">
        <v>9</v>
      </c>
      <c r="L2188">
        <f t="shared" si="171"/>
        <v>0</v>
      </c>
      <c r="M2188">
        <f t="shared" si="172"/>
        <v>0</v>
      </c>
      <c r="N2188">
        <f t="shared" si="173"/>
        <v>0</v>
      </c>
      <c r="O2188">
        <f t="shared" si="175"/>
        <v>1</v>
      </c>
      <c r="P2188" t="str">
        <f t="shared" si="174"/>
        <v/>
      </c>
      <c r="Q2188">
        <f>COUNTIF('責任職　企業局→市長部局'!A:A,SQLデータ!B2188)</f>
        <v>0</v>
      </c>
      <c r="R2188">
        <f>COUNTIF('一般職員　企業局→市長部局'!A:F,SQLデータ!B2188)</f>
        <v>0</v>
      </c>
    </row>
    <row r="2189" spans="1:18" x14ac:dyDescent="0.4">
      <c r="A2189" s="1">
        <v>202650002035</v>
      </c>
      <c r="B2189" s="1">
        <v>1081262</v>
      </c>
      <c r="C2189" s="2">
        <v>46119</v>
      </c>
      <c r="D2189" t="s">
        <v>17</v>
      </c>
      <c r="E2189" t="s">
        <v>8</v>
      </c>
      <c r="G2189" t="s">
        <v>9</v>
      </c>
      <c r="L2189">
        <f t="shared" si="171"/>
        <v>0</v>
      </c>
      <c r="M2189">
        <f t="shared" si="172"/>
        <v>0</v>
      </c>
      <c r="N2189">
        <f t="shared" si="173"/>
        <v>0</v>
      </c>
      <c r="O2189">
        <f t="shared" si="175"/>
        <v>1</v>
      </c>
      <c r="P2189" t="str">
        <f t="shared" si="174"/>
        <v/>
      </c>
      <c r="Q2189">
        <f>COUNTIF('責任職　企業局→市長部局'!A:A,SQLデータ!B2189)</f>
        <v>0</v>
      </c>
      <c r="R2189">
        <f>COUNTIF('一般職員　企業局→市長部局'!A:F,SQLデータ!B2189)</f>
        <v>0</v>
      </c>
    </row>
    <row r="2190" spans="1:18" x14ac:dyDescent="0.4">
      <c r="A2190" s="1">
        <v>202650002036</v>
      </c>
      <c r="B2190" s="1">
        <v>5037948</v>
      </c>
      <c r="C2190" s="2">
        <v>46119</v>
      </c>
      <c r="D2190" t="s">
        <v>17</v>
      </c>
      <c r="E2190" t="s">
        <v>8</v>
      </c>
      <c r="G2190" t="s">
        <v>9</v>
      </c>
      <c r="L2190">
        <f t="shared" si="171"/>
        <v>0</v>
      </c>
      <c r="M2190">
        <f t="shared" si="172"/>
        <v>0</v>
      </c>
      <c r="N2190">
        <f t="shared" si="173"/>
        <v>0</v>
      </c>
      <c r="O2190">
        <f t="shared" si="175"/>
        <v>1</v>
      </c>
      <c r="P2190" t="str">
        <f t="shared" si="174"/>
        <v/>
      </c>
      <c r="Q2190">
        <f>COUNTIF('責任職　企業局→市長部局'!A:A,SQLデータ!B2190)</f>
        <v>0</v>
      </c>
      <c r="R2190">
        <f>COUNTIF('一般職員　企業局→市長部局'!A:F,SQLデータ!B2190)</f>
        <v>0</v>
      </c>
    </row>
    <row r="2191" spans="1:18" x14ac:dyDescent="0.4">
      <c r="A2191" s="1">
        <v>202650002037</v>
      </c>
      <c r="B2191" s="1">
        <v>1126004</v>
      </c>
      <c r="C2191" s="2">
        <v>46119</v>
      </c>
      <c r="D2191" t="s">
        <v>17</v>
      </c>
      <c r="E2191" t="s">
        <v>8</v>
      </c>
      <c r="G2191" t="s">
        <v>9</v>
      </c>
      <c r="L2191">
        <f t="shared" si="171"/>
        <v>0</v>
      </c>
      <c r="M2191">
        <f t="shared" si="172"/>
        <v>0</v>
      </c>
      <c r="N2191">
        <f t="shared" si="173"/>
        <v>0</v>
      </c>
      <c r="O2191">
        <f t="shared" si="175"/>
        <v>1</v>
      </c>
      <c r="P2191" t="str">
        <f t="shared" si="174"/>
        <v/>
      </c>
      <c r="Q2191">
        <f>COUNTIF('責任職　企業局→市長部局'!A:A,SQLデータ!B2191)</f>
        <v>0</v>
      </c>
      <c r="R2191">
        <f>COUNTIF('一般職員　企業局→市長部局'!A:F,SQLデータ!B2191)</f>
        <v>0</v>
      </c>
    </row>
    <row r="2192" spans="1:18" x14ac:dyDescent="0.4">
      <c r="A2192" s="1">
        <v>202650002038</v>
      </c>
      <c r="B2192" s="1">
        <v>1131324</v>
      </c>
      <c r="C2192" s="2">
        <v>46127</v>
      </c>
      <c r="D2192" t="s">
        <v>17</v>
      </c>
      <c r="E2192" t="s">
        <v>8</v>
      </c>
      <c r="G2192" t="s">
        <v>9</v>
      </c>
      <c r="L2192">
        <f t="shared" si="171"/>
        <v>0</v>
      </c>
      <c r="M2192">
        <f t="shared" si="172"/>
        <v>0</v>
      </c>
      <c r="N2192">
        <f t="shared" si="173"/>
        <v>0</v>
      </c>
      <c r="O2192">
        <f t="shared" si="175"/>
        <v>1</v>
      </c>
      <c r="P2192" t="str">
        <f t="shared" si="174"/>
        <v/>
      </c>
      <c r="Q2192">
        <f>COUNTIF('責任職　企業局→市長部局'!A:A,SQLデータ!B2192)</f>
        <v>0</v>
      </c>
      <c r="R2192">
        <f>COUNTIF('一般職員　企業局→市長部局'!A:F,SQLデータ!B2192)</f>
        <v>0</v>
      </c>
    </row>
    <row r="2193" spans="1:18" x14ac:dyDescent="0.4">
      <c r="A2193" s="1">
        <v>202650002039</v>
      </c>
      <c r="B2193" s="1">
        <v>1221490</v>
      </c>
      <c r="C2193" s="2">
        <v>46119</v>
      </c>
      <c r="D2193" t="s">
        <v>17</v>
      </c>
      <c r="E2193" t="s">
        <v>8</v>
      </c>
      <c r="G2193" t="s">
        <v>9</v>
      </c>
      <c r="L2193">
        <f t="shared" si="171"/>
        <v>0</v>
      </c>
      <c r="M2193">
        <f t="shared" si="172"/>
        <v>0</v>
      </c>
      <c r="N2193">
        <f t="shared" si="173"/>
        <v>0</v>
      </c>
      <c r="O2193">
        <f t="shared" si="175"/>
        <v>1</v>
      </c>
      <c r="P2193" t="str">
        <f t="shared" si="174"/>
        <v/>
      </c>
      <c r="Q2193">
        <f>COUNTIF('責任職　企業局→市長部局'!A:A,SQLデータ!B2193)</f>
        <v>0</v>
      </c>
      <c r="R2193">
        <f>COUNTIF('一般職員　企業局→市長部局'!A:F,SQLデータ!B2193)</f>
        <v>0</v>
      </c>
    </row>
    <row r="2194" spans="1:18" x14ac:dyDescent="0.4">
      <c r="A2194" s="1">
        <v>202650002040</v>
      </c>
      <c r="B2194" s="1">
        <v>1081462</v>
      </c>
      <c r="C2194" s="2">
        <v>46119</v>
      </c>
      <c r="D2194" t="s">
        <v>17</v>
      </c>
      <c r="E2194" t="s">
        <v>8</v>
      </c>
      <c r="G2194" t="s">
        <v>9</v>
      </c>
      <c r="L2194">
        <f t="shared" si="171"/>
        <v>0</v>
      </c>
      <c r="M2194">
        <f t="shared" si="172"/>
        <v>0</v>
      </c>
      <c r="N2194">
        <f t="shared" si="173"/>
        <v>0</v>
      </c>
      <c r="O2194">
        <f t="shared" si="175"/>
        <v>1</v>
      </c>
      <c r="P2194" t="str">
        <f t="shared" si="174"/>
        <v/>
      </c>
      <c r="Q2194">
        <f>COUNTIF('責任職　企業局→市長部局'!A:A,SQLデータ!B2194)</f>
        <v>0</v>
      </c>
      <c r="R2194">
        <f>COUNTIF('一般職員　企業局→市長部局'!A:F,SQLデータ!B2194)</f>
        <v>0</v>
      </c>
    </row>
    <row r="2195" spans="1:18" x14ac:dyDescent="0.4">
      <c r="A2195" s="1">
        <v>202650002041</v>
      </c>
      <c r="B2195" s="1">
        <v>1201504</v>
      </c>
      <c r="C2195" s="2">
        <v>46119</v>
      </c>
      <c r="D2195" t="s">
        <v>17</v>
      </c>
      <c r="E2195" t="s">
        <v>8</v>
      </c>
      <c r="G2195" t="s">
        <v>9</v>
      </c>
      <c r="L2195">
        <f t="shared" si="171"/>
        <v>0</v>
      </c>
      <c r="M2195">
        <f t="shared" si="172"/>
        <v>0</v>
      </c>
      <c r="N2195">
        <f t="shared" si="173"/>
        <v>0</v>
      </c>
      <c r="O2195">
        <f t="shared" si="175"/>
        <v>1</v>
      </c>
      <c r="P2195" t="str">
        <f t="shared" si="174"/>
        <v/>
      </c>
      <c r="Q2195">
        <f>COUNTIF('責任職　企業局→市長部局'!A:A,SQLデータ!B2195)</f>
        <v>0</v>
      </c>
      <c r="R2195">
        <f>COUNTIF('一般職員　企業局→市長部局'!A:F,SQLデータ!B2195)</f>
        <v>0</v>
      </c>
    </row>
    <row r="2196" spans="1:18" x14ac:dyDescent="0.4">
      <c r="A2196" s="1">
        <v>202650002042</v>
      </c>
      <c r="B2196" s="1">
        <v>976042</v>
      </c>
      <c r="C2196" s="2">
        <v>46119</v>
      </c>
      <c r="D2196" t="s">
        <v>17</v>
      </c>
      <c r="E2196" t="s">
        <v>8</v>
      </c>
      <c r="G2196" t="s">
        <v>9</v>
      </c>
      <c r="L2196">
        <f t="shared" si="171"/>
        <v>0</v>
      </c>
      <c r="M2196">
        <f t="shared" si="172"/>
        <v>0</v>
      </c>
      <c r="N2196">
        <f t="shared" si="173"/>
        <v>0</v>
      </c>
      <c r="O2196">
        <f t="shared" si="175"/>
        <v>1</v>
      </c>
      <c r="P2196" t="str">
        <f t="shared" si="174"/>
        <v/>
      </c>
      <c r="Q2196">
        <f>COUNTIF('責任職　企業局→市長部局'!A:A,SQLデータ!B2196)</f>
        <v>0</v>
      </c>
      <c r="R2196">
        <f>COUNTIF('一般職員　企業局→市長部局'!A:F,SQLデータ!B2196)</f>
        <v>0</v>
      </c>
    </row>
    <row r="2197" spans="1:18" x14ac:dyDescent="0.4">
      <c r="A2197" s="1">
        <v>202650002043</v>
      </c>
      <c r="B2197" s="1">
        <v>1151415</v>
      </c>
      <c r="C2197" s="2">
        <v>46119</v>
      </c>
      <c r="D2197" t="s">
        <v>17</v>
      </c>
      <c r="E2197" t="s">
        <v>8</v>
      </c>
      <c r="G2197" t="s">
        <v>9</v>
      </c>
      <c r="L2197">
        <f t="shared" si="171"/>
        <v>0</v>
      </c>
      <c r="M2197">
        <f t="shared" si="172"/>
        <v>0</v>
      </c>
      <c r="N2197">
        <f t="shared" si="173"/>
        <v>0</v>
      </c>
      <c r="O2197">
        <f t="shared" si="175"/>
        <v>1</v>
      </c>
      <c r="P2197" t="str">
        <f t="shared" si="174"/>
        <v/>
      </c>
      <c r="Q2197">
        <f>COUNTIF('責任職　企業局→市長部局'!A:A,SQLデータ!B2197)</f>
        <v>0</v>
      </c>
      <c r="R2197">
        <f>COUNTIF('一般職員　企業局→市長部局'!A:F,SQLデータ!B2197)</f>
        <v>0</v>
      </c>
    </row>
    <row r="2198" spans="1:18" x14ac:dyDescent="0.4">
      <c r="A2198" s="1">
        <v>202650002044</v>
      </c>
      <c r="B2198" s="1">
        <v>991130</v>
      </c>
      <c r="C2198" s="2">
        <v>46119</v>
      </c>
      <c r="D2198" t="s">
        <v>17</v>
      </c>
      <c r="E2198" t="s">
        <v>8</v>
      </c>
      <c r="G2198" t="s">
        <v>9</v>
      </c>
      <c r="L2198">
        <f t="shared" si="171"/>
        <v>0</v>
      </c>
      <c r="M2198">
        <f t="shared" si="172"/>
        <v>0</v>
      </c>
      <c r="N2198">
        <f t="shared" si="173"/>
        <v>0</v>
      </c>
      <c r="O2198">
        <f t="shared" si="175"/>
        <v>1</v>
      </c>
      <c r="P2198" t="str">
        <f t="shared" si="174"/>
        <v/>
      </c>
      <c r="Q2198">
        <f>COUNTIF('責任職　企業局→市長部局'!A:A,SQLデータ!B2198)</f>
        <v>0</v>
      </c>
      <c r="R2198">
        <f>COUNTIF('一般職員　企業局→市長部局'!A:F,SQLデータ!B2198)</f>
        <v>0</v>
      </c>
    </row>
    <row r="2199" spans="1:18" x14ac:dyDescent="0.4">
      <c r="A2199" s="1">
        <v>202650002045</v>
      </c>
      <c r="B2199" s="1">
        <v>950267</v>
      </c>
      <c r="C2199" s="2">
        <v>46119</v>
      </c>
      <c r="D2199" t="s">
        <v>17</v>
      </c>
      <c r="E2199" t="s">
        <v>8</v>
      </c>
      <c r="G2199" t="s">
        <v>9</v>
      </c>
      <c r="L2199">
        <f t="shared" si="171"/>
        <v>0</v>
      </c>
      <c r="M2199">
        <f t="shared" si="172"/>
        <v>0</v>
      </c>
      <c r="N2199">
        <f t="shared" si="173"/>
        <v>0</v>
      </c>
      <c r="O2199">
        <f t="shared" si="175"/>
        <v>1</v>
      </c>
      <c r="P2199" t="str">
        <f t="shared" si="174"/>
        <v/>
      </c>
      <c r="Q2199">
        <f>COUNTIF('責任職　企業局→市長部局'!A:A,SQLデータ!B2199)</f>
        <v>0</v>
      </c>
      <c r="R2199">
        <f>COUNTIF('一般職員　企業局→市長部局'!A:F,SQLデータ!B2199)</f>
        <v>0</v>
      </c>
    </row>
    <row r="2200" spans="1:18" x14ac:dyDescent="0.4">
      <c r="A2200" s="1">
        <v>202650002046</v>
      </c>
      <c r="B2200" s="1">
        <v>1111452</v>
      </c>
      <c r="C2200" s="2">
        <v>46122</v>
      </c>
      <c r="D2200" t="s">
        <v>17</v>
      </c>
      <c r="E2200" t="s">
        <v>8</v>
      </c>
      <c r="G2200" t="s">
        <v>9</v>
      </c>
      <c r="L2200">
        <f t="shared" si="171"/>
        <v>0</v>
      </c>
      <c r="M2200">
        <f t="shared" si="172"/>
        <v>0</v>
      </c>
      <c r="N2200">
        <f t="shared" si="173"/>
        <v>0</v>
      </c>
      <c r="O2200">
        <f t="shared" si="175"/>
        <v>1</v>
      </c>
      <c r="P2200" t="str">
        <f t="shared" si="174"/>
        <v/>
      </c>
      <c r="Q2200">
        <f>COUNTIF('責任職　企業局→市長部局'!A:A,SQLデータ!B2200)</f>
        <v>0</v>
      </c>
      <c r="R2200">
        <f>COUNTIF('一般職員　企業局→市長部局'!A:F,SQLデータ!B2200)</f>
        <v>0</v>
      </c>
    </row>
    <row r="2201" spans="1:18" x14ac:dyDescent="0.4">
      <c r="A2201" s="1">
        <v>202650002047</v>
      </c>
      <c r="B2201" s="1">
        <v>1132051</v>
      </c>
      <c r="C2201" s="2">
        <v>46119</v>
      </c>
      <c r="D2201" t="s">
        <v>17</v>
      </c>
      <c r="E2201" t="s">
        <v>8</v>
      </c>
      <c r="G2201" t="s">
        <v>9</v>
      </c>
      <c r="L2201">
        <f t="shared" si="171"/>
        <v>0</v>
      </c>
      <c r="M2201">
        <f t="shared" si="172"/>
        <v>0</v>
      </c>
      <c r="N2201">
        <f t="shared" si="173"/>
        <v>0</v>
      </c>
      <c r="O2201">
        <f t="shared" si="175"/>
        <v>1</v>
      </c>
      <c r="P2201" t="str">
        <f t="shared" si="174"/>
        <v/>
      </c>
      <c r="Q2201">
        <f>COUNTIF('責任職　企業局→市長部局'!A:A,SQLデータ!B2201)</f>
        <v>0</v>
      </c>
      <c r="R2201">
        <f>COUNTIF('一般職員　企業局→市長部局'!A:F,SQLデータ!B2201)</f>
        <v>0</v>
      </c>
    </row>
    <row r="2202" spans="1:18" x14ac:dyDescent="0.4">
      <c r="A2202" s="1">
        <v>202650002048</v>
      </c>
      <c r="B2202" s="1">
        <v>1246048</v>
      </c>
      <c r="C2202" s="2">
        <v>46119</v>
      </c>
      <c r="D2202" t="s">
        <v>17</v>
      </c>
      <c r="E2202" t="s">
        <v>8</v>
      </c>
      <c r="G2202" t="s">
        <v>9</v>
      </c>
      <c r="L2202">
        <f t="shared" si="171"/>
        <v>0</v>
      </c>
      <c r="M2202">
        <f t="shared" si="172"/>
        <v>0</v>
      </c>
      <c r="N2202">
        <f t="shared" si="173"/>
        <v>0</v>
      </c>
      <c r="O2202">
        <f t="shared" si="175"/>
        <v>1</v>
      </c>
      <c r="P2202" t="str">
        <f t="shared" si="174"/>
        <v/>
      </c>
      <c r="Q2202">
        <f>COUNTIF('責任職　企業局→市長部局'!A:A,SQLデータ!B2202)</f>
        <v>0</v>
      </c>
      <c r="R2202">
        <f>COUNTIF('一般職員　企業局→市長部局'!A:F,SQLデータ!B2202)</f>
        <v>0</v>
      </c>
    </row>
    <row r="2203" spans="1:18" x14ac:dyDescent="0.4">
      <c r="A2203" s="1">
        <v>202650002049</v>
      </c>
      <c r="B2203" s="1">
        <v>1216076</v>
      </c>
      <c r="C2203" s="2">
        <v>46119</v>
      </c>
      <c r="D2203" t="s">
        <v>17</v>
      </c>
      <c r="E2203" t="s">
        <v>8</v>
      </c>
      <c r="G2203" t="s">
        <v>9</v>
      </c>
      <c r="L2203">
        <f t="shared" si="171"/>
        <v>0</v>
      </c>
      <c r="M2203">
        <f t="shared" si="172"/>
        <v>0</v>
      </c>
      <c r="N2203">
        <f t="shared" si="173"/>
        <v>0</v>
      </c>
      <c r="O2203">
        <f t="shared" si="175"/>
        <v>1</v>
      </c>
      <c r="P2203" t="str">
        <f t="shared" si="174"/>
        <v/>
      </c>
      <c r="Q2203">
        <f>COUNTIF('責任職　企業局→市長部局'!A:A,SQLデータ!B2203)</f>
        <v>0</v>
      </c>
      <c r="R2203">
        <f>COUNTIF('一般職員　企業局→市長部局'!A:F,SQLデータ!B2203)</f>
        <v>0</v>
      </c>
    </row>
    <row r="2204" spans="1:18" x14ac:dyDescent="0.4">
      <c r="A2204" s="1">
        <v>202650002050</v>
      </c>
      <c r="B2204" s="1">
        <v>1092029</v>
      </c>
      <c r="C2204" s="2">
        <v>46119</v>
      </c>
      <c r="D2204" t="s">
        <v>17</v>
      </c>
      <c r="E2204" t="s">
        <v>8</v>
      </c>
      <c r="G2204" t="s">
        <v>9</v>
      </c>
      <c r="L2204">
        <f t="shared" si="171"/>
        <v>0</v>
      </c>
      <c r="M2204">
        <f t="shared" si="172"/>
        <v>0</v>
      </c>
      <c r="N2204">
        <f t="shared" si="173"/>
        <v>0</v>
      </c>
      <c r="O2204">
        <f t="shared" si="175"/>
        <v>1</v>
      </c>
      <c r="P2204" t="str">
        <f t="shared" si="174"/>
        <v/>
      </c>
      <c r="Q2204">
        <f>COUNTIF('責任職　企業局→市長部局'!A:A,SQLデータ!B2204)</f>
        <v>0</v>
      </c>
      <c r="R2204">
        <f>COUNTIF('一般職員　企業局→市長部局'!A:F,SQLデータ!B2204)</f>
        <v>0</v>
      </c>
    </row>
    <row r="2205" spans="1:18" x14ac:dyDescent="0.4">
      <c r="A2205" s="1">
        <v>202650002051</v>
      </c>
      <c r="B2205" s="1">
        <v>1106062</v>
      </c>
      <c r="C2205" s="2">
        <v>46119</v>
      </c>
      <c r="D2205" t="s">
        <v>17</v>
      </c>
      <c r="E2205" t="s">
        <v>8</v>
      </c>
      <c r="G2205" t="s">
        <v>9</v>
      </c>
      <c r="L2205">
        <f t="shared" si="171"/>
        <v>0</v>
      </c>
      <c r="M2205">
        <f t="shared" si="172"/>
        <v>0</v>
      </c>
      <c r="N2205">
        <f t="shared" si="173"/>
        <v>0</v>
      </c>
      <c r="O2205">
        <f t="shared" si="175"/>
        <v>1</v>
      </c>
      <c r="P2205" t="str">
        <f t="shared" si="174"/>
        <v/>
      </c>
      <c r="Q2205">
        <f>COUNTIF('責任職　企業局→市長部局'!A:A,SQLデータ!B2205)</f>
        <v>0</v>
      </c>
      <c r="R2205">
        <f>COUNTIF('一般職員　企業局→市長部局'!A:F,SQLデータ!B2205)</f>
        <v>0</v>
      </c>
    </row>
    <row r="2206" spans="1:18" x14ac:dyDescent="0.4">
      <c r="A2206" s="1">
        <v>202650002052</v>
      </c>
      <c r="B2206" s="1">
        <v>1201478</v>
      </c>
      <c r="C2206" s="2">
        <v>46119</v>
      </c>
      <c r="D2206" t="s">
        <v>17</v>
      </c>
      <c r="E2206" t="s">
        <v>8</v>
      </c>
      <c r="G2206" t="s">
        <v>9</v>
      </c>
      <c r="L2206">
        <f t="shared" si="171"/>
        <v>0</v>
      </c>
      <c r="M2206">
        <f t="shared" si="172"/>
        <v>0</v>
      </c>
      <c r="N2206">
        <f t="shared" si="173"/>
        <v>0</v>
      </c>
      <c r="O2206">
        <f t="shared" si="175"/>
        <v>1</v>
      </c>
      <c r="P2206" t="str">
        <f t="shared" si="174"/>
        <v/>
      </c>
      <c r="Q2206">
        <f>COUNTIF('責任職　企業局→市長部局'!A:A,SQLデータ!B2206)</f>
        <v>0</v>
      </c>
      <c r="R2206">
        <f>COUNTIF('一般職員　企業局→市長部局'!A:F,SQLデータ!B2206)</f>
        <v>0</v>
      </c>
    </row>
    <row r="2207" spans="1:18" x14ac:dyDescent="0.4">
      <c r="A2207" s="1">
        <v>202650002053</v>
      </c>
      <c r="B2207" s="1">
        <v>1021193</v>
      </c>
      <c r="C2207" s="2">
        <v>46119</v>
      </c>
      <c r="D2207" t="s">
        <v>17</v>
      </c>
      <c r="E2207" t="s">
        <v>8</v>
      </c>
      <c r="G2207" t="s">
        <v>9</v>
      </c>
      <c r="L2207">
        <f t="shared" si="171"/>
        <v>0</v>
      </c>
      <c r="M2207">
        <f t="shared" si="172"/>
        <v>0</v>
      </c>
      <c r="N2207">
        <f t="shared" si="173"/>
        <v>0</v>
      </c>
      <c r="O2207">
        <f t="shared" si="175"/>
        <v>1</v>
      </c>
      <c r="P2207" t="str">
        <f t="shared" si="174"/>
        <v/>
      </c>
      <c r="Q2207">
        <f>COUNTIF('責任職　企業局→市長部局'!A:A,SQLデータ!B2207)</f>
        <v>0</v>
      </c>
      <c r="R2207">
        <f>COUNTIF('一般職員　企業局→市長部局'!A:F,SQLデータ!B2207)</f>
        <v>0</v>
      </c>
    </row>
    <row r="2208" spans="1:18" x14ac:dyDescent="0.4">
      <c r="A2208" s="1">
        <v>202650002054</v>
      </c>
      <c r="B2208" s="1">
        <v>900271</v>
      </c>
      <c r="C2208" s="2">
        <v>46119</v>
      </c>
      <c r="D2208" t="s">
        <v>17</v>
      </c>
      <c r="E2208" t="s">
        <v>8</v>
      </c>
      <c r="G2208" t="s">
        <v>9</v>
      </c>
      <c r="L2208">
        <f t="shared" si="171"/>
        <v>0</v>
      </c>
      <c r="M2208">
        <f t="shared" si="172"/>
        <v>0</v>
      </c>
      <c r="N2208">
        <f t="shared" si="173"/>
        <v>0</v>
      </c>
      <c r="O2208">
        <f t="shared" si="175"/>
        <v>1</v>
      </c>
      <c r="P2208" t="str">
        <f t="shared" si="174"/>
        <v/>
      </c>
      <c r="Q2208">
        <f>COUNTIF('責任職　企業局→市長部局'!A:A,SQLデータ!B2208)</f>
        <v>0</v>
      </c>
      <c r="R2208">
        <f>COUNTIF('一般職員　企業局→市長部局'!A:F,SQLデータ!B2208)</f>
        <v>0</v>
      </c>
    </row>
    <row r="2209" spans="1:18" x14ac:dyDescent="0.4">
      <c r="A2209" s="1">
        <v>202650002055</v>
      </c>
      <c r="B2209" s="1">
        <v>1156073</v>
      </c>
      <c r="C2209" s="2">
        <v>46122</v>
      </c>
      <c r="D2209" t="s">
        <v>17</v>
      </c>
      <c r="E2209" t="s">
        <v>8</v>
      </c>
      <c r="G2209" t="s">
        <v>9</v>
      </c>
      <c r="L2209">
        <f t="shared" si="171"/>
        <v>0</v>
      </c>
      <c r="M2209">
        <f t="shared" si="172"/>
        <v>0</v>
      </c>
      <c r="N2209">
        <f t="shared" si="173"/>
        <v>0</v>
      </c>
      <c r="O2209">
        <f t="shared" si="175"/>
        <v>1</v>
      </c>
      <c r="P2209" t="str">
        <f t="shared" si="174"/>
        <v/>
      </c>
      <c r="Q2209">
        <f>COUNTIF('責任職　企業局→市長部局'!A:A,SQLデータ!B2209)</f>
        <v>0</v>
      </c>
      <c r="R2209">
        <f>COUNTIF('一般職員　企業局→市長部局'!A:F,SQLデータ!B2209)</f>
        <v>0</v>
      </c>
    </row>
    <row r="2210" spans="1:18" x14ac:dyDescent="0.4">
      <c r="A2210" s="1">
        <v>202650002056</v>
      </c>
      <c r="B2210" s="1">
        <v>1251412</v>
      </c>
      <c r="C2210" s="2">
        <v>46119</v>
      </c>
      <c r="D2210" t="s">
        <v>17</v>
      </c>
      <c r="E2210" t="s">
        <v>8</v>
      </c>
      <c r="G2210" t="s">
        <v>9</v>
      </c>
      <c r="L2210">
        <f t="shared" si="171"/>
        <v>0</v>
      </c>
      <c r="M2210">
        <f t="shared" si="172"/>
        <v>0</v>
      </c>
      <c r="N2210">
        <f t="shared" si="173"/>
        <v>0</v>
      </c>
      <c r="O2210">
        <f t="shared" si="175"/>
        <v>1</v>
      </c>
      <c r="P2210" t="str">
        <f t="shared" si="174"/>
        <v/>
      </c>
      <c r="Q2210">
        <f>COUNTIF('責任職　企業局→市長部局'!A:A,SQLデータ!B2210)</f>
        <v>0</v>
      </c>
      <c r="R2210">
        <f>COUNTIF('一般職員　企業局→市長部局'!A:F,SQLデータ!B2210)</f>
        <v>0</v>
      </c>
    </row>
    <row r="2211" spans="1:18" x14ac:dyDescent="0.4">
      <c r="A2211" s="1">
        <v>202650002057</v>
      </c>
      <c r="B2211" s="1">
        <v>1221412</v>
      </c>
      <c r="C2211" s="2">
        <v>46119</v>
      </c>
      <c r="D2211" t="s">
        <v>17</v>
      </c>
      <c r="E2211" t="s">
        <v>8</v>
      </c>
      <c r="G2211" t="s">
        <v>9</v>
      </c>
      <c r="L2211">
        <f t="shared" si="171"/>
        <v>0</v>
      </c>
      <c r="M2211">
        <f t="shared" si="172"/>
        <v>0</v>
      </c>
      <c r="N2211">
        <f t="shared" si="173"/>
        <v>0</v>
      </c>
      <c r="O2211">
        <f t="shared" si="175"/>
        <v>1</v>
      </c>
      <c r="P2211" t="str">
        <f t="shared" si="174"/>
        <v/>
      </c>
      <c r="Q2211">
        <f>COUNTIF('責任職　企業局→市長部局'!A:A,SQLデータ!B2211)</f>
        <v>0</v>
      </c>
      <c r="R2211">
        <f>COUNTIF('一般職員　企業局→市長部局'!A:F,SQLデータ!B2211)</f>
        <v>0</v>
      </c>
    </row>
    <row r="2212" spans="1:18" x14ac:dyDescent="0.4">
      <c r="A2212" s="1">
        <v>202650002058</v>
      </c>
      <c r="B2212" s="1">
        <v>1226102</v>
      </c>
      <c r="C2212" s="2">
        <v>46123</v>
      </c>
      <c r="D2212" t="s">
        <v>17</v>
      </c>
      <c r="E2212" t="s">
        <v>8</v>
      </c>
      <c r="G2212" t="s">
        <v>9</v>
      </c>
      <c r="L2212">
        <f t="shared" si="171"/>
        <v>0</v>
      </c>
      <c r="M2212">
        <f t="shared" si="172"/>
        <v>0</v>
      </c>
      <c r="N2212">
        <f t="shared" si="173"/>
        <v>0</v>
      </c>
      <c r="O2212">
        <f t="shared" si="175"/>
        <v>1</v>
      </c>
      <c r="P2212" t="str">
        <f t="shared" si="174"/>
        <v/>
      </c>
      <c r="Q2212">
        <f>COUNTIF('責任職　企業局→市長部局'!A:A,SQLデータ!B2212)</f>
        <v>0</v>
      </c>
      <c r="R2212">
        <f>COUNTIF('一般職員　企業局→市長部局'!A:F,SQLデータ!B2212)</f>
        <v>0</v>
      </c>
    </row>
    <row r="2213" spans="1:18" x14ac:dyDescent="0.4">
      <c r="A2213" s="1">
        <v>202650002059</v>
      </c>
      <c r="B2213" s="1">
        <v>1240085</v>
      </c>
      <c r="C2213" s="2">
        <v>46119</v>
      </c>
      <c r="D2213" t="s">
        <v>17</v>
      </c>
      <c r="E2213" t="s">
        <v>8</v>
      </c>
      <c r="G2213" t="s">
        <v>9</v>
      </c>
      <c r="L2213">
        <f t="shared" si="171"/>
        <v>0</v>
      </c>
      <c r="M2213">
        <f t="shared" si="172"/>
        <v>0</v>
      </c>
      <c r="N2213">
        <f t="shared" si="173"/>
        <v>0</v>
      </c>
      <c r="O2213">
        <f t="shared" si="175"/>
        <v>1</v>
      </c>
      <c r="P2213" t="str">
        <f t="shared" si="174"/>
        <v/>
      </c>
      <c r="Q2213">
        <f>COUNTIF('責任職　企業局→市長部局'!A:A,SQLデータ!B2213)</f>
        <v>0</v>
      </c>
      <c r="R2213">
        <f>COUNTIF('一般職員　企業局→市長部局'!A:F,SQLデータ!B2213)</f>
        <v>0</v>
      </c>
    </row>
    <row r="2214" spans="1:18" x14ac:dyDescent="0.4">
      <c r="A2214" s="1">
        <v>202650002060</v>
      </c>
      <c r="B2214" s="1">
        <v>1131374</v>
      </c>
      <c r="C2214" s="2">
        <v>46119</v>
      </c>
      <c r="D2214" t="s">
        <v>17</v>
      </c>
      <c r="E2214" t="s">
        <v>8</v>
      </c>
      <c r="G2214" t="s">
        <v>9</v>
      </c>
      <c r="L2214">
        <f t="shared" si="171"/>
        <v>0</v>
      </c>
      <c r="M2214">
        <f t="shared" si="172"/>
        <v>0</v>
      </c>
      <c r="N2214">
        <f t="shared" si="173"/>
        <v>0</v>
      </c>
      <c r="O2214">
        <f t="shared" si="175"/>
        <v>1</v>
      </c>
      <c r="P2214" t="str">
        <f t="shared" si="174"/>
        <v/>
      </c>
      <c r="Q2214">
        <f>COUNTIF('責任職　企業局→市長部局'!A:A,SQLデータ!B2214)</f>
        <v>0</v>
      </c>
      <c r="R2214">
        <f>COUNTIF('一般職員　企業局→市長部局'!A:F,SQLデータ!B2214)</f>
        <v>0</v>
      </c>
    </row>
    <row r="2215" spans="1:18" x14ac:dyDescent="0.4">
      <c r="A2215" s="1">
        <v>202650002062</v>
      </c>
      <c r="B2215" s="1">
        <v>940200</v>
      </c>
      <c r="C2215" s="2">
        <v>46119</v>
      </c>
      <c r="D2215" t="s">
        <v>17</v>
      </c>
      <c r="E2215" t="s">
        <v>8</v>
      </c>
      <c r="G2215" t="s">
        <v>9</v>
      </c>
      <c r="L2215">
        <f t="shared" si="171"/>
        <v>0</v>
      </c>
      <c r="M2215">
        <f t="shared" si="172"/>
        <v>0</v>
      </c>
      <c r="N2215">
        <f t="shared" si="173"/>
        <v>0</v>
      </c>
      <c r="O2215">
        <f t="shared" si="175"/>
        <v>1</v>
      </c>
      <c r="P2215" t="str">
        <f t="shared" si="174"/>
        <v/>
      </c>
      <c r="Q2215">
        <f>COUNTIF('責任職　企業局→市長部局'!A:A,SQLデータ!B2215)</f>
        <v>0</v>
      </c>
      <c r="R2215">
        <f>COUNTIF('一般職員　企業局→市長部局'!A:F,SQLデータ!B2215)</f>
        <v>0</v>
      </c>
    </row>
    <row r="2216" spans="1:18" x14ac:dyDescent="0.4">
      <c r="A2216" s="1">
        <v>202650002063</v>
      </c>
      <c r="B2216" s="1">
        <v>1086079</v>
      </c>
      <c r="C2216" s="2">
        <v>46119</v>
      </c>
      <c r="D2216" t="s">
        <v>17</v>
      </c>
      <c r="E2216" t="s">
        <v>8</v>
      </c>
      <c r="G2216" t="s">
        <v>9</v>
      </c>
      <c r="L2216">
        <f t="shared" si="171"/>
        <v>0</v>
      </c>
      <c r="M2216">
        <f t="shared" si="172"/>
        <v>0</v>
      </c>
      <c r="N2216">
        <f t="shared" si="173"/>
        <v>0</v>
      </c>
      <c r="O2216">
        <f t="shared" si="175"/>
        <v>1</v>
      </c>
      <c r="P2216" t="str">
        <f t="shared" si="174"/>
        <v/>
      </c>
      <c r="Q2216">
        <f>COUNTIF('責任職　企業局→市長部局'!A:A,SQLデータ!B2216)</f>
        <v>0</v>
      </c>
      <c r="R2216">
        <f>COUNTIF('一般職員　企業局→市長部局'!A:F,SQLデータ!B2216)</f>
        <v>0</v>
      </c>
    </row>
    <row r="2217" spans="1:18" x14ac:dyDescent="0.4">
      <c r="A2217" s="1">
        <v>202650002064</v>
      </c>
      <c r="B2217" s="1">
        <v>950465</v>
      </c>
      <c r="C2217" s="2">
        <v>46119</v>
      </c>
      <c r="D2217" t="s">
        <v>17</v>
      </c>
      <c r="E2217" t="s">
        <v>8</v>
      </c>
      <c r="G2217" t="s">
        <v>9</v>
      </c>
      <c r="L2217">
        <f t="shared" si="171"/>
        <v>0</v>
      </c>
      <c r="M2217">
        <f t="shared" si="172"/>
        <v>0</v>
      </c>
      <c r="N2217">
        <f t="shared" si="173"/>
        <v>0</v>
      </c>
      <c r="O2217">
        <f t="shared" si="175"/>
        <v>1</v>
      </c>
      <c r="P2217" t="str">
        <f t="shared" si="174"/>
        <v/>
      </c>
      <c r="Q2217">
        <f>COUNTIF('責任職　企業局→市長部局'!A:A,SQLデータ!B2217)</f>
        <v>0</v>
      </c>
      <c r="R2217">
        <f>COUNTIF('一般職員　企業局→市長部局'!A:F,SQLデータ!B2217)</f>
        <v>0</v>
      </c>
    </row>
    <row r="2218" spans="1:18" x14ac:dyDescent="0.4">
      <c r="A2218" s="1">
        <v>202650002065</v>
      </c>
      <c r="B2218" s="1">
        <v>920255</v>
      </c>
      <c r="C2218" s="2">
        <v>46119</v>
      </c>
      <c r="D2218" t="s">
        <v>17</v>
      </c>
      <c r="E2218" t="s">
        <v>8</v>
      </c>
      <c r="G2218" t="s">
        <v>9</v>
      </c>
      <c r="L2218">
        <f t="shared" si="171"/>
        <v>0</v>
      </c>
      <c r="M2218">
        <f t="shared" si="172"/>
        <v>0</v>
      </c>
      <c r="N2218">
        <f t="shared" si="173"/>
        <v>0</v>
      </c>
      <c r="O2218">
        <f t="shared" si="175"/>
        <v>1</v>
      </c>
      <c r="P2218" t="str">
        <f t="shared" si="174"/>
        <v/>
      </c>
      <c r="Q2218">
        <f>COUNTIF('責任職　企業局→市長部局'!A:A,SQLデータ!B2218)</f>
        <v>0</v>
      </c>
      <c r="R2218">
        <f>COUNTIF('一般職員　企業局→市長部局'!A:F,SQLデータ!B2218)</f>
        <v>0</v>
      </c>
    </row>
    <row r="2219" spans="1:18" x14ac:dyDescent="0.4">
      <c r="A2219" s="1">
        <v>202650002066</v>
      </c>
      <c r="B2219" s="1">
        <v>996005</v>
      </c>
      <c r="C2219" s="2">
        <v>46119</v>
      </c>
      <c r="D2219" t="s">
        <v>17</v>
      </c>
      <c r="E2219" t="s">
        <v>8</v>
      </c>
      <c r="G2219" t="s">
        <v>9</v>
      </c>
      <c r="L2219">
        <f t="shared" si="171"/>
        <v>0</v>
      </c>
      <c r="M2219">
        <f t="shared" si="172"/>
        <v>0</v>
      </c>
      <c r="N2219">
        <f t="shared" si="173"/>
        <v>0</v>
      </c>
      <c r="O2219">
        <f t="shared" si="175"/>
        <v>1</v>
      </c>
      <c r="P2219" t="str">
        <f t="shared" si="174"/>
        <v/>
      </c>
      <c r="Q2219">
        <f>COUNTIF('責任職　企業局→市長部局'!A:A,SQLデータ!B2219)</f>
        <v>0</v>
      </c>
      <c r="R2219">
        <f>COUNTIF('一般職員　企業局→市長部局'!A:F,SQLデータ!B2219)</f>
        <v>0</v>
      </c>
    </row>
    <row r="2220" spans="1:18" x14ac:dyDescent="0.4">
      <c r="A2220" s="1">
        <v>202650002067</v>
      </c>
      <c r="B2220" s="1">
        <v>1101179</v>
      </c>
      <c r="C2220" s="2">
        <v>46119</v>
      </c>
      <c r="D2220" t="s">
        <v>17</v>
      </c>
      <c r="E2220" t="s">
        <v>8</v>
      </c>
      <c r="G2220" t="s">
        <v>9</v>
      </c>
      <c r="L2220">
        <f t="shared" si="171"/>
        <v>0</v>
      </c>
      <c r="M2220">
        <f t="shared" si="172"/>
        <v>0</v>
      </c>
      <c r="N2220">
        <f t="shared" si="173"/>
        <v>0</v>
      </c>
      <c r="O2220">
        <f t="shared" si="175"/>
        <v>1</v>
      </c>
      <c r="P2220" t="str">
        <f t="shared" si="174"/>
        <v/>
      </c>
      <c r="Q2220">
        <f>COUNTIF('責任職　企業局→市長部局'!A:A,SQLデータ!B2220)</f>
        <v>0</v>
      </c>
      <c r="R2220">
        <f>COUNTIF('一般職員　企業局→市長部局'!A:F,SQLデータ!B2220)</f>
        <v>0</v>
      </c>
    </row>
    <row r="2221" spans="1:18" x14ac:dyDescent="0.4">
      <c r="A2221" s="1">
        <v>202650002068</v>
      </c>
      <c r="B2221" s="1">
        <v>1086008</v>
      </c>
      <c r="C2221" s="2">
        <v>46120</v>
      </c>
      <c r="D2221" t="s">
        <v>17</v>
      </c>
      <c r="E2221" t="s">
        <v>8</v>
      </c>
      <c r="G2221" t="s">
        <v>9</v>
      </c>
      <c r="L2221">
        <f t="shared" si="171"/>
        <v>0</v>
      </c>
      <c r="M2221">
        <f t="shared" si="172"/>
        <v>0</v>
      </c>
      <c r="N2221">
        <f t="shared" si="173"/>
        <v>0</v>
      </c>
      <c r="O2221">
        <f t="shared" si="175"/>
        <v>1</v>
      </c>
      <c r="P2221" t="str">
        <f t="shared" si="174"/>
        <v/>
      </c>
      <c r="Q2221">
        <f>COUNTIF('責任職　企業局→市長部局'!A:A,SQLデータ!B2221)</f>
        <v>0</v>
      </c>
      <c r="R2221">
        <f>COUNTIF('一般職員　企業局→市長部局'!A:F,SQLデータ!B2221)</f>
        <v>0</v>
      </c>
    </row>
    <row r="2222" spans="1:18" x14ac:dyDescent="0.4">
      <c r="A2222" s="1">
        <v>202650002069</v>
      </c>
      <c r="B2222" s="1">
        <v>1056001</v>
      </c>
      <c r="C2222" s="2">
        <v>46120</v>
      </c>
      <c r="D2222" t="s">
        <v>17</v>
      </c>
      <c r="E2222" t="s">
        <v>8</v>
      </c>
      <c r="G2222" t="s">
        <v>9</v>
      </c>
      <c r="L2222">
        <f t="shared" si="171"/>
        <v>0</v>
      </c>
      <c r="M2222">
        <f t="shared" si="172"/>
        <v>0</v>
      </c>
      <c r="N2222">
        <f t="shared" si="173"/>
        <v>0</v>
      </c>
      <c r="O2222">
        <f t="shared" si="175"/>
        <v>1</v>
      </c>
      <c r="P2222" t="str">
        <f t="shared" si="174"/>
        <v/>
      </c>
      <c r="Q2222">
        <f>COUNTIF('責任職　企業局→市長部局'!A:A,SQLデータ!B2222)</f>
        <v>0</v>
      </c>
      <c r="R2222">
        <f>COUNTIF('一般職員　企業局→市長部局'!A:F,SQLデータ!B2222)</f>
        <v>0</v>
      </c>
    </row>
    <row r="2223" spans="1:18" x14ac:dyDescent="0.4">
      <c r="A2223" s="1">
        <v>202650002070</v>
      </c>
      <c r="B2223" s="1">
        <v>1036017</v>
      </c>
      <c r="C2223" s="2">
        <v>46120</v>
      </c>
      <c r="D2223" t="s">
        <v>17</v>
      </c>
      <c r="E2223" t="s">
        <v>8</v>
      </c>
      <c r="G2223" t="s">
        <v>9</v>
      </c>
      <c r="L2223">
        <f t="shared" si="171"/>
        <v>0</v>
      </c>
      <c r="M2223">
        <f t="shared" si="172"/>
        <v>0</v>
      </c>
      <c r="N2223">
        <f t="shared" si="173"/>
        <v>0</v>
      </c>
      <c r="O2223">
        <f t="shared" si="175"/>
        <v>1</v>
      </c>
      <c r="P2223" t="str">
        <f t="shared" si="174"/>
        <v/>
      </c>
      <c r="Q2223">
        <f>COUNTIF('責任職　企業局→市長部局'!A:A,SQLデータ!B2223)</f>
        <v>0</v>
      </c>
      <c r="R2223">
        <f>COUNTIF('一般職員　企業局→市長部局'!A:F,SQLデータ!B2223)</f>
        <v>0</v>
      </c>
    </row>
    <row r="2224" spans="1:18" x14ac:dyDescent="0.4">
      <c r="A2224" s="1">
        <v>202650002071</v>
      </c>
      <c r="B2224" s="1">
        <v>1141030</v>
      </c>
      <c r="C2224" s="2">
        <v>46120</v>
      </c>
      <c r="D2224" t="s">
        <v>17</v>
      </c>
      <c r="E2224" t="s">
        <v>8</v>
      </c>
      <c r="G2224" t="s">
        <v>9</v>
      </c>
      <c r="L2224">
        <f t="shared" si="171"/>
        <v>0</v>
      </c>
      <c r="M2224">
        <f t="shared" si="172"/>
        <v>0</v>
      </c>
      <c r="N2224">
        <f t="shared" si="173"/>
        <v>0</v>
      </c>
      <c r="O2224">
        <f t="shared" si="175"/>
        <v>1</v>
      </c>
      <c r="P2224" t="str">
        <f t="shared" si="174"/>
        <v/>
      </c>
      <c r="Q2224">
        <f>COUNTIF('責任職　企業局→市長部局'!A:A,SQLデータ!B2224)</f>
        <v>0</v>
      </c>
      <c r="R2224">
        <f>COUNTIF('一般職員　企業局→市長部局'!A:F,SQLデータ!B2224)</f>
        <v>0</v>
      </c>
    </row>
    <row r="2225" spans="1:18" x14ac:dyDescent="0.4">
      <c r="A2225" s="1">
        <v>202650002072</v>
      </c>
      <c r="B2225" s="1">
        <v>1216029</v>
      </c>
      <c r="C2225" s="2">
        <v>46120</v>
      </c>
      <c r="D2225" t="s">
        <v>17</v>
      </c>
      <c r="E2225" t="s">
        <v>8</v>
      </c>
      <c r="G2225" t="s">
        <v>9</v>
      </c>
      <c r="L2225">
        <f t="shared" si="171"/>
        <v>0</v>
      </c>
      <c r="M2225">
        <f t="shared" si="172"/>
        <v>0</v>
      </c>
      <c r="N2225">
        <f t="shared" si="173"/>
        <v>0</v>
      </c>
      <c r="O2225">
        <f t="shared" si="175"/>
        <v>1</v>
      </c>
      <c r="P2225" t="str">
        <f t="shared" si="174"/>
        <v/>
      </c>
      <c r="Q2225">
        <f>COUNTIF('責任職　企業局→市長部局'!A:A,SQLデータ!B2225)</f>
        <v>0</v>
      </c>
      <c r="R2225">
        <f>COUNTIF('一般職員　企業局→市長部局'!A:F,SQLデータ!B2225)</f>
        <v>0</v>
      </c>
    </row>
    <row r="2226" spans="1:18" x14ac:dyDescent="0.4">
      <c r="A2226" s="1">
        <v>202650002073</v>
      </c>
      <c r="B2226" s="1">
        <v>1056019</v>
      </c>
      <c r="C2226" s="2">
        <v>46120</v>
      </c>
      <c r="D2226" t="s">
        <v>17</v>
      </c>
      <c r="E2226" t="s">
        <v>8</v>
      </c>
      <c r="G2226" t="s">
        <v>9</v>
      </c>
      <c r="L2226">
        <f t="shared" si="171"/>
        <v>0</v>
      </c>
      <c r="M2226">
        <f t="shared" si="172"/>
        <v>0</v>
      </c>
      <c r="N2226">
        <f t="shared" si="173"/>
        <v>0</v>
      </c>
      <c r="O2226">
        <f t="shared" si="175"/>
        <v>1</v>
      </c>
      <c r="P2226" t="str">
        <f t="shared" si="174"/>
        <v/>
      </c>
      <c r="Q2226">
        <f>COUNTIF('責任職　企業局→市長部局'!A:A,SQLデータ!B2226)</f>
        <v>0</v>
      </c>
      <c r="R2226">
        <f>COUNTIF('一般職員　企業局→市長部局'!A:F,SQLデータ!B2226)</f>
        <v>0</v>
      </c>
    </row>
    <row r="2227" spans="1:18" x14ac:dyDescent="0.4">
      <c r="A2227" s="1">
        <v>202650002074</v>
      </c>
      <c r="B2227" s="1">
        <v>1221492</v>
      </c>
      <c r="C2227" s="2">
        <v>46120</v>
      </c>
      <c r="D2227" t="s">
        <v>17</v>
      </c>
      <c r="E2227" t="s">
        <v>8</v>
      </c>
      <c r="G2227" t="s">
        <v>9</v>
      </c>
      <c r="L2227">
        <f t="shared" si="171"/>
        <v>0</v>
      </c>
      <c r="M2227">
        <f t="shared" si="172"/>
        <v>0</v>
      </c>
      <c r="N2227">
        <f t="shared" si="173"/>
        <v>0</v>
      </c>
      <c r="O2227">
        <f t="shared" si="175"/>
        <v>1</v>
      </c>
      <c r="P2227" t="str">
        <f t="shared" si="174"/>
        <v/>
      </c>
      <c r="Q2227">
        <f>COUNTIF('責任職　企業局→市長部局'!A:A,SQLデータ!B2227)</f>
        <v>0</v>
      </c>
      <c r="R2227">
        <f>COUNTIF('一般職員　企業局→市長部局'!A:F,SQLデータ!B2227)</f>
        <v>0</v>
      </c>
    </row>
    <row r="2228" spans="1:18" x14ac:dyDescent="0.4">
      <c r="A2228" s="1">
        <v>202650002075</v>
      </c>
      <c r="B2228" s="1">
        <v>1256025</v>
      </c>
      <c r="C2228" s="2">
        <v>46120</v>
      </c>
      <c r="D2228" t="s">
        <v>17</v>
      </c>
      <c r="E2228" t="s">
        <v>8</v>
      </c>
      <c r="G2228" t="s">
        <v>9</v>
      </c>
      <c r="L2228">
        <f t="shared" si="171"/>
        <v>0</v>
      </c>
      <c r="M2228">
        <f t="shared" si="172"/>
        <v>0</v>
      </c>
      <c r="N2228">
        <f t="shared" si="173"/>
        <v>0</v>
      </c>
      <c r="O2228">
        <f t="shared" si="175"/>
        <v>1</v>
      </c>
      <c r="P2228" t="str">
        <f t="shared" si="174"/>
        <v/>
      </c>
      <c r="Q2228">
        <f>COUNTIF('責任職　企業局→市長部局'!A:A,SQLデータ!B2228)</f>
        <v>0</v>
      </c>
      <c r="R2228">
        <f>COUNTIF('一般職員　企業局→市長部局'!A:F,SQLデータ!B2228)</f>
        <v>0</v>
      </c>
    </row>
    <row r="2229" spans="1:18" x14ac:dyDescent="0.4">
      <c r="A2229" s="1">
        <v>202650002076</v>
      </c>
      <c r="B2229" s="1">
        <v>1146080</v>
      </c>
      <c r="C2229" s="2">
        <v>46120</v>
      </c>
      <c r="D2229" t="s">
        <v>17</v>
      </c>
      <c r="E2229" t="s">
        <v>8</v>
      </c>
      <c r="G2229" t="s">
        <v>9</v>
      </c>
      <c r="L2229">
        <f t="shared" si="171"/>
        <v>0</v>
      </c>
      <c r="M2229">
        <f t="shared" si="172"/>
        <v>0</v>
      </c>
      <c r="N2229">
        <f t="shared" si="173"/>
        <v>0</v>
      </c>
      <c r="O2229">
        <f t="shared" si="175"/>
        <v>1</v>
      </c>
      <c r="P2229" t="str">
        <f t="shared" si="174"/>
        <v/>
      </c>
      <c r="Q2229">
        <f>COUNTIF('責任職　企業局→市長部局'!A:A,SQLデータ!B2229)</f>
        <v>0</v>
      </c>
      <c r="R2229">
        <f>COUNTIF('一般職員　企業局→市長部局'!A:F,SQLデータ!B2229)</f>
        <v>0</v>
      </c>
    </row>
    <row r="2230" spans="1:18" x14ac:dyDescent="0.4">
      <c r="A2230" s="1">
        <v>202650002077</v>
      </c>
      <c r="B2230" s="1">
        <v>1116076</v>
      </c>
      <c r="C2230" s="2">
        <v>46120</v>
      </c>
      <c r="D2230" t="s">
        <v>17</v>
      </c>
      <c r="E2230" t="s">
        <v>8</v>
      </c>
      <c r="G2230" t="s">
        <v>9</v>
      </c>
      <c r="L2230">
        <f t="shared" si="171"/>
        <v>0</v>
      </c>
      <c r="M2230">
        <f t="shared" si="172"/>
        <v>0</v>
      </c>
      <c r="N2230">
        <f t="shared" si="173"/>
        <v>0</v>
      </c>
      <c r="O2230">
        <f t="shared" si="175"/>
        <v>1</v>
      </c>
      <c r="P2230" t="str">
        <f t="shared" si="174"/>
        <v/>
      </c>
      <c r="Q2230">
        <f>COUNTIF('責任職　企業局→市長部局'!A:A,SQLデータ!B2230)</f>
        <v>0</v>
      </c>
      <c r="R2230">
        <f>COUNTIF('一般職員　企業局→市長部局'!A:F,SQLデータ!B2230)</f>
        <v>0</v>
      </c>
    </row>
    <row r="2231" spans="1:18" x14ac:dyDescent="0.4">
      <c r="A2231" s="1">
        <v>202650002078</v>
      </c>
      <c r="B2231" s="1">
        <v>1232052</v>
      </c>
      <c r="C2231" s="2">
        <v>46120</v>
      </c>
      <c r="D2231" t="s">
        <v>17</v>
      </c>
      <c r="E2231" t="s">
        <v>8</v>
      </c>
      <c r="G2231" t="s">
        <v>9</v>
      </c>
      <c r="L2231">
        <f t="shared" si="171"/>
        <v>0</v>
      </c>
      <c r="M2231">
        <f t="shared" si="172"/>
        <v>0</v>
      </c>
      <c r="N2231">
        <f t="shared" si="173"/>
        <v>0</v>
      </c>
      <c r="O2231">
        <f t="shared" si="175"/>
        <v>1</v>
      </c>
      <c r="P2231" t="str">
        <f t="shared" si="174"/>
        <v/>
      </c>
      <c r="Q2231">
        <f>COUNTIF('責任職　企業局→市長部局'!A:A,SQLデータ!B2231)</f>
        <v>0</v>
      </c>
      <c r="R2231">
        <f>COUNTIF('一般職員　企業局→市長部局'!A:F,SQLデータ!B2231)</f>
        <v>0</v>
      </c>
    </row>
    <row r="2232" spans="1:18" x14ac:dyDescent="0.4">
      <c r="A2232" s="1">
        <v>202650002079</v>
      </c>
      <c r="B2232" s="1">
        <v>1226033</v>
      </c>
      <c r="C2232" s="2">
        <v>46120</v>
      </c>
      <c r="D2232" t="s">
        <v>17</v>
      </c>
      <c r="E2232" t="s">
        <v>8</v>
      </c>
      <c r="G2232" t="s">
        <v>9</v>
      </c>
      <c r="L2232">
        <f t="shared" si="171"/>
        <v>0</v>
      </c>
      <c r="M2232">
        <f t="shared" si="172"/>
        <v>0</v>
      </c>
      <c r="N2232">
        <f t="shared" si="173"/>
        <v>0</v>
      </c>
      <c r="O2232">
        <f t="shared" si="175"/>
        <v>1</v>
      </c>
      <c r="P2232" t="str">
        <f t="shared" si="174"/>
        <v/>
      </c>
      <c r="Q2232">
        <f>COUNTIF('責任職　企業局→市長部局'!A:A,SQLデータ!B2232)</f>
        <v>0</v>
      </c>
      <c r="R2232">
        <f>COUNTIF('一般職員　企業局→市長部局'!A:F,SQLデータ!B2232)</f>
        <v>0</v>
      </c>
    </row>
    <row r="2233" spans="1:18" x14ac:dyDescent="0.4">
      <c r="A2233" s="1">
        <v>202650002080</v>
      </c>
      <c r="B2233" s="1">
        <v>986048</v>
      </c>
      <c r="C2233" s="2">
        <v>46120</v>
      </c>
      <c r="D2233" t="s">
        <v>17</v>
      </c>
      <c r="E2233" t="s">
        <v>8</v>
      </c>
      <c r="G2233" t="s">
        <v>9</v>
      </c>
      <c r="L2233">
        <f t="shared" si="171"/>
        <v>0</v>
      </c>
      <c r="M2233">
        <f t="shared" si="172"/>
        <v>0</v>
      </c>
      <c r="N2233">
        <f t="shared" si="173"/>
        <v>0</v>
      </c>
      <c r="O2233">
        <f t="shared" si="175"/>
        <v>1</v>
      </c>
      <c r="P2233" t="str">
        <f t="shared" si="174"/>
        <v/>
      </c>
      <c r="Q2233">
        <f>COUNTIF('責任職　企業局→市長部局'!A:A,SQLデータ!B2233)</f>
        <v>0</v>
      </c>
      <c r="R2233">
        <f>COUNTIF('一般職員　企業局→市長部局'!A:F,SQLデータ!B2233)</f>
        <v>0</v>
      </c>
    </row>
    <row r="2234" spans="1:18" x14ac:dyDescent="0.4">
      <c r="A2234" s="1">
        <v>202650002082</v>
      </c>
      <c r="B2234" s="1">
        <v>840160</v>
      </c>
      <c r="C2234" s="2">
        <v>46120</v>
      </c>
      <c r="D2234" t="s">
        <v>17</v>
      </c>
      <c r="E2234" t="s">
        <v>8</v>
      </c>
      <c r="G2234" t="s">
        <v>9</v>
      </c>
      <c r="L2234">
        <f t="shared" si="171"/>
        <v>0</v>
      </c>
      <c r="M2234">
        <f t="shared" si="172"/>
        <v>0</v>
      </c>
      <c r="N2234">
        <f t="shared" si="173"/>
        <v>0</v>
      </c>
      <c r="O2234">
        <f t="shared" si="175"/>
        <v>1</v>
      </c>
      <c r="P2234" t="str">
        <f t="shared" si="174"/>
        <v/>
      </c>
      <c r="Q2234">
        <f>COUNTIF('責任職　企業局→市長部局'!A:A,SQLデータ!B2234)</f>
        <v>0</v>
      </c>
      <c r="R2234">
        <f>COUNTIF('一般職員　企業局→市長部局'!A:F,SQLデータ!B2234)</f>
        <v>0</v>
      </c>
    </row>
    <row r="2235" spans="1:18" x14ac:dyDescent="0.4">
      <c r="A2235" s="1">
        <v>202650002083</v>
      </c>
      <c r="B2235" s="1">
        <v>1216063</v>
      </c>
      <c r="C2235" s="2">
        <v>46120</v>
      </c>
      <c r="D2235" t="s">
        <v>17</v>
      </c>
      <c r="E2235" t="s">
        <v>8</v>
      </c>
      <c r="G2235" t="s">
        <v>9</v>
      </c>
      <c r="L2235">
        <f t="shared" si="171"/>
        <v>0</v>
      </c>
      <c r="M2235">
        <f t="shared" si="172"/>
        <v>0</v>
      </c>
      <c r="N2235">
        <f t="shared" si="173"/>
        <v>0</v>
      </c>
      <c r="O2235">
        <f t="shared" si="175"/>
        <v>1</v>
      </c>
      <c r="P2235" t="str">
        <f t="shared" si="174"/>
        <v/>
      </c>
      <c r="Q2235">
        <f>COUNTIF('責任職　企業局→市長部局'!A:A,SQLデータ!B2235)</f>
        <v>0</v>
      </c>
      <c r="R2235">
        <f>COUNTIF('一般職員　企業局→市長部局'!A:F,SQLデータ!B2235)</f>
        <v>0</v>
      </c>
    </row>
    <row r="2236" spans="1:18" x14ac:dyDescent="0.4">
      <c r="A2236" s="1">
        <v>202650002084</v>
      </c>
      <c r="B2236" s="1">
        <v>940013</v>
      </c>
      <c r="C2236" s="2">
        <v>46120</v>
      </c>
      <c r="D2236" t="s">
        <v>17</v>
      </c>
      <c r="E2236" t="s">
        <v>8</v>
      </c>
      <c r="G2236" t="s">
        <v>9</v>
      </c>
      <c r="L2236">
        <f t="shared" si="171"/>
        <v>0</v>
      </c>
      <c r="M2236">
        <f t="shared" si="172"/>
        <v>0</v>
      </c>
      <c r="N2236">
        <f t="shared" si="173"/>
        <v>0</v>
      </c>
      <c r="O2236">
        <f t="shared" si="175"/>
        <v>1</v>
      </c>
      <c r="P2236" t="str">
        <f t="shared" si="174"/>
        <v/>
      </c>
      <c r="Q2236">
        <f>COUNTIF('責任職　企業局→市長部局'!A:A,SQLデータ!B2236)</f>
        <v>0</v>
      </c>
      <c r="R2236">
        <f>COUNTIF('一般職員　企業局→市長部局'!A:F,SQLデータ!B2236)</f>
        <v>0</v>
      </c>
    </row>
    <row r="2237" spans="1:18" x14ac:dyDescent="0.4">
      <c r="A2237" s="1">
        <v>202650002086</v>
      </c>
      <c r="B2237" s="1">
        <v>930093</v>
      </c>
      <c r="C2237" s="2">
        <v>46120</v>
      </c>
      <c r="D2237" t="s">
        <v>17</v>
      </c>
      <c r="E2237" t="s">
        <v>8</v>
      </c>
      <c r="G2237" t="s">
        <v>9</v>
      </c>
      <c r="L2237">
        <f t="shared" si="171"/>
        <v>0</v>
      </c>
      <c r="M2237">
        <f t="shared" si="172"/>
        <v>0</v>
      </c>
      <c r="N2237">
        <f t="shared" si="173"/>
        <v>0</v>
      </c>
      <c r="O2237">
        <f t="shared" si="175"/>
        <v>1</v>
      </c>
      <c r="P2237" t="str">
        <f t="shared" si="174"/>
        <v/>
      </c>
      <c r="Q2237">
        <f>COUNTIF('責任職　企業局→市長部局'!A:A,SQLデータ!B2237)</f>
        <v>0</v>
      </c>
      <c r="R2237">
        <f>COUNTIF('一般職員　企業局→市長部局'!A:F,SQLデータ!B2237)</f>
        <v>0</v>
      </c>
    </row>
    <row r="2238" spans="1:18" x14ac:dyDescent="0.4">
      <c r="A2238" s="1">
        <v>202650002087</v>
      </c>
      <c r="B2238" s="1">
        <v>1026024</v>
      </c>
      <c r="C2238" s="2">
        <v>46120</v>
      </c>
      <c r="D2238" t="s">
        <v>17</v>
      </c>
      <c r="E2238" t="s">
        <v>8</v>
      </c>
      <c r="G2238" t="s">
        <v>9</v>
      </c>
      <c r="L2238">
        <f t="shared" si="171"/>
        <v>0</v>
      </c>
      <c r="M2238">
        <f t="shared" si="172"/>
        <v>0</v>
      </c>
      <c r="N2238">
        <f t="shared" si="173"/>
        <v>0</v>
      </c>
      <c r="O2238">
        <f t="shared" si="175"/>
        <v>1</v>
      </c>
      <c r="P2238" t="str">
        <f t="shared" si="174"/>
        <v/>
      </c>
      <c r="Q2238">
        <f>COUNTIF('責任職　企業局→市長部局'!A:A,SQLデータ!B2238)</f>
        <v>0</v>
      </c>
      <c r="R2238">
        <f>COUNTIF('一般職員　企業局→市長部局'!A:F,SQLデータ!B2238)</f>
        <v>0</v>
      </c>
    </row>
    <row r="2239" spans="1:18" x14ac:dyDescent="0.4">
      <c r="A2239" s="1">
        <v>202650002088</v>
      </c>
      <c r="B2239" s="1">
        <v>991100</v>
      </c>
      <c r="C2239" s="2">
        <v>46114</v>
      </c>
      <c r="D2239" t="s">
        <v>17</v>
      </c>
      <c r="E2239" t="s">
        <v>8</v>
      </c>
      <c r="G2239" t="s">
        <v>9</v>
      </c>
      <c r="L2239">
        <f t="shared" si="171"/>
        <v>0</v>
      </c>
      <c r="M2239">
        <f t="shared" si="172"/>
        <v>0</v>
      </c>
      <c r="N2239">
        <f t="shared" si="173"/>
        <v>0</v>
      </c>
      <c r="O2239">
        <f t="shared" si="175"/>
        <v>1</v>
      </c>
      <c r="P2239" t="str">
        <f t="shared" si="174"/>
        <v/>
      </c>
      <c r="Q2239">
        <f>COUNTIF('責任職　企業局→市長部局'!A:A,SQLデータ!B2239)</f>
        <v>0</v>
      </c>
      <c r="R2239">
        <f>COUNTIF('一般職員　企業局→市長部局'!A:F,SQLデータ!B2239)</f>
        <v>0</v>
      </c>
    </row>
    <row r="2240" spans="1:18" x14ac:dyDescent="0.4">
      <c r="A2240" s="1">
        <v>202650002089</v>
      </c>
      <c r="B2240" s="1">
        <v>1036003</v>
      </c>
      <c r="C2240" s="2">
        <v>46120</v>
      </c>
      <c r="D2240" t="s">
        <v>17</v>
      </c>
      <c r="E2240" t="s">
        <v>8</v>
      </c>
      <c r="G2240" t="s">
        <v>9</v>
      </c>
      <c r="L2240">
        <f t="shared" si="171"/>
        <v>0</v>
      </c>
      <c r="M2240">
        <f t="shared" si="172"/>
        <v>0</v>
      </c>
      <c r="N2240">
        <f t="shared" si="173"/>
        <v>0</v>
      </c>
      <c r="O2240">
        <f t="shared" si="175"/>
        <v>1</v>
      </c>
      <c r="P2240" t="str">
        <f t="shared" si="174"/>
        <v/>
      </c>
      <c r="Q2240">
        <f>COUNTIF('責任職　企業局→市長部局'!A:A,SQLデータ!B2240)</f>
        <v>0</v>
      </c>
      <c r="R2240">
        <f>COUNTIF('一般職員　企業局→市長部局'!A:F,SQLデータ!B2240)</f>
        <v>0</v>
      </c>
    </row>
    <row r="2241" spans="1:18" x14ac:dyDescent="0.4">
      <c r="A2241" s="1">
        <v>202650002090</v>
      </c>
      <c r="B2241" s="1">
        <v>910064</v>
      </c>
      <c r="C2241" s="2">
        <v>46120</v>
      </c>
      <c r="D2241" t="s">
        <v>17</v>
      </c>
      <c r="E2241" t="s">
        <v>8</v>
      </c>
      <c r="G2241" t="s">
        <v>9</v>
      </c>
      <c r="L2241">
        <f t="shared" si="171"/>
        <v>0</v>
      </c>
      <c r="M2241">
        <f t="shared" si="172"/>
        <v>0</v>
      </c>
      <c r="N2241">
        <f t="shared" si="173"/>
        <v>0</v>
      </c>
      <c r="O2241">
        <f t="shared" si="175"/>
        <v>1</v>
      </c>
      <c r="P2241" t="str">
        <f t="shared" si="174"/>
        <v/>
      </c>
      <c r="Q2241">
        <f>COUNTIF('責任職　企業局→市長部局'!A:A,SQLデータ!B2241)</f>
        <v>0</v>
      </c>
      <c r="R2241">
        <f>COUNTIF('一般職員　企業局→市長部局'!A:F,SQLデータ!B2241)</f>
        <v>0</v>
      </c>
    </row>
    <row r="2242" spans="1:18" x14ac:dyDescent="0.4">
      <c r="A2242" s="1">
        <v>202650002091</v>
      </c>
      <c r="B2242" s="1">
        <v>1062010</v>
      </c>
      <c r="C2242" s="2">
        <v>46114</v>
      </c>
      <c r="D2242" t="s">
        <v>17</v>
      </c>
      <c r="E2242" t="s">
        <v>8</v>
      </c>
      <c r="G2242" t="s">
        <v>9</v>
      </c>
      <c r="L2242">
        <f t="shared" ref="L2242:L2305" si="176">IF(ISBLANK(J2242),0,1)</f>
        <v>0</v>
      </c>
      <c r="M2242">
        <f t="shared" ref="M2242:M2305" si="177">IF(AND(L2242=0,I2242&lt;&gt;""),1,0)</f>
        <v>0</v>
      </c>
      <c r="N2242">
        <f t="shared" ref="N2242:N2305" si="178">IF(AND(L2242=0,M2242=0,K2242&lt;&gt;""),1,0)</f>
        <v>0</v>
      </c>
      <c r="O2242">
        <f t="shared" si="175"/>
        <v>1</v>
      </c>
      <c r="P2242" t="str">
        <f t="shared" ref="P2242:P2305" si="179">IF(D2242&lt;&gt;"扶養","",IF(E2242&lt;&gt;"確認待ち",1,IF(OR(AND(G2242="本人の結婚",O2242=1),AND(H2242="減",OR(N2242=1,O2242=1))),1,0)))</f>
        <v/>
      </c>
      <c r="Q2242">
        <f>COUNTIF('責任職　企業局→市長部局'!A:A,SQLデータ!B2242)</f>
        <v>0</v>
      </c>
      <c r="R2242">
        <f>COUNTIF('一般職員　企業局→市長部局'!A:F,SQLデータ!B2242)</f>
        <v>0</v>
      </c>
    </row>
    <row r="2243" spans="1:18" x14ac:dyDescent="0.4">
      <c r="A2243" s="1">
        <v>202650002092</v>
      </c>
      <c r="B2243" s="1">
        <v>1091140</v>
      </c>
      <c r="C2243" s="2">
        <v>46114</v>
      </c>
      <c r="D2243" t="s">
        <v>17</v>
      </c>
      <c r="E2243" t="s">
        <v>8</v>
      </c>
      <c r="G2243" t="s">
        <v>9</v>
      </c>
      <c r="L2243">
        <f t="shared" si="176"/>
        <v>0</v>
      </c>
      <c r="M2243">
        <f t="shared" si="177"/>
        <v>0</v>
      </c>
      <c r="N2243">
        <f t="shared" si="178"/>
        <v>0</v>
      </c>
      <c r="O2243">
        <f t="shared" si="175"/>
        <v>1</v>
      </c>
      <c r="P2243" t="str">
        <f t="shared" si="179"/>
        <v/>
      </c>
      <c r="Q2243">
        <f>COUNTIF('責任職　企業局→市長部局'!A:A,SQLデータ!B2243)</f>
        <v>0</v>
      </c>
      <c r="R2243">
        <f>COUNTIF('一般職員　企業局→市長部局'!A:F,SQLデータ!B2243)</f>
        <v>0</v>
      </c>
    </row>
    <row r="2244" spans="1:18" x14ac:dyDescent="0.4">
      <c r="A2244" s="1">
        <v>202650002093</v>
      </c>
      <c r="B2244" s="1">
        <v>1111443</v>
      </c>
      <c r="C2244" s="2">
        <v>46120</v>
      </c>
      <c r="D2244" t="s">
        <v>17</v>
      </c>
      <c r="E2244" t="s">
        <v>8</v>
      </c>
      <c r="G2244" t="s">
        <v>9</v>
      </c>
      <c r="L2244">
        <f t="shared" si="176"/>
        <v>0</v>
      </c>
      <c r="M2244">
        <f t="shared" si="177"/>
        <v>0</v>
      </c>
      <c r="N2244">
        <f t="shared" si="178"/>
        <v>0</v>
      </c>
      <c r="O2244">
        <f t="shared" si="175"/>
        <v>1</v>
      </c>
      <c r="P2244" t="str">
        <f t="shared" si="179"/>
        <v/>
      </c>
      <c r="Q2244">
        <f>COUNTIF('責任職　企業局→市長部局'!A:A,SQLデータ!B2244)</f>
        <v>0</v>
      </c>
      <c r="R2244">
        <f>COUNTIF('一般職員　企業局→市長部局'!A:F,SQLデータ!B2244)</f>
        <v>0</v>
      </c>
    </row>
    <row r="2245" spans="1:18" x14ac:dyDescent="0.4">
      <c r="A2245" s="1">
        <v>202650002094</v>
      </c>
      <c r="B2245" s="1">
        <v>1171552</v>
      </c>
      <c r="C2245" s="2">
        <v>46120</v>
      </c>
      <c r="D2245" t="s">
        <v>17</v>
      </c>
      <c r="E2245" t="s">
        <v>8</v>
      </c>
      <c r="G2245" t="s">
        <v>9</v>
      </c>
      <c r="L2245">
        <f t="shared" si="176"/>
        <v>0</v>
      </c>
      <c r="M2245">
        <f t="shared" si="177"/>
        <v>0</v>
      </c>
      <c r="N2245">
        <f t="shared" si="178"/>
        <v>0</v>
      </c>
      <c r="O2245">
        <f t="shared" si="175"/>
        <v>1</v>
      </c>
      <c r="P2245" t="str">
        <f t="shared" si="179"/>
        <v/>
      </c>
      <c r="Q2245">
        <f>COUNTIF('責任職　企業局→市長部局'!A:A,SQLデータ!B2245)</f>
        <v>0</v>
      </c>
      <c r="R2245">
        <f>COUNTIF('一般職員　企業局→市長部局'!A:F,SQLデータ!B2245)</f>
        <v>0</v>
      </c>
    </row>
    <row r="2246" spans="1:18" x14ac:dyDescent="0.4">
      <c r="A2246" s="1">
        <v>202650002095</v>
      </c>
      <c r="B2246" s="1">
        <v>1051071</v>
      </c>
      <c r="C2246" s="2">
        <v>46114</v>
      </c>
      <c r="D2246" t="s">
        <v>17</v>
      </c>
      <c r="E2246" t="s">
        <v>8</v>
      </c>
      <c r="G2246" t="s">
        <v>9</v>
      </c>
      <c r="L2246">
        <f t="shared" si="176"/>
        <v>0</v>
      </c>
      <c r="M2246">
        <f t="shared" si="177"/>
        <v>0</v>
      </c>
      <c r="N2246">
        <f t="shared" si="178"/>
        <v>0</v>
      </c>
      <c r="O2246">
        <f t="shared" si="175"/>
        <v>1</v>
      </c>
      <c r="P2246" t="str">
        <f t="shared" si="179"/>
        <v/>
      </c>
      <c r="Q2246">
        <f>COUNTIF('責任職　企業局→市長部局'!A:A,SQLデータ!B2246)</f>
        <v>0</v>
      </c>
      <c r="R2246">
        <f>COUNTIF('一般職員　企業局→市長部局'!A:F,SQLデータ!B2246)</f>
        <v>0</v>
      </c>
    </row>
    <row r="2247" spans="1:18" x14ac:dyDescent="0.4">
      <c r="A2247" s="1">
        <v>202650002096</v>
      </c>
      <c r="B2247" s="1">
        <v>940245</v>
      </c>
      <c r="C2247" s="2">
        <v>46120</v>
      </c>
      <c r="D2247" t="s">
        <v>17</v>
      </c>
      <c r="E2247" t="s">
        <v>8</v>
      </c>
      <c r="G2247" t="s">
        <v>9</v>
      </c>
      <c r="L2247">
        <f t="shared" si="176"/>
        <v>0</v>
      </c>
      <c r="M2247">
        <f t="shared" si="177"/>
        <v>0</v>
      </c>
      <c r="N2247">
        <f t="shared" si="178"/>
        <v>0</v>
      </c>
      <c r="O2247">
        <f t="shared" si="175"/>
        <v>1</v>
      </c>
      <c r="P2247" t="str">
        <f t="shared" si="179"/>
        <v/>
      </c>
      <c r="Q2247">
        <f>COUNTIF('責任職　企業局→市長部局'!A:A,SQLデータ!B2247)</f>
        <v>0</v>
      </c>
      <c r="R2247">
        <f>COUNTIF('一般職員　企業局→市長部局'!A:F,SQLデータ!B2247)</f>
        <v>0</v>
      </c>
    </row>
    <row r="2248" spans="1:18" x14ac:dyDescent="0.4">
      <c r="A2248" s="1">
        <v>202650002097</v>
      </c>
      <c r="B2248" s="1">
        <v>1091010</v>
      </c>
      <c r="C2248" s="2">
        <v>46114</v>
      </c>
      <c r="D2248" t="s">
        <v>17</v>
      </c>
      <c r="E2248" t="s">
        <v>8</v>
      </c>
      <c r="G2248" t="s">
        <v>9</v>
      </c>
      <c r="L2248">
        <f t="shared" si="176"/>
        <v>0</v>
      </c>
      <c r="M2248">
        <f t="shared" si="177"/>
        <v>0</v>
      </c>
      <c r="N2248">
        <f t="shared" si="178"/>
        <v>0</v>
      </c>
      <c r="O2248">
        <f t="shared" si="175"/>
        <v>1</v>
      </c>
      <c r="P2248" t="str">
        <f t="shared" si="179"/>
        <v/>
      </c>
      <c r="Q2248">
        <f>COUNTIF('責任職　企業局→市長部局'!A:A,SQLデータ!B2248)</f>
        <v>0</v>
      </c>
      <c r="R2248">
        <f>COUNTIF('一般職員　企業局→市長部局'!A:F,SQLデータ!B2248)</f>
        <v>0</v>
      </c>
    </row>
    <row r="2249" spans="1:18" x14ac:dyDescent="0.4">
      <c r="A2249" s="1">
        <v>202650002098</v>
      </c>
      <c r="B2249" s="1">
        <v>1081153</v>
      </c>
      <c r="C2249" s="2">
        <v>46114</v>
      </c>
      <c r="D2249" t="s">
        <v>17</v>
      </c>
      <c r="E2249" t="s">
        <v>8</v>
      </c>
      <c r="G2249" t="s">
        <v>9</v>
      </c>
      <c r="L2249">
        <f t="shared" si="176"/>
        <v>0</v>
      </c>
      <c r="M2249">
        <f t="shared" si="177"/>
        <v>0</v>
      </c>
      <c r="N2249">
        <f t="shared" si="178"/>
        <v>0</v>
      </c>
      <c r="O2249">
        <f t="shared" ref="O2249:O2312" si="180">IF(COUNTIF(L2249:N2249,0)=3,1,0)</f>
        <v>1</v>
      </c>
      <c r="P2249" t="str">
        <f t="shared" si="179"/>
        <v/>
      </c>
      <c r="Q2249">
        <f>COUNTIF('責任職　企業局→市長部局'!A:A,SQLデータ!B2249)</f>
        <v>0</v>
      </c>
      <c r="R2249">
        <f>COUNTIF('一般職員　企業局→市長部局'!A:F,SQLデータ!B2249)</f>
        <v>0</v>
      </c>
    </row>
    <row r="2250" spans="1:18" x14ac:dyDescent="0.4">
      <c r="A2250" s="1">
        <v>202650002099</v>
      </c>
      <c r="B2250" s="1">
        <v>1041100</v>
      </c>
      <c r="C2250" s="2">
        <v>46114</v>
      </c>
      <c r="D2250" t="s">
        <v>17</v>
      </c>
      <c r="E2250" t="s">
        <v>8</v>
      </c>
      <c r="G2250" t="s">
        <v>9</v>
      </c>
      <c r="L2250">
        <f t="shared" si="176"/>
        <v>0</v>
      </c>
      <c r="M2250">
        <f t="shared" si="177"/>
        <v>0</v>
      </c>
      <c r="N2250">
        <f t="shared" si="178"/>
        <v>0</v>
      </c>
      <c r="O2250">
        <f t="shared" si="180"/>
        <v>1</v>
      </c>
      <c r="P2250" t="str">
        <f t="shared" si="179"/>
        <v/>
      </c>
      <c r="Q2250">
        <f>COUNTIF('責任職　企業局→市長部局'!A:A,SQLデータ!B2250)</f>
        <v>0</v>
      </c>
      <c r="R2250">
        <f>COUNTIF('一般職員　企業局→市長部局'!A:F,SQLデータ!B2250)</f>
        <v>0</v>
      </c>
    </row>
    <row r="2251" spans="1:18" x14ac:dyDescent="0.4">
      <c r="A2251" s="1">
        <v>202650002100</v>
      </c>
      <c r="B2251" s="1">
        <v>880236</v>
      </c>
      <c r="C2251" s="2">
        <v>46120</v>
      </c>
      <c r="D2251" t="s">
        <v>17</v>
      </c>
      <c r="E2251" t="s">
        <v>8</v>
      </c>
      <c r="G2251" t="s">
        <v>9</v>
      </c>
      <c r="L2251">
        <f t="shared" si="176"/>
        <v>0</v>
      </c>
      <c r="M2251">
        <f t="shared" si="177"/>
        <v>0</v>
      </c>
      <c r="N2251">
        <f t="shared" si="178"/>
        <v>0</v>
      </c>
      <c r="O2251">
        <f t="shared" si="180"/>
        <v>1</v>
      </c>
      <c r="P2251" t="str">
        <f t="shared" si="179"/>
        <v/>
      </c>
      <c r="Q2251">
        <f>COUNTIF('責任職　企業局→市長部局'!A:A,SQLデータ!B2251)</f>
        <v>0</v>
      </c>
      <c r="R2251">
        <f>COUNTIF('一般職員　企業局→市長部局'!A:F,SQLデータ!B2251)</f>
        <v>0</v>
      </c>
    </row>
    <row r="2252" spans="1:18" x14ac:dyDescent="0.4">
      <c r="A2252" s="1">
        <v>202650002101</v>
      </c>
      <c r="B2252" s="1">
        <v>1126054</v>
      </c>
      <c r="C2252" s="2">
        <v>46120</v>
      </c>
      <c r="D2252" t="s">
        <v>17</v>
      </c>
      <c r="E2252" t="s">
        <v>8</v>
      </c>
      <c r="G2252" t="s">
        <v>9</v>
      </c>
      <c r="L2252">
        <f t="shared" si="176"/>
        <v>0</v>
      </c>
      <c r="M2252">
        <f t="shared" si="177"/>
        <v>0</v>
      </c>
      <c r="N2252">
        <f t="shared" si="178"/>
        <v>0</v>
      </c>
      <c r="O2252">
        <f t="shared" si="180"/>
        <v>1</v>
      </c>
      <c r="P2252" t="str">
        <f t="shared" si="179"/>
        <v/>
      </c>
      <c r="Q2252">
        <f>COUNTIF('責任職　企業局→市長部局'!A:A,SQLデータ!B2252)</f>
        <v>0</v>
      </c>
      <c r="R2252">
        <f>COUNTIF('一般職員　企業局→市長部局'!A:F,SQLデータ!B2252)</f>
        <v>0</v>
      </c>
    </row>
    <row r="2253" spans="1:18" x14ac:dyDescent="0.4">
      <c r="A2253" s="1">
        <v>202650002102</v>
      </c>
      <c r="B2253" s="1">
        <v>960035</v>
      </c>
      <c r="C2253" s="2">
        <v>46120</v>
      </c>
      <c r="D2253" t="s">
        <v>17</v>
      </c>
      <c r="E2253" t="s">
        <v>8</v>
      </c>
      <c r="G2253" t="s">
        <v>9</v>
      </c>
      <c r="L2253">
        <f t="shared" si="176"/>
        <v>0</v>
      </c>
      <c r="M2253">
        <f t="shared" si="177"/>
        <v>0</v>
      </c>
      <c r="N2253">
        <f t="shared" si="178"/>
        <v>0</v>
      </c>
      <c r="O2253">
        <f t="shared" si="180"/>
        <v>1</v>
      </c>
      <c r="P2253" t="str">
        <f t="shared" si="179"/>
        <v/>
      </c>
      <c r="Q2253">
        <f>COUNTIF('責任職　企業局→市長部局'!A:A,SQLデータ!B2253)</f>
        <v>0</v>
      </c>
      <c r="R2253">
        <f>COUNTIF('一般職員　企業局→市長部局'!A:F,SQLデータ!B2253)</f>
        <v>0</v>
      </c>
    </row>
    <row r="2254" spans="1:18" x14ac:dyDescent="0.4">
      <c r="A2254" s="1">
        <v>202650002103</v>
      </c>
      <c r="B2254" s="1">
        <v>1201329</v>
      </c>
      <c r="C2254" s="2">
        <v>46114</v>
      </c>
      <c r="D2254" t="s">
        <v>17</v>
      </c>
      <c r="E2254" t="s">
        <v>8</v>
      </c>
      <c r="G2254" t="s">
        <v>9</v>
      </c>
      <c r="L2254">
        <f t="shared" si="176"/>
        <v>0</v>
      </c>
      <c r="M2254">
        <f t="shared" si="177"/>
        <v>0</v>
      </c>
      <c r="N2254">
        <f t="shared" si="178"/>
        <v>0</v>
      </c>
      <c r="O2254">
        <f t="shared" si="180"/>
        <v>1</v>
      </c>
      <c r="P2254" t="str">
        <f t="shared" si="179"/>
        <v/>
      </c>
      <c r="Q2254">
        <f>COUNTIF('責任職　企業局→市長部局'!A:A,SQLデータ!B2254)</f>
        <v>0</v>
      </c>
      <c r="R2254">
        <f>COUNTIF('一般職員　企業局→市長部局'!A:F,SQLデータ!B2254)</f>
        <v>0</v>
      </c>
    </row>
    <row r="2255" spans="1:18" x14ac:dyDescent="0.4">
      <c r="A2255" s="1">
        <v>202650002104</v>
      </c>
      <c r="B2255" s="1">
        <v>1191292</v>
      </c>
      <c r="C2255" s="2">
        <v>46114</v>
      </c>
      <c r="D2255" t="s">
        <v>17</v>
      </c>
      <c r="E2255" t="s">
        <v>8</v>
      </c>
      <c r="G2255" t="s">
        <v>9</v>
      </c>
      <c r="L2255">
        <f t="shared" si="176"/>
        <v>0</v>
      </c>
      <c r="M2255">
        <f t="shared" si="177"/>
        <v>0</v>
      </c>
      <c r="N2255">
        <f t="shared" si="178"/>
        <v>0</v>
      </c>
      <c r="O2255">
        <f t="shared" si="180"/>
        <v>1</v>
      </c>
      <c r="P2255" t="str">
        <f t="shared" si="179"/>
        <v/>
      </c>
      <c r="Q2255">
        <f>COUNTIF('責任職　企業局→市長部局'!A:A,SQLデータ!B2255)</f>
        <v>0</v>
      </c>
      <c r="R2255">
        <f>COUNTIF('一般職員　企業局→市長部局'!A:F,SQLデータ!B2255)</f>
        <v>0</v>
      </c>
    </row>
    <row r="2256" spans="1:18" x14ac:dyDescent="0.4">
      <c r="A2256" s="1">
        <v>202650002105</v>
      </c>
      <c r="B2256" s="1">
        <v>5087973</v>
      </c>
      <c r="C2256" s="2">
        <v>46120</v>
      </c>
      <c r="D2256" t="s">
        <v>17</v>
      </c>
      <c r="E2256" t="s">
        <v>8</v>
      </c>
      <c r="G2256" t="s">
        <v>9</v>
      </c>
      <c r="L2256">
        <f t="shared" si="176"/>
        <v>0</v>
      </c>
      <c r="M2256">
        <f t="shared" si="177"/>
        <v>0</v>
      </c>
      <c r="N2256">
        <f t="shared" si="178"/>
        <v>0</v>
      </c>
      <c r="O2256">
        <f t="shared" si="180"/>
        <v>1</v>
      </c>
      <c r="P2256" t="str">
        <f t="shared" si="179"/>
        <v/>
      </c>
      <c r="Q2256">
        <f>COUNTIF('責任職　企業局→市長部局'!A:A,SQLデータ!B2256)</f>
        <v>0</v>
      </c>
      <c r="R2256">
        <f>COUNTIF('一般職員　企業局→市長部局'!A:F,SQLデータ!B2256)</f>
        <v>0</v>
      </c>
    </row>
    <row r="2257" spans="1:18" x14ac:dyDescent="0.4">
      <c r="A2257" s="1">
        <v>202650002106</v>
      </c>
      <c r="B2257" s="1">
        <v>1132037</v>
      </c>
      <c r="C2257" s="2">
        <v>46114</v>
      </c>
      <c r="D2257" t="s">
        <v>17</v>
      </c>
      <c r="E2257" t="s">
        <v>8</v>
      </c>
      <c r="G2257" t="s">
        <v>9</v>
      </c>
      <c r="L2257">
        <f t="shared" si="176"/>
        <v>0</v>
      </c>
      <c r="M2257">
        <f t="shared" si="177"/>
        <v>0</v>
      </c>
      <c r="N2257">
        <f t="shared" si="178"/>
        <v>0</v>
      </c>
      <c r="O2257">
        <f t="shared" si="180"/>
        <v>1</v>
      </c>
      <c r="P2257" t="str">
        <f t="shared" si="179"/>
        <v/>
      </c>
      <c r="Q2257">
        <f>COUNTIF('責任職　企業局→市長部局'!A:A,SQLデータ!B2257)</f>
        <v>0</v>
      </c>
      <c r="R2257">
        <f>COUNTIF('一般職員　企業局→市長部局'!A:F,SQLデータ!B2257)</f>
        <v>0</v>
      </c>
    </row>
    <row r="2258" spans="1:18" x14ac:dyDescent="0.4">
      <c r="A2258" s="1">
        <v>202650002107</v>
      </c>
      <c r="B2258" s="1">
        <v>1081060</v>
      </c>
      <c r="C2258" s="2">
        <v>46120</v>
      </c>
      <c r="D2258" t="s">
        <v>17</v>
      </c>
      <c r="E2258" t="s">
        <v>8</v>
      </c>
      <c r="G2258" t="s">
        <v>9</v>
      </c>
      <c r="L2258">
        <f t="shared" si="176"/>
        <v>0</v>
      </c>
      <c r="M2258">
        <f t="shared" si="177"/>
        <v>0</v>
      </c>
      <c r="N2258">
        <f t="shared" si="178"/>
        <v>0</v>
      </c>
      <c r="O2258">
        <f t="shared" si="180"/>
        <v>1</v>
      </c>
      <c r="P2258" t="str">
        <f t="shared" si="179"/>
        <v/>
      </c>
      <c r="Q2258">
        <f>COUNTIF('責任職　企業局→市長部局'!A:A,SQLデータ!B2258)</f>
        <v>0</v>
      </c>
      <c r="R2258">
        <f>COUNTIF('一般職員　企業局→市長部局'!A:F,SQLデータ!B2258)</f>
        <v>0</v>
      </c>
    </row>
    <row r="2259" spans="1:18" x14ac:dyDescent="0.4">
      <c r="A2259" s="1">
        <v>202650002108</v>
      </c>
      <c r="B2259" s="1">
        <v>1162053</v>
      </c>
      <c r="C2259" s="2">
        <v>46114</v>
      </c>
      <c r="D2259" t="s">
        <v>17</v>
      </c>
      <c r="E2259" t="s">
        <v>8</v>
      </c>
      <c r="G2259" t="s">
        <v>9</v>
      </c>
      <c r="L2259">
        <f t="shared" si="176"/>
        <v>0</v>
      </c>
      <c r="M2259">
        <f t="shared" si="177"/>
        <v>0</v>
      </c>
      <c r="N2259">
        <f t="shared" si="178"/>
        <v>0</v>
      </c>
      <c r="O2259">
        <f t="shared" si="180"/>
        <v>1</v>
      </c>
      <c r="P2259" t="str">
        <f t="shared" si="179"/>
        <v/>
      </c>
      <c r="Q2259">
        <f>COUNTIF('責任職　企業局→市長部局'!A:A,SQLデータ!B2259)</f>
        <v>0</v>
      </c>
      <c r="R2259">
        <f>COUNTIF('一般職員　企業局→市長部局'!A:F,SQLデータ!B2259)</f>
        <v>0</v>
      </c>
    </row>
    <row r="2260" spans="1:18" x14ac:dyDescent="0.4">
      <c r="A2260" s="1">
        <v>202650002109</v>
      </c>
      <c r="B2260" s="1">
        <v>1166021</v>
      </c>
      <c r="C2260" s="2">
        <v>46120</v>
      </c>
      <c r="D2260" t="s">
        <v>17</v>
      </c>
      <c r="E2260" t="s">
        <v>8</v>
      </c>
      <c r="G2260" t="s">
        <v>9</v>
      </c>
      <c r="L2260">
        <f t="shared" si="176"/>
        <v>0</v>
      </c>
      <c r="M2260">
        <f t="shared" si="177"/>
        <v>0</v>
      </c>
      <c r="N2260">
        <f t="shared" si="178"/>
        <v>0</v>
      </c>
      <c r="O2260">
        <f t="shared" si="180"/>
        <v>1</v>
      </c>
      <c r="P2260" t="str">
        <f t="shared" si="179"/>
        <v/>
      </c>
      <c r="Q2260">
        <f>COUNTIF('責任職　企業局→市長部局'!A:A,SQLデータ!B2260)</f>
        <v>0</v>
      </c>
      <c r="R2260">
        <f>COUNTIF('一般職員　企業局→市長部局'!A:F,SQLデータ!B2260)</f>
        <v>0</v>
      </c>
    </row>
    <row r="2261" spans="1:18" x14ac:dyDescent="0.4">
      <c r="A2261" s="1">
        <v>202650002110</v>
      </c>
      <c r="B2261" s="1">
        <v>1106067</v>
      </c>
      <c r="C2261" s="2">
        <v>46114</v>
      </c>
      <c r="D2261" t="s">
        <v>17</v>
      </c>
      <c r="E2261" t="s">
        <v>8</v>
      </c>
      <c r="G2261" t="s">
        <v>9</v>
      </c>
      <c r="L2261">
        <f t="shared" si="176"/>
        <v>0</v>
      </c>
      <c r="M2261">
        <f t="shared" si="177"/>
        <v>0</v>
      </c>
      <c r="N2261">
        <f t="shared" si="178"/>
        <v>0</v>
      </c>
      <c r="O2261">
        <f t="shared" si="180"/>
        <v>1</v>
      </c>
      <c r="P2261" t="str">
        <f t="shared" si="179"/>
        <v/>
      </c>
      <c r="Q2261">
        <f>COUNTIF('責任職　企業局→市長部局'!A:A,SQLデータ!B2261)</f>
        <v>0</v>
      </c>
      <c r="R2261">
        <f>COUNTIF('一般職員　企業局→市長部局'!A:F,SQLデータ!B2261)</f>
        <v>0</v>
      </c>
    </row>
    <row r="2262" spans="1:18" x14ac:dyDescent="0.4">
      <c r="A2262" s="1">
        <v>202650002111</v>
      </c>
      <c r="B2262" s="1">
        <v>1056008</v>
      </c>
      <c r="C2262" s="2">
        <v>46120</v>
      </c>
      <c r="D2262" t="s">
        <v>17</v>
      </c>
      <c r="E2262" t="s">
        <v>8</v>
      </c>
      <c r="G2262" t="s">
        <v>9</v>
      </c>
      <c r="L2262">
        <f t="shared" si="176"/>
        <v>0</v>
      </c>
      <c r="M2262">
        <f t="shared" si="177"/>
        <v>0</v>
      </c>
      <c r="N2262">
        <f t="shared" si="178"/>
        <v>0</v>
      </c>
      <c r="O2262">
        <f t="shared" si="180"/>
        <v>1</v>
      </c>
      <c r="P2262" t="str">
        <f t="shared" si="179"/>
        <v/>
      </c>
      <c r="Q2262">
        <f>COUNTIF('責任職　企業局→市長部局'!A:A,SQLデータ!B2262)</f>
        <v>0</v>
      </c>
      <c r="R2262">
        <f>COUNTIF('一般職員　企業局→市長部局'!A:F,SQLデータ!B2262)</f>
        <v>0</v>
      </c>
    </row>
    <row r="2263" spans="1:18" x14ac:dyDescent="0.4">
      <c r="A2263" s="1">
        <v>202650002112</v>
      </c>
      <c r="B2263" s="1">
        <v>1141123</v>
      </c>
      <c r="C2263" s="2">
        <v>46120</v>
      </c>
      <c r="D2263" t="s">
        <v>17</v>
      </c>
      <c r="E2263" t="s">
        <v>8</v>
      </c>
      <c r="G2263" t="s">
        <v>9</v>
      </c>
      <c r="L2263">
        <f t="shared" si="176"/>
        <v>0</v>
      </c>
      <c r="M2263">
        <f t="shared" si="177"/>
        <v>0</v>
      </c>
      <c r="N2263">
        <f t="shared" si="178"/>
        <v>0</v>
      </c>
      <c r="O2263">
        <f t="shared" si="180"/>
        <v>1</v>
      </c>
      <c r="P2263" t="str">
        <f t="shared" si="179"/>
        <v/>
      </c>
      <c r="Q2263">
        <f>COUNTIF('責任職　企業局→市長部局'!A:A,SQLデータ!B2263)</f>
        <v>0</v>
      </c>
      <c r="R2263">
        <f>COUNTIF('一般職員　企業局→市長部局'!A:F,SQLデータ!B2263)</f>
        <v>0</v>
      </c>
    </row>
    <row r="2264" spans="1:18" x14ac:dyDescent="0.4">
      <c r="A2264" s="1">
        <v>202650002113</v>
      </c>
      <c r="B2264" s="1">
        <v>1071232</v>
      </c>
      <c r="C2264" s="2">
        <v>46120</v>
      </c>
      <c r="D2264" t="s">
        <v>17</v>
      </c>
      <c r="E2264" t="s">
        <v>8</v>
      </c>
      <c r="G2264" t="s">
        <v>9</v>
      </c>
      <c r="L2264">
        <f t="shared" si="176"/>
        <v>0</v>
      </c>
      <c r="M2264">
        <f t="shared" si="177"/>
        <v>0</v>
      </c>
      <c r="N2264">
        <f t="shared" si="178"/>
        <v>0</v>
      </c>
      <c r="O2264">
        <f t="shared" si="180"/>
        <v>1</v>
      </c>
      <c r="P2264" t="str">
        <f t="shared" si="179"/>
        <v/>
      </c>
      <c r="Q2264">
        <f>COUNTIF('責任職　企業局→市長部局'!A:A,SQLデータ!B2264)</f>
        <v>0</v>
      </c>
      <c r="R2264">
        <f>COUNTIF('一般職員　企業局→市長部局'!A:F,SQLデータ!B2264)</f>
        <v>0</v>
      </c>
    </row>
    <row r="2265" spans="1:18" x14ac:dyDescent="0.4">
      <c r="A2265" s="1">
        <v>202650002114</v>
      </c>
      <c r="B2265" s="1">
        <v>1126025</v>
      </c>
      <c r="C2265" s="2">
        <v>46120</v>
      </c>
      <c r="D2265" t="s">
        <v>17</v>
      </c>
      <c r="E2265" t="s">
        <v>8</v>
      </c>
      <c r="G2265" t="s">
        <v>9</v>
      </c>
      <c r="L2265">
        <f t="shared" si="176"/>
        <v>0</v>
      </c>
      <c r="M2265">
        <f t="shared" si="177"/>
        <v>0</v>
      </c>
      <c r="N2265">
        <f t="shared" si="178"/>
        <v>0</v>
      </c>
      <c r="O2265">
        <f t="shared" si="180"/>
        <v>1</v>
      </c>
      <c r="P2265" t="str">
        <f t="shared" si="179"/>
        <v/>
      </c>
      <c r="Q2265">
        <f>COUNTIF('責任職　企業局→市長部局'!A:A,SQLデータ!B2265)</f>
        <v>0</v>
      </c>
      <c r="R2265">
        <f>COUNTIF('一般職員　企業局→市長部局'!A:F,SQLデータ!B2265)</f>
        <v>0</v>
      </c>
    </row>
    <row r="2266" spans="1:18" x14ac:dyDescent="0.4">
      <c r="A2266" s="1">
        <v>202650002115</v>
      </c>
      <c r="B2266" s="1">
        <v>1126111</v>
      </c>
      <c r="C2266" s="2">
        <v>46114</v>
      </c>
      <c r="D2266" t="s">
        <v>17</v>
      </c>
      <c r="E2266" t="s">
        <v>8</v>
      </c>
      <c r="G2266" t="s">
        <v>9</v>
      </c>
      <c r="L2266">
        <f t="shared" si="176"/>
        <v>0</v>
      </c>
      <c r="M2266">
        <f t="shared" si="177"/>
        <v>0</v>
      </c>
      <c r="N2266">
        <f t="shared" si="178"/>
        <v>0</v>
      </c>
      <c r="O2266">
        <f t="shared" si="180"/>
        <v>1</v>
      </c>
      <c r="P2266" t="str">
        <f t="shared" si="179"/>
        <v/>
      </c>
      <c r="Q2266">
        <f>COUNTIF('責任職　企業局→市長部局'!A:A,SQLデータ!B2266)</f>
        <v>0</v>
      </c>
      <c r="R2266">
        <f>COUNTIF('一般職員　企業局→市長部局'!A:F,SQLデータ!B2266)</f>
        <v>0</v>
      </c>
    </row>
    <row r="2267" spans="1:18" x14ac:dyDescent="0.4">
      <c r="A2267" s="1">
        <v>202650002116</v>
      </c>
      <c r="B2267" s="1">
        <v>870110</v>
      </c>
      <c r="C2267" s="2">
        <v>46120</v>
      </c>
      <c r="D2267" t="s">
        <v>17</v>
      </c>
      <c r="E2267" t="s">
        <v>8</v>
      </c>
      <c r="G2267" t="s">
        <v>9</v>
      </c>
      <c r="L2267">
        <f t="shared" si="176"/>
        <v>0</v>
      </c>
      <c r="M2267">
        <f t="shared" si="177"/>
        <v>0</v>
      </c>
      <c r="N2267">
        <f t="shared" si="178"/>
        <v>0</v>
      </c>
      <c r="O2267">
        <f t="shared" si="180"/>
        <v>1</v>
      </c>
      <c r="P2267" t="str">
        <f t="shared" si="179"/>
        <v/>
      </c>
      <c r="Q2267">
        <f>COUNTIF('責任職　企業局→市長部局'!A:A,SQLデータ!B2267)</f>
        <v>0</v>
      </c>
      <c r="R2267">
        <f>COUNTIF('一般職員　企業局→市長部局'!A:F,SQLデータ!B2267)</f>
        <v>0</v>
      </c>
    </row>
    <row r="2268" spans="1:18" x14ac:dyDescent="0.4">
      <c r="A2268" s="1">
        <v>202650002117</v>
      </c>
      <c r="B2268" s="1">
        <v>1124051</v>
      </c>
      <c r="C2268" s="2">
        <v>46113</v>
      </c>
      <c r="D2268" t="s">
        <v>17</v>
      </c>
      <c r="E2268" t="s">
        <v>8</v>
      </c>
      <c r="G2268" t="s">
        <v>9</v>
      </c>
      <c r="L2268">
        <f t="shared" si="176"/>
        <v>0</v>
      </c>
      <c r="M2268">
        <f t="shared" si="177"/>
        <v>0</v>
      </c>
      <c r="N2268">
        <f t="shared" si="178"/>
        <v>0</v>
      </c>
      <c r="O2268">
        <f t="shared" si="180"/>
        <v>1</v>
      </c>
      <c r="P2268" t="str">
        <f t="shared" si="179"/>
        <v/>
      </c>
      <c r="Q2268">
        <f>COUNTIF('責任職　企業局→市長部局'!A:A,SQLデータ!B2268)</f>
        <v>0</v>
      </c>
      <c r="R2268">
        <f>COUNTIF('一般職員　企業局→市長部局'!A:F,SQLデータ!B2268)</f>
        <v>0</v>
      </c>
    </row>
    <row r="2269" spans="1:18" x14ac:dyDescent="0.4">
      <c r="A2269" s="1">
        <v>202650002118</v>
      </c>
      <c r="B2269" s="1">
        <v>5015580</v>
      </c>
      <c r="C2269" s="2">
        <v>46120</v>
      </c>
      <c r="D2269" t="s">
        <v>17</v>
      </c>
      <c r="E2269" t="s">
        <v>8</v>
      </c>
      <c r="F2269" t="s">
        <v>54</v>
      </c>
      <c r="G2269" t="s">
        <v>9</v>
      </c>
      <c r="L2269">
        <f t="shared" si="176"/>
        <v>0</v>
      </c>
      <c r="M2269">
        <f t="shared" si="177"/>
        <v>0</v>
      </c>
      <c r="N2269">
        <f t="shared" si="178"/>
        <v>0</v>
      </c>
      <c r="O2269">
        <f t="shared" si="180"/>
        <v>1</v>
      </c>
      <c r="P2269" t="str">
        <f t="shared" si="179"/>
        <v/>
      </c>
      <c r="Q2269">
        <f>COUNTIF('責任職　企業局→市長部局'!A:A,SQLデータ!B2269)</f>
        <v>0</v>
      </c>
      <c r="R2269">
        <f>COUNTIF('一般職員　企業局→市長部局'!A:F,SQLデータ!B2269)</f>
        <v>0</v>
      </c>
    </row>
    <row r="2270" spans="1:18" x14ac:dyDescent="0.4">
      <c r="A2270" s="1">
        <v>202650002120</v>
      </c>
      <c r="B2270" s="1">
        <v>1166066</v>
      </c>
      <c r="C2270" s="2">
        <v>46122</v>
      </c>
      <c r="D2270" t="s">
        <v>17</v>
      </c>
      <c r="E2270" t="s">
        <v>8</v>
      </c>
      <c r="G2270" t="s">
        <v>9</v>
      </c>
      <c r="L2270">
        <f t="shared" si="176"/>
        <v>0</v>
      </c>
      <c r="M2270">
        <f t="shared" si="177"/>
        <v>0</v>
      </c>
      <c r="N2270">
        <f t="shared" si="178"/>
        <v>0</v>
      </c>
      <c r="O2270">
        <f t="shared" si="180"/>
        <v>1</v>
      </c>
      <c r="P2270" t="str">
        <f t="shared" si="179"/>
        <v/>
      </c>
      <c r="Q2270">
        <f>COUNTIF('責任職　企業局→市長部局'!A:A,SQLデータ!B2270)</f>
        <v>0</v>
      </c>
      <c r="R2270">
        <f>COUNTIF('一般職員　企業局→市長部局'!A:F,SQLデータ!B2270)</f>
        <v>0</v>
      </c>
    </row>
    <row r="2271" spans="1:18" x14ac:dyDescent="0.4">
      <c r="A2271" s="1">
        <v>202650002121</v>
      </c>
      <c r="B2271" s="1">
        <v>880305</v>
      </c>
      <c r="C2271" s="2">
        <v>46120</v>
      </c>
      <c r="D2271" t="s">
        <v>17</v>
      </c>
      <c r="E2271" t="s">
        <v>8</v>
      </c>
      <c r="G2271" t="s">
        <v>9</v>
      </c>
      <c r="L2271">
        <f t="shared" si="176"/>
        <v>0</v>
      </c>
      <c r="M2271">
        <f t="shared" si="177"/>
        <v>0</v>
      </c>
      <c r="N2271">
        <f t="shared" si="178"/>
        <v>0</v>
      </c>
      <c r="O2271">
        <f t="shared" si="180"/>
        <v>1</v>
      </c>
      <c r="P2271" t="str">
        <f t="shared" si="179"/>
        <v/>
      </c>
      <c r="Q2271">
        <f>COUNTIF('責任職　企業局→市長部局'!A:A,SQLデータ!B2271)</f>
        <v>0</v>
      </c>
      <c r="R2271">
        <f>COUNTIF('一般職員　企業局→市長部局'!A:F,SQLデータ!B2271)</f>
        <v>0</v>
      </c>
    </row>
    <row r="2272" spans="1:18" x14ac:dyDescent="0.4">
      <c r="A2272" s="1">
        <v>202650002122</v>
      </c>
      <c r="B2272" s="1">
        <v>1086075</v>
      </c>
      <c r="C2272" s="2">
        <v>46120</v>
      </c>
      <c r="D2272" t="s">
        <v>17</v>
      </c>
      <c r="E2272" t="s">
        <v>8</v>
      </c>
      <c r="G2272" t="s">
        <v>9</v>
      </c>
      <c r="L2272">
        <f t="shared" si="176"/>
        <v>0</v>
      </c>
      <c r="M2272">
        <f t="shared" si="177"/>
        <v>0</v>
      </c>
      <c r="N2272">
        <f t="shared" si="178"/>
        <v>0</v>
      </c>
      <c r="O2272">
        <f t="shared" si="180"/>
        <v>1</v>
      </c>
      <c r="P2272" t="str">
        <f t="shared" si="179"/>
        <v/>
      </c>
      <c r="Q2272">
        <f>COUNTIF('責任職　企業局→市長部局'!A:A,SQLデータ!B2272)</f>
        <v>0</v>
      </c>
      <c r="R2272">
        <f>COUNTIF('一般職員　企業局→市長部局'!A:F,SQLデータ!B2272)</f>
        <v>0</v>
      </c>
    </row>
    <row r="2273" spans="1:18" x14ac:dyDescent="0.4">
      <c r="A2273" s="1">
        <v>202650002123</v>
      </c>
      <c r="B2273" s="1">
        <v>1056030</v>
      </c>
      <c r="C2273" s="2">
        <v>46120</v>
      </c>
      <c r="D2273" t="s">
        <v>17</v>
      </c>
      <c r="E2273" t="s">
        <v>8</v>
      </c>
      <c r="G2273" t="s">
        <v>9</v>
      </c>
      <c r="L2273">
        <f t="shared" si="176"/>
        <v>0</v>
      </c>
      <c r="M2273">
        <f t="shared" si="177"/>
        <v>0</v>
      </c>
      <c r="N2273">
        <f t="shared" si="178"/>
        <v>0</v>
      </c>
      <c r="O2273">
        <f t="shared" si="180"/>
        <v>1</v>
      </c>
      <c r="P2273" t="str">
        <f t="shared" si="179"/>
        <v/>
      </c>
      <c r="Q2273">
        <f>COUNTIF('責任職　企業局→市長部局'!A:A,SQLデータ!B2273)</f>
        <v>0</v>
      </c>
      <c r="R2273">
        <f>COUNTIF('一般職員　企業局→市長部局'!A:F,SQLデータ!B2273)</f>
        <v>0</v>
      </c>
    </row>
    <row r="2274" spans="1:18" x14ac:dyDescent="0.4">
      <c r="A2274" s="1">
        <v>202650002124</v>
      </c>
      <c r="B2274" s="1">
        <v>1131347</v>
      </c>
      <c r="C2274" s="2">
        <v>46120</v>
      </c>
      <c r="D2274" t="s">
        <v>17</v>
      </c>
      <c r="E2274" t="s">
        <v>8</v>
      </c>
      <c r="G2274" t="s">
        <v>9</v>
      </c>
      <c r="L2274">
        <f t="shared" si="176"/>
        <v>0</v>
      </c>
      <c r="M2274">
        <f t="shared" si="177"/>
        <v>0</v>
      </c>
      <c r="N2274">
        <f t="shared" si="178"/>
        <v>0</v>
      </c>
      <c r="O2274">
        <f t="shared" si="180"/>
        <v>1</v>
      </c>
      <c r="P2274" t="str">
        <f t="shared" si="179"/>
        <v/>
      </c>
      <c r="Q2274">
        <f>COUNTIF('責任職　企業局→市長部局'!A:A,SQLデータ!B2274)</f>
        <v>0</v>
      </c>
      <c r="R2274">
        <f>COUNTIF('一般職員　企業局→市長部局'!A:F,SQLデータ!B2274)</f>
        <v>0</v>
      </c>
    </row>
    <row r="2275" spans="1:18" x14ac:dyDescent="0.4">
      <c r="A2275" s="1">
        <v>202650002125</v>
      </c>
      <c r="B2275" s="1">
        <v>920115</v>
      </c>
      <c r="C2275" s="2">
        <v>46120</v>
      </c>
      <c r="D2275" t="s">
        <v>17</v>
      </c>
      <c r="E2275" t="s">
        <v>8</v>
      </c>
      <c r="G2275" t="s">
        <v>9</v>
      </c>
      <c r="L2275">
        <f t="shared" si="176"/>
        <v>0</v>
      </c>
      <c r="M2275">
        <f t="shared" si="177"/>
        <v>0</v>
      </c>
      <c r="N2275">
        <f t="shared" si="178"/>
        <v>0</v>
      </c>
      <c r="O2275">
        <f t="shared" si="180"/>
        <v>1</v>
      </c>
      <c r="P2275" t="str">
        <f t="shared" si="179"/>
        <v/>
      </c>
      <c r="Q2275">
        <f>COUNTIF('責任職　企業局→市長部局'!A:A,SQLデータ!B2275)</f>
        <v>0</v>
      </c>
      <c r="R2275">
        <f>COUNTIF('一般職員　企業局→市長部局'!A:F,SQLデータ!B2275)</f>
        <v>0</v>
      </c>
    </row>
    <row r="2276" spans="1:18" x14ac:dyDescent="0.4">
      <c r="A2276" s="1">
        <v>202650002126</v>
      </c>
      <c r="B2276" s="1">
        <v>1196022</v>
      </c>
      <c r="C2276" s="2">
        <v>46120</v>
      </c>
      <c r="D2276" t="s">
        <v>17</v>
      </c>
      <c r="E2276" t="s">
        <v>8</v>
      </c>
      <c r="G2276" t="s">
        <v>9</v>
      </c>
      <c r="L2276">
        <f t="shared" si="176"/>
        <v>0</v>
      </c>
      <c r="M2276">
        <f t="shared" si="177"/>
        <v>0</v>
      </c>
      <c r="N2276">
        <f t="shared" si="178"/>
        <v>0</v>
      </c>
      <c r="O2276">
        <f t="shared" si="180"/>
        <v>1</v>
      </c>
      <c r="P2276" t="str">
        <f t="shared" si="179"/>
        <v/>
      </c>
      <c r="Q2276">
        <f>COUNTIF('責任職　企業局→市長部局'!A:A,SQLデータ!B2276)</f>
        <v>0</v>
      </c>
      <c r="R2276">
        <f>COUNTIF('一般職員　企業局→市長部局'!A:F,SQLデータ!B2276)</f>
        <v>0</v>
      </c>
    </row>
    <row r="2277" spans="1:18" x14ac:dyDescent="0.4">
      <c r="A2277" s="1">
        <v>202650002127</v>
      </c>
      <c r="B2277" s="1">
        <v>1151427</v>
      </c>
      <c r="C2277" s="2">
        <v>46120</v>
      </c>
      <c r="D2277" t="s">
        <v>17</v>
      </c>
      <c r="E2277" t="s">
        <v>8</v>
      </c>
      <c r="G2277" t="s">
        <v>9</v>
      </c>
      <c r="L2277">
        <f t="shared" si="176"/>
        <v>0</v>
      </c>
      <c r="M2277">
        <f t="shared" si="177"/>
        <v>0</v>
      </c>
      <c r="N2277">
        <f t="shared" si="178"/>
        <v>0</v>
      </c>
      <c r="O2277">
        <f t="shared" si="180"/>
        <v>1</v>
      </c>
      <c r="P2277" t="str">
        <f t="shared" si="179"/>
        <v/>
      </c>
      <c r="Q2277">
        <f>COUNTIF('責任職　企業局→市長部局'!A:A,SQLデータ!B2277)</f>
        <v>0</v>
      </c>
      <c r="R2277">
        <f>COUNTIF('一般職員　企業局→市長部局'!A:F,SQLデータ!B2277)</f>
        <v>0</v>
      </c>
    </row>
    <row r="2278" spans="1:18" x14ac:dyDescent="0.4">
      <c r="A2278" s="1">
        <v>202650002128</v>
      </c>
      <c r="B2278" s="1">
        <v>920468</v>
      </c>
      <c r="C2278" s="2">
        <v>46120</v>
      </c>
      <c r="D2278" t="s">
        <v>17</v>
      </c>
      <c r="E2278" t="s">
        <v>8</v>
      </c>
      <c r="G2278" t="s">
        <v>9</v>
      </c>
      <c r="L2278">
        <f t="shared" si="176"/>
        <v>0</v>
      </c>
      <c r="M2278">
        <f t="shared" si="177"/>
        <v>0</v>
      </c>
      <c r="N2278">
        <f t="shared" si="178"/>
        <v>0</v>
      </c>
      <c r="O2278">
        <f t="shared" si="180"/>
        <v>1</v>
      </c>
      <c r="P2278" t="str">
        <f t="shared" si="179"/>
        <v/>
      </c>
      <c r="Q2278">
        <f>COUNTIF('責任職　企業局→市長部局'!A:A,SQLデータ!B2278)</f>
        <v>0</v>
      </c>
      <c r="R2278">
        <f>COUNTIF('一般職員　企業局→市長部局'!A:F,SQLデータ!B2278)</f>
        <v>0</v>
      </c>
    </row>
    <row r="2279" spans="1:18" x14ac:dyDescent="0.4">
      <c r="A2279" s="1">
        <v>202650002129</v>
      </c>
      <c r="B2279" s="1">
        <v>950144</v>
      </c>
      <c r="C2279" s="2">
        <v>46120</v>
      </c>
      <c r="D2279" t="s">
        <v>17</v>
      </c>
      <c r="E2279" t="s">
        <v>8</v>
      </c>
      <c r="G2279" t="s">
        <v>9</v>
      </c>
      <c r="L2279">
        <f t="shared" si="176"/>
        <v>0</v>
      </c>
      <c r="M2279">
        <f t="shared" si="177"/>
        <v>0</v>
      </c>
      <c r="N2279">
        <f t="shared" si="178"/>
        <v>0</v>
      </c>
      <c r="O2279">
        <f t="shared" si="180"/>
        <v>1</v>
      </c>
      <c r="P2279" t="str">
        <f t="shared" si="179"/>
        <v/>
      </c>
      <c r="Q2279">
        <f>COUNTIF('責任職　企業局→市長部局'!A:A,SQLデータ!B2279)</f>
        <v>0</v>
      </c>
      <c r="R2279">
        <f>COUNTIF('一般職員　企業局→市長部局'!A:F,SQLデータ!B2279)</f>
        <v>0</v>
      </c>
    </row>
    <row r="2280" spans="1:18" x14ac:dyDescent="0.4">
      <c r="A2280" s="1">
        <v>202650002130</v>
      </c>
      <c r="B2280" s="1">
        <v>1071107</v>
      </c>
      <c r="C2280" s="2">
        <v>46120</v>
      </c>
      <c r="D2280" t="s">
        <v>17</v>
      </c>
      <c r="E2280" t="s">
        <v>8</v>
      </c>
      <c r="G2280" t="s">
        <v>9</v>
      </c>
      <c r="L2280">
        <f t="shared" si="176"/>
        <v>0</v>
      </c>
      <c r="M2280">
        <f t="shared" si="177"/>
        <v>0</v>
      </c>
      <c r="N2280">
        <f t="shared" si="178"/>
        <v>0</v>
      </c>
      <c r="O2280">
        <f t="shared" si="180"/>
        <v>1</v>
      </c>
      <c r="P2280" t="str">
        <f t="shared" si="179"/>
        <v/>
      </c>
      <c r="Q2280">
        <f>COUNTIF('責任職　企業局→市長部局'!A:A,SQLデータ!B2280)</f>
        <v>0</v>
      </c>
      <c r="R2280">
        <f>COUNTIF('一般職員　企業局→市長部局'!A:F,SQLデータ!B2280)</f>
        <v>0</v>
      </c>
    </row>
    <row r="2281" spans="1:18" x14ac:dyDescent="0.4">
      <c r="A2281" s="1">
        <v>202650002131</v>
      </c>
      <c r="B2281" s="1">
        <v>1046058</v>
      </c>
      <c r="C2281" s="2">
        <v>46120</v>
      </c>
      <c r="D2281" t="s">
        <v>17</v>
      </c>
      <c r="E2281" t="s">
        <v>8</v>
      </c>
      <c r="G2281" t="s">
        <v>9</v>
      </c>
      <c r="L2281">
        <f t="shared" si="176"/>
        <v>0</v>
      </c>
      <c r="M2281">
        <f t="shared" si="177"/>
        <v>0</v>
      </c>
      <c r="N2281">
        <f t="shared" si="178"/>
        <v>0</v>
      </c>
      <c r="O2281">
        <f t="shared" si="180"/>
        <v>1</v>
      </c>
      <c r="P2281" t="str">
        <f t="shared" si="179"/>
        <v/>
      </c>
      <c r="Q2281">
        <f>COUNTIF('責任職　企業局→市長部局'!A:A,SQLデータ!B2281)</f>
        <v>0</v>
      </c>
      <c r="R2281">
        <f>COUNTIF('一般職員　企業局→市長部局'!A:F,SQLデータ!B2281)</f>
        <v>0</v>
      </c>
    </row>
    <row r="2282" spans="1:18" x14ac:dyDescent="0.4">
      <c r="A2282" s="1">
        <v>202650002132</v>
      </c>
      <c r="B2282" s="1">
        <v>1126091</v>
      </c>
      <c r="C2282" s="2">
        <v>46120</v>
      </c>
      <c r="D2282" t="s">
        <v>17</v>
      </c>
      <c r="E2282" t="s">
        <v>8</v>
      </c>
      <c r="G2282" t="s">
        <v>9</v>
      </c>
      <c r="L2282">
        <f t="shared" si="176"/>
        <v>0</v>
      </c>
      <c r="M2282">
        <f t="shared" si="177"/>
        <v>0</v>
      </c>
      <c r="N2282">
        <f t="shared" si="178"/>
        <v>0</v>
      </c>
      <c r="O2282">
        <f t="shared" si="180"/>
        <v>1</v>
      </c>
      <c r="P2282" t="str">
        <f t="shared" si="179"/>
        <v/>
      </c>
      <c r="Q2282">
        <f>COUNTIF('責任職　企業局→市長部局'!A:A,SQLデータ!B2282)</f>
        <v>0</v>
      </c>
      <c r="R2282">
        <f>COUNTIF('一般職員　企業局→市長部局'!A:F,SQLデータ!B2282)</f>
        <v>0</v>
      </c>
    </row>
    <row r="2283" spans="1:18" x14ac:dyDescent="0.4">
      <c r="A2283" s="1">
        <v>202650002133</v>
      </c>
      <c r="B2283" s="1">
        <v>1204023</v>
      </c>
      <c r="C2283" s="2">
        <v>46113</v>
      </c>
      <c r="D2283" t="s">
        <v>17</v>
      </c>
      <c r="E2283" t="s">
        <v>8</v>
      </c>
      <c r="G2283" t="s">
        <v>9</v>
      </c>
      <c r="L2283">
        <f t="shared" si="176"/>
        <v>0</v>
      </c>
      <c r="M2283">
        <f t="shared" si="177"/>
        <v>0</v>
      </c>
      <c r="N2283">
        <f t="shared" si="178"/>
        <v>0</v>
      </c>
      <c r="O2283">
        <f t="shared" si="180"/>
        <v>1</v>
      </c>
      <c r="P2283" t="str">
        <f t="shared" si="179"/>
        <v/>
      </c>
      <c r="Q2283">
        <f>COUNTIF('責任職　企業局→市長部局'!A:A,SQLデータ!B2283)</f>
        <v>0</v>
      </c>
      <c r="R2283">
        <f>COUNTIF('一般職員　企業局→市長部局'!A:F,SQLデータ!B2283)</f>
        <v>0</v>
      </c>
    </row>
    <row r="2284" spans="1:18" x14ac:dyDescent="0.4">
      <c r="A2284" s="1">
        <v>202650002134</v>
      </c>
      <c r="B2284" s="1">
        <v>1106001</v>
      </c>
      <c r="C2284" s="2">
        <v>46120</v>
      </c>
      <c r="D2284" t="s">
        <v>17</v>
      </c>
      <c r="E2284" t="s">
        <v>8</v>
      </c>
      <c r="F2284" t="s">
        <v>54</v>
      </c>
      <c r="G2284" t="s">
        <v>9</v>
      </c>
      <c r="L2284">
        <f t="shared" si="176"/>
        <v>0</v>
      </c>
      <c r="M2284">
        <f t="shared" si="177"/>
        <v>0</v>
      </c>
      <c r="N2284">
        <f t="shared" si="178"/>
        <v>0</v>
      </c>
      <c r="O2284">
        <f t="shared" si="180"/>
        <v>1</v>
      </c>
      <c r="P2284" t="str">
        <f t="shared" si="179"/>
        <v/>
      </c>
      <c r="Q2284">
        <f>COUNTIF('責任職　企業局→市長部局'!A:A,SQLデータ!B2284)</f>
        <v>0</v>
      </c>
      <c r="R2284">
        <f>COUNTIF('一般職員　企業局→市長部局'!A:F,SQLデータ!B2284)</f>
        <v>0</v>
      </c>
    </row>
    <row r="2285" spans="1:18" x14ac:dyDescent="0.4">
      <c r="A2285" s="1">
        <v>202650002135</v>
      </c>
      <c r="B2285" s="1">
        <v>1216126</v>
      </c>
      <c r="C2285" s="2">
        <v>46120</v>
      </c>
      <c r="D2285" t="s">
        <v>17</v>
      </c>
      <c r="E2285" t="s">
        <v>8</v>
      </c>
      <c r="G2285" t="s">
        <v>9</v>
      </c>
      <c r="L2285">
        <f t="shared" si="176"/>
        <v>0</v>
      </c>
      <c r="M2285">
        <f t="shared" si="177"/>
        <v>0</v>
      </c>
      <c r="N2285">
        <f t="shared" si="178"/>
        <v>0</v>
      </c>
      <c r="O2285">
        <f t="shared" si="180"/>
        <v>1</v>
      </c>
      <c r="P2285" t="str">
        <f t="shared" si="179"/>
        <v/>
      </c>
      <c r="Q2285">
        <f>COUNTIF('責任職　企業局→市長部局'!A:A,SQLデータ!B2285)</f>
        <v>0</v>
      </c>
      <c r="R2285">
        <f>COUNTIF('一般職員　企業局→市長部局'!A:F,SQLデータ!B2285)</f>
        <v>0</v>
      </c>
    </row>
    <row r="2286" spans="1:18" x14ac:dyDescent="0.4">
      <c r="A2286" s="1">
        <v>202650002136</v>
      </c>
      <c r="B2286" s="1">
        <v>1234025</v>
      </c>
      <c r="C2286" s="2">
        <v>46113</v>
      </c>
      <c r="D2286" t="s">
        <v>17</v>
      </c>
      <c r="E2286" t="s">
        <v>8</v>
      </c>
      <c r="G2286" t="s">
        <v>9</v>
      </c>
      <c r="L2286">
        <f t="shared" si="176"/>
        <v>0</v>
      </c>
      <c r="M2286">
        <f t="shared" si="177"/>
        <v>0</v>
      </c>
      <c r="N2286">
        <f t="shared" si="178"/>
        <v>0</v>
      </c>
      <c r="O2286">
        <f t="shared" si="180"/>
        <v>1</v>
      </c>
      <c r="P2286" t="str">
        <f t="shared" si="179"/>
        <v/>
      </c>
      <c r="Q2286">
        <f>COUNTIF('責任職　企業局→市長部局'!A:A,SQLデータ!B2286)</f>
        <v>0</v>
      </c>
      <c r="R2286">
        <f>COUNTIF('一般職員　企業局→市長部局'!A:F,SQLデータ!B2286)</f>
        <v>0</v>
      </c>
    </row>
    <row r="2287" spans="1:18" x14ac:dyDescent="0.4">
      <c r="A2287" s="1">
        <v>202650002137</v>
      </c>
      <c r="B2287" s="1">
        <v>1256094</v>
      </c>
      <c r="C2287" s="2">
        <v>46120</v>
      </c>
      <c r="D2287" t="s">
        <v>17</v>
      </c>
      <c r="E2287" t="s">
        <v>8</v>
      </c>
      <c r="G2287" t="s">
        <v>9</v>
      </c>
      <c r="L2287">
        <f t="shared" si="176"/>
        <v>0</v>
      </c>
      <c r="M2287">
        <f t="shared" si="177"/>
        <v>0</v>
      </c>
      <c r="N2287">
        <f t="shared" si="178"/>
        <v>0</v>
      </c>
      <c r="O2287">
        <f t="shared" si="180"/>
        <v>1</v>
      </c>
      <c r="P2287" t="str">
        <f t="shared" si="179"/>
        <v/>
      </c>
      <c r="Q2287">
        <f>COUNTIF('責任職　企業局→市長部局'!A:A,SQLデータ!B2287)</f>
        <v>0</v>
      </c>
      <c r="R2287">
        <f>COUNTIF('一般職員　企業局→市長部局'!A:F,SQLデータ!B2287)</f>
        <v>0</v>
      </c>
    </row>
    <row r="2288" spans="1:18" x14ac:dyDescent="0.4">
      <c r="A2288" s="1">
        <v>202650002138</v>
      </c>
      <c r="B2288" s="1">
        <v>830478</v>
      </c>
      <c r="C2288" s="2">
        <v>46120</v>
      </c>
      <c r="D2288" t="s">
        <v>17</v>
      </c>
      <c r="E2288" t="s">
        <v>8</v>
      </c>
      <c r="G2288" t="s">
        <v>9</v>
      </c>
      <c r="L2288">
        <f t="shared" si="176"/>
        <v>0</v>
      </c>
      <c r="M2288">
        <f t="shared" si="177"/>
        <v>0</v>
      </c>
      <c r="N2288">
        <f t="shared" si="178"/>
        <v>0</v>
      </c>
      <c r="O2288">
        <f t="shared" si="180"/>
        <v>1</v>
      </c>
      <c r="P2288" t="str">
        <f t="shared" si="179"/>
        <v/>
      </c>
      <c r="Q2288">
        <f>COUNTIF('責任職　企業局→市長部局'!A:A,SQLデータ!B2288)</f>
        <v>0</v>
      </c>
      <c r="R2288">
        <f>COUNTIF('一般職員　企業局→市長部局'!A:F,SQLデータ!B2288)</f>
        <v>0</v>
      </c>
    </row>
    <row r="2289" spans="1:18" x14ac:dyDescent="0.4">
      <c r="A2289" s="1">
        <v>202650002139</v>
      </c>
      <c r="B2289" s="1">
        <v>950711</v>
      </c>
      <c r="C2289" s="2">
        <v>46113</v>
      </c>
      <c r="D2289" t="s">
        <v>17</v>
      </c>
      <c r="E2289" t="s">
        <v>8</v>
      </c>
      <c r="G2289" t="s">
        <v>9</v>
      </c>
      <c r="L2289">
        <f t="shared" si="176"/>
        <v>0</v>
      </c>
      <c r="M2289">
        <f t="shared" si="177"/>
        <v>0</v>
      </c>
      <c r="N2289">
        <f t="shared" si="178"/>
        <v>0</v>
      </c>
      <c r="O2289">
        <f t="shared" si="180"/>
        <v>1</v>
      </c>
      <c r="P2289" t="str">
        <f t="shared" si="179"/>
        <v/>
      </c>
      <c r="Q2289">
        <f>COUNTIF('責任職　企業局→市長部局'!A:A,SQLデータ!B2289)</f>
        <v>0</v>
      </c>
      <c r="R2289">
        <f>COUNTIF('一般職員　企業局→市長部局'!A:F,SQLデータ!B2289)</f>
        <v>0</v>
      </c>
    </row>
    <row r="2290" spans="1:18" x14ac:dyDescent="0.4">
      <c r="A2290" s="1">
        <v>202650002140</v>
      </c>
      <c r="B2290" s="1">
        <v>930302</v>
      </c>
      <c r="C2290" s="2">
        <v>46120</v>
      </c>
      <c r="D2290" t="s">
        <v>17</v>
      </c>
      <c r="E2290" t="s">
        <v>8</v>
      </c>
      <c r="G2290" t="s">
        <v>9</v>
      </c>
      <c r="L2290">
        <f t="shared" si="176"/>
        <v>0</v>
      </c>
      <c r="M2290">
        <f t="shared" si="177"/>
        <v>0</v>
      </c>
      <c r="N2290">
        <f t="shared" si="178"/>
        <v>0</v>
      </c>
      <c r="O2290">
        <f t="shared" si="180"/>
        <v>1</v>
      </c>
      <c r="P2290" t="str">
        <f t="shared" si="179"/>
        <v/>
      </c>
      <c r="Q2290">
        <f>COUNTIF('責任職　企業局→市長部局'!A:A,SQLデータ!B2290)</f>
        <v>0</v>
      </c>
      <c r="R2290">
        <f>COUNTIF('一般職員　企業局→市長部局'!A:F,SQLデータ!B2290)</f>
        <v>0</v>
      </c>
    </row>
    <row r="2291" spans="1:18" x14ac:dyDescent="0.4">
      <c r="A2291" s="1">
        <v>202650002141</v>
      </c>
      <c r="B2291" s="1">
        <v>1226036</v>
      </c>
      <c r="C2291" s="2">
        <v>46120</v>
      </c>
      <c r="D2291" t="s">
        <v>17</v>
      </c>
      <c r="E2291" t="s">
        <v>8</v>
      </c>
      <c r="G2291" t="s">
        <v>9</v>
      </c>
      <c r="L2291">
        <f t="shared" si="176"/>
        <v>0</v>
      </c>
      <c r="M2291">
        <f t="shared" si="177"/>
        <v>0</v>
      </c>
      <c r="N2291">
        <f t="shared" si="178"/>
        <v>0</v>
      </c>
      <c r="O2291">
        <f t="shared" si="180"/>
        <v>1</v>
      </c>
      <c r="P2291" t="str">
        <f t="shared" si="179"/>
        <v/>
      </c>
      <c r="Q2291">
        <f>COUNTIF('責任職　企業局→市長部局'!A:A,SQLデータ!B2291)</f>
        <v>0</v>
      </c>
      <c r="R2291">
        <f>COUNTIF('一般職員　企業局→市長部局'!A:F,SQLデータ!B2291)</f>
        <v>0</v>
      </c>
    </row>
    <row r="2292" spans="1:18" x14ac:dyDescent="0.4">
      <c r="A2292" s="1">
        <v>202650002142</v>
      </c>
      <c r="B2292" s="1">
        <v>1256064</v>
      </c>
      <c r="C2292" s="2">
        <v>46120</v>
      </c>
      <c r="D2292" t="s">
        <v>17</v>
      </c>
      <c r="E2292" t="s">
        <v>8</v>
      </c>
      <c r="G2292" t="s">
        <v>9</v>
      </c>
      <c r="L2292">
        <f t="shared" si="176"/>
        <v>0</v>
      </c>
      <c r="M2292">
        <f t="shared" si="177"/>
        <v>0</v>
      </c>
      <c r="N2292">
        <f t="shared" si="178"/>
        <v>0</v>
      </c>
      <c r="O2292">
        <f t="shared" si="180"/>
        <v>1</v>
      </c>
      <c r="P2292" t="str">
        <f t="shared" si="179"/>
        <v/>
      </c>
      <c r="Q2292">
        <f>COUNTIF('責任職　企業局→市長部局'!A:A,SQLデータ!B2292)</f>
        <v>0</v>
      </c>
      <c r="R2292">
        <f>COUNTIF('一般職員　企業局→市長部局'!A:F,SQLデータ!B2292)</f>
        <v>0</v>
      </c>
    </row>
    <row r="2293" spans="1:18" x14ac:dyDescent="0.4">
      <c r="A2293" s="1">
        <v>202650002143</v>
      </c>
      <c r="B2293" s="1">
        <v>1234124</v>
      </c>
      <c r="C2293" s="2">
        <v>46102</v>
      </c>
      <c r="D2293" t="s">
        <v>17</v>
      </c>
      <c r="E2293" t="s">
        <v>8</v>
      </c>
      <c r="G2293" t="s">
        <v>9</v>
      </c>
      <c r="L2293">
        <f t="shared" si="176"/>
        <v>0</v>
      </c>
      <c r="M2293">
        <f t="shared" si="177"/>
        <v>0</v>
      </c>
      <c r="N2293">
        <f t="shared" si="178"/>
        <v>0</v>
      </c>
      <c r="O2293">
        <f t="shared" si="180"/>
        <v>1</v>
      </c>
      <c r="P2293" t="str">
        <f t="shared" si="179"/>
        <v/>
      </c>
      <c r="Q2293">
        <f>COUNTIF('責任職　企業局→市長部局'!A:A,SQLデータ!B2293)</f>
        <v>0</v>
      </c>
      <c r="R2293">
        <f>COUNTIF('一般職員　企業局→市長部局'!A:F,SQLデータ!B2293)</f>
        <v>0</v>
      </c>
    </row>
    <row r="2294" spans="1:18" x14ac:dyDescent="0.4">
      <c r="A2294" s="1">
        <v>202650002144</v>
      </c>
      <c r="B2294" s="1">
        <v>1206118</v>
      </c>
      <c r="C2294" s="2">
        <v>46120</v>
      </c>
      <c r="D2294" t="s">
        <v>17</v>
      </c>
      <c r="E2294" t="s">
        <v>8</v>
      </c>
      <c r="G2294" t="s">
        <v>9</v>
      </c>
      <c r="L2294">
        <f t="shared" si="176"/>
        <v>0</v>
      </c>
      <c r="M2294">
        <f t="shared" si="177"/>
        <v>0</v>
      </c>
      <c r="N2294">
        <f t="shared" si="178"/>
        <v>0</v>
      </c>
      <c r="O2294">
        <f t="shared" si="180"/>
        <v>1</v>
      </c>
      <c r="P2294" t="str">
        <f t="shared" si="179"/>
        <v/>
      </c>
      <c r="Q2294">
        <f>COUNTIF('責任職　企業局→市長部局'!A:A,SQLデータ!B2294)</f>
        <v>0</v>
      </c>
      <c r="R2294">
        <f>COUNTIF('一般職員　企業局→市長部局'!A:F,SQLデータ!B2294)</f>
        <v>0</v>
      </c>
    </row>
    <row r="2295" spans="1:18" x14ac:dyDescent="0.4">
      <c r="A2295" s="1">
        <v>202650002145</v>
      </c>
      <c r="B2295" s="1">
        <v>1126061</v>
      </c>
      <c r="C2295" s="2">
        <v>46120</v>
      </c>
      <c r="D2295" t="s">
        <v>17</v>
      </c>
      <c r="E2295" t="s">
        <v>8</v>
      </c>
      <c r="G2295" t="s">
        <v>9</v>
      </c>
      <c r="L2295">
        <f t="shared" si="176"/>
        <v>0</v>
      </c>
      <c r="M2295">
        <f t="shared" si="177"/>
        <v>0</v>
      </c>
      <c r="N2295">
        <f t="shared" si="178"/>
        <v>0</v>
      </c>
      <c r="O2295">
        <f t="shared" si="180"/>
        <v>1</v>
      </c>
      <c r="P2295" t="str">
        <f t="shared" si="179"/>
        <v/>
      </c>
      <c r="Q2295">
        <f>COUNTIF('責任職　企業局→市長部局'!A:A,SQLデータ!B2295)</f>
        <v>0</v>
      </c>
      <c r="R2295">
        <f>COUNTIF('一般職員　企業局→市長部局'!A:F,SQLデータ!B2295)</f>
        <v>0</v>
      </c>
    </row>
    <row r="2296" spans="1:18" x14ac:dyDescent="0.4">
      <c r="A2296" s="1">
        <v>202650002146</v>
      </c>
      <c r="B2296" s="1">
        <v>1252098</v>
      </c>
      <c r="C2296" s="2">
        <v>46120</v>
      </c>
      <c r="D2296" t="s">
        <v>17</v>
      </c>
      <c r="E2296" t="s">
        <v>8</v>
      </c>
      <c r="G2296" t="s">
        <v>9</v>
      </c>
      <c r="L2296">
        <f t="shared" si="176"/>
        <v>0</v>
      </c>
      <c r="M2296">
        <f t="shared" si="177"/>
        <v>0</v>
      </c>
      <c r="N2296">
        <f t="shared" si="178"/>
        <v>0</v>
      </c>
      <c r="O2296">
        <f t="shared" si="180"/>
        <v>1</v>
      </c>
      <c r="P2296" t="str">
        <f t="shared" si="179"/>
        <v/>
      </c>
      <c r="Q2296">
        <f>COUNTIF('責任職　企業局→市長部局'!A:A,SQLデータ!B2296)</f>
        <v>0</v>
      </c>
      <c r="R2296">
        <f>COUNTIF('一般職員　企業局→市長部局'!A:F,SQLデータ!B2296)</f>
        <v>0</v>
      </c>
    </row>
    <row r="2297" spans="1:18" x14ac:dyDescent="0.4">
      <c r="A2297" s="1">
        <v>202650002147</v>
      </c>
      <c r="B2297" s="1">
        <v>1036046</v>
      </c>
      <c r="C2297" s="2">
        <v>46120</v>
      </c>
      <c r="D2297" t="s">
        <v>17</v>
      </c>
      <c r="E2297" t="s">
        <v>8</v>
      </c>
      <c r="G2297" t="s">
        <v>9</v>
      </c>
      <c r="L2297">
        <f t="shared" si="176"/>
        <v>0</v>
      </c>
      <c r="M2297">
        <f t="shared" si="177"/>
        <v>0</v>
      </c>
      <c r="N2297">
        <f t="shared" si="178"/>
        <v>0</v>
      </c>
      <c r="O2297">
        <f t="shared" si="180"/>
        <v>1</v>
      </c>
      <c r="P2297" t="str">
        <f t="shared" si="179"/>
        <v/>
      </c>
      <c r="Q2297">
        <f>COUNTIF('責任職　企業局→市長部局'!A:A,SQLデータ!B2297)</f>
        <v>0</v>
      </c>
      <c r="R2297">
        <f>COUNTIF('一般職員　企業局→市長部局'!A:F,SQLデータ!B2297)</f>
        <v>0</v>
      </c>
    </row>
    <row r="2298" spans="1:18" x14ac:dyDescent="0.4">
      <c r="A2298" s="1">
        <v>202650002148</v>
      </c>
      <c r="B2298" s="1">
        <v>870088</v>
      </c>
      <c r="C2298" s="2">
        <v>46120</v>
      </c>
      <c r="D2298" t="s">
        <v>17</v>
      </c>
      <c r="E2298" t="s">
        <v>8</v>
      </c>
      <c r="G2298" t="s">
        <v>9</v>
      </c>
      <c r="L2298">
        <f t="shared" si="176"/>
        <v>0</v>
      </c>
      <c r="M2298">
        <f t="shared" si="177"/>
        <v>0</v>
      </c>
      <c r="N2298">
        <f t="shared" si="178"/>
        <v>0</v>
      </c>
      <c r="O2298">
        <f t="shared" si="180"/>
        <v>1</v>
      </c>
      <c r="P2298" t="str">
        <f t="shared" si="179"/>
        <v/>
      </c>
      <c r="Q2298">
        <f>COUNTIF('責任職　企業局→市長部局'!A:A,SQLデータ!B2298)</f>
        <v>0</v>
      </c>
      <c r="R2298">
        <f>COUNTIF('一般職員　企業局→市長部局'!A:F,SQLデータ!B2298)</f>
        <v>0</v>
      </c>
    </row>
    <row r="2299" spans="1:18" x14ac:dyDescent="0.4">
      <c r="A2299" s="1">
        <v>202650002149</v>
      </c>
      <c r="B2299" s="1">
        <v>950714</v>
      </c>
      <c r="C2299" s="2">
        <v>46120</v>
      </c>
      <c r="D2299" t="s">
        <v>17</v>
      </c>
      <c r="E2299" t="s">
        <v>8</v>
      </c>
      <c r="G2299" t="s">
        <v>9</v>
      </c>
      <c r="L2299">
        <f t="shared" si="176"/>
        <v>0</v>
      </c>
      <c r="M2299">
        <f t="shared" si="177"/>
        <v>0</v>
      </c>
      <c r="N2299">
        <f t="shared" si="178"/>
        <v>0</v>
      </c>
      <c r="O2299">
        <f t="shared" si="180"/>
        <v>1</v>
      </c>
      <c r="P2299" t="str">
        <f t="shared" si="179"/>
        <v/>
      </c>
      <c r="Q2299">
        <f>COUNTIF('責任職　企業局→市長部局'!A:A,SQLデータ!B2299)</f>
        <v>0</v>
      </c>
      <c r="R2299">
        <f>COUNTIF('一般職員　企業局→市長部局'!A:F,SQLデータ!B2299)</f>
        <v>0</v>
      </c>
    </row>
    <row r="2300" spans="1:18" x14ac:dyDescent="0.4">
      <c r="A2300" s="1">
        <v>202650002150</v>
      </c>
      <c r="B2300" s="1">
        <v>1056037</v>
      </c>
      <c r="C2300" s="2">
        <v>46120</v>
      </c>
      <c r="D2300" t="s">
        <v>17</v>
      </c>
      <c r="E2300" t="s">
        <v>8</v>
      </c>
      <c r="G2300" t="s">
        <v>9</v>
      </c>
      <c r="L2300">
        <f t="shared" si="176"/>
        <v>0</v>
      </c>
      <c r="M2300">
        <f t="shared" si="177"/>
        <v>0</v>
      </c>
      <c r="N2300">
        <f t="shared" si="178"/>
        <v>0</v>
      </c>
      <c r="O2300">
        <f t="shared" si="180"/>
        <v>1</v>
      </c>
      <c r="P2300" t="str">
        <f t="shared" si="179"/>
        <v/>
      </c>
      <c r="Q2300">
        <f>COUNTIF('責任職　企業局→市長部局'!A:A,SQLデータ!B2300)</f>
        <v>0</v>
      </c>
      <c r="R2300">
        <f>COUNTIF('一般職員　企業局→市長部局'!A:F,SQLデータ!B2300)</f>
        <v>0</v>
      </c>
    </row>
    <row r="2301" spans="1:18" x14ac:dyDescent="0.4">
      <c r="A2301" s="1">
        <v>202650002151</v>
      </c>
      <c r="B2301" s="1">
        <v>1081331</v>
      </c>
      <c r="C2301" s="2">
        <v>46120</v>
      </c>
      <c r="D2301" t="s">
        <v>17</v>
      </c>
      <c r="E2301" t="s">
        <v>8</v>
      </c>
      <c r="G2301" t="s">
        <v>9</v>
      </c>
      <c r="L2301">
        <f t="shared" si="176"/>
        <v>0</v>
      </c>
      <c r="M2301">
        <f t="shared" si="177"/>
        <v>0</v>
      </c>
      <c r="N2301">
        <f t="shared" si="178"/>
        <v>0</v>
      </c>
      <c r="O2301">
        <f t="shared" si="180"/>
        <v>1</v>
      </c>
      <c r="P2301" t="str">
        <f t="shared" si="179"/>
        <v/>
      </c>
      <c r="Q2301">
        <f>COUNTIF('責任職　企業局→市長部局'!A:A,SQLデータ!B2301)</f>
        <v>0</v>
      </c>
      <c r="R2301">
        <f>COUNTIF('一般職員　企業局→市長部局'!A:F,SQLデータ!B2301)</f>
        <v>0</v>
      </c>
    </row>
    <row r="2302" spans="1:18" x14ac:dyDescent="0.4">
      <c r="A2302" s="1">
        <v>202650002152</v>
      </c>
      <c r="B2302" s="1">
        <v>930919</v>
      </c>
      <c r="C2302" s="2">
        <v>46120</v>
      </c>
      <c r="D2302" t="s">
        <v>17</v>
      </c>
      <c r="E2302" t="s">
        <v>8</v>
      </c>
      <c r="G2302" t="s">
        <v>9</v>
      </c>
      <c r="L2302">
        <f t="shared" si="176"/>
        <v>0</v>
      </c>
      <c r="M2302">
        <f t="shared" si="177"/>
        <v>0</v>
      </c>
      <c r="N2302">
        <f t="shared" si="178"/>
        <v>0</v>
      </c>
      <c r="O2302">
        <f t="shared" si="180"/>
        <v>1</v>
      </c>
      <c r="P2302" t="str">
        <f t="shared" si="179"/>
        <v/>
      </c>
      <c r="Q2302">
        <f>COUNTIF('責任職　企業局→市長部局'!A:A,SQLデータ!B2302)</f>
        <v>0</v>
      </c>
      <c r="R2302">
        <f>COUNTIF('一般職員　企業局→市長部局'!A:F,SQLデータ!B2302)</f>
        <v>0</v>
      </c>
    </row>
    <row r="2303" spans="1:18" x14ac:dyDescent="0.4">
      <c r="A2303" s="1">
        <v>202650002153</v>
      </c>
      <c r="B2303" s="1">
        <v>1042023</v>
      </c>
      <c r="C2303" s="2">
        <v>46120</v>
      </c>
      <c r="D2303" t="s">
        <v>17</v>
      </c>
      <c r="E2303" t="s">
        <v>8</v>
      </c>
      <c r="G2303" t="s">
        <v>9</v>
      </c>
      <c r="L2303">
        <f t="shared" si="176"/>
        <v>0</v>
      </c>
      <c r="M2303">
        <f t="shared" si="177"/>
        <v>0</v>
      </c>
      <c r="N2303">
        <f t="shared" si="178"/>
        <v>0</v>
      </c>
      <c r="O2303">
        <f t="shared" si="180"/>
        <v>1</v>
      </c>
      <c r="P2303" t="str">
        <f t="shared" si="179"/>
        <v/>
      </c>
      <c r="Q2303">
        <f>COUNTIF('責任職　企業局→市長部局'!A:A,SQLデータ!B2303)</f>
        <v>0</v>
      </c>
      <c r="R2303">
        <f>COUNTIF('一般職員　企業局→市長部局'!A:F,SQLデータ!B2303)</f>
        <v>0</v>
      </c>
    </row>
    <row r="2304" spans="1:18" x14ac:dyDescent="0.4">
      <c r="A2304" s="1">
        <v>202650002154</v>
      </c>
      <c r="B2304" s="1">
        <v>1251036</v>
      </c>
      <c r="C2304" s="2">
        <v>46120</v>
      </c>
      <c r="D2304" t="s">
        <v>17</v>
      </c>
      <c r="E2304" t="s">
        <v>8</v>
      </c>
      <c r="G2304" t="s">
        <v>9</v>
      </c>
      <c r="L2304">
        <f t="shared" si="176"/>
        <v>0</v>
      </c>
      <c r="M2304">
        <f t="shared" si="177"/>
        <v>0</v>
      </c>
      <c r="N2304">
        <f t="shared" si="178"/>
        <v>0</v>
      </c>
      <c r="O2304">
        <f t="shared" si="180"/>
        <v>1</v>
      </c>
      <c r="P2304" t="str">
        <f t="shared" si="179"/>
        <v/>
      </c>
      <c r="Q2304">
        <f>COUNTIF('責任職　企業局→市長部局'!A:A,SQLデータ!B2304)</f>
        <v>0</v>
      </c>
      <c r="R2304">
        <f>COUNTIF('一般職員　企業局→市長部局'!A:F,SQLデータ!B2304)</f>
        <v>0</v>
      </c>
    </row>
    <row r="2305" spans="1:18" x14ac:dyDescent="0.4">
      <c r="A2305" s="1">
        <v>202650002155</v>
      </c>
      <c r="B2305" s="1">
        <v>1070025</v>
      </c>
      <c r="C2305" s="2">
        <v>46120</v>
      </c>
      <c r="D2305" t="s">
        <v>17</v>
      </c>
      <c r="E2305" t="s">
        <v>8</v>
      </c>
      <c r="G2305" t="s">
        <v>9</v>
      </c>
      <c r="L2305">
        <f t="shared" si="176"/>
        <v>0</v>
      </c>
      <c r="M2305">
        <f t="shared" si="177"/>
        <v>0</v>
      </c>
      <c r="N2305">
        <f t="shared" si="178"/>
        <v>0</v>
      </c>
      <c r="O2305">
        <f t="shared" si="180"/>
        <v>1</v>
      </c>
      <c r="P2305" t="str">
        <f t="shared" si="179"/>
        <v/>
      </c>
      <c r="Q2305">
        <f>COUNTIF('責任職　企業局→市長部局'!A:A,SQLデータ!B2305)</f>
        <v>0</v>
      </c>
      <c r="R2305">
        <f>COUNTIF('一般職員　企業局→市長部局'!A:F,SQLデータ!B2305)</f>
        <v>0</v>
      </c>
    </row>
    <row r="2306" spans="1:18" x14ac:dyDescent="0.4">
      <c r="A2306" s="1">
        <v>202650002156</v>
      </c>
      <c r="B2306" s="1">
        <v>910118</v>
      </c>
      <c r="C2306" s="2">
        <v>46120</v>
      </c>
      <c r="D2306" t="s">
        <v>17</v>
      </c>
      <c r="E2306" t="s">
        <v>8</v>
      </c>
      <c r="G2306" t="s">
        <v>9</v>
      </c>
      <c r="L2306">
        <f t="shared" ref="L2306:L2369" si="181">IF(ISBLANK(J2306),0,1)</f>
        <v>0</v>
      </c>
      <c r="M2306">
        <f t="shared" ref="M2306:M2369" si="182">IF(AND(L2306=0,I2306&lt;&gt;""),1,0)</f>
        <v>0</v>
      </c>
      <c r="N2306">
        <f t="shared" ref="N2306:N2369" si="183">IF(AND(L2306=0,M2306=0,K2306&lt;&gt;""),1,0)</f>
        <v>0</v>
      </c>
      <c r="O2306">
        <f t="shared" si="180"/>
        <v>1</v>
      </c>
      <c r="P2306" t="str">
        <f t="shared" ref="P2306:P2369" si="184">IF(D2306&lt;&gt;"扶養","",IF(E2306&lt;&gt;"確認待ち",1,IF(OR(AND(G2306="本人の結婚",O2306=1),AND(H2306="減",OR(N2306=1,O2306=1))),1,0)))</f>
        <v/>
      </c>
      <c r="Q2306">
        <f>COUNTIF('責任職　企業局→市長部局'!A:A,SQLデータ!B2306)</f>
        <v>0</v>
      </c>
      <c r="R2306">
        <f>COUNTIF('一般職員　企業局→市長部局'!A:F,SQLデータ!B2306)</f>
        <v>0</v>
      </c>
    </row>
    <row r="2307" spans="1:18" x14ac:dyDescent="0.4">
      <c r="A2307" s="1">
        <v>202650002157</v>
      </c>
      <c r="B2307" s="1">
        <v>5058132</v>
      </c>
      <c r="C2307" s="2">
        <v>46120</v>
      </c>
      <c r="D2307" t="s">
        <v>17</v>
      </c>
      <c r="E2307" t="s">
        <v>8</v>
      </c>
      <c r="F2307" t="s">
        <v>54</v>
      </c>
      <c r="G2307" t="s">
        <v>9</v>
      </c>
      <c r="L2307">
        <f t="shared" si="181"/>
        <v>0</v>
      </c>
      <c r="M2307">
        <f t="shared" si="182"/>
        <v>0</v>
      </c>
      <c r="N2307">
        <f t="shared" si="183"/>
        <v>0</v>
      </c>
      <c r="O2307">
        <f t="shared" si="180"/>
        <v>1</v>
      </c>
      <c r="P2307" t="str">
        <f t="shared" si="184"/>
        <v/>
      </c>
      <c r="Q2307">
        <f>COUNTIF('責任職　企業局→市長部局'!A:A,SQLデータ!B2307)</f>
        <v>0</v>
      </c>
      <c r="R2307">
        <f>COUNTIF('一般職員　企業局→市長部局'!A:F,SQLデータ!B2307)</f>
        <v>0</v>
      </c>
    </row>
    <row r="2308" spans="1:18" x14ac:dyDescent="0.4">
      <c r="A2308" s="1">
        <v>202650002158</v>
      </c>
      <c r="B2308" s="1">
        <v>1171480</v>
      </c>
      <c r="C2308" s="2">
        <v>46120</v>
      </c>
      <c r="D2308" t="s">
        <v>17</v>
      </c>
      <c r="E2308" t="s">
        <v>8</v>
      </c>
      <c r="G2308" t="s">
        <v>9</v>
      </c>
      <c r="L2308">
        <f t="shared" si="181"/>
        <v>0</v>
      </c>
      <c r="M2308">
        <f t="shared" si="182"/>
        <v>0</v>
      </c>
      <c r="N2308">
        <f t="shared" si="183"/>
        <v>0</v>
      </c>
      <c r="O2308">
        <f t="shared" si="180"/>
        <v>1</v>
      </c>
      <c r="P2308" t="str">
        <f t="shared" si="184"/>
        <v/>
      </c>
      <c r="Q2308">
        <f>COUNTIF('責任職　企業局→市長部局'!A:A,SQLデータ!B2308)</f>
        <v>0</v>
      </c>
      <c r="R2308">
        <f>COUNTIF('一般職員　企業局→市長部局'!A:F,SQLデータ!B2308)</f>
        <v>0</v>
      </c>
    </row>
    <row r="2309" spans="1:18" x14ac:dyDescent="0.4">
      <c r="A2309" s="1">
        <v>202650002159</v>
      </c>
      <c r="B2309" s="1">
        <v>1091400</v>
      </c>
      <c r="C2309" s="2">
        <v>46120</v>
      </c>
      <c r="D2309" t="s">
        <v>17</v>
      </c>
      <c r="E2309" t="s">
        <v>8</v>
      </c>
      <c r="G2309" t="s">
        <v>9</v>
      </c>
      <c r="L2309">
        <f t="shared" si="181"/>
        <v>0</v>
      </c>
      <c r="M2309">
        <f t="shared" si="182"/>
        <v>0</v>
      </c>
      <c r="N2309">
        <f t="shared" si="183"/>
        <v>0</v>
      </c>
      <c r="O2309">
        <f t="shared" si="180"/>
        <v>1</v>
      </c>
      <c r="P2309" t="str">
        <f t="shared" si="184"/>
        <v/>
      </c>
      <c r="Q2309">
        <f>COUNTIF('責任職　企業局→市長部局'!A:A,SQLデータ!B2309)</f>
        <v>0</v>
      </c>
      <c r="R2309">
        <f>COUNTIF('一般職員　企業局→市長部局'!A:F,SQLデータ!B2309)</f>
        <v>0</v>
      </c>
    </row>
    <row r="2310" spans="1:18" x14ac:dyDescent="0.4">
      <c r="A2310" s="1">
        <v>202650002160</v>
      </c>
      <c r="B2310" s="1">
        <v>1141212</v>
      </c>
      <c r="C2310" s="2">
        <v>46120</v>
      </c>
      <c r="D2310" t="s">
        <v>17</v>
      </c>
      <c r="E2310" t="s">
        <v>8</v>
      </c>
      <c r="G2310" t="s">
        <v>9</v>
      </c>
      <c r="L2310">
        <f t="shared" si="181"/>
        <v>0</v>
      </c>
      <c r="M2310">
        <f t="shared" si="182"/>
        <v>0</v>
      </c>
      <c r="N2310">
        <f t="shared" si="183"/>
        <v>0</v>
      </c>
      <c r="O2310">
        <f t="shared" si="180"/>
        <v>1</v>
      </c>
      <c r="P2310" t="str">
        <f t="shared" si="184"/>
        <v/>
      </c>
      <c r="Q2310">
        <f>COUNTIF('責任職　企業局→市長部局'!A:A,SQLデータ!B2310)</f>
        <v>0</v>
      </c>
      <c r="R2310">
        <f>COUNTIF('一般職員　企業局→市長部局'!A:F,SQLデータ!B2310)</f>
        <v>0</v>
      </c>
    </row>
    <row r="2311" spans="1:18" x14ac:dyDescent="0.4">
      <c r="A2311" s="1">
        <v>202650002162</v>
      </c>
      <c r="B2311" s="1">
        <v>1151031</v>
      </c>
      <c r="C2311" s="2">
        <v>46120</v>
      </c>
      <c r="D2311" t="s">
        <v>17</v>
      </c>
      <c r="E2311" t="s">
        <v>8</v>
      </c>
      <c r="G2311" t="s">
        <v>9</v>
      </c>
      <c r="L2311">
        <f t="shared" si="181"/>
        <v>0</v>
      </c>
      <c r="M2311">
        <f t="shared" si="182"/>
        <v>0</v>
      </c>
      <c r="N2311">
        <f t="shared" si="183"/>
        <v>0</v>
      </c>
      <c r="O2311">
        <f t="shared" si="180"/>
        <v>1</v>
      </c>
      <c r="P2311" t="str">
        <f t="shared" si="184"/>
        <v/>
      </c>
      <c r="Q2311">
        <f>COUNTIF('責任職　企業局→市長部局'!A:A,SQLデータ!B2311)</f>
        <v>0</v>
      </c>
      <c r="R2311">
        <f>COUNTIF('一般職員　企業局→市長部局'!A:F,SQLデータ!B2311)</f>
        <v>0</v>
      </c>
    </row>
    <row r="2312" spans="1:18" x14ac:dyDescent="0.4">
      <c r="A2312" s="1">
        <v>202650002163</v>
      </c>
      <c r="B2312" s="1">
        <v>1101028</v>
      </c>
      <c r="C2312" s="2">
        <v>46120</v>
      </c>
      <c r="D2312" t="s">
        <v>17</v>
      </c>
      <c r="E2312" t="s">
        <v>8</v>
      </c>
      <c r="G2312" t="s">
        <v>9</v>
      </c>
      <c r="L2312">
        <f t="shared" si="181"/>
        <v>0</v>
      </c>
      <c r="M2312">
        <f t="shared" si="182"/>
        <v>0</v>
      </c>
      <c r="N2312">
        <f t="shared" si="183"/>
        <v>0</v>
      </c>
      <c r="O2312">
        <f t="shared" si="180"/>
        <v>1</v>
      </c>
      <c r="P2312" t="str">
        <f t="shared" si="184"/>
        <v/>
      </c>
      <c r="Q2312">
        <f>COUNTIF('責任職　企業局→市長部局'!A:A,SQLデータ!B2312)</f>
        <v>0</v>
      </c>
      <c r="R2312">
        <f>COUNTIF('一般職員　企業局→市長部局'!A:F,SQLデータ!B2312)</f>
        <v>0</v>
      </c>
    </row>
    <row r="2313" spans="1:18" x14ac:dyDescent="0.4">
      <c r="A2313" s="1">
        <v>202650002164</v>
      </c>
      <c r="B2313" s="1">
        <v>1226065</v>
      </c>
      <c r="C2313" s="2">
        <v>46120</v>
      </c>
      <c r="D2313" t="s">
        <v>17</v>
      </c>
      <c r="E2313" t="s">
        <v>8</v>
      </c>
      <c r="G2313" t="s">
        <v>9</v>
      </c>
      <c r="L2313">
        <f t="shared" si="181"/>
        <v>0</v>
      </c>
      <c r="M2313">
        <f t="shared" si="182"/>
        <v>0</v>
      </c>
      <c r="N2313">
        <f t="shared" si="183"/>
        <v>0</v>
      </c>
      <c r="O2313">
        <f t="shared" ref="O2313:O2376" si="185">IF(COUNTIF(L2313:N2313,0)=3,1,0)</f>
        <v>1</v>
      </c>
      <c r="P2313" t="str">
        <f t="shared" si="184"/>
        <v/>
      </c>
      <c r="Q2313">
        <f>COUNTIF('責任職　企業局→市長部局'!A:A,SQLデータ!B2313)</f>
        <v>0</v>
      </c>
      <c r="R2313">
        <f>COUNTIF('一般職員　企業局→市長部局'!A:F,SQLデータ!B2313)</f>
        <v>0</v>
      </c>
    </row>
    <row r="2314" spans="1:18" x14ac:dyDescent="0.4">
      <c r="A2314" s="1">
        <v>202650002165</v>
      </c>
      <c r="B2314" s="1">
        <v>1181349</v>
      </c>
      <c r="C2314" s="2">
        <v>46120</v>
      </c>
      <c r="D2314" t="s">
        <v>17</v>
      </c>
      <c r="E2314" t="s">
        <v>8</v>
      </c>
      <c r="G2314" t="s">
        <v>9</v>
      </c>
      <c r="L2314">
        <f t="shared" si="181"/>
        <v>0</v>
      </c>
      <c r="M2314">
        <f t="shared" si="182"/>
        <v>0</v>
      </c>
      <c r="N2314">
        <f t="shared" si="183"/>
        <v>0</v>
      </c>
      <c r="O2314">
        <f t="shared" si="185"/>
        <v>1</v>
      </c>
      <c r="P2314" t="str">
        <f t="shared" si="184"/>
        <v/>
      </c>
      <c r="Q2314">
        <f>COUNTIF('責任職　企業局→市長部局'!A:A,SQLデータ!B2314)</f>
        <v>0</v>
      </c>
      <c r="R2314">
        <f>COUNTIF('一般職員　企業局→市長部局'!A:F,SQLデータ!B2314)</f>
        <v>0</v>
      </c>
    </row>
    <row r="2315" spans="1:18" x14ac:dyDescent="0.4">
      <c r="A2315" s="1">
        <v>202650002166</v>
      </c>
      <c r="B2315" s="1">
        <v>1161133</v>
      </c>
      <c r="C2315" s="2">
        <v>46120</v>
      </c>
      <c r="D2315" t="s">
        <v>17</v>
      </c>
      <c r="E2315" t="s">
        <v>8</v>
      </c>
      <c r="G2315" t="s">
        <v>9</v>
      </c>
      <c r="L2315">
        <f t="shared" si="181"/>
        <v>0</v>
      </c>
      <c r="M2315">
        <f t="shared" si="182"/>
        <v>0</v>
      </c>
      <c r="N2315">
        <f t="shared" si="183"/>
        <v>0</v>
      </c>
      <c r="O2315">
        <f t="shared" si="185"/>
        <v>1</v>
      </c>
      <c r="P2315" t="str">
        <f t="shared" si="184"/>
        <v/>
      </c>
      <c r="Q2315">
        <f>COUNTIF('責任職　企業局→市長部局'!A:A,SQLデータ!B2315)</f>
        <v>0</v>
      </c>
      <c r="R2315">
        <f>COUNTIF('一般職員　企業局→市長部局'!A:F,SQLデータ!B2315)</f>
        <v>0</v>
      </c>
    </row>
    <row r="2316" spans="1:18" x14ac:dyDescent="0.4">
      <c r="A2316" s="1">
        <v>202650002167</v>
      </c>
      <c r="B2316" s="1">
        <v>1141219</v>
      </c>
      <c r="C2316" s="2">
        <v>46125</v>
      </c>
      <c r="D2316" t="s">
        <v>17</v>
      </c>
      <c r="E2316" t="s">
        <v>8</v>
      </c>
      <c r="G2316" t="s">
        <v>9</v>
      </c>
      <c r="L2316">
        <f t="shared" si="181"/>
        <v>0</v>
      </c>
      <c r="M2316">
        <f t="shared" si="182"/>
        <v>0</v>
      </c>
      <c r="N2316">
        <f t="shared" si="183"/>
        <v>0</v>
      </c>
      <c r="O2316">
        <f t="shared" si="185"/>
        <v>1</v>
      </c>
      <c r="P2316" t="str">
        <f t="shared" si="184"/>
        <v/>
      </c>
      <c r="Q2316">
        <f>COUNTIF('責任職　企業局→市長部局'!A:A,SQLデータ!B2316)</f>
        <v>0</v>
      </c>
      <c r="R2316">
        <f>COUNTIF('一般職員　企業局→市長部局'!A:F,SQLデータ!B2316)</f>
        <v>0</v>
      </c>
    </row>
    <row r="2317" spans="1:18" x14ac:dyDescent="0.4">
      <c r="A2317" s="1">
        <v>202650002168</v>
      </c>
      <c r="B2317" s="1">
        <v>1146039</v>
      </c>
      <c r="C2317" s="2">
        <v>46120</v>
      </c>
      <c r="D2317" t="s">
        <v>17</v>
      </c>
      <c r="E2317" t="s">
        <v>8</v>
      </c>
      <c r="G2317" t="s">
        <v>9</v>
      </c>
      <c r="L2317">
        <f t="shared" si="181"/>
        <v>0</v>
      </c>
      <c r="M2317">
        <f t="shared" si="182"/>
        <v>0</v>
      </c>
      <c r="N2317">
        <f t="shared" si="183"/>
        <v>0</v>
      </c>
      <c r="O2317">
        <f t="shared" si="185"/>
        <v>1</v>
      </c>
      <c r="P2317" t="str">
        <f t="shared" si="184"/>
        <v/>
      </c>
      <c r="Q2317">
        <f>COUNTIF('責任職　企業局→市長部局'!A:A,SQLデータ!B2317)</f>
        <v>0</v>
      </c>
      <c r="R2317">
        <f>COUNTIF('一般職員　企業局→市長部局'!A:F,SQLデータ!B2317)</f>
        <v>0</v>
      </c>
    </row>
    <row r="2318" spans="1:18" x14ac:dyDescent="0.4">
      <c r="A2318" s="1">
        <v>202650002169</v>
      </c>
      <c r="B2318" s="1">
        <v>880242</v>
      </c>
      <c r="C2318" s="2">
        <v>46120</v>
      </c>
      <c r="D2318" t="s">
        <v>17</v>
      </c>
      <c r="E2318" t="s">
        <v>8</v>
      </c>
      <c r="G2318" t="s">
        <v>9</v>
      </c>
      <c r="L2318">
        <f t="shared" si="181"/>
        <v>0</v>
      </c>
      <c r="M2318">
        <f t="shared" si="182"/>
        <v>0</v>
      </c>
      <c r="N2318">
        <f t="shared" si="183"/>
        <v>0</v>
      </c>
      <c r="O2318">
        <f t="shared" si="185"/>
        <v>1</v>
      </c>
      <c r="P2318" t="str">
        <f t="shared" si="184"/>
        <v/>
      </c>
      <c r="Q2318">
        <f>COUNTIF('責任職　企業局→市長部局'!A:A,SQLデータ!B2318)</f>
        <v>0</v>
      </c>
      <c r="R2318">
        <f>COUNTIF('一般職員　企業局→市長部局'!A:F,SQLデータ!B2318)</f>
        <v>0</v>
      </c>
    </row>
    <row r="2319" spans="1:18" x14ac:dyDescent="0.4">
      <c r="A2319" s="1">
        <v>202650002170</v>
      </c>
      <c r="B2319" s="1">
        <v>960046</v>
      </c>
      <c r="C2319" s="2">
        <v>46120</v>
      </c>
      <c r="D2319" t="s">
        <v>17</v>
      </c>
      <c r="E2319" t="s">
        <v>8</v>
      </c>
      <c r="G2319" t="s">
        <v>9</v>
      </c>
      <c r="L2319">
        <f t="shared" si="181"/>
        <v>0</v>
      </c>
      <c r="M2319">
        <f t="shared" si="182"/>
        <v>0</v>
      </c>
      <c r="N2319">
        <f t="shared" si="183"/>
        <v>0</v>
      </c>
      <c r="O2319">
        <f t="shared" si="185"/>
        <v>1</v>
      </c>
      <c r="P2319" t="str">
        <f t="shared" si="184"/>
        <v/>
      </c>
      <c r="Q2319">
        <f>COUNTIF('責任職　企業局→市長部局'!A:A,SQLデータ!B2319)</f>
        <v>0</v>
      </c>
      <c r="R2319">
        <f>COUNTIF('一般職員　企業局→市長部局'!A:F,SQLデータ!B2319)</f>
        <v>0</v>
      </c>
    </row>
    <row r="2320" spans="1:18" x14ac:dyDescent="0.4">
      <c r="A2320" s="1">
        <v>202650002171</v>
      </c>
      <c r="B2320" s="1">
        <v>1096135</v>
      </c>
      <c r="C2320" s="2">
        <v>46120</v>
      </c>
      <c r="D2320" t="s">
        <v>17</v>
      </c>
      <c r="E2320" t="s">
        <v>8</v>
      </c>
      <c r="G2320" t="s">
        <v>9</v>
      </c>
      <c r="L2320">
        <f t="shared" si="181"/>
        <v>0</v>
      </c>
      <c r="M2320">
        <f t="shared" si="182"/>
        <v>0</v>
      </c>
      <c r="N2320">
        <f t="shared" si="183"/>
        <v>0</v>
      </c>
      <c r="O2320">
        <f t="shared" si="185"/>
        <v>1</v>
      </c>
      <c r="P2320" t="str">
        <f t="shared" si="184"/>
        <v/>
      </c>
      <c r="Q2320">
        <f>COUNTIF('責任職　企業局→市長部局'!A:A,SQLデータ!B2320)</f>
        <v>0</v>
      </c>
      <c r="R2320">
        <f>COUNTIF('一般職員　企業局→市長部局'!A:F,SQLデータ!B2320)</f>
        <v>0</v>
      </c>
    </row>
    <row r="2321" spans="1:18" x14ac:dyDescent="0.4">
      <c r="A2321" s="1">
        <v>202650002172</v>
      </c>
      <c r="B2321" s="1">
        <v>1001002</v>
      </c>
      <c r="C2321" s="2">
        <v>46120</v>
      </c>
      <c r="D2321" t="s">
        <v>17</v>
      </c>
      <c r="E2321" t="s">
        <v>8</v>
      </c>
      <c r="G2321" t="s">
        <v>9</v>
      </c>
      <c r="L2321">
        <f t="shared" si="181"/>
        <v>0</v>
      </c>
      <c r="M2321">
        <f t="shared" si="182"/>
        <v>0</v>
      </c>
      <c r="N2321">
        <f t="shared" si="183"/>
        <v>0</v>
      </c>
      <c r="O2321">
        <f t="shared" si="185"/>
        <v>1</v>
      </c>
      <c r="P2321" t="str">
        <f t="shared" si="184"/>
        <v/>
      </c>
      <c r="Q2321">
        <f>COUNTIF('責任職　企業局→市長部局'!A:A,SQLデータ!B2321)</f>
        <v>0</v>
      </c>
      <c r="R2321">
        <f>COUNTIF('一般職員　企業局→市長部局'!A:F,SQLデータ!B2321)</f>
        <v>0</v>
      </c>
    </row>
    <row r="2322" spans="1:18" x14ac:dyDescent="0.4">
      <c r="A2322" s="1">
        <v>202650002173</v>
      </c>
      <c r="B2322" s="1">
        <v>1072054</v>
      </c>
      <c r="C2322" s="2">
        <v>46128</v>
      </c>
      <c r="D2322" t="s">
        <v>17</v>
      </c>
      <c r="E2322" t="s">
        <v>8</v>
      </c>
      <c r="G2322" t="s">
        <v>9</v>
      </c>
      <c r="L2322">
        <f t="shared" si="181"/>
        <v>0</v>
      </c>
      <c r="M2322">
        <f t="shared" si="182"/>
        <v>0</v>
      </c>
      <c r="N2322">
        <f t="shared" si="183"/>
        <v>0</v>
      </c>
      <c r="O2322">
        <f t="shared" si="185"/>
        <v>1</v>
      </c>
      <c r="P2322" t="str">
        <f t="shared" si="184"/>
        <v/>
      </c>
      <c r="Q2322">
        <f>COUNTIF('責任職　企業局→市長部局'!A:A,SQLデータ!B2322)</f>
        <v>0</v>
      </c>
      <c r="R2322">
        <f>COUNTIF('一般職員　企業局→市長部局'!A:F,SQLデータ!B2322)</f>
        <v>0</v>
      </c>
    </row>
    <row r="2323" spans="1:18" x14ac:dyDescent="0.4">
      <c r="A2323" s="1">
        <v>202650002174</v>
      </c>
      <c r="B2323" s="1">
        <v>1096072</v>
      </c>
      <c r="C2323" s="2">
        <v>46120</v>
      </c>
      <c r="D2323" t="s">
        <v>17</v>
      </c>
      <c r="E2323" t="s">
        <v>8</v>
      </c>
      <c r="G2323" t="s">
        <v>9</v>
      </c>
      <c r="L2323">
        <f t="shared" si="181"/>
        <v>0</v>
      </c>
      <c r="M2323">
        <f t="shared" si="182"/>
        <v>0</v>
      </c>
      <c r="N2323">
        <f t="shared" si="183"/>
        <v>0</v>
      </c>
      <c r="O2323">
        <f t="shared" si="185"/>
        <v>1</v>
      </c>
      <c r="P2323" t="str">
        <f t="shared" si="184"/>
        <v/>
      </c>
      <c r="Q2323">
        <f>COUNTIF('責任職　企業局→市長部局'!A:A,SQLデータ!B2323)</f>
        <v>0</v>
      </c>
      <c r="R2323">
        <f>COUNTIF('一般職員　企業局→市長部局'!A:F,SQLデータ!B2323)</f>
        <v>0</v>
      </c>
    </row>
    <row r="2324" spans="1:18" x14ac:dyDescent="0.4">
      <c r="A2324" s="1">
        <v>202650002175</v>
      </c>
      <c r="B2324" s="1">
        <v>1081319</v>
      </c>
      <c r="C2324" s="2">
        <v>46120</v>
      </c>
      <c r="D2324" t="s">
        <v>17</v>
      </c>
      <c r="E2324" t="s">
        <v>8</v>
      </c>
      <c r="G2324" t="s">
        <v>9</v>
      </c>
      <c r="L2324">
        <f t="shared" si="181"/>
        <v>0</v>
      </c>
      <c r="M2324">
        <f t="shared" si="182"/>
        <v>0</v>
      </c>
      <c r="N2324">
        <f t="shared" si="183"/>
        <v>0</v>
      </c>
      <c r="O2324">
        <f t="shared" si="185"/>
        <v>1</v>
      </c>
      <c r="P2324" t="str">
        <f t="shared" si="184"/>
        <v/>
      </c>
      <c r="Q2324">
        <f>COUNTIF('責任職　企業局→市長部局'!A:A,SQLデータ!B2324)</f>
        <v>0</v>
      </c>
      <c r="R2324">
        <f>COUNTIF('一般職員　企業局→市長部局'!A:F,SQLデータ!B2324)</f>
        <v>0</v>
      </c>
    </row>
    <row r="2325" spans="1:18" x14ac:dyDescent="0.4">
      <c r="A2325" s="1">
        <v>202650002176</v>
      </c>
      <c r="B2325" s="1">
        <v>981107</v>
      </c>
      <c r="C2325" s="2">
        <v>46120</v>
      </c>
      <c r="D2325" t="s">
        <v>17</v>
      </c>
      <c r="E2325" t="s">
        <v>8</v>
      </c>
      <c r="G2325" t="s">
        <v>9</v>
      </c>
      <c r="L2325">
        <f t="shared" si="181"/>
        <v>0</v>
      </c>
      <c r="M2325">
        <f t="shared" si="182"/>
        <v>0</v>
      </c>
      <c r="N2325">
        <f t="shared" si="183"/>
        <v>0</v>
      </c>
      <c r="O2325">
        <f t="shared" si="185"/>
        <v>1</v>
      </c>
      <c r="P2325" t="str">
        <f t="shared" si="184"/>
        <v/>
      </c>
      <c r="Q2325">
        <f>COUNTIF('責任職　企業局→市長部局'!A:A,SQLデータ!B2325)</f>
        <v>0</v>
      </c>
      <c r="R2325">
        <f>COUNTIF('一般職員　企業局→市長部局'!A:F,SQLデータ!B2325)</f>
        <v>0</v>
      </c>
    </row>
    <row r="2326" spans="1:18" x14ac:dyDescent="0.4">
      <c r="A2326" s="1">
        <v>202650002177</v>
      </c>
      <c r="B2326" s="1">
        <v>1041040</v>
      </c>
      <c r="C2326" s="2">
        <v>46120</v>
      </c>
      <c r="D2326" t="s">
        <v>17</v>
      </c>
      <c r="E2326" t="s">
        <v>8</v>
      </c>
      <c r="G2326" t="s">
        <v>9</v>
      </c>
      <c r="L2326">
        <f t="shared" si="181"/>
        <v>0</v>
      </c>
      <c r="M2326">
        <f t="shared" si="182"/>
        <v>0</v>
      </c>
      <c r="N2326">
        <f t="shared" si="183"/>
        <v>0</v>
      </c>
      <c r="O2326">
        <f t="shared" si="185"/>
        <v>1</v>
      </c>
      <c r="P2326" t="str">
        <f t="shared" si="184"/>
        <v/>
      </c>
      <c r="Q2326">
        <f>COUNTIF('責任職　企業局→市長部局'!A:A,SQLデータ!B2326)</f>
        <v>0</v>
      </c>
      <c r="R2326">
        <f>COUNTIF('一般職員　企業局→市長部局'!A:F,SQLデータ!B2326)</f>
        <v>0</v>
      </c>
    </row>
    <row r="2327" spans="1:18" x14ac:dyDescent="0.4">
      <c r="A2327" s="1">
        <v>202650002178</v>
      </c>
      <c r="B2327" s="1">
        <v>5108458</v>
      </c>
      <c r="C2327" s="2">
        <v>46120</v>
      </c>
      <c r="D2327" t="s">
        <v>17</v>
      </c>
      <c r="E2327" t="s">
        <v>8</v>
      </c>
      <c r="G2327" t="s">
        <v>9</v>
      </c>
      <c r="L2327">
        <f t="shared" si="181"/>
        <v>0</v>
      </c>
      <c r="M2327">
        <f t="shared" si="182"/>
        <v>0</v>
      </c>
      <c r="N2327">
        <f t="shared" si="183"/>
        <v>0</v>
      </c>
      <c r="O2327">
        <f t="shared" si="185"/>
        <v>1</v>
      </c>
      <c r="P2327" t="str">
        <f t="shared" si="184"/>
        <v/>
      </c>
      <c r="Q2327">
        <f>COUNTIF('責任職　企業局→市長部局'!A:A,SQLデータ!B2327)</f>
        <v>0</v>
      </c>
      <c r="R2327">
        <f>COUNTIF('一般職員　企業局→市長部局'!A:F,SQLデータ!B2327)</f>
        <v>0</v>
      </c>
    </row>
    <row r="2328" spans="1:18" x14ac:dyDescent="0.4">
      <c r="A2328" s="1">
        <v>202650002179</v>
      </c>
      <c r="B2328" s="1">
        <v>981198</v>
      </c>
      <c r="C2328" s="2">
        <v>46120</v>
      </c>
      <c r="D2328" t="s">
        <v>17</v>
      </c>
      <c r="E2328" t="s">
        <v>8</v>
      </c>
      <c r="G2328" t="s">
        <v>9</v>
      </c>
      <c r="L2328">
        <f t="shared" si="181"/>
        <v>0</v>
      </c>
      <c r="M2328">
        <f t="shared" si="182"/>
        <v>0</v>
      </c>
      <c r="N2328">
        <f t="shared" si="183"/>
        <v>0</v>
      </c>
      <c r="O2328">
        <f t="shared" si="185"/>
        <v>1</v>
      </c>
      <c r="P2328" t="str">
        <f t="shared" si="184"/>
        <v/>
      </c>
      <c r="Q2328">
        <f>COUNTIF('責任職　企業局→市長部局'!A:A,SQLデータ!B2328)</f>
        <v>0</v>
      </c>
      <c r="R2328">
        <f>COUNTIF('一般職員　企業局→市長部局'!A:F,SQLデータ!B2328)</f>
        <v>0</v>
      </c>
    </row>
    <row r="2329" spans="1:18" x14ac:dyDescent="0.4">
      <c r="A2329" s="1">
        <v>202650002180</v>
      </c>
      <c r="B2329" s="1">
        <v>1026048</v>
      </c>
      <c r="C2329" s="2">
        <v>46120</v>
      </c>
      <c r="D2329" t="s">
        <v>17</v>
      </c>
      <c r="E2329" t="s">
        <v>8</v>
      </c>
      <c r="G2329" t="s">
        <v>9</v>
      </c>
      <c r="L2329">
        <f t="shared" si="181"/>
        <v>0</v>
      </c>
      <c r="M2329">
        <f t="shared" si="182"/>
        <v>0</v>
      </c>
      <c r="N2329">
        <f t="shared" si="183"/>
        <v>0</v>
      </c>
      <c r="O2329">
        <f t="shared" si="185"/>
        <v>1</v>
      </c>
      <c r="P2329" t="str">
        <f t="shared" si="184"/>
        <v/>
      </c>
      <c r="Q2329">
        <f>COUNTIF('責任職　企業局→市長部局'!A:A,SQLデータ!B2329)</f>
        <v>0</v>
      </c>
      <c r="R2329">
        <f>COUNTIF('一般職員　企業局→市長部局'!A:F,SQLデータ!B2329)</f>
        <v>0</v>
      </c>
    </row>
    <row r="2330" spans="1:18" x14ac:dyDescent="0.4">
      <c r="A2330" s="1">
        <v>202650002181</v>
      </c>
      <c r="B2330" s="1">
        <v>1246019</v>
      </c>
      <c r="C2330" s="2">
        <v>46120</v>
      </c>
      <c r="D2330" t="s">
        <v>17</v>
      </c>
      <c r="E2330" t="s">
        <v>8</v>
      </c>
      <c r="G2330" t="s">
        <v>9</v>
      </c>
      <c r="L2330">
        <f t="shared" si="181"/>
        <v>0</v>
      </c>
      <c r="M2330">
        <f t="shared" si="182"/>
        <v>0</v>
      </c>
      <c r="N2330">
        <f t="shared" si="183"/>
        <v>0</v>
      </c>
      <c r="O2330">
        <f t="shared" si="185"/>
        <v>1</v>
      </c>
      <c r="P2330" t="str">
        <f t="shared" si="184"/>
        <v/>
      </c>
      <c r="Q2330">
        <f>COUNTIF('責任職　企業局→市長部局'!A:A,SQLデータ!B2330)</f>
        <v>0</v>
      </c>
      <c r="R2330">
        <f>COUNTIF('一般職員　企業局→市長部局'!A:F,SQLデータ!B2330)</f>
        <v>0</v>
      </c>
    </row>
    <row r="2331" spans="1:18" x14ac:dyDescent="0.4">
      <c r="A2331" s="1">
        <v>202650002182</v>
      </c>
      <c r="B2331" s="1">
        <v>1116112</v>
      </c>
      <c r="C2331" s="2">
        <v>46120</v>
      </c>
      <c r="D2331" t="s">
        <v>17</v>
      </c>
      <c r="E2331" t="s">
        <v>8</v>
      </c>
      <c r="G2331" t="s">
        <v>9</v>
      </c>
      <c r="L2331">
        <f t="shared" si="181"/>
        <v>0</v>
      </c>
      <c r="M2331">
        <f t="shared" si="182"/>
        <v>0</v>
      </c>
      <c r="N2331">
        <f t="shared" si="183"/>
        <v>0</v>
      </c>
      <c r="O2331">
        <f t="shared" si="185"/>
        <v>1</v>
      </c>
      <c r="P2331" t="str">
        <f t="shared" si="184"/>
        <v/>
      </c>
      <c r="Q2331">
        <f>COUNTIF('責任職　企業局→市長部局'!A:A,SQLデータ!B2331)</f>
        <v>0</v>
      </c>
      <c r="R2331">
        <f>COUNTIF('一般職員　企業局→市長部局'!A:F,SQLデータ!B2331)</f>
        <v>0</v>
      </c>
    </row>
    <row r="2332" spans="1:18" x14ac:dyDescent="0.4">
      <c r="A2332" s="1">
        <v>202650002183</v>
      </c>
      <c r="B2332" s="1">
        <v>1216095</v>
      </c>
      <c r="C2332" s="2">
        <v>46120</v>
      </c>
      <c r="D2332" t="s">
        <v>17</v>
      </c>
      <c r="E2332" t="s">
        <v>8</v>
      </c>
      <c r="G2332" t="s">
        <v>9</v>
      </c>
      <c r="L2332">
        <f t="shared" si="181"/>
        <v>0</v>
      </c>
      <c r="M2332">
        <f t="shared" si="182"/>
        <v>0</v>
      </c>
      <c r="N2332">
        <f t="shared" si="183"/>
        <v>0</v>
      </c>
      <c r="O2332">
        <f t="shared" si="185"/>
        <v>1</v>
      </c>
      <c r="P2332" t="str">
        <f t="shared" si="184"/>
        <v/>
      </c>
      <c r="Q2332">
        <f>COUNTIF('責任職　企業局→市長部局'!A:A,SQLデータ!B2332)</f>
        <v>0</v>
      </c>
      <c r="R2332">
        <f>COUNTIF('一般職員　企業局→市長部局'!A:F,SQLデータ!B2332)</f>
        <v>0</v>
      </c>
    </row>
    <row r="2333" spans="1:18" x14ac:dyDescent="0.4">
      <c r="A2333" s="1">
        <v>202650002184</v>
      </c>
      <c r="B2333" s="1">
        <v>1171154</v>
      </c>
      <c r="C2333" s="2">
        <v>46120</v>
      </c>
      <c r="D2333" t="s">
        <v>17</v>
      </c>
      <c r="E2333" t="s">
        <v>8</v>
      </c>
      <c r="G2333" t="s">
        <v>9</v>
      </c>
      <c r="L2333">
        <f t="shared" si="181"/>
        <v>0</v>
      </c>
      <c r="M2333">
        <f t="shared" si="182"/>
        <v>0</v>
      </c>
      <c r="N2333">
        <f t="shared" si="183"/>
        <v>0</v>
      </c>
      <c r="O2333">
        <f t="shared" si="185"/>
        <v>1</v>
      </c>
      <c r="P2333" t="str">
        <f t="shared" si="184"/>
        <v/>
      </c>
      <c r="Q2333">
        <f>COUNTIF('責任職　企業局→市長部局'!A:A,SQLデータ!B2333)</f>
        <v>0</v>
      </c>
      <c r="R2333">
        <f>COUNTIF('一般職員　企業局→市長部局'!A:F,SQLデータ!B2333)</f>
        <v>0</v>
      </c>
    </row>
    <row r="2334" spans="1:18" x14ac:dyDescent="0.4">
      <c r="A2334" s="1">
        <v>202650002185</v>
      </c>
      <c r="B2334" s="1">
        <v>1246063</v>
      </c>
      <c r="C2334" s="2">
        <v>46121</v>
      </c>
      <c r="D2334" t="s">
        <v>17</v>
      </c>
      <c r="E2334" t="s">
        <v>8</v>
      </c>
      <c r="G2334" t="s">
        <v>9</v>
      </c>
      <c r="L2334">
        <f t="shared" si="181"/>
        <v>0</v>
      </c>
      <c r="M2334">
        <f t="shared" si="182"/>
        <v>0</v>
      </c>
      <c r="N2334">
        <f t="shared" si="183"/>
        <v>0</v>
      </c>
      <c r="O2334">
        <f t="shared" si="185"/>
        <v>1</v>
      </c>
      <c r="P2334" t="str">
        <f t="shared" si="184"/>
        <v/>
      </c>
      <c r="Q2334">
        <f>COUNTIF('責任職　企業局→市長部局'!A:A,SQLデータ!B2334)</f>
        <v>0</v>
      </c>
      <c r="R2334">
        <f>COUNTIF('一般職員　企業局→市長部局'!A:F,SQLデータ!B2334)</f>
        <v>0</v>
      </c>
    </row>
    <row r="2335" spans="1:18" x14ac:dyDescent="0.4">
      <c r="A2335" s="1">
        <v>202650002186</v>
      </c>
      <c r="B2335" s="1">
        <v>1166019</v>
      </c>
      <c r="C2335" s="2">
        <v>46121</v>
      </c>
      <c r="D2335" t="s">
        <v>17</v>
      </c>
      <c r="E2335" t="s">
        <v>8</v>
      </c>
      <c r="G2335" t="s">
        <v>9</v>
      </c>
      <c r="L2335">
        <f t="shared" si="181"/>
        <v>0</v>
      </c>
      <c r="M2335">
        <f t="shared" si="182"/>
        <v>0</v>
      </c>
      <c r="N2335">
        <f t="shared" si="183"/>
        <v>0</v>
      </c>
      <c r="O2335">
        <f t="shared" si="185"/>
        <v>1</v>
      </c>
      <c r="P2335" t="str">
        <f t="shared" si="184"/>
        <v/>
      </c>
      <c r="Q2335">
        <f>COUNTIF('責任職　企業局→市長部局'!A:A,SQLデータ!B2335)</f>
        <v>0</v>
      </c>
      <c r="R2335">
        <f>COUNTIF('一般職員　企業局→市長部局'!A:F,SQLデータ!B2335)</f>
        <v>0</v>
      </c>
    </row>
    <row r="2336" spans="1:18" x14ac:dyDescent="0.4">
      <c r="A2336" s="1">
        <v>202650002187</v>
      </c>
      <c r="B2336" s="1">
        <v>1246035</v>
      </c>
      <c r="C2336" s="2">
        <v>46121</v>
      </c>
      <c r="D2336" t="s">
        <v>17</v>
      </c>
      <c r="E2336" t="s">
        <v>8</v>
      </c>
      <c r="G2336" t="s">
        <v>9</v>
      </c>
      <c r="L2336">
        <f t="shared" si="181"/>
        <v>0</v>
      </c>
      <c r="M2336">
        <f t="shared" si="182"/>
        <v>0</v>
      </c>
      <c r="N2336">
        <f t="shared" si="183"/>
        <v>0</v>
      </c>
      <c r="O2336">
        <f t="shared" si="185"/>
        <v>1</v>
      </c>
      <c r="P2336" t="str">
        <f t="shared" si="184"/>
        <v/>
      </c>
      <c r="Q2336">
        <f>COUNTIF('責任職　企業局→市長部局'!A:A,SQLデータ!B2336)</f>
        <v>0</v>
      </c>
      <c r="R2336">
        <f>COUNTIF('一般職員　企業局→市長部局'!A:F,SQLデータ!B2336)</f>
        <v>0</v>
      </c>
    </row>
    <row r="2337" spans="1:18" x14ac:dyDescent="0.4">
      <c r="A2337" s="1">
        <v>202650002188</v>
      </c>
      <c r="B2337" s="1">
        <v>1176084</v>
      </c>
      <c r="C2337" s="2">
        <v>46121</v>
      </c>
      <c r="D2337" t="s">
        <v>17</v>
      </c>
      <c r="E2337" t="s">
        <v>8</v>
      </c>
      <c r="G2337" t="s">
        <v>9</v>
      </c>
      <c r="L2337">
        <f t="shared" si="181"/>
        <v>0</v>
      </c>
      <c r="M2337">
        <f t="shared" si="182"/>
        <v>0</v>
      </c>
      <c r="N2337">
        <f t="shared" si="183"/>
        <v>0</v>
      </c>
      <c r="O2337">
        <f t="shared" si="185"/>
        <v>1</v>
      </c>
      <c r="P2337" t="str">
        <f t="shared" si="184"/>
        <v/>
      </c>
      <c r="Q2337">
        <f>COUNTIF('責任職　企業局→市長部局'!A:A,SQLデータ!B2337)</f>
        <v>0</v>
      </c>
      <c r="R2337">
        <f>COUNTIF('一般職員　企業局→市長部局'!A:F,SQLデータ!B2337)</f>
        <v>0</v>
      </c>
    </row>
    <row r="2338" spans="1:18" x14ac:dyDescent="0.4">
      <c r="A2338" s="1">
        <v>202650002189</v>
      </c>
      <c r="B2338" s="1">
        <v>930267</v>
      </c>
      <c r="C2338" s="2">
        <v>46121</v>
      </c>
      <c r="D2338" t="s">
        <v>17</v>
      </c>
      <c r="E2338" t="s">
        <v>8</v>
      </c>
      <c r="G2338" t="s">
        <v>9</v>
      </c>
      <c r="L2338">
        <f t="shared" si="181"/>
        <v>0</v>
      </c>
      <c r="M2338">
        <f t="shared" si="182"/>
        <v>0</v>
      </c>
      <c r="N2338">
        <f t="shared" si="183"/>
        <v>0</v>
      </c>
      <c r="O2338">
        <f t="shared" si="185"/>
        <v>1</v>
      </c>
      <c r="P2338" t="str">
        <f t="shared" si="184"/>
        <v/>
      </c>
      <c r="Q2338">
        <f>COUNTIF('責任職　企業局→市長部局'!A:A,SQLデータ!B2338)</f>
        <v>0</v>
      </c>
      <c r="R2338">
        <f>COUNTIF('一般職員　企業局→市長部局'!A:F,SQLデータ!B2338)</f>
        <v>0</v>
      </c>
    </row>
    <row r="2339" spans="1:18" x14ac:dyDescent="0.4">
      <c r="A2339" s="1">
        <v>202650002190</v>
      </c>
      <c r="B2339" s="1">
        <v>1116049</v>
      </c>
      <c r="C2339" s="2">
        <v>46121</v>
      </c>
      <c r="D2339" t="s">
        <v>17</v>
      </c>
      <c r="E2339" t="s">
        <v>8</v>
      </c>
      <c r="G2339" t="s">
        <v>9</v>
      </c>
      <c r="L2339">
        <f t="shared" si="181"/>
        <v>0</v>
      </c>
      <c r="M2339">
        <f t="shared" si="182"/>
        <v>0</v>
      </c>
      <c r="N2339">
        <f t="shared" si="183"/>
        <v>0</v>
      </c>
      <c r="O2339">
        <f t="shared" si="185"/>
        <v>1</v>
      </c>
      <c r="P2339" t="str">
        <f t="shared" si="184"/>
        <v/>
      </c>
      <c r="Q2339">
        <f>COUNTIF('責任職　企業局→市長部局'!A:A,SQLデータ!B2339)</f>
        <v>0</v>
      </c>
      <c r="R2339">
        <f>COUNTIF('一般職員　企業局→市長部局'!A:F,SQLデータ!B2339)</f>
        <v>0</v>
      </c>
    </row>
    <row r="2340" spans="1:18" x14ac:dyDescent="0.4">
      <c r="A2340" s="1">
        <v>202650002191</v>
      </c>
      <c r="B2340" s="1">
        <v>1206116</v>
      </c>
      <c r="C2340" s="2">
        <v>46123</v>
      </c>
      <c r="D2340" t="s">
        <v>17</v>
      </c>
      <c r="E2340" t="s">
        <v>8</v>
      </c>
      <c r="G2340" t="s">
        <v>9</v>
      </c>
      <c r="L2340">
        <f t="shared" si="181"/>
        <v>0</v>
      </c>
      <c r="M2340">
        <f t="shared" si="182"/>
        <v>0</v>
      </c>
      <c r="N2340">
        <f t="shared" si="183"/>
        <v>0</v>
      </c>
      <c r="O2340">
        <f t="shared" si="185"/>
        <v>1</v>
      </c>
      <c r="P2340" t="str">
        <f t="shared" si="184"/>
        <v/>
      </c>
      <c r="Q2340">
        <f>COUNTIF('責任職　企業局→市長部局'!A:A,SQLデータ!B2340)</f>
        <v>0</v>
      </c>
      <c r="R2340">
        <f>COUNTIF('一般職員　企業局→市長部局'!A:F,SQLデータ!B2340)</f>
        <v>0</v>
      </c>
    </row>
    <row r="2341" spans="1:18" x14ac:dyDescent="0.4">
      <c r="A2341" s="1">
        <v>202650002192</v>
      </c>
      <c r="B2341" s="1">
        <v>1201467</v>
      </c>
      <c r="C2341" s="2">
        <v>46122</v>
      </c>
      <c r="D2341" t="s">
        <v>17</v>
      </c>
      <c r="E2341" t="s">
        <v>8</v>
      </c>
      <c r="G2341" t="s">
        <v>9</v>
      </c>
      <c r="L2341">
        <f t="shared" si="181"/>
        <v>0</v>
      </c>
      <c r="M2341">
        <f t="shared" si="182"/>
        <v>0</v>
      </c>
      <c r="N2341">
        <f t="shared" si="183"/>
        <v>0</v>
      </c>
      <c r="O2341">
        <f t="shared" si="185"/>
        <v>1</v>
      </c>
      <c r="P2341" t="str">
        <f t="shared" si="184"/>
        <v/>
      </c>
      <c r="Q2341">
        <f>COUNTIF('責任職　企業局→市長部局'!A:A,SQLデータ!B2341)</f>
        <v>0</v>
      </c>
      <c r="R2341">
        <f>COUNTIF('一般職員　企業局→市長部局'!A:F,SQLデータ!B2341)</f>
        <v>0</v>
      </c>
    </row>
    <row r="2342" spans="1:18" x14ac:dyDescent="0.4">
      <c r="A2342" s="1">
        <v>202650002193</v>
      </c>
      <c r="B2342" s="1">
        <v>1224046</v>
      </c>
      <c r="C2342" s="2">
        <v>46113</v>
      </c>
      <c r="D2342" t="s">
        <v>17</v>
      </c>
      <c r="E2342" t="s">
        <v>8</v>
      </c>
      <c r="G2342" t="s">
        <v>9</v>
      </c>
      <c r="L2342">
        <f t="shared" si="181"/>
        <v>0</v>
      </c>
      <c r="M2342">
        <f t="shared" si="182"/>
        <v>0</v>
      </c>
      <c r="N2342">
        <f t="shared" si="183"/>
        <v>0</v>
      </c>
      <c r="O2342">
        <f t="shared" si="185"/>
        <v>1</v>
      </c>
      <c r="P2342" t="str">
        <f t="shared" si="184"/>
        <v/>
      </c>
      <c r="Q2342">
        <f>COUNTIF('責任職　企業局→市長部局'!A:A,SQLデータ!B2342)</f>
        <v>0</v>
      </c>
      <c r="R2342">
        <f>COUNTIF('一般職員　企業局→市長部局'!A:F,SQLデータ!B2342)</f>
        <v>0</v>
      </c>
    </row>
    <row r="2343" spans="1:18" x14ac:dyDescent="0.4">
      <c r="A2343" s="1">
        <v>202650002196</v>
      </c>
      <c r="B2343" s="1">
        <v>1196101</v>
      </c>
      <c r="C2343" s="2">
        <v>46125</v>
      </c>
      <c r="D2343" t="s">
        <v>17</v>
      </c>
      <c r="E2343" t="s">
        <v>8</v>
      </c>
      <c r="G2343" t="s">
        <v>9</v>
      </c>
      <c r="L2343">
        <f t="shared" si="181"/>
        <v>0</v>
      </c>
      <c r="M2343">
        <f t="shared" si="182"/>
        <v>0</v>
      </c>
      <c r="N2343">
        <f t="shared" si="183"/>
        <v>0</v>
      </c>
      <c r="O2343">
        <f t="shared" si="185"/>
        <v>1</v>
      </c>
      <c r="P2343" t="str">
        <f t="shared" si="184"/>
        <v/>
      </c>
      <c r="Q2343">
        <f>COUNTIF('責任職　企業局→市長部局'!A:A,SQLデータ!B2343)</f>
        <v>0</v>
      </c>
      <c r="R2343">
        <f>COUNTIF('一般職員　企業局→市長部局'!A:F,SQLデータ!B2343)</f>
        <v>0</v>
      </c>
    </row>
    <row r="2344" spans="1:18" x14ac:dyDescent="0.4">
      <c r="A2344" s="1">
        <v>202650002197</v>
      </c>
      <c r="B2344" s="1">
        <v>1126057</v>
      </c>
      <c r="C2344" s="2">
        <v>46121</v>
      </c>
      <c r="D2344" t="s">
        <v>17</v>
      </c>
      <c r="E2344" t="s">
        <v>8</v>
      </c>
      <c r="G2344" t="s">
        <v>9</v>
      </c>
      <c r="L2344">
        <f t="shared" si="181"/>
        <v>0</v>
      </c>
      <c r="M2344">
        <f t="shared" si="182"/>
        <v>0</v>
      </c>
      <c r="N2344">
        <f t="shared" si="183"/>
        <v>0</v>
      </c>
      <c r="O2344">
        <f t="shared" si="185"/>
        <v>1</v>
      </c>
      <c r="P2344" t="str">
        <f t="shared" si="184"/>
        <v/>
      </c>
      <c r="Q2344">
        <f>COUNTIF('責任職　企業局→市長部局'!A:A,SQLデータ!B2344)</f>
        <v>0</v>
      </c>
      <c r="R2344">
        <f>COUNTIF('一般職員　企業局→市長部局'!A:F,SQLデータ!B2344)</f>
        <v>0</v>
      </c>
    </row>
    <row r="2345" spans="1:18" x14ac:dyDescent="0.4">
      <c r="A2345" s="1">
        <v>202650002198</v>
      </c>
      <c r="B2345" s="1">
        <v>1014197</v>
      </c>
      <c r="C2345" s="2">
        <v>46121</v>
      </c>
      <c r="D2345" t="s">
        <v>17</v>
      </c>
      <c r="E2345" t="s">
        <v>8</v>
      </c>
      <c r="G2345" t="s">
        <v>9</v>
      </c>
      <c r="L2345">
        <f t="shared" si="181"/>
        <v>0</v>
      </c>
      <c r="M2345">
        <f t="shared" si="182"/>
        <v>0</v>
      </c>
      <c r="N2345">
        <f t="shared" si="183"/>
        <v>0</v>
      </c>
      <c r="O2345">
        <f t="shared" si="185"/>
        <v>1</v>
      </c>
      <c r="P2345" t="str">
        <f t="shared" si="184"/>
        <v/>
      </c>
      <c r="Q2345">
        <f>COUNTIF('責任職　企業局→市長部局'!A:A,SQLデータ!B2345)</f>
        <v>0</v>
      </c>
      <c r="R2345">
        <f>COUNTIF('一般職員　企業局→市長部局'!A:F,SQLデータ!B2345)</f>
        <v>0</v>
      </c>
    </row>
    <row r="2346" spans="1:18" x14ac:dyDescent="0.4">
      <c r="A2346" s="1">
        <v>202650002199</v>
      </c>
      <c r="B2346" s="1">
        <v>1186111</v>
      </c>
      <c r="C2346" s="2">
        <v>46121</v>
      </c>
      <c r="D2346" t="s">
        <v>17</v>
      </c>
      <c r="E2346" t="s">
        <v>8</v>
      </c>
      <c r="G2346" t="s">
        <v>9</v>
      </c>
      <c r="L2346">
        <f t="shared" si="181"/>
        <v>0</v>
      </c>
      <c r="M2346">
        <f t="shared" si="182"/>
        <v>0</v>
      </c>
      <c r="N2346">
        <f t="shared" si="183"/>
        <v>0</v>
      </c>
      <c r="O2346">
        <f t="shared" si="185"/>
        <v>1</v>
      </c>
      <c r="P2346" t="str">
        <f t="shared" si="184"/>
        <v/>
      </c>
      <c r="Q2346">
        <f>COUNTIF('責任職　企業局→市長部局'!A:A,SQLデータ!B2346)</f>
        <v>0</v>
      </c>
      <c r="R2346">
        <f>COUNTIF('一般職員　企業局→市長部局'!A:F,SQLデータ!B2346)</f>
        <v>0</v>
      </c>
    </row>
    <row r="2347" spans="1:18" x14ac:dyDescent="0.4">
      <c r="A2347" s="1">
        <v>202650002200</v>
      </c>
      <c r="B2347" s="1">
        <v>1173010</v>
      </c>
      <c r="C2347" s="2">
        <v>46121</v>
      </c>
      <c r="D2347" t="s">
        <v>17</v>
      </c>
      <c r="E2347" t="s">
        <v>8</v>
      </c>
      <c r="G2347" t="s">
        <v>9</v>
      </c>
      <c r="L2347">
        <f t="shared" si="181"/>
        <v>0</v>
      </c>
      <c r="M2347">
        <f t="shared" si="182"/>
        <v>0</v>
      </c>
      <c r="N2347">
        <f t="shared" si="183"/>
        <v>0</v>
      </c>
      <c r="O2347">
        <f t="shared" si="185"/>
        <v>1</v>
      </c>
      <c r="P2347" t="str">
        <f t="shared" si="184"/>
        <v/>
      </c>
      <c r="Q2347">
        <f>COUNTIF('責任職　企業局→市長部局'!A:A,SQLデータ!B2347)</f>
        <v>0</v>
      </c>
      <c r="R2347">
        <f>COUNTIF('一般職員　企業局→市長部局'!A:F,SQLデータ!B2347)</f>
        <v>0</v>
      </c>
    </row>
    <row r="2348" spans="1:18" x14ac:dyDescent="0.4">
      <c r="A2348" s="1">
        <v>202650002201</v>
      </c>
      <c r="B2348" s="1">
        <v>910730</v>
      </c>
      <c r="C2348" s="2">
        <v>46121</v>
      </c>
      <c r="D2348" t="s">
        <v>17</v>
      </c>
      <c r="E2348" t="s">
        <v>8</v>
      </c>
      <c r="G2348" t="s">
        <v>9</v>
      </c>
      <c r="L2348">
        <f t="shared" si="181"/>
        <v>0</v>
      </c>
      <c r="M2348">
        <f t="shared" si="182"/>
        <v>0</v>
      </c>
      <c r="N2348">
        <f t="shared" si="183"/>
        <v>0</v>
      </c>
      <c r="O2348">
        <f t="shared" si="185"/>
        <v>1</v>
      </c>
      <c r="P2348" t="str">
        <f t="shared" si="184"/>
        <v/>
      </c>
      <c r="Q2348">
        <f>COUNTIF('責任職　企業局→市長部局'!A:A,SQLデータ!B2348)</f>
        <v>0</v>
      </c>
      <c r="R2348">
        <f>COUNTIF('一般職員　企業局→市長部局'!A:F,SQLデータ!B2348)</f>
        <v>0</v>
      </c>
    </row>
    <row r="2349" spans="1:18" x14ac:dyDescent="0.4">
      <c r="A2349" s="1">
        <v>202650002202</v>
      </c>
      <c r="B2349" s="1">
        <v>976043</v>
      </c>
      <c r="C2349" s="2">
        <v>46121</v>
      </c>
      <c r="D2349" t="s">
        <v>17</v>
      </c>
      <c r="E2349" t="s">
        <v>8</v>
      </c>
      <c r="G2349" t="s">
        <v>9</v>
      </c>
      <c r="L2349">
        <f t="shared" si="181"/>
        <v>0</v>
      </c>
      <c r="M2349">
        <f t="shared" si="182"/>
        <v>0</v>
      </c>
      <c r="N2349">
        <f t="shared" si="183"/>
        <v>0</v>
      </c>
      <c r="O2349">
        <f t="shared" si="185"/>
        <v>1</v>
      </c>
      <c r="P2349" t="str">
        <f t="shared" si="184"/>
        <v/>
      </c>
      <c r="Q2349">
        <f>COUNTIF('責任職　企業局→市長部局'!A:A,SQLデータ!B2349)</f>
        <v>0</v>
      </c>
      <c r="R2349">
        <f>COUNTIF('一般職員　企業局→市長部局'!A:F,SQLデータ!B2349)</f>
        <v>0</v>
      </c>
    </row>
    <row r="2350" spans="1:18" x14ac:dyDescent="0.4">
      <c r="A2350" s="1">
        <v>202650002203</v>
      </c>
      <c r="B2350" s="1">
        <v>1232116</v>
      </c>
      <c r="C2350" s="2">
        <v>46121</v>
      </c>
      <c r="D2350" t="s">
        <v>17</v>
      </c>
      <c r="E2350" t="s">
        <v>8</v>
      </c>
      <c r="G2350" t="s">
        <v>9</v>
      </c>
      <c r="L2350">
        <f t="shared" si="181"/>
        <v>0</v>
      </c>
      <c r="M2350">
        <f t="shared" si="182"/>
        <v>0</v>
      </c>
      <c r="N2350">
        <f t="shared" si="183"/>
        <v>0</v>
      </c>
      <c r="O2350">
        <f t="shared" si="185"/>
        <v>1</v>
      </c>
      <c r="P2350" t="str">
        <f t="shared" si="184"/>
        <v/>
      </c>
      <c r="Q2350">
        <f>COUNTIF('責任職　企業局→市長部局'!A:A,SQLデータ!B2350)</f>
        <v>0</v>
      </c>
      <c r="R2350">
        <f>COUNTIF('一般職員　企業局→市長部局'!A:F,SQLデータ!B2350)</f>
        <v>0</v>
      </c>
    </row>
    <row r="2351" spans="1:18" x14ac:dyDescent="0.4">
      <c r="A2351" s="1">
        <v>202650002204</v>
      </c>
      <c r="B2351" s="1">
        <v>976054</v>
      </c>
      <c r="C2351" s="2">
        <v>46121</v>
      </c>
      <c r="D2351" t="s">
        <v>17</v>
      </c>
      <c r="E2351" t="s">
        <v>8</v>
      </c>
      <c r="G2351" t="s">
        <v>9</v>
      </c>
      <c r="L2351">
        <f t="shared" si="181"/>
        <v>0</v>
      </c>
      <c r="M2351">
        <f t="shared" si="182"/>
        <v>0</v>
      </c>
      <c r="N2351">
        <f t="shared" si="183"/>
        <v>0</v>
      </c>
      <c r="O2351">
        <f t="shared" si="185"/>
        <v>1</v>
      </c>
      <c r="P2351" t="str">
        <f t="shared" si="184"/>
        <v/>
      </c>
      <c r="Q2351">
        <f>COUNTIF('責任職　企業局→市長部局'!A:A,SQLデータ!B2351)</f>
        <v>0</v>
      </c>
      <c r="R2351">
        <f>COUNTIF('一般職員　企業局→市長部局'!A:F,SQLデータ!B2351)</f>
        <v>0</v>
      </c>
    </row>
    <row r="2352" spans="1:18" x14ac:dyDescent="0.4">
      <c r="A2352" s="1">
        <v>202650002205</v>
      </c>
      <c r="B2352" s="1">
        <v>1156029</v>
      </c>
      <c r="C2352" s="2">
        <v>46121</v>
      </c>
      <c r="D2352" t="s">
        <v>17</v>
      </c>
      <c r="E2352" t="s">
        <v>8</v>
      </c>
      <c r="G2352" t="s">
        <v>9</v>
      </c>
      <c r="L2352">
        <f t="shared" si="181"/>
        <v>0</v>
      </c>
      <c r="M2352">
        <f t="shared" si="182"/>
        <v>0</v>
      </c>
      <c r="N2352">
        <f t="shared" si="183"/>
        <v>0</v>
      </c>
      <c r="O2352">
        <f t="shared" si="185"/>
        <v>1</v>
      </c>
      <c r="P2352" t="str">
        <f t="shared" si="184"/>
        <v/>
      </c>
      <c r="Q2352">
        <f>COUNTIF('責任職　企業局→市長部局'!A:A,SQLデータ!B2352)</f>
        <v>0</v>
      </c>
      <c r="R2352">
        <f>COUNTIF('一般職員　企業局→市長部局'!A:F,SQLデータ!B2352)</f>
        <v>0</v>
      </c>
    </row>
    <row r="2353" spans="1:18" x14ac:dyDescent="0.4">
      <c r="A2353" s="1">
        <v>202650002206</v>
      </c>
      <c r="B2353" s="1">
        <v>1134029</v>
      </c>
      <c r="C2353" s="2">
        <v>46130</v>
      </c>
      <c r="D2353" t="s">
        <v>17</v>
      </c>
      <c r="E2353" t="s">
        <v>8</v>
      </c>
      <c r="G2353" t="s">
        <v>9</v>
      </c>
      <c r="L2353">
        <f t="shared" si="181"/>
        <v>0</v>
      </c>
      <c r="M2353">
        <f t="shared" si="182"/>
        <v>0</v>
      </c>
      <c r="N2353">
        <f t="shared" si="183"/>
        <v>0</v>
      </c>
      <c r="O2353">
        <f t="shared" si="185"/>
        <v>1</v>
      </c>
      <c r="P2353" t="str">
        <f t="shared" si="184"/>
        <v/>
      </c>
      <c r="Q2353">
        <f>COUNTIF('責任職　企業局→市長部局'!A:A,SQLデータ!B2353)</f>
        <v>0</v>
      </c>
      <c r="R2353">
        <f>COUNTIF('一般職員　企業局→市長部局'!A:F,SQLデータ!B2353)</f>
        <v>0</v>
      </c>
    </row>
    <row r="2354" spans="1:18" x14ac:dyDescent="0.4">
      <c r="A2354" s="1">
        <v>202650002207</v>
      </c>
      <c r="B2354" s="1">
        <v>1176094</v>
      </c>
      <c r="C2354" s="2">
        <v>46121</v>
      </c>
      <c r="D2354" t="s">
        <v>17</v>
      </c>
      <c r="E2354" t="s">
        <v>8</v>
      </c>
      <c r="G2354" t="s">
        <v>9</v>
      </c>
      <c r="L2354">
        <f t="shared" si="181"/>
        <v>0</v>
      </c>
      <c r="M2354">
        <f t="shared" si="182"/>
        <v>0</v>
      </c>
      <c r="N2354">
        <f t="shared" si="183"/>
        <v>0</v>
      </c>
      <c r="O2354">
        <f t="shared" si="185"/>
        <v>1</v>
      </c>
      <c r="P2354" t="str">
        <f t="shared" si="184"/>
        <v/>
      </c>
      <c r="Q2354">
        <f>COUNTIF('責任職　企業局→市長部局'!A:A,SQLデータ!B2354)</f>
        <v>0</v>
      </c>
      <c r="R2354">
        <f>COUNTIF('一般職員　企業局→市長部局'!A:F,SQLデータ!B2354)</f>
        <v>0</v>
      </c>
    </row>
    <row r="2355" spans="1:18" x14ac:dyDescent="0.4">
      <c r="A2355" s="1">
        <v>202650002208</v>
      </c>
      <c r="B2355" s="1">
        <v>860261</v>
      </c>
      <c r="C2355" s="2">
        <v>46121</v>
      </c>
      <c r="D2355" t="s">
        <v>17</v>
      </c>
      <c r="E2355" t="s">
        <v>8</v>
      </c>
      <c r="G2355" t="s">
        <v>9</v>
      </c>
      <c r="L2355">
        <f t="shared" si="181"/>
        <v>0</v>
      </c>
      <c r="M2355">
        <f t="shared" si="182"/>
        <v>0</v>
      </c>
      <c r="N2355">
        <f t="shared" si="183"/>
        <v>0</v>
      </c>
      <c r="O2355">
        <f t="shared" si="185"/>
        <v>1</v>
      </c>
      <c r="P2355" t="str">
        <f t="shared" si="184"/>
        <v/>
      </c>
      <c r="Q2355">
        <f>COUNTIF('責任職　企業局→市長部局'!A:A,SQLデータ!B2355)</f>
        <v>0</v>
      </c>
      <c r="R2355">
        <f>COUNTIF('一般職員　企業局→市長部局'!A:F,SQLデータ!B2355)</f>
        <v>0</v>
      </c>
    </row>
    <row r="2356" spans="1:18" x14ac:dyDescent="0.4">
      <c r="A2356" s="1">
        <v>202650002209</v>
      </c>
      <c r="B2356" s="1">
        <v>1111122</v>
      </c>
      <c r="C2356" s="2">
        <v>46121</v>
      </c>
      <c r="D2356" t="s">
        <v>17</v>
      </c>
      <c r="E2356" t="s">
        <v>8</v>
      </c>
      <c r="G2356" t="s">
        <v>9</v>
      </c>
      <c r="L2356">
        <f t="shared" si="181"/>
        <v>0</v>
      </c>
      <c r="M2356">
        <f t="shared" si="182"/>
        <v>0</v>
      </c>
      <c r="N2356">
        <f t="shared" si="183"/>
        <v>0</v>
      </c>
      <c r="O2356">
        <f t="shared" si="185"/>
        <v>1</v>
      </c>
      <c r="P2356" t="str">
        <f t="shared" si="184"/>
        <v/>
      </c>
      <c r="Q2356">
        <f>COUNTIF('責任職　企業局→市長部局'!A:A,SQLデータ!B2356)</f>
        <v>0</v>
      </c>
      <c r="R2356">
        <f>COUNTIF('一般職員　企業局→市長部局'!A:F,SQLデータ!B2356)</f>
        <v>0</v>
      </c>
    </row>
    <row r="2357" spans="1:18" x14ac:dyDescent="0.4">
      <c r="A2357" s="1">
        <v>202650002210</v>
      </c>
      <c r="B2357" s="1">
        <v>1216141</v>
      </c>
      <c r="C2357" s="2">
        <v>46121</v>
      </c>
      <c r="D2357" t="s">
        <v>17</v>
      </c>
      <c r="E2357" t="s">
        <v>8</v>
      </c>
      <c r="G2357" t="s">
        <v>9</v>
      </c>
      <c r="L2357">
        <f t="shared" si="181"/>
        <v>0</v>
      </c>
      <c r="M2357">
        <f t="shared" si="182"/>
        <v>0</v>
      </c>
      <c r="N2357">
        <f t="shared" si="183"/>
        <v>0</v>
      </c>
      <c r="O2357">
        <f t="shared" si="185"/>
        <v>1</v>
      </c>
      <c r="P2357" t="str">
        <f t="shared" si="184"/>
        <v/>
      </c>
      <c r="Q2357">
        <f>COUNTIF('責任職　企業局→市長部局'!A:A,SQLデータ!B2357)</f>
        <v>0</v>
      </c>
      <c r="R2357">
        <f>COUNTIF('一般職員　企業局→市長部局'!A:F,SQLデータ!B2357)</f>
        <v>0</v>
      </c>
    </row>
    <row r="2358" spans="1:18" x14ac:dyDescent="0.4">
      <c r="A2358" s="1">
        <v>202650002211</v>
      </c>
      <c r="B2358" s="1">
        <v>1176080</v>
      </c>
      <c r="C2358" s="2">
        <v>46121</v>
      </c>
      <c r="D2358" t="s">
        <v>17</v>
      </c>
      <c r="E2358" t="s">
        <v>8</v>
      </c>
      <c r="G2358" t="s">
        <v>9</v>
      </c>
      <c r="L2358">
        <f t="shared" si="181"/>
        <v>0</v>
      </c>
      <c r="M2358">
        <f t="shared" si="182"/>
        <v>0</v>
      </c>
      <c r="N2358">
        <f t="shared" si="183"/>
        <v>0</v>
      </c>
      <c r="O2358">
        <f t="shared" si="185"/>
        <v>1</v>
      </c>
      <c r="P2358" t="str">
        <f t="shared" si="184"/>
        <v/>
      </c>
      <c r="Q2358">
        <f>COUNTIF('責任職　企業局→市長部局'!A:A,SQLデータ!B2358)</f>
        <v>0</v>
      </c>
      <c r="R2358">
        <f>COUNTIF('一般職員　企業局→市長部局'!A:F,SQLデータ!B2358)</f>
        <v>0</v>
      </c>
    </row>
    <row r="2359" spans="1:18" x14ac:dyDescent="0.4">
      <c r="A2359" s="1">
        <v>202650002213</v>
      </c>
      <c r="B2359" s="1">
        <v>1011049</v>
      </c>
      <c r="C2359" s="2">
        <v>46121</v>
      </c>
      <c r="D2359" t="s">
        <v>17</v>
      </c>
      <c r="E2359" t="s">
        <v>8</v>
      </c>
      <c r="G2359" t="s">
        <v>9</v>
      </c>
      <c r="L2359">
        <f t="shared" si="181"/>
        <v>0</v>
      </c>
      <c r="M2359">
        <f t="shared" si="182"/>
        <v>0</v>
      </c>
      <c r="N2359">
        <f t="shared" si="183"/>
        <v>0</v>
      </c>
      <c r="O2359">
        <f t="shared" si="185"/>
        <v>1</v>
      </c>
      <c r="P2359" t="str">
        <f t="shared" si="184"/>
        <v/>
      </c>
      <c r="Q2359">
        <f>COUNTIF('責任職　企業局→市長部局'!A:A,SQLデータ!B2359)</f>
        <v>0</v>
      </c>
      <c r="R2359">
        <f>COUNTIF('一般職員　企業局→市長部局'!A:F,SQLデータ!B2359)</f>
        <v>0</v>
      </c>
    </row>
    <row r="2360" spans="1:18" x14ac:dyDescent="0.4">
      <c r="A2360" s="1">
        <v>202650002215</v>
      </c>
      <c r="B2360" s="1">
        <v>1091387</v>
      </c>
      <c r="C2360" s="2">
        <v>46121</v>
      </c>
      <c r="D2360" t="s">
        <v>17</v>
      </c>
      <c r="E2360" t="s">
        <v>8</v>
      </c>
      <c r="G2360" t="s">
        <v>9</v>
      </c>
      <c r="L2360">
        <f t="shared" si="181"/>
        <v>0</v>
      </c>
      <c r="M2360">
        <f t="shared" si="182"/>
        <v>0</v>
      </c>
      <c r="N2360">
        <f t="shared" si="183"/>
        <v>0</v>
      </c>
      <c r="O2360">
        <f t="shared" si="185"/>
        <v>1</v>
      </c>
      <c r="P2360" t="str">
        <f t="shared" si="184"/>
        <v/>
      </c>
      <c r="Q2360">
        <f>COUNTIF('責任職　企業局→市長部局'!A:A,SQLデータ!B2360)</f>
        <v>0</v>
      </c>
      <c r="R2360">
        <f>COUNTIF('一般職員　企業局→市長部局'!A:F,SQLデータ!B2360)</f>
        <v>0</v>
      </c>
    </row>
    <row r="2361" spans="1:18" x14ac:dyDescent="0.4">
      <c r="A2361" s="1">
        <v>202650002216</v>
      </c>
      <c r="B2361" s="1">
        <v>1212109</v>
      </c>
      <c r="C2361" s="2">
        <v>46127</v>
      </c>
      <c r="D2361" t="s">
        <v>17</v>
      </c>
      <c r="E2361" t="s">
        <v>8</v>
      </c>
      <c r="G2361" t="s">
        <v>9</v>
      </c>
      <c r="L2361">
        <f t="shared" si="181"/>
        <v>0</v>
      </c>
      <c r="M2361">
        <f t="shared" si="182"/>
        <v>0</v>
      </c>
      <c r="N2361">
        <f t="shared" si="183"/>
        <v>0</v>
      </c>
      <c r="O2361">
        <f t="shared" si="185"/>
        <v>1</v>
      </c>
      <c r="P2361" t="str">
        <f t="shared" si="184"/>
        <v/>
      </c>
      <c r="Q2361">
        <f>COUNTIF('責任職　企業局→市長部局'!A:A,SQLデータ!B2361)</f>
        <v>0</v>
      </c>
      <c r="R2361">
        <f>COUNTIF('一般職員　企業局→市長部局'!A:F,SQLデータ!B2361)</f>
        <v>0</v>
      </c>
    </row>
    <row r="2362" spans="1:18" x14ac:dyDescent="0.4">
      <c r="A2362" s="1">
        <v>202650002218</v>
      </c>
      <c r="B2362" s="1">
        <v>1006026</v>
      </c>
      <c r="C2362" s="2">
        <v>46121</v>
      </c>
      <c r="D2362" t="s">
        <v>17</v>
      </c>
      <c r="E2362" t="s">
        <v>8</v>
      </c>
      <c r="G2362" t="s">
        <v>9</v>
      </c>
      <c r="L2362">
        <f t="shared" si="181"/>
        <v>0</v>
      </c>
      <c r="M2362">
        <f t="shared" si="182"/>
        <v>0</v>
      </c>
      <c r="N2362">
        <f t="shared" si="183"/>
        <v>0</v>
      </c>
      <c r="O2362">
        <f t="shared" si="185"/>
        <v>1</v>
      </c>
      <c r="P2362" t="str">
        <f t="shared" si="184"/>
        <v/>
      </c>
      <c r="Q2362">
        <f>COUNTIF('責任職　企業局→市長部局'!A:A,SQLデータ!B2362)</f>
        <v>0</v>
      </c>
      <c r="R2362">
        <f>COUNTIF('一般職員　企業局→市長部局'!A:F,SQLデータ!B2362)</f>
        <v>0</v>
      </c>
    </row>
    <row r="2363" spans="1:18" x14ac:dyDescent="0.4">
      <c r="A2363" s="1">
        <v>202650002219</v>
      </c>
      <c r="B2363" s="1">
        <v>830971</v>
      </c>
      <c r="C2363" s="2">
        <v>46121</v>
      </c>
      <c r="D2363" t="s">
        <v>17</v>
      </c>
      <c r="E2363" t="s">
        <v>8</v>
      </c>
      <c r="G2363" t="s">
        <v>9</v>
      </c>
      <c r="L2363">
        <f t="shared" si="181"/>
        <v>0</v>
      </c>
      <c r="M2363">
        <f t="shared" si="182"/>
        <v>0</v>
      </c>
      <c r="N2363">
        <f t="shared" si="183"/>
        <v>0</v>
      </c>
      <c r="O2363">
        <f t="shared" si="185"/>
        <v>1</v>
      </c>
      <c r="P2363" t="str">
        <f t="shared" si="184"/>
        <v/>
      </c>
      <c r="Q2363">
        <f>COUNTIF('責任職　企業局→市長部局'!A:A,SQLデータ!B2363)</f>
        <v>0</v>
      </c>
      <c r="R2363">
        <f>COUNTIF('一般職員　企業局→市長部局'!A:F,SQLデータ!B2363)</f>
        <v>0</v>
      </c>
    </row>
    <row r="2364" spans="1:18" x14ac:dyDescent="0.4">
      <c r="A2364" s="1">
        <v>202650002220</v>
      </c>
      <c r="B2364" s="1">
        <v>1161432</v>
      </c>
      <c r="C2364" s="2">
        <v>46121</v>
      </c>
      <c r="D2364" t="s">
        <v>17</v>
      </c>
      <c r="E2364" t="s">
        <v>8</v>
      </c>
      <c r="G2364" t="s">
        <v>9</v>
      </c>
      <c r="L2364">
        <f t="shared" si="181"/>
        <v>0</v>
      </c>
      <c r="M2364">
        <f t="shared" si="182"/>
        <v>0</v>
      </c>
      <c r="N2364">
        <f t="shared" si="183"/>
        <v>0</v>
      </c>
      <c r="O2364">
        <f t="shared" si="185"/>
        <v>1</v>
      </c>
      <c r="P2364" t="str">
        <f t="shared" si="184"/>
        <v/>
      </c>
      <c r="Q2364">
        <f>COUNTIF('責任職　企業局→市長部局'!A:A,SQLデータ!B2364)</f>
        <v>0</v>
      </c>
      <c r="R2364">
        <f>COUNTIF('一般職員　企業局→市長部局'!A:F,SQLデータ!B2364)</f>
        <v>0</v>
      </c>
    </row>
    <row r="2365" spans="1:18" x14ac:dyDescent="0.4">
      <c r="A2365" s="1">
        <v>202650002222</v>
      </c>
      <c r="B2365" s="1">
        <v>1071045</v>
      </c>
      <c r="C2365" s="2">
        <v>46121</v>
      </c>
      <c r="D2365" t="s">
        <v>17</v>
      </c>
      <c r="E2365" t="s">
        <v>8</v>
      </c>
      <c r="G2365" t="s">
        <v>9</v>
      </c>
      <c r="L2365">
        <f t="shared" si="181"/>
        <v>0</v>
      </c>
      <c r="M2365">
        <f t="shared" si="182"/>
        <v>0</v>
      </c>
      <c r="N2365">
        <f t="shared" si="183"/>
        <v>0</v>
      </c>
      <c r="O2365">
        <f t="shared" si="185"/>
        <v>1</v>
      </c>
      <c r="P2365" t="str">
        <f t="shared" si="184"/>
        <v/>
      </c>
      <c r="Q2365">
        <f>COUNTIF('責任職　企業局→市長部局'!A:A,SQLデータ!B2365)</f>
        <v>0</v>
      </c>
      <c r="R2365">
        <f>COUNTIF('一般職員　企業局→市長部局'!A:F,SQLデータ!B2365)</f>
        <v>0</v>
      </c>
    </row>
    <row r="2366" spans="1:18" x14ac:dyDescent="0.4">
      <c r="A2366" s="1">
        <v>202650002223</v>
      </c>
      <c r="B2366" s="1">
        <v>1016069</v>
      </c>
      <c r="C2366" s="2">
        <v>46121</v>
      </c>
      <c r="D2366" t="s">
        <v>17</v>
      </c>
      <c r="E2366" t="s">
        <v>8</v>
      </c>
      <c r="G2366" t="s">
        <v>9</v>
      </c>
      <c r="L2366">
        <f t="shared" si="181"/>
        <v>0</v>
      </c>
      <c r="M2366">
        <f t="shared" si="182"/>
        <v>0</v>
      </c>
      <c r="N2366">
        <f t="shared" si="183"/>
        <v>0</v>
      </c>
      <c r="O2366">
        <f t="shared" si="185"/>
        <v>1</v>
      </c>
      <c r="P2366" t="str">
        <f t="shared" si="184"/>
        <v/>
      </c>
      <c r="Q2366">
        <f>COUNTIF('責任職　企業局→市長部局'!A:A,SQLデータ!B2366)</f>
        <v>0</v>
      </c>
      <c r="R2366">
        <f>COUNTIF('一般職員　企業局→市長部局'!A:F,SQLデータ!B2366)</f>
        <v>0</v>
      </c>
    </row>
    <row r="2367" spans="1:18" x14ac:dyDescent="0.4">
      <c r="A2367" s="1">
        <v>202650002224</v>
      </c>
      <c r="B2367" s="1">
        <v>1246075</v>
      </c>
      <c r="C2367" s="2">
        <v>46121</v>
      </c>
      <c r="D2367" t="s">
        <v>17</v>
      </c>
      <c r="E2367" t="s">
        <v>8</v>
      </c>
      <c r="G2367" t="s">
        <v>9</v>
      </c>
      <c r="L2367">
        <f t="shared" si="181"/>
        <v>0</v>
      </c>
      <c r="M2367">
        <f t="shared" si="182"/>
        <v>0</v>
      </c>
      <c r="N2367">
        <f t="shared" si="183"/>
        <v>0</v>
      </c>
      <c r="O2367">
        <f t="shared" si="185"/>
        <v>1</v>
      </c>
      <c r="P2367" t="str">
        <f t="shared" si="184"/>
        <v/>
      </c>
      <c r="Q2367">
        <f>COUNTIF('責任職　企業局→市長部局'!A:A,SQLデータ!B2367)</f>
        <v>0</v>
      </c>
      <c r="R2367">
        <f>COUNTIF('一般職員　企業局→市長部局'!A:F,SQLデータ!B2367)</f>
        <v>0</v>
      </c>
    </row>
    <row r="2368" spans="1:18" x14ac:dyDescent="0.4">
      <c r="A2368" s="1">
        <v>202650002225</v>
      </c>
      <c r="B2368" s="1">
        <v>920150</v>
      </c>
      <c r="C2368" s="2">
        <v>46121</v>
      </c>
      <c r="D2368" t="s">
        <v>17</v>
      </c>
      <c r="E2368" t="s">
        <v>8</v>
      </c>
      <c r="G2368" t="s">
        <v>9</v>
      </c>
      <c r="L2368">
        <f t="shared" si="181"/>
        <v>0</v>
      </c>
      <c r="M2368">
        <f t="shared" si="182"/>
        <v>0</v>
      </c>
      <c r="N2368">
        <f t="shared" si="183"/>
        <v>0</v>
      </c>
      <c r="O2368">
        <f t="shared" si="185"/>
        <v>1</v>
      </c>
      <c r="P2368" t="str">
        <f t="shared" si="184"/>
        <v/>
      </c>
      <c r="Q2368">
        <f>COUNTIF('責任職　企業局→市長部局'!A:A,SQLデータ!B2368)</f>
        <v>0</v>
      </c>
      <c r="R2368">
        <f>COUNTIF('一般職員　企業局→市長部局'!A:F,SQLデータ!B2368)</f>
        <v>0</v>
      </c>
    </row>
    <row r="2369" spans="1:18" x14ac:dyDescent="0.4">
      <c r="A2369" s="1">
        <v>202650002226</v>
      </c>
      <c r="B2369" s="1">
        <v>1106054</v>
      </c>
      <c r="C2369" s="2">
        <v>46121</v>
      </c>
      <c r="D2369" t="s">
        <v>17</v>
      </c>
      <c r="E2369" t="s">
        <v>8</v>
      </c>
      <c r="G2369" t="s">
        <v>9</v>
      </c>
      <c r="L2369">
        <f t="shared" si="181"/>
        <v>0</v>
      </c>
      <c r="M2369">
        <f t="shared" si="182"/>
        <v>0</v>
      </c>
      <c r="N2369">
        <f t="shared" si="183"/>
        <v>0</v>
      </c>
      <c r="O2369">
        <f t="shared" si="185"/>
        <v>1</v>
      </c>
      <c r="P2369" t="str">
        <f t="shared" si="184"/>
        <v/>
      </c>
      <c r="Q2369">
        <f>COUNTIF('責任職　企業局→市長部局'!A:A,SQLデータ!B2369)</f>
        <v>0</v>
      </c>
      <c r="R2369">
        <f>COUNTIF('一般職員　企業局→市長部局'!A:F,SQLデータ!B2369)</f>
        <v>0</v>
      </c>
    </row>
    <row r="2370" spans="1:18" x14ac:dyDescent="0.4">
      <c r="A2370" s="1">
        <v>202650002227</v>
      </c>
      <c r="B2370" s="1">
        <v>890668</v>
      </c>
      <c r="C2370" s="2">
        <v>46121</v>
      </c>
      <c r="D2370" t="s">
        <v>17</v>
      </c>
      <c r="E2370" t="s">
        <v>8</v>
      </c>
      <c r="G2370" t="s">
        <v>9</v>
      </c>
      <c r="L2370">
        <f t="shared" ref="L2370:L2433" si="186">IF(ISBLANK(J2370),0,1)</f>
        <v>0</v>
      </c>
      <c r="M2370">
        <f t="shared" ref="M2370:M2433" si="187">IF(AND(L2370=0,I2370&lt;&gt;""),1,0)</f>
        <v>0</v>
      </c>
      <c r="N2370">
        <f t="shared" ref="N2370:N2433" si="188">IF(AND(L2370=0,M2370=0,K2370&lt;&gt;""),1,0)</f>
        <v>0</v>
      </c>
      <c r="O2370">
        <f t="shared" si="185"/>
        <v>1</v>
      </c>
      <c r="P2370" t="str">
        <f t="shared" ref="P2370:P2433" si="189">IF(D2370&lt;&gt;"扶養","",IF(E2370&lt;&gt;"確認待ち",1,IF(OR(AND(G2370="本人の結婚",O2370=1),AND(H2370="減",OR(N2370=1,O2370=1))),1,0)))</f>
        <v/>
      </c>
      <c r="Q2370">
        <f>COUNTIF('責任職　企業局→市長部局'!A:A,SQLデータ!B2370)</f>
        <v>0</v>
      </c>
      <c r="R2370">
        <f>COUNTIF('一般職員　企業局→市長部局'!A:F,SQLデータ!B2370)</f>
        <v>0</v>
      </c>
    </row>
    <row r="2371" spans="1:18" x14ac:dyDescent="0.4">
      <c r="A2371" s="1">
        <v>202650002228</v>
      </c>
      <c r="B2371" s="1">
        <v>1216059</v>
      </c>
      <c r="C2371" s="2">
        <v>46121</v>
      </c>
      <c r="D2371" t="s">
        <v>17</v>
      </c>
      <c r="E2371" t="s">
        <v>8</v>
      </c>
      <c r="G2371" t="s">
        <v>9</v>
      </c>
      <c r="L2371">
        <f t="shared" si="186"/>
        <v>0</v>
      </c>
      <c r="M2371">
        <f t="shared" si="187"/>
        <v>0</v>
      </c>
      <c r="N2371">
        <f t="shared" si="188"/>
        <v>0</v>
      </c>
      <c r="O2371">
        <f t="shared" si="185"/>
        <v>1</v>
      </c>
      <c r="P2371" t="str">
        <f t="shared" si="189"/>
        <v/>
      </c>
      <c r="Q2371">
        <f>COUNTIF('責任職　企業局→市長部局'!A:A,SQLデータ!B2371)</f>
        <v>0</v>
      </c>
      <c r="R2371">
        <f>COUNTIF('一般職員　企業局→市長部局'!A:F,SQLデータ!B2371)</f>
        <v>0</v>
      </c>
    </row>
    <row r="2372" spans="1:18" x14ac:dyDescent="0.4">
      <c r="A2372" s="1">
        <v>202650002229</v>
      </c>
      <c r="B2372" s="1">
        <v>940044</v>
      </c>
      <c r="C2372" s="2">
        <v>46122</v>
      </c>
      <c r="D2372" t="s">
        <v>17</v>
      </c>
      <c r="E2372" t="s">
        <v>8</v>
      </c>
      <c r="G2372" t="s">
        <v>9</v>
      </c>
      <c r="L2372">
        <f t="shared" si="186"/>
        <v>0</v>
      </c>
      <c r="M2372">
        <f t="shared" si="187"/>
        <v>0</v>
      </c>
      <c r="N2372">
        <f t="shared" si="188"/>
        <v>0</v>
      </c>
      <c r="O2372">
        <f t="shared" si="185"/>
        <v>1</v>
      </c>
      <c r="P2372" t="str">
        <f t="shared" si="189"/>
        <v/>
      </c>
      <c r="Q2372">
        <f>COUNTIF('責任職　企業局→市長部局'!A:A,SQLデータ!B2372)</f>
        <v>0</v>
      </c>
      <c r="R2372">
        <f>COUNTIF('一般職員　企業局→市長部局'!A:F,SQLデータ!B2372)</f>
        <v>0</v>
      </c>
    </row>
    <row r="2373" spans="1:18" x14ac:dyDescent="0.4">
      <c r="A2373" s="1">
        <v>202650002232</v>
      </c>
      <c r="B2373" s="1">
        <v>1236014</v>
      </c>
      <c r="C2373" s="2">
        <v>46121</v>
      </c>
      <c r="D2373" t="s">
        <v>17</v>
      </c>
      <c r="E2373" t="s">
        <v>8</v>
      </c>
      <c r="G2373" t="s">
        <v>9</v>
      </c>
      <c r="L2373">
        <f t="shared" si="186"/>
        <v>0</v>
      </c>
      <c r="M2373">
        <f t="shared" si="187"/>
        <v>0</v>
      </c>
      <c r="N2373">
        <f t="shared" si="188"/>
        <v>0</v>
      </c>
      <c r="O2373">
        <f t="shared" si="185"/>
        <v>1</v>
      </c>
      <c r="P2373" t="str">
        <f t="shared" si="189"/>
        <v/>
      </c>
      <c r="Q2373">
        <f>COUNTIF('責任職　企業局→市長部局'!A:A,SQLデータ!B2373)</f>
        <v>0</v>
      </c>
      <c r="R2373">
        <f>COUNTIF('一般職員　企業局→市長部局'!A:F,SQLデータ!B2373)</f>
        <v>0</v>
      </c>
    </row>
    <row r="2374" spans="1:18" x14ac:dyDescent="0.4">
      <c r="A2374" s="1">
        <v>202650002233</v>
      </c>
      <c r="B2374" s="1">
        <v>991084</v>
      </c>
      <c r="C2374" s="2">
        <v>46121</v>
      </c>
      <c r="D2374" t="s">
        <v>17</v>
      </c>
      <c r="E2374" t="s">
        <v>8</v>
      </c>
      <c r="G2374" t="s">
        <v>9</v>
      </c>
      <c r="L2374">
        <f t="shared" si="186"/>
        <v>0</v>
      </c>
      <c r="M2374">
        <f t="shared" si="187"/>
        <v>0</v>
      </c>
      <c r="N2374">
        <f t="shared" si="188"/>
        <v>0</v>
      </c>
      <c r="O2374">
        <f t="shared" si="185"/>
        <v>1</v>
      </c>
      <c r="P2374" t="str">
        <f t="shared" si="189"/>
        <v/>
      </c>
      <c r="Q2374">
        <f>COUNTIF('責任職　企業局→市長部局'!A:A,SQLデータ!B2374)</f>
        <v>0</v>
      </c>
      <c r="R2374">
        <f>COUNTIF('一般職員　企業局→市長部局'!A:F,SQLデータ!B2374)</f>
        <v>0</v>
      </c>
    </row>
    <row r="2375" spans="1:18" x14ac:dyDescent="0.4">
      <c r="A2375" s="1">
        <v>202650002234</v>
      </c>
      <c r="B2375" s="1">
        <v>1246090</v>
      </c>
      <c r="C2375" s="2">
        <v>46121</v>
      </c>
      <c r="D2375" t="s">
        <v>17</v>
      </c>
      <c r="E2375" t="s">
        <v>8</v>
      </c>
      <c r="G2375" t="s">
        <v>9</v>
      </c>
      <c r="L2375">
        <f t="shared" si="186"/>
        <v>0</v>
      </c>
      <c r="M2375">
        <f t="shared" si="187"/>
        <v>0</v>
      </c>
      <c r="N2375">
        <f t="shared" si="188"/>
        <v>0</v>
      </c>
      <c r="O2375">
        <f t="shared" si="185"/>
        <v>1</v>
      </c>
      <c r="P2375" t="str">
        <f t="shared" si="189"/>
        <v/>
      </c>
      <c r="Q2375">
        <f>COUNTIF('責任職　企業局→市長部局'!A:A,SQLデータ!B2375)</f>
        <v>0</v>
      </c>
      <c r="R2375">
        <f>COUNTIF('一般職員　企業局→市長部局'!A:F,SQLデータ!B2375)</f>
        <v>0</v>
      </c>
    </row>
    <row r="2376" spans="1:18" x14ac:dyDescent="0.4">
      <c r="A2376" s="1">
        <v>202650002235</v>
      </c>
      <c r="B2376" s="1">
        <v>1071113</v>
      </c>
      <c r="C2376" s="2">
        <v>46121</v>
      </c>
      <c r="D2376" t="s">
        <v>17</v>
      </c>
      <c r="E2376" t="s">
        <v>8</v>
      </c>
      <c r="G2376" t="s">
        <v>9</v>
      </c>
      <c r="L2376">
        <f t="shared" si="186"/>
        <v>0</v>
      </c>
      <c r="M2376">
        <f t="shared" si="187"/>
        <v>0</v>
      </c>
      <c r="N2376">
        <f t="shared" si="188"/>
        <v>0</v>
      </c>
      <c r="O2376">
        <f t="shared" si="185"/>
        <v>1</v>
      </c>
      <c r="P2376" t="str">
        <f t="shared" si="189"/>
        <v/>
      </c>
      <c r="Q2376">
        <f>COUNTIF('責任職　企業局→市長部局'!A:A,SQLデータ!B2376)</f>
        <v>0</v>
      </c>
      <c r="R2376">
        <f>COUNTIF('一般職員　企業局→市長部局'!A:F,SQLデータ!B2376)</f>
        <v>0</v>
      </c>
    </row>
    <row r="2377" spans="1:18" x14ac:dyDescent="0.4">
      <c r="A2377" s="1">
        <v>202650002236</v>
      </c>
      <c r="B2377" s="1">
        <v>1013014</v>
      </c>
      <c r="C2377" s="2">
        <v>46121</v>
      </c>
      <c r="D2377" t="s">
        <v>17</v>
      </c>
      <c r="E2377" t="s">
        <v>8</v>
      </c>
      <c r="G2377" t="s">
        <v>9</v>
      </c>
      <c r="L2377">
        <f t="shared" si="186"/>
        <v>0</v>
      </c>
      <c r="M2377">
        <f t="shared" si="187"/>
        <v>0</v>
      </c>
      <c r="N2377">
        <f t="shared" si="188"/>
        <v>0</v>
      </c>
      <c r="O2377">
        <f t="shared" ref="O2377:O2440" si="190">IF(COUNTIF(L2377:N2377,0)=3,1,0)</f>
        <v>1</v>
      </c>
      <c r="P2377" t="str">
        <f t="shared" si="189"/>
        <v/>
      </c>
      <c r="Q2377">
        <f>COUNTIF('責任職　企業局→市長部局'!A:A,SQLデータ!B2377)</f>
        <v>0</v>
      </c>
      <c r="R2377">
        <f>COUNTIF('一般職員　企業局→市長部局'!A:F,SQLデータ!B2377)</f>
        <v>0</v>
      </c>
    </row>
    <row r="2378" spans="1:18" x14ac:dyDescent="0.4">
      <c r="A2378" s="1">
        <v>202650002238</v>
      </c>
      <c r="B2378" s="1">
        <v>1256103</v>
      </c>
      <c r="C2378" s="2">
        <v>46121</v>
      </c>
      <c r="D2378" t="s">
        <v>17</v>
      </c>
      <c r="E2378" t="s">
        <v>8</v>
      </c>
      <c r="G2378" t="s">
        <v>9</v>
      </c>
      <c r="L2378">
        <f t="shared" si="186"/>
        <v>0</v>
      </c>
      <c r="M2378">
        <f t="shared" si="187"/>
        <v>0</v>
      </c>
      <c r="N2378">
        <f t="shared" si="188"/>
        <v>0</v>
      </c>
      <c r="O2378">
        <f t="shared" si="190"/>
        <v>1</v>
      </c>
      <c r="P2378" t="str">
        <f t="shared" si="189"/>
        <v/>
      </c>
      <c r="Q2378">
        <f>COUNTIF('責任職　企業局→市長部局'!A:A,SQLデータ!B2378)</f>
        <v>0</v>
      </c>
      <c r="R2378">
        <f>COUNTIF('一般職員　企業局→市長部局'!A:F,SQLデータ!B2378)</f>
        <v>0</v>
      </c>
    </row>
    <row r="2379" spans="1:18" x14ac:dyDescent="0.4">
      <c r="A2379" s="1">
        <v>202650002241</v>
      </c>
      <c r="B2379" s="1">
        <v>1246001</v>
      </c>
      <c r="C2379" s="2">
        <v>46121</v>
      </c>
      <c r="D2379" t="s">
        <v>17</v>
      </c>
      <c r="E2379" t="s">
        <v>8</v>
      </c>
      <c r="G2379" t="s">
        <v>9</v>
      </c>
      <c r="L2379">
        <f t="shared" si="186"/>
        <v>0</v>
      </c>
      <c r="M2379">
        <f t="shared" si="187"/>
        <v>0</v>
      </c>
      <c r="N2379">
        <f t="shared" si="188"/>
        <v>0</v>
      </c>
      <c r="O2379">
        <f t="shared" si="190"/>
        <v>1</v>
      </c>
      <c r="P2379" t="str">
        <f t="shared" si="189"/>
        <v/>
      </c>
      <c r="Q2379">
        <f>COUNTIF('責任職　企業局→市長部局'!A:A,SQLデータ!B2379)</f>
        <v>0</v>
      </c>
      <c r="R2379">
        <f>COUNTIF('一般職員　企業局→市長部局'!A:F,SQLデータ!B2379)</f>
        <v>0</v>
      </c>
    </row>
    <row r="2380" spans="1:18" x14ac:dyDescent="0.4">
      <c r="A2380" s="1">
        <v>202650002242</v>
      </c>
      <c r="B2380" s="1">
        <v>840129</v>
      </c>
      <c r="C2380" s="2">
        <v>46121</v>
      </c>
      <c r="D2380" t="s">
        <v>17</v>
      </c>
      <c r="E2380" t="s">
        <v>8</v>
      </c>
      <c r="F2380" t="s">
        <v>54</v>
      </c>
      <c r="G2380" t="s">
        <v>9</v>
      </c>
      <c r="L2380">
        <f t="shared" si="186"/>
        <v>0</v>
      </c>
      <c r="M2380">
        <f t="shared" si="187"/>
        <v>0</v>
      </c>
      <c r="N2380">
        <f t="shared" si="188"/>
        <v>0</v>
      </c>
      <c r="O2380">
        <f t="shared" si="190"/>
        <v>1</v>
      </c>
      <c r="P2380" t="str">
        <f t="shared" si="189"/>
        <v/>
      </c>
      <c r="Q2380">
        <f>COUNTIF('責任職　企業局→市長部局'!A:A,SQLデータ!B2380)</f>
        <v>0</v>
      </c>
      <c r="R2380">
        <f>COUNTIF('一般職員　企業局→市長部局'!A:F,SQLデータ!B2380)</f>
        <v>0</v>
      </c>
    </row>
    <row r="2381" spans="1:18" x14ac:dyDescent="0.4">
      <c r="A2381" s="1">
        <v>202650002243</v>
      </c>
      <c r="B2381" s="1">
        <v>1192066</v>
      </c>
      <c r="C2381" s="2">
        <v>46121</v>
      </c>
      <c r="D2381" t="s">
        <v>17</v>
      </c>
      <c r="E2381" t="s">
        <v>8</v>
      </c>
      <c r="G2381" t="s">
        <v>9</v>
      </c>
      <c r="L2381">
        <f t="shared" si="186"/>
        <v>0</v>
      </c>
      <c r="M2381">
        <f t="shared" si="187"/>
        <v>0</v>
      </c>
      <c r="N2381">
        <f t="shared" si="188"/>
        <v>0</v>
      </c>
      <c r="O2381">
        <f t="shared" si="190"/>
        <v>1</v>
      </c>
      <c r="P2381" t="str">
        <f t="shared" si="189"/>
        <v/>
      </c>
      <c r="Q2381">
        <f>COUNTIF('責任職　企業局→市長部局'!A:A,SQLデータ!B2381)</f>
        <v>0</v>
      </c>
      <c r="R2381">
        <f>COUNTIF('一般職員　企業局→市長部局'!A:F,SQLデータ!B2381)</f>
        <v>0</v>
      </c>
    </row>
    <row r="2382" spans="1:18" x14ac:dyDescent="0.4">
      <c r="A2382" s="1">
        <v>202650002244</v>
      </c>
      <c r="B2382" s="1">
        <v>1176088</v>
      </c>
      <c r="C2382" s="2">
        <v>46121</v>
      </c>
      <c r="D2382" t="s">
        <v>17</v>
      </c>
      <c r="E2382" t="s">
        <v>8</v>
      </c>
      <c r="G2382" t="s">
        <v>9</v>
      </c>
      <c r="L2382">
        <f t="shared" si="186"/>
        <v>0</v>
      </c>
      <c r="M2382">
        <f t="shared" si="187"/>
        <v>0</v>
      </c>
      <c r="N2382">
        <f t="shared" si="188"/>
        <v>0</v>
      </c>
      <c r="O2382">
        <f t="shared" si="190"/>
        <v>1</v>
      </c>
      <c r="P2382" t="str">
        <f t="shared" si="189"/>
        <v/>
      </c>
      <c r="Q2382">
        <f>COUNTIF('責任職　企業局→市長部局'!A:A,SQLデータ!B2382)</f>
        <v>0</v>
      </c>
      <c r="R2382">
        <f>COUNTIF('一般職員　企業局→市長部局'!A:F,SQLデータ!B2382)</f>
        <v>0</v>
      </c>
    </row>
    <row r="2383" spans="1:18" x14ac:dyDescent="0.4">
      <c r="A2383" s="1">
        <v>202650002245</v>
      </c>
      <c r="B2383" s="1">
        <v>1166111</v>
      </c>
      <c r="C2383" s="2">
        <v>46121</v>
      </c>
      <c r="D2383" t="s">
        <v>17</v>
      </c>
      <c r="E2383" t="s">
        <v>8</v>
      </c>
      <c r="G2383" t="s">
        <v>9</v>
      </c>
      <c r="L2383">
        <f t="shared" si="186"/>
        <v>0</v>
      </c>
      <c r="M2383">
        <f t="shared" si="187"/>
        <v>0</v>
      </c>
      <c r="N2383">
        <f t="shared" si="188"/>
        <v>0</v>
      </c>
      <c r="O2383">
        <f t="shared" si="190"/>
        <v>1</v>
      </c>
      <c r="P2383" t="str">
        <f t="shared" si="189"/>
        <v/>
      </c>
      <c r="Q2383">
        <f>COUNTIF('責任職　企業局→市長部局'!A:A,SQLデータ!B2383)</f>
        <v>0</v>
      </c>
      <c r="R2383">
        <f>COUNTIF('一般職員　企業局→市長部局'!A:F,SQLデータ!B2383)</f>
        <v>0</v>
      </c>
    </row>
    <row r="2384" spans="1:18" x14ac:dyDescent="0.4">
      <c r="A2384" s="1">
        <v>202650002248</v>
      </c>
      <c r="B2384" s="1">
        <v>1086078</v>
      </c>
      <c r="C2384" s="2">
        <v>46121</v>
      </c>
      <c r="D2384" t="s">
        <v>17</v>
      </c>
      <c r="E2384" t="s">
        <v>8</v>
      </c>
      <c r="G2384" t="s">
        <v>9</v>
      </c>
      <c r="L2384">
        <f t="shared" si="186"/>
        <v>0</v>
      </c>
      <c r="M2384">
        <f t="shared" si="187"/>
        <v>0</v>
      </c>
      <c r="N2384">
        <f t="shared" si="188"/>
        <v>0</v>
      </c>
      <c r="O2384">
        <f t="shared" si="190"/>
        <v>1</v>
      </c>
      <c r="P2384" t="str">
        <f t="shared" si="189"/>
        <v/>
      </c>
      <c r="Q2384">
        <f>COUNTIF('責任職　企業局→市長部局'!A:A,SQLデータ!B2384)</f>
        <v>0</v>
      </c>
      <c r="R2384">
        <f>COUNTIF('一般職員　企業局→市長部局'!A:F,SQLデータ!B2384)</f>
        <v>0</v>
      </c>
    </row>
    <row r="2385" spans="1:18" x14ac:dyDescent="0.4">
      <c r="A2385" s="1">
        <v>202650002249</v>
      </c>
      <c r="B2385" s="1">
        <v>1022031</v>
      </c>
      <c r="C2385" s="2">
        <v>46121</v>
      </c>
      <c r="D2385" t="s">
        <v>17</v>
      </c>
      <c r="E2385" t="s">
        <v>8</v>
      </c>
      <c r="G2385" t="s">
        <v>9</v>
      </c>
      <c r="L2385">
        <f t="shared" si="186"/>
        <v>0</v>
      </c>
      <c r="M2385">
        <f t="shared" si="187"/>
        <v>0</v>
      </c>
      <c r="N2385">
        <f t="shared" si="188"/>
        <v>0</v>
      </c>
      <c r="O2385">
        <f t="shared" si="190"/>
        <v>1</v>
      </c>
      <c r="P2385" t="str">
        <f t="shared" si="189"/>
        <v/>
      </c>
      <c r="Q2385">
        <f>COUNTIF('責任職　企業局→市長部局'!A:A,SQLデータ!B2385)</f>
        <v>0</v>
      </c>
      <c r="R2385">
        <f>COUNTIF('一般職員　企業局→市長部局'!A:F,SQLデータ!B2385)</f>
        <v>0</v>
      </c>
    </row>
    <row r="2386" spans="1:18" x14ac:dyDescent="0.4">
      <c r="A2386" s="1">
        <v>202650002250</v>
      </c>
      <c r="B2386" s="1">
        <v>1231326</v>
      </c>
      <c r="C2386" s="2">
        <v>46121</v>
      </c>
      <c r="D2386" t="s">
        <v>17</v>
      </c>
      <c r="E2386" t="s">
        <v>8</v>
      </c>
      <c r="G2386" t="s">
        <v>9</v>
      </c>
      <c r="L2386">
        <f t="shared" si="186"/>
        <v>0</v>
      </c>
      <c r="M2386">
        <f t="shared" si="187"/>
        <v>0</v>
      </c>
      <c r="N2386">
        <f t="shared" si="188"/>
        <v>0</v>
      </c>
      <c r="O2386">
        <f t="shared" si="190"/>
        <v>1</v>
      </c>
      <c r="P2386" t="str">
        <f t="shared" si="189"/>
        <v/>
      </c>
      <c r="Q2386">
        <f>COUNTIF('責任職　企業局→市長部局'!A:A,SQLデータ!B2386)</f>
        <v>0</v>
      </c>
      <c r="R2386">
        <f>COUNTIF('一般職員　企業局→市長部局'!A:F,SQLデータ!B2386)</f>
        <v>0</v>
      </c>
    </row>
    <row r="2387" spans="1:18" x14ac:dyDescent="0.4">
      <c r="A2387" s="1">
        <v>202650002251</v>
      </c>
      <c r="B2387" s="1">
        <v>1062013</v>
      </c>
      <c r="C2387" s="2">
        <v>46121</v>
      </c>
      <c r="D2387" t="s">
        <v>17</v>
      </c>
      <c r="E2387" t="s">
        <v>8</v>
      </c>
      <c r="G2387" t="s">
        <v>9</v>
      </c>
      <c r="L2387">
        <f t="shared" si="186"/>
        <v>0</v>
      </c>
      <c r="M2387">
        <f t="shared" si="187"/>
        <v>0</v>
      </c>
      <c r="N2387">
        <f t="shared" si="188"/>
        <v>0</v>
      </c>
      <c r="O2387">
        <f t="shared" si="190"/>
        <v>1</v>
      </c>
      <c r="P2387" t="str">
        <f t="shared" si="189"/>
        <v/>
      </c>
      <c r="Q2387">
        <f>COUNTIF('責任職　企業局→市長部局'!A:A,SQLデータ!B2387)</f>
        <v>0</v>
      </c>
      <c r="R2387">
        <f>COUNTIF('一般職員　企業局→市長部局'!A:F,SQLデータ!B2387)</f>
        <v>0</v>
      </c>
    </row>
    <row r="2388" spans="1:18" x14ac:dyDescent="0.4">
      <c r="A2388" s="1">
        <v>202650002252</v>
      </c>
      <c r="B2388" s="1">
        <v>1076018</v>
      </c>
      <c r="C2388" s="2">
        <v>46121</v>
      </c>
      <c r="D2388" t="s">
        <v>17</v>
      </c>
      <c r="E2388" t="s">
        <v>8</v>
      </c>
      <c r="G2388" t="s">
        <v>9</v>
      </c>
      <c r="L2388">
        <f t="shared" si="186"/>
        <v>0</v>
      </c>
      <c r="M2388">
        <f t="shared" si="187"/>
        <v>0</v>
      </c>
      <c r="N2388">
        <f t="shared" si="188"/>
        <v>0</v>
      </c>
      <c r="O2388">
        <f t="shared" si="190"/>
        <v>1</v>
      </c>
      <c r="P2388" t="str">
        <f t="shared" si="189"/>
        <v/>
      </c>
      <c r="Q2388">
        <f>COUNTIF('責任職　企業局→市長部局'!A:A,SQLデータ!B2388)</f>
        <v>0</v>
      </c>
      <c r="R2388">
        <f>COUNTIF('一般職員　企業局→市長部局'!A:F,SQLデータ!B2388)</f>
        <v>0</v>
      </c>
    </row>
    <row r="2389" spans="1:18" x14ac:dyDescent="0.4">
      <c r="A2389" s="1">
        <v>202650002254</v>
      </c>
      <c r="B2389" s="1">
        <v>1101014</v>
      </c>
      <c r="C2389" s="2">
        <v>46121</v>
      </c>
      <c r="D2389" t="s">
        <v>17</v>
      </c>
      <c r="E2389" t="s">
        <v>8</v>
      </c>
      <c r="G2389" t="s">
        <v>9</v>
      </c>
      <c r="L2389">
        <f t="shared" si="186"/>
        <v>0</v>
      </c>
      <c r="M2389">
        <f t="shared" si="187"/>
        <v>0</v>
      </c>
      <c r="N2389">
        <f t="shared" si="188"/>
        <v>0</v>
      </c>
      <c r="O2389">
        <f t="shared" si="190"/>
        <v>1</v>
      </c>
      <c r="P2389" t="str">
        <f t="shared" si="189"/>
        <v/>
      </c>
      <c r="Q2389">
        <f>COUNTIF('責任職　企業局→市長部局'!A:A,SQLデータ!B2389)</f>
        <v>0</v>
      </c>
      <c r="R2389">
        <f>COUNTIF('一般職員　企業局→市長部局'!A:F,SQLデータ!B2389)</f>
        <v>0</v>
      </c>
    </row>
    <row r="2390" spans="1:18" x14ac:dyDescent="0.4">
      <c r="A2390" s="1">
        <v>202650002256</v>
      </c>
      <c r="B2390" s="1">
        <v>991240</v>
      </c>
      <c r="C2390" s="2">
        <v>46121</v>
      </c>
      <c r="D2390" t="s">
        <v>17</v>
      </c>
      <c r="E2390" t="s">
        <v>8</v>
      </c>
      <c r="G2390" t="s">
        <v>9</v>
      </c>
      <c r="L2390">
        <f t="shared" si="186"/>
        <v>0</v>
      </c>
      <c r="M2390">
        <f t="shared" si="187"/>
        <v>0</v>
      </c>
      <c r="N2390">
        <f t="shared" si="188"/>
        <v>0</v>
      </c>
      <c r="O2390">
        <f t="shared" si="190"/>
        <v>1</v>
      </c>
      <c r="P2390" t="str">
        <f t="shared" si="189"/>
        <v/>
      </c>
      <c r="Q2390">
        <f>COUNTIF('責任職　企業局→市長部局'!A:A,SQLデータ!B2390)</f>
        <v>0</v>
      </c>
      <c r="R2390">
        <f>COUNTIF('一般職員　企業局→市長部局'!A:F,SQLデータ!B2390)</f>
        <v>0</v>
      </c>
    </row>
    <row r="2391" spans="1:18" x14ac:dyDescent="0.4">
      <c r="A2391" s="1">
        <v>202650002257</v>
      </c>
      <c r="B2391" s="1">
        <v>940238</v>
      </c>
      <c r="C2391" s="2">
        <v>46121</v>
      </c>
      <c r="D2391" t="s">
        <v>17</v>
      </c>
      <c r="E2391" t="s">
        <v>8</v>
      </c>
      <c r="G2391" t="s">
        <v>9</v>
      </c>
      <c r="L2391">
        <f t="shared" si="186"/>
        <v>0</v>
      </c>
      <c r="M2391">
        <f t="shared" si="187"/>
        <v>0</v>
      </c>
      <c r="N2391">
        <f t="shared" si="188"/>
        <v>0</v>
      </c>
      <c r="O2391">
        <f t="shared" si="190"/>
        <v>1</v>
      </c>
      <c r="P2391" t="str">
        <f t="shared" si="189"/>
        <v/>
      </c>
      <c r="Q2391">
        <f>COUNTIF('責任職　企業局→市長部局'!A:A,SQLデータ!B2391)</f>
        <v>0</v>
      </c>
      <c r="R2391">
        <f>COUNTIF('一般職員　企業局→市長部局'!A:F,SQLデータ!B2391)</f>
        <v>0</v>
      </c>
    </row>
    <row r="2392" spans="1:18" x14ac:dyDescent="0.4">
      <c r="A2392" s="1">
        <v>202650002259</v>
      </c>
      <c r="B2392" s="1">
        <v>1172519</v>
      </c>
      <c r="C2392" s="2">
        <v>46121</v>
      </c>
      <c r="D2392" t="s">
        <v>17</v>
      </c>
      <c r="E2392" t="s">
        <v>8</v>
      </c>
      <c r="G2392" t="s">
        <v>9</v>
      </c>
      <c r="L2392">
        <f t="shared" si="186"/>
        <v>0</v>
      </c>
      <c r="M2392">
        <f t="shared" si="187"/>
        <v>0</v>
      </c>
      <c r="N2392">
        <f t="shared" si="188"/>
        <v>0</v>
      </c>
      <c r="O2392">
        <f t="shared" si="190"/>
        <v>1</v>
      </c>
      <c r="P2392" t="str">
        <f t="shared" si="189"/>
        <v/>
      </c>
      <c r="Q2392">
        <f>COUNTIF('責任職　企業局→市長部局'!A:A,SQLデータ!B2392)</f>
        <v>0</v>
      </c>
      <c r="R2392">
        <f>COUNTIF('一般職員　企業局→市長部局'!A:F,SQLデータ!B2392)</f>
        <v>0</v>
      </c>
    </row>
    <row r="2393" spans="1:18" x14ac:dyDescent="0.4">
      <c r="A2393" s="1">
        <v>202650002260</v>
      </c>
      <c r="B2393" s="1">
        <v>1206114</v>
      </c>
      <c r="C2393" s="2">
        <v>46121</v>
      </c>
      <c r="D2393" t="s">
        <v>17</v>
      </c>
      <c r="E2393" t="s">
        <v>8</v>
      </c>
      <c r="G2393" t="s">
        <v>9</v>
      </c>
      <c r="L2393">
        <f t="shared" si="186"/>
        <v>0</v>
      </c>
      <c r="M2393">
        <f t="shared" si="187"/>
        <v>0</v>
      </c>
      <c r="N2393">
        <f t="shared" si="188"/>
        <v>0</v>
      </c>
      <c r="O2393">
        <f t="shared" si="190"/>
        <v>1</v>
      </c>
      <c r="P2393" t="str">
        <f t="shared" si="189"/>
        <v/>
      </c>
      <c r="Q2393">
        <f>COUNTIF('責任職　企業局→市長部局'!A:A,SQLデータ!B2393)</f>
        <v>0</v>
      </c>
      <c r="R2393">
        <f>COUNTIF('一般職員　企業局→市長部局'!A:F,SQLデータ!B2393)</f>
        <v>0</v>
      </c>
    </row>
    <row r="2394" spans="1:18" x14ac:dyDescent="0.4">
      <c r="A2394" s="1">
        <v>202650002262</v>
      </c>
      <c r="B2394" s="1">
        <v>1146013</v>
      </c>
      <c r="C2394" s="2">
        <v>46121</v>
      </c>
      <c r="D2394" t="s">
        <v>17</v>
      </c>
      <c r="E2394" t="s">
        <v>8</v>
      </c>
      <c r="G2394" t="s">
        <v>9</v>
      </c>
      <c r="L2394">
        <f t="shared" si="186"/>
        <v>0</v>
      </c>
      <c r="M2394">
        <f t="shared" si="187"/>
        <v>0</v>
      </c>
      <c r="N2394">
        <f t="shared" si="188"/>
        <v>0</v>
      </c>
      <c r="O2394">
        <f t="shared" si="190"/>
        <v>1</v>
      </c>
      <c r="P2394" t="str">
        <f t="shared" si="189"/>
        <v/>
      </c>
      <c r="Q2394">
        <f>COUNTIF('責任職　企業局→市長部局'!A:A,SQLデータ!B2394)</f>
        <v>0</v>
      </c>
      <c r="R2394">
        <f>COUNTIF('一般職員　企業局→市長部局'!A:F,SQLデータ!B2394)</f>
        <v>0</v>
      </c>
    </row>
    <row r="2395" spans="1:18" x14ac:dyDescent="0.4">
      <c r="A2395" s="1">
        <v>202650002264</v>
      </c>
      <c r="B2395" s="1">
        <v>1211273</v>
      </c>
      <c r="C2395" s="2">
        <v>46121</v>
      </c>
      <c r="D2395" t="s">
        <v>17</v>
      </c>
      <c r="E2395" t="s">
        <v>8</v>
      </c>
      <c r="G2395" t="s">
        <v>9</v>
      </c>
      <c r="L2395">
        <f t="shared" si="186"/>
        <v>0</v>
      </c>
      <c r="M2395">
        <f t="shared" si="187"/>
        <v>0</v>
      </c>
      <c r="N2395">
        <f t="shared" si="188"/>
        <v>0</v>
      </c>
      <c r="O2395">
        <f t="shared" si="190"/>
        <v>1</v>
      </c>
      <c r="P2395" t="str">
        <f t="shared" si="189"/>
        <v/>
      </c>
      <c r="Q2395">
        <f>COUNTIF('責任職　企業局→市長部局'!A:A,SQLデータ!B2395)</f>
        <v>0</v>
      </c>
      <c r="R2395">
        <f>COUNTIF('一般職員　企業局→市長部局'!A:F,SQLデータ!B2395)</f>
        <v>0</v>
      </c>
    </row>
    <row r="2396" spans="1:18" x14ac:dyDescent="0.4">
      <c r="A2396" s="1">
        <v>202650002265</v>
      </c>
      <c r="B2396" s="1">
        <v>1081523</v>
      </c>
      <c r="C2396" s="2">
        <v>46121</v>
      </c>
      <c r="D2396" t="s">
        <v>17</v>
      </c>
      <c r="E2396" t="s">
        <v>8</v>
      </c>
      <c r="G2396" t="s">
        <v>9</v>
      </c>
      <c r="L2396">
        <f t="shared" si="186"/>
        <v>0</v>
      </c>
      <c r="M2396">
        <f t="shared" si="187"/>
        <v>0</v>
      </c>
      <c r="N2396">
        <f t="shared" si="188"/>
        <v>0</v>
      </c>
      <c r="O2396">
        <f t="shared" si="190"/>
        <v>1</v>
      </c>
      <c r="P2396" t="str">
        <f t="shared" si="189"/>
        <v/>
      </c>
      <c r="Q2396">
        <f>COUNTIF('責任職　企業局→市長部局'!A:A,SQLデータ!B2396)</f>
        <v>0</v>
      </c>
      <c r="R2396">
        <f>COUNTIF('一般職員　企業局→市長部局'!A:F,SQLデータ!B2396)</f>
        <v>0</v>
      </c>
    </row>
    <row r="2397" spans="1:18" x14ac:dyDescent="0.4">
      <c r="A2397" s="1">
        <v>202650002266</v>
      </c>
      <c r="B2397" s="1">
        <v>1236075</v>
      </c>
      <c r="C2397" s="2">
        <v>46121</v>
      </c>
      <c r="D2397" t="s">
        <v>17</v>
      </c>
      <c r="E2397" t="s">
        <v>8</v>
      </c>
      <c r="G2397" t="s">
        <v>9</v>
      </c>
      <c r="L2397">
        <f t="shared" si="186"/>
        <v>0</v>
      </c>
      <c r="M2397">
        <f t="shared" si="187"/>
        <v>0</v>
      </c>
      <c r="N2397">
        <f t="shared" si="188"/>
        <v>0</v>
      </c>
      <c r="O2397">
        <f t="shared" si="190"/>
        <v>1</v>
      </c>
      <c r="P2397" t="str">
        <f t="shared" si="189"/>
        <v/>
      </c>
      <c r="Q2397">
        <f>COUNTIF('責任職　企業局→市長部局'!A:A,SQLデータ!B2397)</f>
        <v>0</v>
      </c>
      <c r="R2397">
        <f>COUNTIF('一般職員　企業局→市長部局'!A:F,SQLデータ!B2397)</f>
        <v>0</v>
      </c>
    </row>
    <row r="2398" spans="1:18" x14ac:dyDescent="0.4">
      <c r="A2398" s="1">
        <v>202650002267</v>
      </c>
      <c r="B2398" s="1">
        <v>1181345</v>
      </c>
      <c r="C2398" s="2">
        <v>46127</v>
      </c>
      <c r="D2398" t="s">
        <v>17</v>
      </c>
      <c r="E2398" t="s">
        <v>8</v>
      </c>
      <c r="G2398" t="s">
        <v>9</v>
      </c>
      <c r="L2398">
        <f t="shared" si="186"/>
        <v>0</v>
      </c>
      <c r="M2398">
        <f t="shared" si="187"/>
        <v>0</v>
      </c>
      <c r="N2398">
        <f t="shared" si="188"/>
        <v>0</v>
      </c>
      <c r="O2398">
        <f t="shared" si="190"/>
        <v>1</v>
      </c>
      <c r="P2398" t="str">
        <f t="shared" si="189"/>
        <v/>
      </c>
      <c r="Q2398">
        <f>COUNTIF('責任職　企業局→市長部局'!A:A,SQLデータ!B2398)</f>
        <v>0</v>
      </c>
      <c r="R2398">
        <f>COUNTIF('一般職員　企業局→市長部局'!A:F,SQLデータ!B2398)</f>
        <v>0</v>
      </c>
    </row>
    <row r="2399" spans="1:18" x14ac:dyDescent="0.4">
      <c r="A2399" s="1">
        <v>202650002268</v>
      </c>
      <c r="B2399" s="1">
        <v>1206029</v>
      </c>
      <c r="C2399" s="2">
        <v>46121</v>
      </c>
      <c r="D2399" t="s">
        <v>17</v>
      </c>
      <c r="E2399" t="s">
        <v>8</v>
      </c>
      <c r="G2399" t="s">
        <v>9</v>
      </c>
      <c r="L2399">
        <f t="shared" si="186"/>
        <v>0</v>
      </c>
      <c r="M2399">
        <f t="shared" si="187"/>
        <v>0</v>
      </c>
      <c r="N2399">
        <f t="shared" si="188"/>
        <v>0</v>
      </c>
      <c r="O2399">
        <f t="shared" si="190"/>
        <v>1</v>
      </c>
      <c r="P2399" t="str">
        <f t="shared" si="189"/>
        <v/>
      </c>
      <c r="Q2399">
        <f>COUNTIF('責任職　企業局→市長部局'!A:A,SQLデータ!B2399)</f>
        <v>0</v>
      </c>
      <c r="R2399">
        <f>COUNTIF('一般職員　企業局→市長部局'!A:F,SQLデータ!B2399)</f>
        <v>0</v>
      </c>
    </row>
    <row r="2400" spans="1:18" x14ac:dyDescent="0.4">
      <c r="A2400" s="1">
        <v>202650002273</v>
      </c>
      <c r="B2400" s="1">
        <v>1216009</v>
      </c>
      <c r="C2400" s="2">
        <v>46121</v>
      </c>
      <c r="D2400" t="s">
        <v>17</v>
      </c>
      <c r="E2400" t="s">
        <v>8</v>
      </c>
      <c r="G2400" t="s">
        <v>9</v>
      </c>
      <c r="L2400">
        <f t="shared" si="186"/>
        <v>0</v>
      </c>
      <c r="M2400">
        <f t="shared" si="187"/>
        <v>0</v>
      </c>
      <c r="N2400">
        <f t="shared" si="188"/>
        <v>0</v>
      </c>
      <c r="O2400">
        <f t="shared" si="190"/>
        <v>1</v>
      </c>
      <c r="P2400" t="str">
        <f t="shared" si="189"/>
        <v/>
      </c>
      <c r="Q2400">
        <f>COUNTIF('責任職　企業局→市長部局'!A:A,SQLデータ!B2400)</f>
        <v>0</v>
      </c>
      <c r="R2400">
        <f>COUNTIF('一般職員　企業局→市長部局'!A:F,SQLデータ!B2400)</f>
        <v>0</v>
      </c>
    </row>
    <row r="2401" spans="1:18" x14ac:dyDescent="0.4">
      <c r="A2401" s="1">
        <v>202650002275</v>
      </c>
      <c r="B2401" s="1">
        <v>840153</v>
      </c>
      <c r="C2401" s="2">
        <v>46121</v>
      </c>
      <c r="D2401" t="s">
        <v>17</v>
      </c>
      <c r="E2401" t="s">
        <v>8</v>
      </c>
      <c r="G2401" t="s">
        <v>9</v>
      </c>
      <c r="L2401">
        <f t="shared" si="186"/>
        <v>0</v>
      </c>
      <c r="M2401">
        <f t="shared" si="187"/>
        <v>0</v>
      </c>
      <c r="N2401">
        <f t="shared" si="188"/>
        <v>0</v>
      </c>
      <c r="O2401">
        <f t="shared" si="190"/>
        <v>1</v>
      </c>
      <c r="P2401" t="str">
        <f t="shared" si="189"/>
        <v/>
      </c>
      <c r="Q2401">
        <f>COUNTIF('責任職　企業局→市長部局'!A:A,SQLデータ!B2401)</f>
        <v>0</v>
      </c>
      <c r="R2401">
        <f>COUNTIF('一般職員　企業局→市長部局'!A:F,SQLデータ!B2401)</f>
        <v>0</v>
      </c>
    </row>
    <row r="2402" spans="1:18" x14ac:dyDescent="0.4">
      <c r="A2402" s="1">
        <v>202650002276</v>
      </c>
      <c r="B2402" s="1">
        <v>1186020</v>
      </c>
      <c r="C2402" s="2">
        <v>46121</v>
      </c>
      <c r="D2402" t="s">
        <v>17</v>
      </c>
      <c r="E2402" t="s">
        <v>8</v>
      </c>
      <c r="G2402" t="s">
        <v>9</v>
      </c>
      <c r="L2402">
        <f t="shared" si="186"/>
        <v>0</v>
      </c>
      <c r="M2402">
        <f t="shared" si="187"/>
        <v>0</v>
      </c>
      <c r="N2402">
        <f t="shared" si="188"/>
        <v>0</v>
      </c>
      <c r="O2402">
        <f t="shared" si="190"/>
        <v>1</v>
      </c>
      <c r="P2402" t="str">
        <f t="shared" si="189"/>
        <v/>
      </c>
      <c r="Q2402">
        <f>COUNTIF('責任職　企業局→市長部局'!A:A,SQLデータ!B2402)</f>
        <v>0</v>
      </c>
      <c r="R2402">
        <f>COUNTIF('一般職員　企業局→市長部局'!A:F,SQLデータ!B2402)</f>
        <v>0</v>
      </c>
    </row>
    <row r="2403" spans="1:18" x14ac:dyDescent="0.4">
      <c r="A2403" s="1">
        <v>202650002277</v>
      </c>
      <c r="B2403" s="1">
        <v>960277</v>
      </c>
      <c r="C2403" s="2">
        <v>46121</v>
      </c>
      <c r="D2403" t="s">
        <v>17</v>
      </c>
      <c r="E2403" t="s">
        <v>8</v>
      </c>
      <c r="G2403" t="s">
        <v>9</v>
      </c>
      <c r="L2403">
        <f t="shared" si="186"/>
        <v>0</v>
      </c>
      <c r="M2403">
        <f t="shared" si="187"/>
        <v>0</v>
      </c>
      <c r="N2403">
        <f t="shared" si="188"/>
        <v>0</v>
      </c>
      <c r="O2403">
        <f t="shared" si="190"/>
        <v>1</v>
      </c>
      <c r="P2403" t="str">
        <f t="shared" si="189"/>
        <v/>
      </c>
      <c r="Q2403">
        <f>COUNTIF('責任職　企業局→市長部局'!A:A,SQLデータ!B2403)</f>
        <v>0</v>
      </c>
      <c r="R2403">
        <f>COUNTIF('一般職員　企業局→市長部局'!A:F,SQLデータ!B2403)</f>
        <v>0</v>
      </c>
    </row>
    <row r="2404" spans="1:18" x14ac:dyDescent="0.4">
      <c r="A2404" s="1">
        <v>202650002278</v>
      </c>
      <c r="B2404" s="1">
        <v>5138183</v>
      </c>
      <c r="C2404" s="2">
        <v>46125</v>
      </c>
      <c r="D2404" t="s">
        <v>17</v>
      </c>
      <c r="E2404" t="s">
        <v>8</v>
      </c>
      <c r="F2404" t="s">
        <v>54</v>
      </c>
      <c r="G2404" t="s">
        <v>9</v>
      </c>
      <c r="L2404">
        <f t="shared" si="186"/>
        <v>0</v>
      </c>
      <c r="M2404">
        <f t="shared" si="187"/>
        <v>0</v>
      </c>
      <c r="N2404">
        <f t="shared" si="188"/>
        <v>0</v>
      </c>
      <c r="O2404">
        <f t="shared" si="190"/>
        <v>1</v>
      </c>
      <c r="P2404" t="str">
        <f t="shared" si="189"/>
        <v/>
      </c>
      <c r="Q2404">
        <f>COUNTIF('責任職　企業局→市長部局'!A:A,SQLデータ!B2404)</f>
        <v>0</v>
      </c>
      <c r="R2404">
        <f>COUNTIF('一般職員　企業局→市長部局'!A:F,SQLデータ!B2404)</f>
        <v>0</v>
      </c>
    </row>
    <row r="2405" spans="1:18" x14ac:dyDescent="0.4">
      <c r="A2405" s="1">
        <v>202650002279</v>
      </c>
      <c r="B2405" s="1">
        <v>1083030</v>
      </c>
      <c r="C2405" s="2">
        <v>46121</v>
      </c>
      <c r="D2405" t="s">
        <v>17</v>
      </c>
      <c r="E2405" t="s">
        <v>8</v>
      </c>
      <c r="G2405" t="s">
        <v>9</v>
      </c>
      <c r="L2405">
        <f t="shared" si="186"/>
        <v>0</v>
      </c>
      <c r="M2405">
        <f t="shared" si="187"/>
        <v>0</v>
      </c>
      <c r="N2405">
        <f t="shared" si="188"/>
        <v>0</v>
      </c>
      <c r="O2405">
        <f t="shared" si="190"/>
        <v>1</v>
      </c>
      <c r="P2405" t="str">
        <f t="shared" si="189"/>
        <v/>
      </c>
      <c r="Q2405">
        <f>COUNTIF('責任職　企業局→市長部局'!A:A,SQLデータ!B2405)</f>
        <v>0</v>
      </c>
      <c r="R2405">
        <f>COUNTIF('一般職員　企業局→市長部局'!A:F,SQLデータ!B2405)</f>
        <v>0</v>
      </c>
    </row>
    <row r="2406" spans="1:18" x14ac:dyDescent="0.4">
      <c r="A2406" s="1">
        <v>202650002280</v>
      </c>
      <c r="B2406" s="1">
        <v>1081371</v>
      </c>
      <c r="C2406" s="2">
        <v>46121</v>
      </c>
      <c r="D2406" t="s">
        <v>17</v>
      </c>
      <c r="E2406" t="s">
        <v>8</v>
      </c>
      <c r="G2406" t="s">
        <v>9</v>
      </c>
      <c r="L2406">
        <f t="shared" si="186"/>
        <v>0</v>
      </c>
      <c r="M2406">
        <f t="shared" si="187"/>
        <v>0</v>
      </c>
      <c r="N2406">
        <f t="shared" si="188"/>
        <v>0</v>
      </c>
      <c r="O2406">
        <f t="shared" si="190"/>
        <v>1</v>
      </c>
      <c r="P2406" t="str">
        <f t="shared" si="189"/>
        <v/>
      </c>
      <c r="Q2406">
        <f>COUNTIF('責任職　企業局→市長部局'!A:A,SQLデータ!B2406)</f>
        <v>0</v>
      </c>
      <c r="R2406">
        <f>COUNTIF('一般職員　企業局→市長部局'!A:F,SQLデータ!B2406)</f>
        <v>0</v>
      </c>
    </row>
    <row r="2407" spans="1:18" x14ac:dyDescent="0.4">
      <c r="A2407" s="1">
        <v>202650002281</v>
      </c>
      <c r="B2407" s="1">
        <v>1256122</v>
      </c>
      <c r="C2407" s="2">
        <v>46121</v>
      </c>
      <c r="D2407" t="s">
        <v>17</v>
      </c>
      <c r="E2407" t="s">
        <v>8</v>
      </c>
      <c r="G2407" t="s">
        <v>9</v>
      </c>
      <c r="L2407">
        <f t="shared" si="186"/>
        <v>0</v>
      </c>
      <c r="M2407">
        <f t="shared" si="187"/>
        <v>0</v>
      </c>
      <c r="N2407">
        <f t="shared" si="188"/>
        <v>0</v>
      </c>
      <c r="O2407">
        <f t="shared" si="190"/>
        <v>1</v>
      </c>
      <c r="P2407" t="str">
        <f t="shared" si="189"/>
        <v/>
      </c>
      <c r="Q2407">
        <f>COUNTIF('責任職　企業局→市長部局'!A:A,SQLデータ!B2407)</f>
        <v>0</v>
      </c>
      <c r="R2407">
        <f>COUNTIF('一般職員　企業局→市長部局'!A:F,SQLデータ!B2407)</f>
        <v>0</v>
      </c>
    </row>
    <row r="2408" spans="1:18" x14ac:dyDescent="0.4">
      <c r="A2408" s="1">
        <v>202650002283</v>
      </c>
      <c r="B2408" s="1">
        <v>1031030</v>
      </c>
      <c r="C2408" s="2">
        <v>46121</v>
      </c>
      <c r="D2408" t="s">
        <v>17</v>
      </c>
      <c r="E2408" t="s">
        <v>8</v>
      </c>
      <c r="G2408" t="s">
        <v>9</v>
      </c>
      <c r="L2408">
        <f t="shared" si="186"/>
        <v>0</v>
      </c>
      <c r="M2408">
        <f t="shared" si="187"/>
        <v>0</v>
      </c>
      <c r="N2408">
        <f t="shared" si="188"/>
        <v>0</v>
      </c>
      <c r="O2408">
        <f t="shared" si="190"/>
        <v>1</v>
      </c>
      <c r="P2408" t="str">
        <f t="shared" si="189"/>
        <v/>
      </c>
      <c r="Q2408">
        <f>COUNTIF('責任職　企業局→市長部局'!A:A,SQLデータ!B2408)</f>
        <v>0</v>
      </c>
      <c r="R2408">
        <f>COUNTIF('一般職員　企業局→市長部局'!A:F,SQLデータ!B2408)</f>
        <v>0</v>
      </c>
    </row>
    <row r="2409" spans="1:18" x14ac:dyDescent="0.4">
      <c r="A2409" s="1">
        <v>202650002284</v>
      </c>
      <c r="B2409" s="1">
        <v>1171403</v>
      </c>
      <c r="C2409" s="2">
        <v>46121</v>
      </c>
      <c r="D2409" t="s">
        <v>17</v>
      </c>
      <c r="E2409" t="s">
        <v>8</v>
      </c>
      <c r="G2409" t="s">
        <v>9</v>
      </c>
      <c r="L2409">
        <f t="shared" si="186"/>
        <v>0</v>
      </c>
      <c r="M2409">
        <f t="shared" si="187"/>
        <v>0</v>
      </c>
      <c r="N2409">
        <f t="shared" si="188"/>
        <v>0</v>
      </c>
      <c r="O2409">
        <f t="shared" si="190"/>
        <v>1</v>
      </c>
      <c r="P2409" t="str">
        <f t="shared" si="189"/>
        <v/>
      </c>
      <c r="Q2409">
        <f>COUNTIF('責任職　企業局→市長部局'!A:A,SQLデータ!B2409)</f>
        <v>0</v>
      </c>
      <c r="R2409">
        <f>COUNTIF('一般職員　企業局→市長部局'!A:F,SQLデータ!B2409)</f>
        <v>0</v>
      </c>
    </row>
    <row r="2410" spans="1:18" x14ac:dyDescent="0.4">
      <c r="A2410" s="1">
        <v>202650002285</v>
      </c>
      <c r="B2410" s="1">
        <v>981062</v>
      </c>
      <c r="C2410" s="2">
        <v>46121</v>
      </c>
      <c r="D2410" t="s">
        <v>17</v>
      </c>
      <c r="E2410" t="s">
        <v>8</v>
      </c>
      <c r="G2410" t="s">
        <v>9</v>
      </c>
      <c r="L2410">
        <f t="shared" si="186"/>
        <v>0</v>
      </c>
      <c r="M2410">
        <f t="shared" si="187"/>
        <v>0</v>
      </c>
      <c r="N2410">
        <f t="shared" si="188"/>
        <v>0</v>
      </c>
      <c r="O2410">
        <f t="shared" si="190"/>
        <v>1</v>
      </c>
      <c r="P2410" t="str">
        <f t="shared" si="189"/>
        <v/>
      </c>
      <c r="Q2410">
        <f>COUNTIF('責任職　企業局→市長部局'!A:A,SQLデータ!B2410)</f>
        <v>0</v>
      </c>
      <c r="R2410">
        <f>COUNTIF('一般職員　企業局→市長部局'!A:F,SQLデータ!B2410)</f>
        <v>0</v>
      </c>
    </row>
    <row r="2411" spans="1:18" x14ac:dyDescent="0.4">
      <c r="A2411" s="1">
        <v>202650002286</v>
      </c>
      <c r="B2411" s="1">
        <v>910889</v>
      </c>
      <c r="C2411" s="2">
        <v>46121</v>
      </c>
      <c r="D2411" t="s">
        <v>17</v>
      </c>
      <c r="E2411" t="s">
        <v>8</v>
      </c>
      <c r="G2411" t="s">
        <v>9</v>
      </c>
      <c r="L2411">
        <f t="shared" si="186"/>
        <v>0</v>
      </c>
      <c r="M2411">
        <f t="shared" si="187"/>
        <v>0</v>
      </c>
      <c r="N2411">
        <f t="shared" si="188"/>
        <v>0</v>
      </c>
      <c r="O2411">
        <f t="shared" si="190"/>
        <v>1</v>
      </c>
      <c r="P2411" t="str">
        <f t="shared" si="189"/>
        <v/>
      </c>
      <c r="Q2411">
        <f>COUNTIF('責任職　企業局→市長部局'!A:A,SQLデータ!B2411)</f>
        <v>0</v>
      </c>
      <c r="R2411">
        <f>COUNTIF('一般職員　企業局→市長部局'!A:F,SQLデータ!B2411)</f>
        <v>0</v>
      </c>
    </row>
    <row r="2412" spans="1:18" x14ac:dyDescent="0.4">
      <c r="A2412" s="1">
        <v>202650002287</v>
      </c>
      <c r="B2412" s="1">
        <v>1112511</v>
      </c>
      <c r="C2412" s="2">
        <v>46127</v>
      </c>
      <c r="D2412" t="s">
        <v>17</v>
      </c>
      <c r="E2412" t="s">
        <v>8</v>
      </c>
      <c r="G2412" t="s">
        <v>9</v>
      </c>
      <c r="L2412">
        <f t="shared" si="186"/>
        <v>0</v>
      </c>
      <c r="M2412">
        <f t="shared" si="187"/>
        <v>0</v>
      </c>
      <c r="N2412">
        <f t="shared" si="188"/>
        <v>0</v>
      </c>
      <c r="O2412">
        <f t="shared" si="190"/>
        <v>1</v>
      </c>
      <c r="P2412" t="str">
        <f t="shared" si="189"/>
        <v/>
      </c>
      <c r="Q2412">
        <f>COUNTIF('責任職　企業局→市長部局'!A:A,SQLデータ!B2412)</f>
        <v>0</v>
      </c>
      <c r="R2412">
        <f>COUNTIF('一般職員　企業局→市長部局'!A:F,SQLデータ!B2412)</f>
        <v>0</v>
      </c>
    </row>
    <row r="2413" spans="1:18" x14ac:dyDescent="0.4">
      <c r="A2413" s="1">
        <v>202650002288</v>
      </c>
      <c r="B2413" s="1">
        <v>1211317</v>
      </c>
      <c r="C2413" s="2">
        <v>46127</v>
      </c>
      <c r="D2413" t="s">
        <v>17</v>
      </c>
      <c r="E2413" t="s">
        <v>8</v>
      </c>
      <c r="G2413" t="s">
        <v>9</v>
      </c>
      <c r="L2413">
        <f t="shared" si="186"/>
        <v>0</v>
      </c>
      <c r="M2413">
        <f t="shared" si="187"/>
        <v>0</v>
      </c>
      <c r="N2413">
        <f t="shared" si="188"/>
        <v>0</v>
      </c>
      <c r="O2413">
        <f t="shared" si="190"/>
        <v>1</v>
      </c>
      <c r="P2413" t="str">
        <f t="shared" si="189"/>
        <v/>
      </c>
      <c r="Q2413">
        <f>COUNTIF('責任職　企業局→市長部局'!A:A,SQLデータ!B2413)</f>
        <v>0</v>
      </c>
      <c r="R2413">
        <f>COUNTIF('一般職員　企業局→市長部局'!A:F,SQLデータ!B2413)</f>
        <v>0</v>
      </c>
    </row>
    <row r="2414" spans="1:18" x14ac:dyDescent="0.4">
      <c r="A2414" s="1">
        <v>202650002289</v>
      </c>
      <c r="B2414" s="1">
        <v>1016038</v>
      </c>
      <c r="C2414" s="2">
        <v>46121</v>
      </c>
      <c r="D2414" t="s">
        <v>17</v>
      </c>
      <c r="E2414" t="s">
        <v>8</v>
      </c>
      <c r="G2414" t="s">
        <v>9</v>
      </c>
      <c r="L2414">
        <f t="shared" si="186"/>
        <v>0</v>
      </c>
      <c r="M2414">
        <f t="shared" si="187"/>
        <v>0</v>
      </c>
      <c r="N2414">
        <f t="shared" si="188"/>
        <v>0</v>
      </c>
      <c r="O2414">
        <f t="shared" si="190"/>
        <v>1</v>
      </c>
      <c r="P2414" t="str">
        <f t="shared" si="189"/>
        <v/>
      </c>
      <c r="Q2414">
        <f>COUNTIF('責任職　企業局→市長部局'!A:A,SQLデータ!B2414)</f>
        <v>0</v>
      </c>
      <c r="R2414">
        <f>COUNTIF('一般職員　企業局→市長部局'!A:F,SQLデータ!B2414)</f>
        <v>0</v>
      </c>
    </row>
    <row r="2415" spans="1:18" x14ac:dyDescent="0.4">
      <c r="A2415" s="1">
        <v>202650002290</v>
      </c>
      <c r="B2415" s="1">
        <v>1181480</v>
      </c>
      <c r="C2415" s="2">
        <v>46121</v>
      </c>
      <c r="D2415" t="s">
        <v>17</v>
      </c>
      <c r="E2415" t="s">
        <v>8</v>
      </c>
      <c r="G2415" t="s">
        <v>9</v>
      </c>
      <c r="L2415">
        <f t="shared" si="186"/>
        <v>0</v>
      </c>
      <c r="M2415">
        <f t="shared" si="187"/>
        <v>0</v>
      </c>
      <c r="N2415">
        <f t="shared" si="188"/>
        <v>0</v>
      </c>
      <c r="O2415">
        <f t="shared" si="190"/>
        <v>1</v>
      </c>
      <c r="P2415" t="str">
        <f t="shared" si="189"/>
        <v/>
      </c>
      <c r="Q2415">
        <f>COUNTIF('責任職　企業局→市長部局'!A:A,SQLデータ!B2415)</f>
        <v>0</v>
      </c>
      <c r="R2415">
        <f>COUNTIF('一般職員　企業局→市長部局'!A:F,SQLデータ!B2415)</f>
        <v>0</v>
      </c>
    </row>
    <row r="2416" spans="1:18" x14ac:dyDescent="0.4">
      <c r="A2416" s="1">
        <v>202650002291</v>
      </c>
      <c r="B2416" s="1">
        <v>960224</v>
      </c>
      <c r="C2416" s="2">
        <v>46121</v>
      </c>
      <c r="D2416" t="s">
        <v>17</v>
      </c>
      <c r="E2416" t="s">
        <v>8</v>
      </c>
      <c r="G2416" t="s">
        <v>9</v>
      </c>
      <c r="L2416">
        <f t="shared" si="186"/>
        <v>0</v>
      </c>
      <c r="M2416">
        <f t="shared" si="187"/>
        <v>0</v>
      </c>
      <c r="N2416">
        <f t="shared" si="188"/>
        <v>0</v>
      </c>
      <c r="O2416">
        <f t="shared" si="190"/>
        <v>1</v>
      </c>
      <c r="P2416" t="str">
        <f t="shared" si="189"/>
        <v/>
      </c>
      <c r="Q2416">
        <f>COUNTIF('責任職　企業局→市長部局'!A:A,SQLデータ!B2416)</f>
        <v>0</v>
      </c>
      <c r="R2416">
        <f>COUNTIF('一般職員　企業局→市長部局'!A:F,SQLデータ!B2416)</f>
        <v>0</v>
      </c>
    </row>
    <row r="2417" spans="1:18" x14ac:dyDescent="0.4">
      <c r="A2417" s="1">
        <v>202650002292</v>
      </c>
      <c r="B2417" s="1">
        <v>1096035</v>
      </c>
      <c r="C2417" s="2">
        <v>46121</v>
      </c>
      <c r="D2417" t="s">
        <v>17</v>
      </c>
      <c r="E2417" t="s">
        <v>8</v>
      </c>
      <c r="G2417" t="s">
        <v>9</v>
      </c>
      <c r="L2417">
        <f t="shared" si="186"/>
        <v>0</v>
      </c>
      <c r="M2417">
        <f t="shared" si="187"/>
        <v>0</v>
      </c>
      <c r="N2417">
        <f t="shared" si="188"/>
        <v>0</v>
      </c>
      <c r="O2417">
        <f t="shared" si="190"/>
        <v>1</v>
      </c>
      <c r="P2417" t="str">
        <f t="shared" si="189"/>
        <v/>
      </c>
      <c r="Q2417">
        <f>COUNTIF('責任職　企業局→市長部局'!A:A,SQLデータ!B2417)</f>
        <v>0</v>
      </c>
      <c r="R2417">
        <f>COUNTIF('一般職員　企業局→市長部局'!A:F,SQLデータ!B2417)</f>
        <v>0</v>
      </c>
    </row>
    <row r="2418" spans="1:18" x14ac:dyDescent="0.4">
      <c r="A2418" s="1">
        <v>202650002293</v>
      </c>
      <c r="B2418" s="1">
        <v>940288</v>
      </c>
      <c r="C2418" s="2">
        <v>46122</v>
      </c>
      <c r="D2418" t="s">
        <v>17</v>
      </c>
      <c r="E2418" t="s">
        <v>8</v>
      </c>
      <c r="G2418" t="s">
        <v>9</v>
      </c>
      <c r="L2418">
        <f t="shared" si="186"/>
        <v>0</v>
      </c>
      <c r="M2418">
        <f t="shared" si="187"/>
        <v>0</v>
      </c>
      <c r="N2418">
        <f t="shared" si="188"/>
        <v>0</v>
      </c>
      <c r="O2418">
        <f t="shared" si="190"/>
        <v>1</v>
      </c>
      <c r="P2418" t="str">
        <f t="shared" si="189"/>
        <v/>
      </c>
      <c r="Q2418">
        <f>COUNTIF('責任職　企業局→市長部局'!A:A,SQLデータ!B2418)</f>
        <v>0</v>
      </c>
      <c r="R2418">
        <f>COUNTIF('一般職員　企業局→市長部局'!A:F,SQLデータ!B2418)</f>
        <v>0</v>
      </c>
    </row>
    <row r="2419" spans="1:18" x14ac:dyDescent="0.4">
      <c r="A2419" s="1">
        <v>202650002294</v>
      </c>
      <c r="B2419" s="1">
        <v>850165</v>
      </c>
      <c r="C2419" s="2">
        <v>46122</v>
      </c>
      <c r="D2419" t="s">
        <v>17</v>
      </c>
      <c r="E2419" t="s">
        <v>8</v>
      </c>
      <c r="G2419" t="s">
        <v>9</v>
      </c>
      <c r="L2419">
        <f t="shared" si="186"/>
        <v>0</v>
      </c>
      <c r="M2419">
        <f t="shared" si="187"/>
        <v>0</v>
      </c>
      <c r="N2419">
        <f t="shared" si="188"/>
        <v>0</v>
      </c>
      <c r="O2419">
        <f t="shared" si="190"/>
        <v>1</v>
      </c>
      <c r="P2419" t="str">
        <f t="shared" si="189"/>
        <v/>
      </c>
      <c r="Q2419">
        <f>COUNTIF('責任職　企業局→市長部局'!A:A,SQLデータ!B2419)</f>
        <v>0</v>
      </c>
      <c r="R2419">
        <f>COUNTIF('一般職員　企業局→市長部局'!A:F,SQLデータ!B2419)</f>
        <v>0</v>
      </c>
    </row>
    <row r="2420" spans="1:18" x14ac:dyDescent="0.4">
      <c r="A2420" s="1">
        <v>202650002295</v>
      </c>
      <c r="B2420" s="1">
        <v>1166100</v>
      </c>
      <c r="C2420" s="2">
        <v>46122</v>
      </c>
      <c r="D2420" t="s">
        <v>17</v>
      </c>
      <c r="E2420" t="s">
        <v>8</v>
      </c>
      <c r="G2420" t="s">
        <v>9</v>
      </c>
      <c r="L2420">
        <f t="shared" si="186"/>
        <v>0</v>
      </c>
      <c r="M2420">
        <f t="shared" si="187"/>
        <v>0</v>
      </c>
      <c r="N2420">
        <f t="shared" si="188"/>
        <v>0</v>
      </c>
      <c r="O2420">
        <f t="shared" si="190"/>
        <v>1</v>
      </c>
      <c r="P2420" t="str">
        <f t="shared" si="189"/>
        <v/>
      </c>
      <c r="Q2420">
        <f>COUNTIF('責任職　企業局→市長部局'!A:A,SQLデータ!B2420)</f>
        <v>0</v>
      </c>
      <c r="R2420">
        <f>COUNTIF('一般職員　企業局→市長部局'!A:F,SQLデータ!B2420)</f>
        <v>0</v>
      </c>
    </row>
    <row r="2421" spans="1:18" x14ac:dyDescent="0.4">
      <c r="A2421" s="1">
        <v>202650002296</v>
      </c>
      <c r="B2421" s="1">
        <v>1186007</v>
      </c>
      <c r="C2421" s="2">
        <v>46122</v>
      </c>
      <c r="D2421" t="s">
        <v>17</v>
      </c>
      <c r="E2421" t="s">
        <v>8</v>
      </c>
      <c r="G2421" t="s">
        <v>9</v>
      </c>
      <c r="L2421">
        <f t="shared" si="186"/>
        <v>0</v>
      </c>
      <c r="M2421">
        <f t="shared" si="187"/>
        <v>0</v>
      </c>
      <c r="N2421">
        <f t="shared" si="188"/>
        <v>0</v>
      </c>
      <c r="O2421">
        <f t="shared" si="190"/>
        <v>1</v>
      </c>
      <c r="P2421" t="str">
        <f t="shared" si="189"/>
        <v/>
      </c>
      <c r="Q2421">
        <f>COUNTIF('責任職　企業局→市長部局'!A:A,SQLデータ!B2421)</f>
        <v>0</v>
      </c>
      <c r="R2421">
        <f>COUNTIF('一般職員　企業局→市長部局'!A:F,SQLデータ!B2421)</f>
        <v>0</v>
      </c>
    </row>
    <row r="2422" spans="1:18" x14ac:dyDescent="0.4">
      <c r="A2422" s="1">
        <v>202650002297</v>
      </c>
      <c r="B2422" s="1">
        <v>1111471</v>
      </c>
      <c r="C2422" s="2">
        <v>46122</v>
      </c>
      <c r="D2422" t="s">
        <v>17</v>
      </c>
      <c r="E2422" t="s">
        <v>8</v>
      </c>
      <c r="G2422" t="s">
        <v>9</v>
      </c>
      <c r="L2422">
        <f t="shared" si="186"/>
        <v>0</v>
      </c>
      <c r="M2422">
        <f t="shared" si="187"/>
        <v>0</v>
      </c>
      <c r="N2422">
        <f t="shared" si="188"/>
        <v>0</v>
      </c>
      <c r="O2422">
        <f t="shared" si="190"/>
        <v>1</v>
      </c>
      <c r="P2422" t="str">
        <f t="shared" si="189"/>
        <v/>
      </c>
      <c r="Q2422">
        <f>COUNTIF('責任職　企業局→市長部局'!A:A,SQLデータ!B2422)</f>
        <v>0</v>
      </c>
      <c r="R2422">
        <f>COUNTIF('一般職員　企業局→市長部局'!A:F,SQLデータ!B2422)</f>
        <v>0</v>
      </c>
    </row>
    <row r="2423" spans="1:18" x14ac:dyDescent="0.4">
      <c r="A2423" s="1">
        <v>202650002299</v>
      </c>
      <c r="B2423" s="1">
        <v>1152151</v>
      </c>
      <c r="C2423" s="2">
        <v>46122</v>
      </c>
      <c r="D2423" t="s">
        <v>17</v>
      </c>
      <c r="E2423" t="s">
        <v>8</v>
      </c>
      <c r="G2423" t="s">
        <v>9</v>
      </c>
      <c r="L2423">
        <f t="shared" si="186"/>
        <v>0</v>
      </c>
      <c r="M2423">
        <f t="shared" si="187"/>
        <v>0</v>
      </c>
      <c r="N2423">
        <f t="shared" si="188"/>
        <v>0</v>
      </c>
      <c r="O2423">
        <f t="shared" si="190"/>
        <v>1</v>
      </c>
      <c r="P2423" t="str">
        <f t="shared" si="189"/>
        <v/>
      </c>
      <c r="Q2423">
        <f>COUNTIF('責任職　企業局→市長部局'!A:A,SQLデータ!B2423)</f>
        <v>0</v>
      </c>
      <c r="R2423">
        <f>COUNTIF('一般職員　企業局→市長部局'!A:F,SQLデータ!B2423)</f>
        <v>0</v>
      </c>
    </row>
    <row r="2424" spans="1:18" x14ac:dyDescent="0.4">
      <c r="A2424" s="1">
        <v>202650002300</v>
      </c>
      <c r="B2424" s="1">
        <v>1121252</v>
      </c>
      <c r="C2424" s="2">
        <v>46122</v>
      </c>
      <c r="D2424" t="s">
        <v>17</v>
      </c>
      <c r="E2424" t="s">
        <v>8</v>
      </c>
      <c r="G2424" t="s">
        <v>9</v>
      </c>
      <c r="L2424">
        <f t="shared" si="186"/>
        <v>0</v>
      </c>
      <c r="M2424">
        <f t="shared" si="187"/>
        <v>0</v>
      </c>
      <c r="N2424">
        <f t="shared" si="188"/>
        <v>0</v>
      </c>
      <c r="O2424">
        <f t="shared" si="190"/>
        <v>1</v>
      </c>
      <c r="P2424" t="str">
        <f t="shared" si="189"/>
        <v/>
      </c>
      <c r="Q2424">
        <f>COUNTIF('責任職　企業局→市長部局'!A:A,SQLデータ!B2424)</f>
        <v>0</v>
      </c>
      <c r="R2424">
        <f>COUNTIF('一般職員　企業局→市長部局'!A:F,SQLデータ!B2424)</f>
        <v>0</v>
      </c>
    </row>
    <row r="2425" spans="1:18" x14ac:dyDescent="0.4">
      <c r="A2425" s="1">
        <v>202650002301</v>
      </c>
      <c r="B2425" s="1">
        <v>960493</v>
      </c>
      <c r="C2425" s="2">
        <v>46122</v>
      </c>
      <c r="D2425" t="s">
        <v>17</v>
      </c>
      <c r="E2425" t="s">
        <v>8</v>
      </c>
      <c r="G2425" t="s">
        <v>9</v>
      </c>
      <c r="L2425">
        <f t="shared" si="186"/>
        <v>0</v>
      </c>
      <c r="M2425">
        <f t="shared" si="187"/>
        <v>0</v>
      </c>
      <c r="N2425">
        <f t="shared" si="188"/>
        <v>0</v>
      </c>
      <c r="O2425">
        <f t="shared" si="190"/>
        <v>1</v>
      </c>
      <c r="P2425" t="str">
        <f t="shared" si="189"/>
        <v/>
      </c>
      <c r="Q2425">
        <f>COUNTIF('責任職　企業局→市長部局'!A:A,SQLデータ!B2425)</f>
        <v>0</v>
      </c>
      <c r="R2425">
        <f>COUNTIF('一般職員　企業局→市長部局'!A:F,SQLデータ!B2425)</f>
        <v>0</v>
      </c>
    </row>
    <row r="2426" spans="1:18" x14ac:dyDescent="0.4">
      <c r="A2426" s="1">
        <v>202650002302</v>
      </c>
      <c r="B2426" s="1">
        <v>1222304</v>
      </c>
      <c r="C2426" s="2">
        <v>46127</v>
      </c>
      <c r="D2426" t="s">
        <v>17</v>
      </c>
      <c r="E2426" t="s">
        <v>8</v>
      </c>
      <c r="G2426" t="s">
        <v>9</v>
      </c>
      <c r="L2426">
        <f t="shared" si="186"/>
        <v>0</v>
      </c>
      <c r="M2426">
        <f t="shared" si="187"/>
        <v>0</v>
      </c>
      <c r="N2426">
        <f t="shared" si="188"/>
        <v>0</v>
      </c>
      <c r="O2426">
        <f t="shared" si="190"/>
        <v>1</v>
      </c>
      <c r="P2426" t="str">
        <f t="shared" si="189"/>
        <v/>
      </c>
      <c r="Q2426">
        <f>COUNTIF('責任職　企業局→市長部局'!A:A,SQLデータ!B2426)</f>
        <v>0</v>
      </c>
      <c r="R2426">
        <f>COUNTIF('一般職員　企業局→市長部局'!A:F,SQLデータ!B2426)</f>
        <v>0</v>
      </c>
    </row>
    <row r="2427" spans="1:18" x14ac:dyDescent="0.4">
      <c r="A2427" s="1">
        <v>202650002303</v>
      </c>
      <c r="B2427" s="1">
        <v>1004032</v>
      </c>
      <c r="C2427" s="2">
        <v>46122</v>
      </c>
      <c r="D2427" t="s">
        <v>17</v>
      </c>
      <c r="E2427" t="s">
        <v>8</v>
      </c>
      <c r="G2427" t="s">
        <v>9</v>
      </c>
      <c r="L2427">
        <f t="shared" si="186"/>
        <v>0</v>
      </c>
      <c r="M2427">
        <f t="shared" si="187"/>
        <v>0</v>
      </c>
      <c r="N2427">
        <f t="shared" si="188"/>
        <v>0</v>
      </c>
      <c r="O2427">
        <f t="shared" si="190"/>
        <v>1</v>
      </c>
      <c r="P2427" t="str">
        <f t="shared" si="189"/>
        <v/>
      </c>
      <c r="Q2427">
        <f>COUNTIF('責任職　企業局→市長部局'!A:A,SQLデータ!B2427)</f>
        <v>0</v>
      </c>
      <c r="R2427">
        <f>COUNTIF('一般職員　企業局→市長部局'!A:F,SQLデータ!B2427)</f>
        <v>0</v>
      </c>
    </row>
    <row r="2428" spans="1:18" x14ac:dyDescent="0.4">
      <c r="A2428" s="1">
        <v>202650002304</v>
      </c>
      <c r="B2428" s="1">
        <v>1121097</v>
      </c>
      <c r="C2428" s="2">
        <v>46122</v>
      </c>
      <c r="D2428" t="s">
        <v>17</v>
      </c>
      <c r="E2428" t="s">
        <v>8</v>
      </c>
      <c r="G2428" t="s">
        <v>9</v>
      </c>
      <c r="L2428">
        <f t="shared" si="186"/>
        <v>0</v>
      </c>
      <c r="M2428">
        <f t="shared" si="187"/>
        <v>0</v>
      </c>
      <c r="N2428">
        <f t="shared" si="188"/>
        <v>0</v>
      </c>
      <c r="O2428">
        <f t="shared" si="190"/>
        <v>1</v>
      </c>
      <c r="P2428" t="str">
        <f t="shared" si="189"/>
        <v/>
      </c>
      <c r="Q2428">
        <f>COUNTIF('責任職　企業局→市長部局'!A:A,SQLデータ!B2428)</f>
        <v>0</v>
      </c>
      <c r="R2428">
        <f>COUNTIF('一般職員　企業局→市長部局'!A:F,SQLデータ!B2428)</f>
        <v>0</v>
      </c>
    </row>
    <row r="2429" spans="1:18" x14ac:dyDescent="0.4">
      <c r="A2429" s="1">
        <v>202650002308</v>
      </c>
      <c r="B2429" s="1">
        <v>920803</v>
      </c>
      <c r="C2429" s="2">
        <v>46122</v>
      </c>
      <c r="D2429" t="s">
        <v>17</v>
      </c>
      <c r="E2429" t="s">
        <v>8</v>
      </c>
      <c r="G2429" t="s">
        <v>9</v>
      </c>
      <c r="L2429">
        <f t="shared" si="186"/>
        <v>0</v>
      </c>
      <c r="M2429">
        <f t="shared" si="187"/>
        <v>0</v>
      </c>
      <c r="N2429">
        <f t="shared" si="188"/>
        <v>0</v>
      </c>
      <c r="O2429">
        <f t="shared" si="190"/>
        <v>1</v>
      </c>
      <c r="P2429" t="str">
        <f t="shared" si="189"/>
        <v/>
      </c>
      <c r="Q2429">
        <f>COUNTIF('責任職　企業局→市長部局'!A:A,SQLデータ!B2429)</f>
        <v>0</v>
      </c>
      <c r="R2429">
        <f>COUNTIF('一般職員　企業局→市長部局'!A:F,SQLデータ!B2429)</f>
        <v>0</v>
      </c>
    </row>
    <row r="2430" spans="1:18" x14ac:dyDescent="0.4">
      <c r="A2430" s="1">
        <v>202650002309</v>
      </c>
      <c r="B2430" s="1">
        <v>1041250</v>
      </c>
      <c r="C2430" s="2">
        <v>46122</v>
      </c>
      <c r="D2430" t="s">
        <v>17</v>
      </c>
      <c r="E2430" t="s">
        <v>8</v>
      </c>
      <c r="G2430" t="s">
        <v>9</v>
      </c>
      <c r="L2430">
        <f t="shared" si="186"/>
        <v>0</v>
      </c>
      <c r="M2430">
        <f t="shared" si="187"/>
        <v>0</v>
      </c>
      <c r="N2430">
        <f t="shared" si="188"/>
        <v>0</v>
      </c>
      <c r="O2430">
        <f t="shared" si="190"/>
        <v>1</v>
      </c>
      <c r="P2430" t="str">
        <f t="shared" si="189"/>
        <v/>
      </c>
      <c r="Q2430">
        <f>COUNTIF('責任職　企業局→市長部局'!A:A,SQLデータ!B2430)</f>
        <v>0</v>
      </c>
      <c r="R2430">
        <f>COUNTIF('一般職員　企業局→市長部局'!A:F,SQLデータ!B2430)</f>
        <v>0</v>
      </c>
    </row>
    <row r="2431" spans="1:18" x14ac:dyDescent="0.4">
      <c r="A2431" s="1">
        <v>202650002310</v>
      </c>
      <c r="B2431" s="1">
        <v>1102048</v>
      </c>
      <c r="C2431" s="2">
        <v>46122</v>
      </c>
      <c r="D2431" t="s">
        <v>17</v>
      </c>
      <c r="E2431" t="s">
        <v>8</v>
      </c>
      <c r="G2431" t="s">
        <v>9</v>
      </c>
      <c r="L2431">
        <f t="shared" si="186"/>
        <v>0</v>
      </c>
      <c r="M2431">
        <f t="shared" si="187"/>
        <v>0</v>
      </c>
      <c r="N2431">
        <f t="shared" si="188"/>
        <v>0</v>
      </c>
      <c r="O2431">
        <f t="shared" si="190"/>
        <v>1</v>
      </c>
      <c r="P2431" t="str">
        <f t="shared" si="189"/>
        <v/>
      </c>
      <c r="Q2431">
        <f>COUNTIF('責任職　企業局→市長部局'!A:A,SQLデータ!B2431)</f>
        <v>0</v>
      </c>
      <c r="R2431">
        <f>COUNTIF('一般職員　企業局→市長部局'!A:F,SQLデータ!B2431)</f>
        <v>0</v>
      </c>
    </row>
    <row r="2432" spans="1:18" x14ac:dyDescent="0.4">
      <c r="A2432" s="1">
        <v>202650002311</v>
      </c>
      <c r="B2432" s="1">
        <v>1184109</v>
      </c>
      <c r="C2432" s="2">
        <v>46122</v>
      </c>
      <c r="D2432" t="s">
        <v>17</v>
      </c>
      <c r="E2432" t="s">
        <v>8</v>
      </c>
      <c r="G2432" t="s">
        <v>9</v>
      </c>
      <c r="L2432">
        <f t="shared" si="186"/>
        <v>0</v>
      </c>
      <c r="M2432">
        <f t="shared" si="187"/>
        <v>0</v>
      </c>
      <c r="N2432">
        <f t="shared" si="188"/>
        <v>0</v>
      </c>
      <c r="O2432">
        <f t="shared" si="190"/>
        <v>1</v>
      </c>
      <c r="P2432" t="str">
        <f t="shared" si="189"/>
        <v/>
      </c>
      <c r="Q2432">
        <f>COUNTIF('責任職　企業局→市長部局'!A:A,SQLデータ!B2432)</f>
        <v>0</v>
      </c>
      <c r="R2432">
        <f>COUNTIF('一般職員　企業局→市長部局'!A:F,SQLデータ!B2432)</f>
        <v>0</v>
      </c>
    </row>
    <row r="2433" spans="1:18" x14ac:dyDescent="0.4">
      <c r="A2433" s="1">
        <v>202650002312</v>
      </c>
      <c r="B2433" s="1">
        <v>974288</v>
      </c>
      <c r="C2433" s="2">
        <v>46119</v>
      </c>
      <c r="D2433" t="s">
        <v>17</v>
      </c>
      <c r="E2433" t="s">
        <v>8</v>
      </c>
      <c r="G2433" t="s">
        <v>9</v>
      </c>
      <c r="L2433">
        <f t="shared" si="186"/>
        <v>0</v>
      </c>
      <c r="M2433">
        <f t="shared" si="187"/>
        <v>0</v>
      </c>
      <c r="N2433">
        <f t="shared" si="188"/>
        <v>0</v>
      </c>
      <c r="O2433">
        <f t="shared" si="190"/>
        <v>1</v>
      </c>
      <c r="P2433" t="str">
        <f t="shared" si="189"/>
        <v/>
      </c>
      <c r="Q2433">
        <f>COUNTIF('責任職　企業局→市長部局'!A:A,SQLデータ!B2433)</f>
        <v>0</v>
      </c>
      <c r="R2433">
        <f>COUNTIF('一般職員　企業局→市長部局'!A:F,SQLデータ!B2433)</f>
        <v>0</v>
      </c>
    </row>
    <row r="2434" spans="1:18" x14ac:dyDescent="0.4">
      <c r="A2434" s="1">
        <v>202650002313</v>
      </c>
      <c r="B2434" s="1">
        <v>1192104</v>
      </c>
      <c r="C2434" s="2">
        <v>46122</v>
      </c>
      <c r="D2434" t="s">
        <v>17</v>
      </c>
      <c r="E2434" t="s">
        <v>8</v>
      </c>
      <c r="G2434" t="s">
        <v>9</v>
      </c>
      <c r="L2434">
        <f t="shared" ref="L2434:L2497" si="191">IF(ISBLANK(J2434),0,1)</f>
        <v>0</v>
      </c>
      <c r="M2434">
        <f t="shared" ref="M2434:M2497" si="192">IF(AND(L2434=0,I2434&lt;&gt;""),1,0)</f>
        <v>0</v>
      </c>
      <c r="N2434">
        <f t="shared" ref="N2434:N2497" si="193">IF(AND(L2434=0,M2434=0,K2434&lt;&gt;""),1,0)</f>
        <v>0</v>
      </c>
      <c r="O2434">
        <f t="shared" si="190"/>
        <v>1</v>
      </c>
      <c r="P2434" t="str">
        <f t="shared" ref="P2434:P2497" si="194">IF(D2434&lt;&gt;"扶養","",IF(E2434&lt;&gt;"確認待ち",1,IF(OR(AND(G2434="本人の結婚",O2434=1),AND(H2434="減",OR(N2434=1,O2434=1))),1,0)))</f>
        <v/>
      </c>
      <c r="Q2434">
        <f>COUNTIF('責任職　企業局→市長部局'!A:A,SQLデータ!B2434)</f>
        <v>0</v>
      </c>
      <c r="R2434">
        <f>COUNTIF('一般職員　企業局→市長部局'!A:F,SQLデータ!B2434)</f>
        <v>0</v>
      </c>
    </row>
    <row r="2435" spans="1:18" x14ac:dyDescent="0.4">
      <c r="A2435" s="1">
        <v>202650002314</v>
      </c>
      <c r="B2435" s="1">
        <v>1136011</v>
      </c>
      <c r="C2435" s="2">
        <v>46122</v>
      </c>
      <c r="D2435" t="s">
        <v>17</v>
      </c>
      <c r="E2435" t="s">
        <v>8</v>
      </c>
      <c r="G2435" t="s">
        <v>9</v>
      </c>
      <c r="L2435">
        <f t="shared" si="191"/>
        <v>0</v>
      </c>
      <c r="M2435">
        <f t="shared" si="192"/>
        <v>0</v>
      </c>
      <c r="N2435">
        <f t="shared" si="193"/>
        <v>0</v>
      </c>
      <c r="O2435">
        <f t="shared" si="190"/>
        <v>1</v>
      </c>
      <c r="P2435" t="str">
        <f t="shared" si="194"/>
        <v/>
      </c>
      <c r="Q2435">
        <f>COUNTIF('責任職　企業局→市長部局'!A:A,SQLデータ!B2435)</f>
        <v>0</v>
      </c>
      <c r="R2435">
        <f>COUNTIF('一般職員　企業局→市長部局'!A:F,SQLデータ!B2435)</f>
        <v>0</v>
      </c>
    </row>
    <row r="2436" spans="1:18" x14ac:dyDescent="0.4">
      <c r="A2436" s="1">
        <v>202650002316</v>
      </c>
      <c r="B2436" s="1">
        <v>1201529</v>
      </c>
      <c r="C2436" s="2">
        <v>46122</v>
      </c>
      <c r="D2436" t="s">
        <v>17</v>
      </c>
      <c r="E2436" t="s">
        <v>8</v>
      </c>
      <c r="G2436" t="s">
        <v>9</v>
      </c>
      <c r="L2436">
        <f t="shared" si="191"/>
        <v>0</v>
      </c>
      <c r="M2436">
        <f t="shared" si="192"/>
        <v>0</v>
      </c>
      <c r="N2436">
        <f t="shared" si="193"/>
        <v>0</v>
      </c>
      <c r="O2436">
        <f t="shared" si="190"/>
        <v>1</v>
      </c>
      <c r="P2436" t="str">
        <f t="shared" si="194"/>
        <v/>
      </c>
      <c r="Q2436">
        <f>COUNTIF('責任職　企業局→市長部局'!A:A,SQLデータ!B2436)</f>
        <v>0</v>
      </c>
      <c r="R2436">
        <f>COUNTIF('一般職員　企業局→市長部局'!A:F,SQLデータ!B2436)</f>
        <v>0</v>
      </c>
    </row>
    <row r="2437" spans="1:18" x14ac:dyDescent="0.4">
      <c r="A2437" s="1">
        <v>202650002317</v>
      </c>
      <c r="B2437" s="1">
        <v>1036012</v>
      </c>
      <c r="C2437" s="2">
        <v>46122</v>
      </c>
      <c r="D2437" t="s">
        <v>17</v>
      </c>
      <c r="E2437" t="s">
        <v>8</v>
      </c>
      <c r="G2437" t="s">
        <v>9</v>
      </c>
      <c r="L2437">
        <f t="shared" si="191"/>
        <v>0</v>
      </c>
      <c r="M2437">
        <f t="shared" si="192"/>
        <v>0</v>
      </c>
      <c r="N2437">
        <f t="shared" si="193"/>
        <v>0</v>
      </c>
      <c r="O2437">
        <f t="shared" si="190"/>
        <v>1</v>
      </c>
      <c r="P2437" t="str">
        <f t="shared" si="194"/>
        <v/>
      </c>
      <c r="Q2437">
        <f>COUNTIF('責任職　企業局→市長部局'!A:A,SQLデータ!B2437)</f>
        <v>0</v>
      </c>
      <c r="R2437">
        <f>COUNTIF('一般職員　企業局→市長部局'!A:F,SQLデータ!B2437)</f>
        <v>0</v>
      </c>
    </row>
    <row r="2438" spans="1:18" x14ac:dyDescent="0.4">
      <c r="A2438" s="1">
        <v>202650002318</v>
      </c>
      <c r="B2438" s="1">
        <v>1231266</v>
      </c>
      <c r="C2438" s="2">
        <v>46127</v>
      </c>
      <c r="D2438" t="s">
        <v>17</v>
      </c>
      <c r="E2438" t="s">
        <v>8</v>
      </c>
      <c r="G2438" t="s">
        <v>9</v>
      </c>
      <c r="L2438">
        <f t="shared" si="191"/>
        <v>0</v>
      </c>
      <c r="M2438">
        <f t="shared" si="192"/>
        <v>0</v>
      </c>
      <c r="N2438">
        <f t="shared" si="193"/>
        <v>0</v>
      </c>
      <c r="O2438">
        <f t="shared" si="190"/>
        <v>1</v>
      </c>
      <c r="P2438" t="str">
        <f t="shared" si="194"/>
        <v/>
      </c>
      <c r="Q2438">
        <f>COUNTIF('責任職　企業局→市長部局'!A:A,SQLデータ!B2438)</f>
        <v>0</v>
      </c>
      <c r="R2438">
        <f>COUNTIF('一般職員　企業局→市長部局'!A:F,SQLデータ!B2438)</f>
        <v>0</v>
      </c>
    </row>
    <row r="2439" spans="1:18" x14ac:dyDescent="0.4">
      <c r="A2439" s="1">
        <v>202650002319</v>
      </c>
      <c r="B2439" s="1">
        <v>984059</v>
      </c>
      <c r="C2439" s="2">
        <v>46122</v>
      </c>
      <c r="D2439" t="s">
        <v>17</v>
      </c>
      <c r="E2439" t="s">
        <v>8</v>
      </c>
      <c r="G2439" t="s">
        <v>9</v>
      </c>
      <c r="L2439">
        <f t="shared" si="191"/>
        <v>0</v>
      </c>
      <c r="M2439">
        <f t="shared" si="192"/>
        <v>0</v>
      </c>
      <c r="N2439">
        <f t="shared" si="193"/>
        <v>0</v>
      </c>
      <c r="O2439">
        <f t="shared" si="190"/>
        <v>1</v>
      </c>
      <c r="P2439" t="str">
        <f t="shared" si="194"/>
        <v/>
      </c>
      <c r="Q2439">
        <f>COUNTIF('責任職　企業局→市長部局'!A:A,SQLデータ!B2439)</f>
        <v>0</v>
      </c>
      <c r="R2439">
        <f>COUNTIF('一般職員　企業局→市長部局'!A:F,SQLデータ!B2439)</f>
        <v>0</v>
      </c>
    </row>
    <row r="2440" spans="1:18" x14ac:dyDescent="0.4">
      <c r="A2440" s="1">
        <v>202650002320</v>
      </c>
      <c r="B2440" s="1">
        <v>910091</v>
      </c>
      <c r="C2440" s="2">
        <v>46122</v>
      </c>
      <c r="D2440" t="s">
        <v>17</v>
      </c>
      <c r="E2440" t="s">
        <v>8</v>
      </c>
      <c r="G2440" t="s">
        <v>9</v>
      </c>
      <c r="L2440">
        <f t="shared" si="191"/>
        <v>0</v>
      </c>
      <c r="M2440">
        <f t="shared" si="192"/>
        <v>0</v>
      </c>
      <c r="N2440">
        <f t="shared" si="193"/>
        <v>0</v>
      </c>
      <c r="O2440">
        <f t="shared" si="190"/>
        <v>1</v>
      </c>
      <c r="P2440" t="str">
        <f t="shared" si="194"/>
        <v/>
      </c>
      <c r="Q2440">
        <f>COUNTIF('責任職　企業局→市長部局'!A:A,SQLデータ!B2440)</f>
        <v>0</v>
      </c>
      <c r="R2440">
        <f>COUNTIF('一般職員　企業局→市長部局'!A:F,SQLデータ!B2440)</f>
        <v>0</v>
      </c>
    </row>
    <row r="2441" spans="1:18" x14ac:dyDescent="0.4">
      <c r="A2441" s="1">
        <v>202650002321</v>
      </c>
      <c r="B2441" s="1">
        <v>1046060</v>
      </c>
      <c r="C2441" s="2">
        <v>46122</v>
      </c>
      <c r="D2441" t="s">
        <v>17</v>
      </c>
      <c r="E2441" t="s">
        <v>8</v>
      </c>
      <c r="G2441" t="s">
        <v>9</v>
      </c>
      <c r="L2441">
        <f t="shared" si="191"/>
        <v>0</v>
      </c>
      <c r="M2441">
        <f t="shared" si="192"/>
        <v>0</v>
      </c>
      <c r="N2441">
        <f t="shared" si="193"/>
        <v>0</v>
      </c>
      <c r="O2441">
        <f t="shared" ref="O2441:O2504" si="195">IF(COUNTIF(L2441:N2441,0)=3,1,0)</f>
        <v>1</v>
      </c>
      <c r="P2441" t="str">
        <f t="shared" si="194"/>
        <v/>
      </c>
      <c r="Q2441">
        <f>COUNTIF('責任職　企業局→市長部局'!A:A,SQLデータ!B2441)</f>
        <v>0</v>
      </c>
      <c r="R2441">
        <f>COUNTIF('一般職員　企業局→市長部局'!A:F,SQLデータ!B2441)</f>
        <v>0</v>
      </c>
    </row>
    <row r="2442" spans="1:18" x14ac:dyDescent="0.4">
      <c r="A2442" s="1">
        <v>202650002322</v>
      </c>
      <c r="B2442" s="1">
        <v>1086005</v>
      </c>
      <c r="C2442" s="2">
        <v>46122</v>
      </c>
      <c r="D2442" t="s">
        <v>17</v>
      </c>
      <c r="E2442" t="s">
        <v>8</v>
      </c>
      <c r="G2442" t="s">
        <v>9</v>
      </c>
      <c r="L2442">
        <f t="shared" si="191"/>
        <v>0</v>
      </c>
      <c r="M2442">
        <f t="shared" si="192"/>
        <v>0</v>
      </c>
      <c r="N2442">
        <f t="shared" si="193"/>
        <v>0</v>
      </c>
      <c r="O2442">
        <f t="shared" si="195"/>
        <v>1</v>
      </c>
      <c r="P2442" t="str">
        <f t="shared" si="194"/>
        <v/>
      </c>
      <c r="Q2442">
        <f>COUNTIF('責任職　企業局→市長部局'!A:A,SQLデータ!B2442)</f>
        <v>0</v>
      </c>
      <c r="R2442">
        <f>COUNTIF('一般職員　企業局→市長部局'!A:F,SQLデータ!B2442)</f>
        <v>0</v>
      </c>
    </row>
    <row r="2443" spans="1:18" x14ac:dyDescent="0.4">
      <c r="A2443" s="1">
        <v>202650002323</v>
      </c>
      <c r="B2443" s="1">
        <v>981209</v>
      </c>
      <c r="C2443" s="2">
        <v>46122</v>
      </c>
      <c r="D2443" t="s">
        <v>17</v>
      </c>
      <c r="E2443" t="s">
        <v>8</v>
      </c>
      <c r="G2443" t="s">
        <v>9</v>
      </c>
      <c r="L2443">
        <f t="shared" si="191"/>
        <v>0</v>
      </c>
      <c r="M2443">
        <f t="shared" si="192"/>
        <v>0</v>
      </c>
      <c r="N2443">
        <f t="shared" si="193"/>
        <v>0</v>
      </c>
      <c r="O2443">
        <f t="shared" si="195"/>
        <v>1</v>
      </c>
      <c r="P2443" t="str">
        <f t="shared" si="194"/>
        <v/>
      </c>
      <c r="Q2443">
        <f>COUNTIF('責任職　企業局→市長部局'!A:A,SQLデータ!B2443)</f>
        <v>0</v>
      </c>
      <c r="R2443">
        <f>COUNTIF('一般職員　企業局→市長部局'!A:F,SQLデータ!B2443)</f>
        <v>0</v>
      </c>
    </row>
    <row r="2444" spans="1:18" x14ac:dyDescent="0.4">
      <c r="A2444" s="1">
        <v>202650002325</v>
      </c>
      <c r="B2444" s="1">
        <v>940056</v>
      </c>
      <c r="C2444" s="2">
        <v>46122</v>
      </c>
      <c r="D2444" t="s">
        <v>17</v>
      </c>
      <c r="E2444" t="s">
        <v>8</v>
      </c>
      <c r="G2444" t="s">
        <v>9</v>
      </c>
      <c r="L2444">
        <f t="shared" si="191"/>
        <v>0</v>
      </c>
      <c r="M2444">
        <f t="shared" si="192"/>
        <v>0</v>
      </c>
      <c r="N2444">
        <f t="shared" si="193"/>
        <v>0</v>
      </c>
      <c r="O2444">
        <f t="shared" si="195"/>
        <v>1</v>
      </c>
      <c r="P2444" t="str">
        <f t="shared" si="194"/>
        <v/>
      </c>
      <c r="Q2444">
        <f>COUNTIF('責任職　企業局→市長部局'!A:A,SQLデータ!B2444)</f>
        <v>0</v>
      </c>
      <c r="R2444">
        <f>COUNTIF('一般職員　企業局→市長部局'!A:F,SQLデータ!B2444)</f>
        <v>0</v>
      </c>
    </row>
    <row r="2445" spans="1:18" x14ac:dyDescent="0.4">
      <c r="A2445" s="1">
        <v>202650002326</v>
      </c>
      <c r="B2445" s="1">
        <v>996037</v>
      </c>
      <c r="C2445" s="2">
        <v>46122</v>
      </c>
      <c r="D2445" t="s">
        <v>17</v>
      </c>
      <c r="E2445" t="s">
        <v>8</v>
      </c>
      <c r="G2445" t="s">
        <v>9</v>
      </c>
      <c r="L2445">
        <f t="shared" si="191"/>
        <v>0</v>
      </c>
      <c r="M2445">
        <f t="shared" si="192"/>
        <v>0</v>
      </c>
      <c r="N2445">
        <f t="shared" si="193"/>
        <v>0</v>
      </c>
      <c r="O2445">
        <f t="shared" si="195"/>
        <v>1</v>
      </c>
      <c r="P2445" t="str">
        <f t="shared" si="194"/>
        <v/>
      </c>
      <c r="Q2445">
        <f>COUNTIF('責任職　企業局→市長部局'!A:A,SQLデータ!B2445)</f>
        <v>0</v>
      </c>
      <c r="R2445">
        <f>COUNTIF('一般職員　企業局→市長部局'!A:F,SQLデータ!B2445)</f>
        <v>0</v>
      </c>
    </row>
    <row r="2446" spans="1:18" x14ac:dyDescent="0.4">
      <c r="A2446" s="1">
        <v>202650002327</v>
      </c>
      <c r="B2446" s="1">
        <v>5005508</v>
      </c>
      <c r="C2446" s="2">
        <v>46122</v>
      </c>
      <c r="D2446" t="s">
        <v>17</v>
      </c>
      <c r="E2446" t="s">
        <v>8</v>
      </c>
      <c r="F2446" t="s">
        <v>54</v>
      </c>
      <c r="G2446" t="s">
        <v>9</v>
      </c>
      <c r="L2446">
        <f t="shared" si="191"/>
        <v>0</v>
      </c>
      <c r="M2446">
        <f t="shared" si="192"/>
        <v>0</v>
      </c>
      <c r="N2446">
        <f t="shared" si="193"/>
        <v>0</v>
      </c>
      <c r="O2446">
        <f t="shared" si="195"/>
        <v>1</v>
      </c>
      <c r="P2446" t="str">
        <f t="shared" si="194"/>
        <v/>
      </c>
      <c r="Q2446">
        <f>COUNTIF('責任職　企業局→市長部局'!A:A,SQLデータ!B2446)</f>
        <v>0</v>
      </c>
      <c r="R2446">
        <f>COUNTIF('一般職員　企業局→市長部局'!A:F,SQLデータ!B2446)</f>
        <v>0</v>
      </c>
    </row>
    <row r="2447" spans="1:18" x14ac:dyDescent="0.4">
      <c r="A2447" s="1">
        <v>202650002328</v>
      </c>
      <c r="B2447" s="1">
        <v>1071030</v>
      </c>
      <c r="C2447" s="2">
        <v>46122</v>
      </c>
      <c r="D2447" t="s">
        <v>17</v>
      </c>
      <c r="E2447" t="s">
        <v>8</v>
      </c>
      <c r="G2447" t="s">
        <v>9</v>
      </c>
      <c r="L2447">
        <f t="shared" si="191"/>
        <v>0</v>
      </c>
      <c r="M2447">
        <f t="shared" si="192"/>
        <v>0</v>
      </c>
      <c r="N2447">
        <f t="shared" si="193"/>
        <v>0</v>
      </c>
      <c r="O2447">
        <f t="shared" si="195"/>
        <v>1</v>
      </c>
      <c r="P2447" t="str">
        <f t="shared" si="194"/>
        <v/>
      </c>
      <c r="Q2447">
        <f>COUNTIF('責任職　企業局→市長部局'!A:A,SQLデータ!B2447)</f>
        <v>0</v>
      </c>
      <c r="R2447">
        <f>COUNTIF('一般職員　企業局→市長部局'!A:F,SQLデータ!B2447)</f>
        <v>0</v>
      </c>
    </row>
    <row r="2448" spans="1:18" x14ac:dyDescent="0.4">
      <c r="A2448" s="1">
        <v>202650002330</v>
      </c>
      <c r="B2448" s="1">
        <v>1201499</v>
      </c>
      <c r="C2448" s="2">
        <v>46122</v>
      </c>
      <c r="D2448" t="s">
        <v>17</v>
      </c>
      <c r="E2448" t="s">
        <v>8</v>
      </c>
      <c r="G2448" t="s">
        <v>9</v>
      </c>
      <c r="L2448">
        <f t="shared" si="191"/>
        <v>0</v>
      </c>
      <c r="M2448">
        <f t="shared" si="192"/>
        <v>0</v>
      </c>
      <c r="N2448">
        <f t="shared" si="193"/>
        <v>0</v>
      </c>
      <c r="O2448">
        <f t="shared" si="195"/>
        <v>1</v>
      </c>
      <c r="P2448" t="str">
        <f t="shared" si="194"/>
        <v/>
      </c>
      <c r="Q2448">
        <f>COUNTIF('責任職　企業局→市長部局'!A:A,SQLデータ!B2448)</f>
        <v>0</v>
      </c>
      <c r="R2448">
        <f>COUNTIF('一般職員　企業局→市長部局'!A:F,SQLデータ!B2448)</f>
        <v>0</v>
      </c>
    </row>
    <row r="2449" spans="1:18" x14ac:dyDescent="0.4">
      <c r="A2449" s="1">
        <v>202650002331</v>
      </c>
      <c r="B2449" s="1">
        <v>1086091</v>
      </c>
      <c r="C2449" s="2">
        <v>46122</v>
      </c>
      <c r="D2449" t="s">
        <v>17</v>
      </c>
      <c r="E2449" t="s">
        <v>8</v>
      </c>
      <c r="G2449" t="s">
        <v>9</v>
      </c>
      <c r="L2449">
        <f t="shared" si="191"/>
        <v>0</v>
      </c>
      <c r="M2449">
        <f t="shared" si="192"/>
        <v>0</v>
      </c>
      <c r="N2449">
        <f t="shared" si="193"/>
        <v>0</v>
      </c>
      <c r="O2449">
        <f t="shared" si="195"/>
        <v>1</v>
      </c>
      <c r="P2449" t="str">
        <f t="shared" si="194"/>
        <v/>
      </c>
      <c r="Q2449">
        <f>COUNTIF('責任職　企業局→市長部局'!A:A,SQLデータ!B2449)</f>
        <v>0</v>
      </c>
      <c r="R2449">
        <f>COUNTIF('一般職員　企業局→市長部局'!A:F,SQLデータ!B2449)</f>
        <v>0</v>
      </c>
    </row>
    <row r="2450" spans="1:18" x14ac:dyDescent="0.4">
      <c r="A2450" s="1">
        <v>202650002332</v>
      </c>
      <c r="B2450" s="1">
        <v>1171473</v>
      </c>
      <c r="C2450" s="2">
        <v>46122</v>
      </c>
      <c r="D2450" t="s">
        <v>17</v>
      </c>
      <c r="E2450" t="s">
        <v>8</v>
      </c>
      <c r="G2450" t="s">
        <v>9</v>
      </c>
      <c r="L2450">
        <f t="shared" si="191"/>
        <v>0</v>
      </c>
      <c r="M2450">
        <f t="shared" si="192"/>
        <v>0</v>
      </c>
      <c r="N2450">
        <f t="shared" si="193"/>
        <v>0</v>
      </c>
      <c r="O2450">
        <f t="shared" si="195"/>
        <v>1</v>
      </c>
      <c r="P2450" t="str">
        <f t="shared" si="194"/>
        <v/>
      </c>
      <c r="Q2450">
        <f>COUNTIF('責任職　企業局→市長部局'!A:A,SQLデータ!B2450)</f>
        <v>0</v>
      </c>
      <c r="R2450">
        <f>COUNTIF('一般職員　企業局→市長部局'!A:F,SQLデータ!B2450)</f>
        <v>0</v>
      </c>
    </row>
    <row r="2451" spans="1:18" x14ac:dyDescent="0.4">
      <c r="A2451" s="1">
        <v>202650002333</v>
      </c>
      <c r="B2451" s="1">
        <v>1172322</v>
      </c>
      <c r="C2451" s="2">
        <v>46122</v>
      </c>
      <c r="D2451" t="s">
        <v>17</v>
      </c>
      <c r="E2451" t="s">
        <v>8</v>
      </c>
      <c r="G2451" t="s">
        <v>9</v>
      </c>
      <c r="L2451">
        <f t="shared" si="191"/>
        <v>0</v>
      </c>
      <c r="M2451">
        <f t="shared" si="192"/>
        <v>0</v>
      </c>
      <c r="N2451">
        <f t="shared" si="193"/>
        <v>0</v>
      </c>
      <c r="O2451">
        <f t="shared" si="195"/>
        <v>1</v>
      </c>
      <c r="P2451" t="str">
        <f t="shared" si="194"/>
        <v/>
      </c>
      <c r="Q2451">
        <f>COUNTIF('責任職　企業局→市長部局'!A:A,SQLデータ!B2451)</f>
        <v>0</v>
      </c>
      <c r="R2451">
        <f>COUNTIF('一般職員　企業局→市長部局'!A:F,SQLデータ!B2451)</f>
        <v>0</v>
      </c>
    </row>
    <row r="2452" spans="1:18" x14ac:dyDescent="0.4">
      <c r="A2452" s="1">
        <v>202650002334</v>
      </c>
      <c r="B2452" s="1">
        <v>1226113</v>
      </c>
      <c r="C2452" s="2">
        <v>46122</v>
      </c>
      <c r="D2452" t="s">
        <v>17</v>
      </c>
      <c r="E2452" t="s">
        <v>8</v>
      </c>
      <c r="G2452" t="s">
        <v>9</v>
      </c>
      <c r="L2452">
        <f t="shared" si="191"/>
        <v>0</v>
      </c>
      <c r="M2452">
        <f t="shared" si="192"/>
        <v>0</v>
      </c>
      <c r="N2452">
        <f t="shared" si="193"/>
        <v>0</v>
      </c>
      <c r="O2452">
        <f t="shared" si="195"/>
        <v>1</v>
      </c>
      <c r="P2452" t="str">
        <f t="shared" si="194"/>
        <v/>
      </c>
      <c r="Q2452">
        <f>COUNTIF('責任職　企業局→市長部局'!A:A,SQLデータ!B2452)</f>
        <v>0</v>
      </c>
      <c r="R2452">
        <f>COUNTIF('一般職員　企業局→市長部局'!A:F,SQLデータ!B2452)</f>
        <v>0</v>
      </c>
    </row>
    <row r="2453" spans="1:18" x14ac:dyDescent="0.4">
      <c r="A2453" s="1">
        <v>202650002335</v>
      </c>
      <c r="B2453" s="1">
        <v>1056005</v>
      </c>
      <c r="C2453" s="2">
        <v>46122</v>
      </c>
      <c r="D2453" t="s">
        <v>17</v>
      </c>
      <c r="E2453" t="s">
        <v>8</v>
      </c>
      <c r="G2453" t="s">
        <v>9</v>
      </c>
      <c r="L2453">
        <f t="shared" si="191"/>
        <v>0</v>
      </c>
      <c r="M2453">
        <f t="shared" si="192"/>
        <v>0</v>
      </c>
      <c r="N2453">
        <f t="shared" si="193"/>
        <v>0</v>
      </c>
      <c r="O2453">
        <f t="shared" si="195"/>
        <v>1</v>
      </c>
      <c r="P2453" t="str">
        <f t="shared" si="194"/>
        <v/>
      </c>
      <c r="Q2453">
        <f>COUNTIF('責任職　企業局→市長部局'!A:A,SQLデータ!B2453)</f>
        <v>0</v>
      </c>
      <c r="R2453">
        <f>COUNTIF('一般職員　企業局→市長部局'!A:F,SQLデータ!B2453)</f>
        <v>0</v>
      </c>
    </row>
    <row r="2454" spans="1:18" x14ac:dyDescent="0.4">
      <c r="A2454" s="1">
        <v>202650002336</v>
      </c>
      <c r="B2454" s="1">
        <v>920568</v>
      </c>
      <c r="C2454" s="2">
        <v>46122</v>
      </c>
      <c r="D2454" t="s">
        <v>17</v>
      </c>
      <c r="E2454" t="s">
        <v>8</v>
      </c>
      <c r="G2454" t="s">
        <v>9</v>
      </c>
      <c r="L2454">
        <f t="shared" si="191"/>
        <v>0</v>
      </c>
      <c r="M2454">
        <f t="shared" si="192"/>
        <v>0</v>
      </c>
      <c r="N2454">
        <f t="shared" si="193"/>
        <v>0</v>
      </c>
      <c r="O2454">
        <f t="shared" si="195"/>
        <v>1</v>
      </c>
      <c r="P2454" t="str">
        <f t="shared" si="194"/>
        <v/>
      </c>
      <c r="Q2454">
        <f>COUNTIF('責任職　企業局→市長部局'!A:A,SQLデータ!B2454)</f>
        <v>0</v>
      </c>
      <c r="R2454">
        <f>COUNTIF('一般職員　企業局→市長部局'!A:F,SQLデータ!B2454)</f>
        <v>0</v>
      </c>
    </row>
    <row r="2455" spans="1:18" x14ac:dyDescent="0.4">
      <c r="A2455" s="1">
        <v>202650002337</v>
      </c>
      <c r="B2455" s="1">
        <v>1256061</v>
      </c>
      <c r="C2455" s="2">
        <v>46122</v>
      </c>
      <c r="D2455" t="s">
        <v>17</v>
      </c>
      <c r="E2455" t="s">
        <v>8</v>
      </c>
      <c r="G2455" t="s">
        <v>9</v>
      </c>
      <c r="L2455">
        <f t="shared" si="191"/>
        <v>0</v>
      </c>
      <c r="M2455">
        <f t="shared" si="192"/>
        <v>0</v>
      </c>
      <c r="N2455">
        <f t="shared" si="193"/>
        <v>0</v>
      </c>
      <c r="O2455">
        <f t="shared" si="195"/>
        <v>1</v>
      </c>
      <c r="P2455" t="str">
        <f t="shared" si="194"/>
        <v/>
      </c>
      <c r="Q2455">
        <f>COUNTIF('責任職　企業局→市長部局'!A:A,SQLデータ!B2455)</f>
        <v>0</v>
      </c>
      <c r="R2455">
        <f>COUNTIF('一般職員　企業局→市長部局'!A:F,SQLデータ!B2455)</f>
        <v>0</v>
      </c>
    </row>
    <row r="2456" spans="1:18" x14ac:dyDescent="0.4">
      <c r="A2456" s="1">
        <v>202650002339</v>
      </c>
      <c r="B2456" s="1">
        <v>920907</v>
      </c>
      <c r="C2456" s="2">
        <v>46122</v>
      </c>
      <c r="D2456" t="s">
        <v>17</v>
      </c>
      <c r="E2456" t="s">
        <v>8</v>
      </c>
      <c r="G2456" t="s">
        <v>9</v>
      </c>
      <c r="L2456">
        <f t="shared" si="191"/>
        <v>0</v>
      </c>
      <c r="M2456">
        <f t="shared" si="192"/>
        <v>0</v>
      </c>
      <c r="N2456">
        <f t="shared" si="193"/>
        <v>0</v>
      </c>
      <c r="O2456">
        <f t="shared" si="195"/>
        <v>1</v>
      </c>
      <c r="P2456" t="str">
        <f t="shared" si="194"/>
        <v/>
      </c>
      <c r="Q2456">
        <f>COUNTIF('責任職　企業局→市長部局'!A:A,SQLデータ!B2456)</f>
        <v>0</v>
      </c>
      <c r="R2456">
        <f>COUNTIF('一般職員　企業局→市長部局'!A:F,SQLデータ!B2456)</f>
        <v>0</v>
      </c>
    </row>
    <row r="2457" spans="1:18" x14ac:dyDescent="0.4">
      <c r="A2457" s="1">
        <v>202650002341</v>
      </c>
      <c r="B2457" s="1">
        <v>1196027</v>
      </c>
      <c r="C2457" s="2">
        <v>46122</v>
      </c>
      <c r="D2457" t="s">
        <v>17</v>
      </c>
      <c r="E2457" t="s">
        <v>8</v>
      </c>
      <c r="G2457" t="s">
        <v>9</v>
      </c>
      <c r="L2457">
        <f t="shared" si="191"/>
        <v>0</v>
      </c>
      <c r="M2457">
        <f t="shared" si="192"/>
        <v>0</v>
      </c>
      <c r="N2457">
        <f t="shared" si="193"/>
        <v>0</v>
      </c>
      <c r="O2457">
        <f t="shared" si="195"/>
        <v>1</v>
      </c>
      <c r="P2457" t="str">
        <f t="shared" si="194"/>
        <v/>
      </c>
      <c r="Q2457">
        <f>COUNTIF('責任職　企業局→市長部局'!A:A,SQLデータ!B2457)</f>
        <v>0</v>
      </c>
      <c r="R2457">
        <f>COUNTIF('一般職員　企業局→市長部局'!A:F,SQLデータ!B2457)</f>
        <v>0</v>
      </c>
    </row>
    <row r="2458" spans="1:18" x14ac:dyDescent="0.4">
      <c r="A2458" s="1">
        <v>202650002342</v>
      </c>
      <c r="B2458" s="1">
        <v>930409</v>
      </c>
      <c r="C2458" s="2">
        <v>46122</v>
      </c>
      <c r="D2458" t="s">
        <v>17</v>
      </c>
      <c r="E2458" t="s">
        <v>8</v>
      </c>
      <c r="G2458" t="s">
        <v>9</v>
      </c>
      <c r="L2458">
        <f t="shared" si="191"/>
        <v>0</v>
      </c>
      <c r="M2458">
        <f t="shared" si="192"/>
        <v>0</v>
      </c>
      <c r="N2458">
        <f t="shared" si="193"/>
        <v>0</v>
      </c>
      <c r="O2458">
        <f t="shared" si="195"/>
        <v>1</v>
      </c>
      <c r="P2458" t="str">
        <f t="shared" si="194"/>
        <v/>
      </c>
      <c r="Q2458">
        <f>COUNTIF('責任職　企業局→市長部局'!A:A,SQLデータ!B2458)</f>
        <v>0</v>
      </c>
      <c r="R2458">
        <f>COUNTIF('一般職員　企業局→市長部局'!A:F,SQLデータ!B2458)</f>
        <v>0</v>
      </c>
    </row>
    <row r="2459" spans="1:18" x14ac:dyDescent="0.4">
      <c r="A2459" s="1">
        <v>202650002343</v>
      </c>
      <c r="B2459" s="1">
        <v>1216082</v>
      </c>
      <c r="C2459" s="2">
        <v>46122</v>
      </c>
      <c r="D2459" t="s">
        <v>17</v>
      </c>
      <c r="E2459" t="s">
        <v>8</v>
      </c>
      <c r="G2459" t="s">
        <v>9</v>
      </c>
      <c r="L2459">
        <f t="shared" si="191"/>
        <v>0</v>
      </c>
      <c r="M2459">
        <f t="shared" si="192"/>
        <v>0</v>
      </c>
      <c r="N2459">
        <f t="shared" si="193"/>
        <v>0</v>
      </c>
      <c r="O2459">
        <f t="shared" si="195"/>
        <v>1</v>
      </c>
      <c r="P2459" t="str">
        <f t="shared" si="194"/>
        <v/>
      </c>
      <c r="Q2459">
        <f>COUNTIF('責任職　企業局→市長部局'!A:A,SQLデータ!B2459)</f>
        <v>0</v>
      </c>
      <c r="R2459">
        <f>COUNTIF('一般職員　企業局→市長部局'!A:F,SQLデータ!B2459)</f>
        <v>0</v>
      </c>
    </row>
    <row r="2460" spans="1:18" x14ac:dyDescent="0.4">
      <c r="A2460" s="1">
        <v>202650002344</v>
      </c>
      <c r="B2460" s="1">
        <v>1102505</v>
      </c>
      <c r="C2460" s="2">
        <v>46122</v>
      </c>
      <c r="D2460" t="s">
        <v>17</v>
      </c>
      <c r="E2460" t="s">
        <v>8</v>
      </c>
      <c r="G2460" t="s">
        <v>9</v>
      </c>
      <c r="L2460">
        <f t="shared" si="191"/>
        <v>0</v>
      </c>
      <c r="M2460">
        <f t="shared" si="192"/>
        <v>0</v>
      </c>
      <c r="N2460">
        <f t="shared" si="193"/>
        <v>0</v>
      </c>
      <c r="O2460">
        <f t="shared" si="195"/>
        <v>1</v>
      </c>
      <c r="P2460" t="str">
        <f t="shared" si="194"/>
        <v/>
      </c>
      <c r="Q2460">
        <f>COUNTIF('責任職　企業局→市長部局'!A:A,SQLデータ!B2460)</f>
        <v>0</v>
      </c>
      <c r="R2460">
        <f>COUNTIF('一般職員　企業局→市長部局'!A:F,SQLデータ!B2460)</f>
        <v>0</v>
      </c>
    </row>
    <row r="2461" spans="1:18" x14ac:dyDescent="0.4">
      <c r="A2461" s="1">
        <v>202650002346</v>
      </c>
      <c r="B2461" s="1">
        <v>890386</v>
      </c>
      <c r="C2461" s="2">
        <v>46122</v>
      </c>
      <c r="D2461" t="s">
        <v>17</v>
      </c>
      <c r="E2461" t="s">
        <v>8</v>
      </c>
      <c r="G2461" t="s">
        <v>9</v>
      </c>
      <c r="L2461">
        <f t="shared" si="191"/>
        <v>0</v>
      </c>
      <c r="M2461">
        <f t="shared" si="192"/>
        <v>0</v>
      </c>
      <c r="N2461">
        <f t="shared" si="193"/>
        <v>0</v>
      </c>
      <c r="O2461">
        <f t="shared" si="195"/>
        <v>1</v>
      </c>
      <c r="P2461" t="str">
        <f t="shared" si="194"/>
        <v/>
      </c>
      <c r="Q2461">
        <f>COUNTIF('責任職　企業局→市長部局'!A:A,SQLデータ!B2461)</f>
        <v>0</v>
      </c>
      <c r="R2461">
        <f>COUNTIF('一般職員　企業局→市長部局'!A:F,SQLデータ!B2461)</f>
        <v>0</v>
      </c>
    </row>
    <row r="2462" spans="1:18" x14ac:dyDescent="0.4">
      <c r="A2462" s="1">
        <v>202650002347</v>
      </c>
      <c r="B2462" s="1">
        <v>1146023</v>
      </c>
      <c r="C2462" s="2">
        <v>46122</v>
      </c>
      <c r="D2462" t="s">
        <v>17</v>
      </c>
      <c r="E2462" t="s">
        <v>8</v>
      </c>
      <c r="G2462" t="s">
        <v>9</v>
      </c>
      <c r="L2462">
        <f t="shared" si="191"/>
        <v>0</v>
      </c>
      <c r="M2462">
        <f t="shared" si="192"/>
        <v>0</v>
      </c>
      <c r="N2462">
        <f t="shared" si="193"/>
        <v>0</v>
      </c>
      <c r="O2462">
        <f t="shared" si="195"/>
        <v>1</v>
      </c>
      <c r="P2462" t="str">
        <f t="shared" si="194"/>
        <v/>
      </c>
      <c r="Q2462">
        <f>COUNTIF('責任職　企業局→市長部局'!A:A,SQLデータ!B2462)</f>
        <v>0</v>
      </c>
      <c r="R2462">
        <f>COUNTIF('一般職員　企業局→市長部局'!A:F,SQLデータ!B2462)</f>
        <v>0</v>
      </c>
    </row>
    <row r="2463" spans="1:18" x14ac:dyDescent="0.4">
      <c r="A2463" s="1">
        <v>202650002348</v>
      </c>
      <c r="B2463" s="1">
        <v>1201489</v>
      </c>
      <c r="C2463" s="2">
        <v>46122</v>
      </c>
      <c r="D2463" t="s">
        <v>17</v>
      </c>
      <c r="E2463" t="s">
        <v>8</v>
      </c>
      <c r="G2463" t="s">
        <v>9</v>
      </c>
      <c r="L2463">
        <f t="shared" si="191"/>
        <v>0</v>
      </c>
      <c r="M2463">
        <f t="shared" si="192"/>
        <v>0</v>
      </c>
      <c r="N2463">
        <f t="shared" si="193"/>
        <v>0</v>
      </c>
      <c r="O2463">
        <f t="shared" si="195"/>
        <v>1</v>
      </c>
      <c r="P2463" t="str">
        <f t="shared" si="194"/>
        <v/>
      </c>
      <c r="Q2463">
        <f>COUNTIF('責任職　企業局→市長部局'!A:A,SQLデータ!B2463)</f>
        <v>0</v>
      </c>
      <c r="R2463">
        <f>COUNTIF('一般職員　企業局→市長部局'!A:F,SQLデータ!B2463)</f>
        <v>0</v>
      </c>
    </row>
    <row r="2464" spans="1:18" x14ac:dyDescent="0.4">
      <c r="A2464" s="1">
        <v>202650002349</v>
      </c>
      <c r="B2464" s="1">
        <v>910310</v>
      </c>
      <c r="C2464" s="2">
        <v>46122</v>
      </c>
      <c r="D2464" t="s">
        <v>17</v>
      </c>
      <c r="E2464" t="s">
        <v>8</v>
      </c>
      <c r="G2464" t="s">
        <v>9</v>
      </c>
      <c r="L2464">
        <f t="shared" si="191"/>
        <v>0</v>
      </c>
      <c r="M2464">
        <f t="shared" si="192"/>
        <v>0</v>
      </c>
      <c r="N2464">
        <f t="shared" si="193"/>
        <v>0</v>
      </c>
      <c r="O2464">
        <f t="shared" si="195"/>
        <v>1</v>
      </c>
      <c r="P2464" t="str">
        <f t="shared" si="194"/>
        <v/>
      </c>
      <c r="Q2464">
        <f>COUNTIF('責任職　企業局→市長部局'!A:A,SQLデータ!B2464)</f>
        <v>0</v>
      </c>
      <c r="R2464">
        <f>COUNTIF('一般職員　企業局→市長部局'!A:F,SQLデータ!B2464)</f>
        <v>0</v>
      </c>
    </row>
    <row r="2465" spans="1:18" x14ac:dyDescent="0.4">
      <c r="A2465" s="1">
        <v>202650002350</v>
      </c>
      <c r="B2465" s="1">
        <v>1146072</v>
      </c>
      <c r="C2465" s="2">
        <v>46122</v>
      </c>
      <c r="D2465" t="s">
        <v>17</v>
      </c>
      <c r="E2465" t="s">
        <v>8</v>
      </c>
      <c r="G2465" t="s">
        <v>9</v>
      </c>
      <c r="L2465">
        <f t="shared" si="191"/>
        <v>0</v>
      </c>
      <c r="M2465">
        <f t="shared" si="192"/>
        <v>0</v>
      </c>
      <c r="N2465">
        <f t="shared" si="193"/>
        <v>0</v>
      </c>
      <c r="O2465">
        <f t="shared" si="195"/>
        <v>1</v>
      </c>
      <c r="P2465" t="str">
        <f t="shared" si="194"/>
        <v/>
      </c>
      <c r="Q2465">
        <f>COUNTIF('責任職　企業局→市長部局'!A:A,SQLデータ!B2465)</f>
        <v>0</v>
      </c>
      <c r="R2465">
        <f>COUNTIF('一般職員　企業局→市長部局'!A:F,SQLデータ!B2465)</f>
        <v>0</v>
      </c>
    </row>
    <row r="2466" spans="1:18" x14ac:dyDescent="0.4">
      <c r="A2466" s="1">
        <v>202650002351</v>
      </c>
      <c r="B2466" s="1">
        <v>1236071</v>
      </c>
      <c r="C2466" s="2">
        <v>46122</v>
      </c>
      <c r="D2466" t="s">
        <v>17</v>
      </c>
      <c r="E2466" t="s">
        <v>8</v>
      </c>
      <c r="G2466" t="s">
        <v>9</v>
      </c>
      <c r="L2466">
        <f t="shared" si="191"/>
        <v>0</v>
      </c>
      <c r="M2466">
        <f t="shared" si="192"/>
        <v>0</v>
      </c>
      <c r="N2466">
        <f t="shared" si="193"/>
        <v>0</v>
      </c>
      <c r="O2466">
        <f t="shared" si="195"/>
        <v>1</v>
      </c>
      <c r="P2466" t="str">
        <f t="shared" si="194"/>
        <v/>
      </c>
      <c r="Q2466">
        <f>COUNTIF('責任職　企業局→市長部局'!A:A,SQLデータ!B2466)</f>
        <v>0</v>
      </c>
      <c r="R2466">
        <f>COUNTIF('一般職員　企業局→市長部局'!A:F,SQLデータ!B2466)</f>
        <v>0</v>
      </c>
    </row>
    <row r="2467" spans="1:18" x14ac:dyDescent="0.4">
      <c r="A2467" s="1">
        <v>202650002352</v>
      </c>
      <c r="B2467" s="1">
        <v>960630</v>
      </c>
      <c r="C2467" s="2">
        <v>46122</v>
      </c>
      <c r="D2467" t="s">
        <v>17</v>
      </c>
      <c r="E2467" t="s">
        <v>8</v>
      </c>
      <c r="G2467" t="s">
        <v>9</v>
      </c>
      <c r="L2467">
        <f t="shared" si="191"/>
        <v>0</v>
      </c>
      <c r="M2467">
        <f t="shared" si="192"/>
        <v>0</v>
      </c>
      <c r="N2467">
        <f t="shared" si="193"/>
        <v>0</v>
      </c>
      <c r="O2467">
        <f t="shared" si="195"/>
        <v>1</v>
      </c>
      <c r="P2467" t="str">
        <f t="shared" si="194"/>
        <v/>
      </c>
      <c r="Q2467">
        <f>COUNTIF('責任職　企業局→市長部局'!A:A,SQLデータ!B2467)</f>
        <v>0</v>
      </c>
      <c r="R2467">
        <f>COUNTIF('一般職員　企業局→市長部局'!A:F,SQLデータ!B2467)</f>
        <v>0</v>
      </c>
    </row>
    <row r="2468" spans="1:18" x14ac:dyDescent="0.4">
      <c r="A2468" s="1">
        <v>202650002353</v>
      </c>
      <c r="B2468" s="1">
        <v>1010002</v>
      </c>
      <c r="C2468" s="2">
        <v>46122</v>
      </c>
      <c r="D2468" t="s">
        <v>17</v>
      </c>
      <c r="E2468" t="s">
        <v>8</v>
      </c>
      <c r="G2468" t="s">
        <v>9</v>
      </c>
      <c r="L2468">
        <f t="shared" si="191"/>
        <v>0</v>
      </c>
      <c r="M2468">
        <f t="shared" si="192"/>
        <v>0</v>
      </c>
      <c r="N2468">
        <f t="shared" si="193"/>
        <v>0</v>
      </c>
      <c r="O2468">
        <f t="shared" si="195"/>
        <v>1</v>
      </c>
      <c r="P2468" t="str">
        <f t="shared" si="194"/>
        <v/>
      </c>
      <c r="Q2468">
        <f>COUNTIF('責任職　企業局→市長部局'!A:A,SQLデータ!B2468)</f>
        <v>0</v>
      </c>
      <c r="R2468">
        <f>COUNTIF('一般職員　企業局→市長部局'!A:F,SQLデータ!B2468)</f>
        <v>0</v>
      </c>
    </row>
    <row r="2469" spans="1:18" x14ac:dyDescent="0.4">
      <c r="A2469" s="1">
        <v>202650002354</v>
      </c>
      <c r="B2469" s="1">
        <v>1131217</v>
      </c>
      <c r="C2469" s="2">
        <v>46122</v>
      </c>
      <c r="D2469" t="s">
        <v>17</v>
      </c>
      <c r="E2469" t="s">
        <v>8</v>
      </c>
      <c r="G2469" t="s">
        <v>9</v>
      </c>
      <c r="L2469">
        <f t="shared" si="191"/>
        <v>0</v>
      </c>
      <c r="M2469">
        <f t="shared" si="192"/>
        <v>0</v>
      </c>
      <c r="N2469">
        <f t="shared" si="193"/>
        <v>0</v>
      </c>
      <c r="O2469">
        <f t="shared" si="195"/>
        <v>1</v>
      </c>
      <c r="P2469" t="str">
        <f t="shared" si="194"/>
        <v/>
      </c>
      <c r="Q2469">
        <f>COUNTIF('責任職　企業局→市長部局'!A:A,SQLデータ!B2469)</f>
        <v>0</v>
      </c>
      <c r="R2469">
        <f>COUNTIF('一般職員　企業局→市長部局'!A:F,SQLデータ!B2469)</f>
        <v>0</v>
      </c>
    </row>
    <row r="2470" spans="1:18" x14ac:dyDescent="0.4">
      <c r="A2470" s="1">
        <v>202650002355</v>
      </c>
      <c r="B2470" s="1">
        <v>1056045</v>
      </c>
      <c r="C2470" s="2">
        <v>46122</v>
      </c>
      <c r="D2470" t="s">
        <v>17</v>
      </c>
      <c r="E2470" t="s">
        <v>8</v>
      </c>
      <c r="G2470" t="s">
        <v>9</v>
      </c>
      <c r="L2470">
        <f t="shared" si="191"/>
        <v>0</v>
      </c>
      <c r="M2470">
        <f t="shared" si="192"/>
        <v>0</v>
      </c>
      <c r="N2470">
        <f t="shared" si="193"/>
        <v>0</v>
      </c>
      <c r="O2470">
        <f t="shared" si="195"/>
        <v>1</v>
      </c>
      <c r="P2470" t="str">
        <f t="shared" si="194"/>
        <v/>
      </c>
      <c r="Q2470">
        <f>COUNTIF('責任職　企業局→市長部局'!A:A,SQLデータ!B2470)</f>
        <v>0</v>
      </c>
      <c r="R2470">
        <f>COUNTIF('一般職員　企業局→市長部局'!A:F,SQLデータ!B2470)</f>
        <v>0</v>
      </c>
    </row>
    <row r="2471" spans="1:18" x14ac:dyDescent="0.4">
      <c r="A2471" s="1">
        <v>202650002356</v>
      </c>
      <c r="B2471" s="1">
        <v>1241212</v>
      </c>
      <c r="C2471" s="2">
        <v>46122</v>
      </c>
      <c r="D2471" t="s">
        <v>17</v>
      </c>
      <c r="E2471" t="s">
        <v>8</v>
      </c>
      <c r="G2471" t="s">
        <v>9</v>
      </c>
      <c r="L2471">
        <f t="shared" si="191"/>
        <v>0</v>
      </c>
      <c r="M2471">
        <f t="shared" si="192"/>
        <v>0</v>
      </c>
      <c r="N2471">
        <f t="shared" si="193"/>
        <v>0</v>
      </c>
      <c r="O2471">
        <f t="shared" si="195"/>
        <v>1</v>
      </c>
      <c r="P2471" t="str">
        <f t="shared" si="194"/>
        <v/>
      </c>
      <c r="Q2471">
        <f>COUNTIF('責任職　企業局→市長部局'!A:A,SQLデータ!B2471)</f>
        <v>0</v>
      </c>
      <c r="R2471">
        <f>COUNTIF('一般職員　企業局→市長部局'!A:F,SQLデータ!B2471)</f>
        <v>0</v>
      </c>
    </row>
    <row r="2472" spans="1:18" x14ac:dyDescent="0.4">
      <c r="A2472" s="1">
        <v>202650002357</v>
      </c>
      <c r="B2472" s="1">
        <v>1256045</v>
      </c>
      <c r="C2472" s="2">
        <v>46122</v>
      </c>
      <c r="D2472" t="s">
        <v>17</v>
      </c>
      <c r="E2472" t="s">
        <v>8</v>
      </c>
      <c r="G2472" t="s">
        <v>9</v>
      </c>
      <c r="L2472">
        <f t="shared" si="191"/>
        <v>0</v>
      </c>
      <c r="M2472">
        <f t="shared" si="192"/>
        <v>0</v>
      </c>
      <c r="N2472">
        <f t="shared" si="193"/>
        <v>0</v>
      </c>
      <c r="O2472">
        <f t="shared" si="195"/>
        <v>1</v>
      </c>
      <c r="P2472" t="str">
        <f t="shared" si="194"/>
        <v/>
      </c>
      <c r="Q2472">
        <f>COUNTIF('責任職　企業局→市長部局'!A:A,SQLデータ!B2472)</f>
        <v>0</v>
      </c>
      <c r="R2472">
        <f>COUNTIF('一般職員　企業局→市長部局'!A:F,SQLデータ!B2472)</f>
        <v>0</v>
      </c>
    </row>
    <row r="2473" spans="1:18" x14ac:dyDescent="0.4">
      <c r="A2473" s="1">
        <v>202650002358</v>
      </c>
      <c r="B2473" s="1">
        <v>1056046</v>
      </c>
      <c r="C2473" s="2">
        <v>46122</v>
      </c>
      <c r="D2473" t="s">
        <v>17</v>
      </c>
      <c r="E2473" t="s">
        <v>8</v>
      </c>
      <c r="G2473" t="s">
        <v>9</v>
      </c>
      <c r="L2473">
        <f t="shared" si="191"/>
        <v>0</v>
      </c>
      <c r="M2473">
        <f t="shared" si="192"/>
        <v>0</v>
      </c>
      <c r="N2473">
        <f t="shared" si="193"/>
        <v>0</v>
      </c>
      <c r="O2473">
        <f t="shared" si="195"/>
        <v>1</v>
      </c>
      <c r="P2473" t="str">
        <f t="shared" si="194"/>
        <v/>
      </c>
      <c r="Q2473">
        <f>COUNTIF('責任職　企業局→市長部局'!A:A,SQLデータ!B2473)</f>
        <v>0</v>
      </c>
      <c r="R2473">
        <f>COUNTIF('一般職員　企業局→市長部局'!A:F,SQLデータ!B2473)</f>
        <v>0</v>
      </c>
    </row>
    <row r="2474" spans="1:18" x14ac:dyDescent="0.4">
      <c r="A2474" s="1">
        <v>202650002359</v>
      </c>
      <c r="B2474" s="1">
        <v>1076043</v>
      </c>
      <c r="C2474" s="2">
        <v>46122</v>
      </c>
      <c r="D2474" t="s">
        <v>17</v>
      </c>
      <c r="E2474" t="s">
        <v>8</v>
      </c>
      <c r="G2474" t="s">
        <v>9</v>
      </c>
      <c r="L2474">
        <f t="shared" si="191"/>
        <v>0</v>
      </c>
      <c r="M2474">
        <f t="shared" si="192"/>
        <v>0</v>
      </c>
      <c r="N2474">
        <f t="shared" si="193"/>
        <v>0</v>
      </c>
      <c r="O2474">
        <f t="shared" si="195"/>
        <v>1</v>
      </c>
      <c r="P2474" t="str">
        <f t="shared" si="194"/>
        <v/>
      </c>
      <c r="Q2474">
        <f>COUNTIF('責任職　企業局→市長部局'!A:A,SQLデータ!B2474)</f>
        <v>0</v>
      </c>
      <c r="R2474">
        <f>COUNTIF('一般職員　企業局→市長部局'!A:F,SQLデータ!B2474)</f>
        <v>0</v>
      </c>
    </row>
    <row r="2475" spans="1:18" x14ac:dyDescent="0.4">
      <c r="A2475" s="1">
        <v>202650002360</v>
      </c>
      <c r="B2475" s="1">
        <v>1082012</v>
      </c>
      <c r="C2475" s="2">
        <v>46122</v>
      </c>
      <c r="D2475" t="s">
        <v>17</v>
      </c>
      <c r="E2475" t="s">
        <v>8</v>
      </c>
      <c r="G2475" t="s">
        <v>9</v>
      </c>
      <c r="L2475">
        <f t="shared" si="191"/>
        <v>0</v>
      </c>
      <c r="M2475">
        <f t="shared" si="192"/>
        <v>0</v>
      </c>
      <c r="N2475">
        <f t="shared" si="193"/>
        <v>0</v>
      </c>
      <c r="O2475">
        <f t="shared" si="195"/>
        <v>1</v>
      </c>
      <c r="P2475" t="str">
        <f t="shared" si="194"/>
        <v/>
      </c>
      <c r="Q2475">
        <f>COUNTIF('責任職　企業局→市長部局'!A:A,SQLデータ!B2475)</f>
        <v>0</v>
      </c>
      <c r="R2475">
        <f>COUNTIF('一般職員　企業局→市長部局'!A:F,SQLデータ!B2475)</f>
        <v>0</v>
      </c>
    </row>
    <row r="2476" spans="1:18" x14ac:dyDescent="0.4">
      <c r="A2476" s="1">
        <v>202650002361</v>
      </c>
      <c r="B2476" s="1">
        <v>890124</v>
      </c>
      <c r="C2476" s="2">
        <v>46122</v>
      </c>
      <c r="D2476" t="s">
        <v>17</v>
      </c>
      <c r="E2476" t="s">
        <v>8</v>
      </c>
      <c r="G2476" t="s">
        <v>9</v>
      </c>
      <c r="L2476">
        <f t="shared" si="191"/>
        <v>0</v>
      </c>
      <c r="M2476">
        <f t="shared" si="192"/>
        <v>0</v>
      </c>
      <c r="N2476">
        <f t="shared" si="193"/>
        <v>0</v>
      </c>
      <c r="O2476">
        <f t="shared" si="195"/>
        <v>1</v>
      </c>
      <c r="P2476" t="str">
        <f t="shared" si="194"/>
        <v/>
      </c>
      <c r="Q2476">
        <f>COUNTIF('責任職　企業局→市長部局'!A:A,SQLデータ!B2476)</f>
        <v>0</v>
      </c>
      <c r="R2476">
        <f>COUNTIF('一般職員　企業局→市長部局'!A:F,SQLデータ!B2476)</f>
        <v>0</v>
      </c>
    </row>
    <row r="2477" spans="1:18" x14ac:dyDescent="0.4">
      <c r="A2477" s="1">
        <v>202650002362</v>
      </c>
      <c r="B2477" s="1">
        <v>1043008</v>
      </c>
      <c r="C2477" s="2">
        <v>46122</v>
      </c>
      <c r="D2477" t="s">
        <v>17</v>
      </c>
      <c r="E2477" t="s">
        <v>8</v>
      </c>
      <c r="G2477" t="s">
        <v>9</v>
      </c>
      <c r="L2477">
        <f t="shared" si="191"/>
        <v>0</v>
      </c>
      <c r="M2477">
        <f t="shared" si="192"/>
        <v>0</v>
      </c>
      <c r="N2477">
        <f t="shared" si="193"/>
        <v>0</v>
      </c>
      <c r="O2477">
        <f t="shared" si="195"/>
        <v>1</v>
      </c>
      <c r="P2477" t="str">
        <f t="shared" si="194"/>
        <v/>
      </c>
      <c r="Q2477">
        <f>COUNTIF('責任職　企業局→市長部局'!A:A,SQLデータ!B2477)</f>
        <v>0</v>
      </c>
      <c r="R2477">
        <f>COUNTIF('一般職員　企業局→市長部局'!A:F,SQLデータ!B2477)</f>
        <v>0</v>
      </c>
    </row>
    <row r="2478" spans="1:18" x14ac:dyDescent="0.4">
      <c r="A2478" s="1">
        <v>202650002363</v>
      </c>
      <c r="B2478" s="1">
        <v>900096</v>
      </c>
      <c r="C2478" s="2">
        <v>46122</v>
      </c>
      <c r="D2478" t="s">
        <v>17</v>
      </c>
      <c r="E2478" t="s">
        <v>8</v>
      </c>
      <c r="G2478" t="s">
        <v>9</v>
      </c>
      <c r="L2478">
        <f t="shared" si="191"/>
        <v>0</v>
      </c>
      <c r="M2478">
        <f t="shared" si="192"/>
        <v>0</v>
      </c>
      <c r="N2478">
        <f t="shared" si="193"/>
        <v>0</v>
      </c>
      <c r="O2478">
        <f t="shared" si="195"/>
        <v>1</v>
      </c>
      <c r="P2478" t="str">
        <f t="shared" si="194"/>
        <v/>
      </c>
      <c r="Q2478">
        <f>COUNTIF('責任職　企業局→市長部局'!A:A,SQLデータ!B2478)</f>
        <v>0</v>
      </c>
      <c r="R2478">
        <f>COUNTIF('一般職員　企業局→市長部局'!A:F,SQLデータ!B2478)</f>
        <v>0</v>
      </c>
    </row>
    <row r="2479" spans="1:18" x14ac:dyDescent="0.4">
      <c r="A2479" s="1">
        <v>202650002364</v>
      </c>
      <c r="B2479" s="1">
        <v>1226057</v>
      </c>
      <c r="C2479" s="2">
        <v>46123</v>
      </c>
      <c r="D2479" t="s">
        <v>17</v>
      </c>
      <c r="E2479" t="s">
        <v>8</v>
      </c>
      <c r="G2479" t="s">
        <v>9</v>
      </c>
      <c r="L2479">
        <f t="shared" si="191"/>
        <v>0</v>
      </c>
      <c r="M2479">
        <f t="shared" si="192"/>
        <v>0</v>
      </c>
      <c r="N2479">
        <f t="shared" si="193"/>
        <v>0</v>
      </c>
      <c r="O2479">
        <f t="shared" si="195"/>
        <v>1</v>
      </c>
      <c r="P2479" t="str">
        <f t="shared" si="194"/>
        <v/>
      </c>
      <c r="Q2479">
        <f>COUNTIF('責任職　企業局→市長部局'!A:A,SQLデータ!B2479)</f>
        <v>0</v>
      </c>
      <c r="R2479">
        <f>COUNTIF('一般職員　企業局→市長部局'!A:F,SQLデータ!B2479)</f>
        <v>0</v>
      </c>
    </row>
    <row r="2480" spans="1:18" x14ac:dyDescent="0.4">
      <c r="A2480" s="1">
        <v>202650002365</v>
      </c>
      <c r="B2480" s="1">
        <v>1126015</v>
      </c>
      <c r="C2480" s="2">
        <v>46123</v>
      </c>
      <c r="D2480" t="s">
        <v>17</v>
      </c>
      <c r="E2480" t="s">
        <v>8</v>
      </c>
      <c r="G2480" t="s">
        <v>9</v>
      </c>
      <c r="L2480">
        <f t="shared" si="191"/>
        <v>0</v>
      </c>
      <c r="M2480">
        <f t="shared" si="192"/>
        <v>0</v>
      </c>
      <c r="N2480">
        <f t="shared" si="193"/>
        <v>0</v>
      </c>
      <c r="O2480">
        <f t="shared" si="195"/>
        <v>1</v>
      </c>
      <c r="P2480" t="str">
        <f t="shared" si="194"/>
        <v/>
      </c>
      <c r="Q2480">
        <f>COUNTIF('責任職　企業局→市長部局'!A:A,SQLデータ!B2480)</f>
        <v>0</v>
      </c>
      <c r="R2480">
        <f>COUNTIF('一般職員　企業局→市長部局'!A:F,SQLデータ!B2480)</f>
        <v>0</v>
      </c>
    </row>
    <row r="2481" spans="1:18" x14ac:dyDescent="0.4">
      <c r="A2481" s="1">
        <v>202650002366</v>
      </c>
      <c r="B2481" s="1">
        <v>1226089</v>
      </c>
      <c r="C2481" s="2">
        <v>46123</v>
      </c>
      <c r="D2481" t="s">
        <v>17</v>
      </c>
      <c r="E2481" t="s">
        <v>8</v>
      </c>
      <c r="G2481" t="s">
        <v>9</v>
      </c>
      <c r="L2481">
        <f t="shared" si="191"/>
        <v>0</v>
      </c>
      <c r="M2481">
        <f t="shared" si="192"/>
        <v>0</v>
      </c>
      <c r="N2481">
        <f t="shared" si="193"/>
        <v>0</v>
      </c>
      <c r="O2481">
        <f t="shared" si="195"/>
        <v>1</v>
      </c>
      <c r="P2481" t="str">
        <f t="shared" si="194"/>
        <v/>
      </c>
      <c r="Q2481">
        <f>COUNTIF('責任職　企業局→市長部局'!A:A,SQLデータ!B2481)</f>
        <v>0</v>
      </c>
      <c r="R2481">
        <f>COUNTIF('一般職員　企業局→市長部局'!A:F,SQLデータ!B2481)</f>
        <v>0</v>
      </c>
    </row>
    <row r="2482" spans="1:18" x14ac:dyDescent="0.4">
      <c r="A2482" s="1">
        <v>202650002367</v>
      </c>
      <c r="B2482" s="1">
        <v>1046002</v>
      </c>
      <c r="C2482" s="2">
        <v>46123</v>
      </c>
      <c r="D2482" t="s">
        <v>17</v>
      </c>
      <c r="E2482" t="s">
        <v>8</v>
      </c>
      <c r="G2482" t="s">
        <v>9</v>
      </c>
      <c r="L2482">
        <f t="shared" si="191"/>
        <v>0</v>
      </c>
      <c r="M2482">
        <f t="shared" si="192"/>
        <v>0</v>
      </c>
      <c r="N2482">
        <f t="shared" si="193"/>
        <v>0</v>
      </c>
      <c r="O2482">
        <f t="shared" si="195"/>
        <v>1</v>
      </c>
      <c r="P2482" t="str">
        <f t="shared" si="194"/>
        <v/>
      </c>
      <c r="Q2482">
        <f>COUNTIF('責任職　企業局→市長部局'!A:A,SQLデータ!B2482)</f>
        <v>0</v>
      </c>
      <c r="R2482">
        <f>COUNTIF('一般職員　企業局→市長部局'!A:F,SQLデータ!B2482)</f>
        <v>0</v>
      </c>
    </row>
    <row r="2483" spans="1:18" x14ac:dyDescent="0.4">
      <c r="A2483" s="1">
        <v>202650002368</v>
      </c>
      <c r="B2483" s="1">
        <v>1086027</v>
      </c>
      <c r="C2483" s="2">
        <v>46123</v>
      </c>
      <c r="D2483" t="s">
        <v>17</v>
      </c>
      <c r="E2483" t="s">
        <v>8</v>
      </c>
      <c r="G2483" t="s">
        <v>9</v>
      </c>
      <c r="L2483">
        <f t="shared" si="191"/>
        <v>0</v>
      </c>
      <c r="M2483">
        <f t="shared" si="192"/>
        <v>0</v>
      </c>
      <c r="N2483">
        <f t="shared" si="193"/>
        <v>0</v>
      </c>
      <c r="O2483">
        <f t="shared" si="195"/>
        <v>1</v>
      </c>
      <c r="P2483" t="str">
        <f t="shared" si="194"/>
        <v/>
      </c>
      <c r="Q2483">
        <f>COUNTIF('責任職　企業局→市長部局'!A:A,SQLデータ!B2483)</f>
        <v>0</v>
      </c>
      <c r="R2483">
        <f>COUNTIF('一般職員　企業局→市長部局'!A:F,SQLデータ!B2483)</f>
        <v>0</v>
      </c>
    </row>
    <row r="2484" spans="1:18" x14ac:dyDescent="0.4">
      <c r="A2484" s="1">
        <v>202650002369</v>
      </c>
      <c r="B2484" s="1">
        <v>1076037</v>
      </c>
      <c r="C2484" s="2">
        <v>46123</v>
      </c>
      <c r="D2484" t="s">
        <v>17</v>
      </c>
      <c r="E2484" t="s">
        <v>8</v>
      </c>
      <c r="G2484" t="s">
        <v>9</v>
      </c>
      <c r="L2484">
        <f t="shared" si="191"/>
        <v>0</v>
      </c>
      <c r="M2484">
        <f t="shared" si="192"/>
        <v>0</v>
      </c>
      <c r="N2484">
        <f t="shared" si="193"/>
        <v>0</v>
      </c>
      <c r="O2484">
        <f t="shared" si="195"/>
        <v>1</v>
      </c>
      <c r="P2484" t="str">
        <f t="shared" si="194"/>
        <v/>
      </c>
      <c r="Q2484">
        <f>COUNTIF('責任職　企業局→市長部局'!A:A,SQLデータ!B2484)</f>
        <v>0</v>
      </c>
      <c r="R2484">
        <f>COUNTIF('一般職員　企業局→市長部局'!A:F,SQLデータ!B2484)</f>
        <v>0</v>
      </c>
    </row>
    <row r="2485" spans="1:18" x14ac:dyDescent="0.4">
      <c r="A2485" s="1">
        <v>202650002370</v>
      </c>
      <c r="B2485" s="1">
        <v>1254058</v>
      </c>
      <c r="C2485" s="2">
        <v>46113</v>
      </c>
      <c r="D2485" t="s">
        <v>17</v>
      </c>
      <c r="E2485" t="s">
        <v>8</v>
      </c>
      <c r="G2485" t="s">
        <v>9</v>
      </c>
      <c r="L2485">
        <f t="shared" si="191"/>
        <v>0</v>
      </c>
      <c r="M2485">
        <f t="shared" si="192"/>
        <v>0</v>
      </c>
      <c r="N2485">
        <f t="shared" si="193"/>
        <v>0</v>
      </c>
      <c r="O2485">
        <f t="shared" si="195"/>
        <v>1</v>
      </c>
      <c r="P2485" t="str">
        <f t="shared" si="194"/>
        <v/>
      </c>
      <c r="Q2485">
        <f>COUNTIF('責任職　企業局→市長部局'!A:A,SQLデータ!B2485)</f>
        <v>0</v>
      </c>
      <c r="R2485">
        <f>COUNTIF('一般職員　企業局→市長部局'!A:F,SQLデータ!B2485)</f>
        <v>0</v>
      </c>
    </row>
    <row r="2486" spans="1:18" x14ac:dyDescent="0.4">
      <c r="A2486" s="1">
        <v>202650002371</v>
      </c>
      <c r="B2486" s="1">
        <v>1096043</v>
      </c>
      <c r="C2486" s="2">
        <v>46123</v>
      </c>
      <c r="D2486" t="s">
        <v>17</v>
      </c>
      <c r="E2486" t="s">
        <v>8</v>
      </c>
      <c r="G2486" t="s">
        <v>9</v>
      </c>
      <c r="L2486">
        <f t="shared" si="191"/>
        <v>0</v>
      </c>
      <c r="M2486">
        <f t="shared" si="192"/>
        <v>0</v>
      </c>
      <c r="N2486">
        <f t="shared" si="193"/>
        <v>0</v>
      </c>
      <c r="O2486">
        <f t="shared" si="195"/>
        <v>1</v>
      </c>
      <c r="P2486" t="str">
        <f t="shared" si="194"/>
        <v/>
      </c>
      <c r="Q2486">
        <f>COUNTIF('責任職　企業局→市長部局'!A:A,SQLデータ!B2486)</f>
        <v>0</v>
      </c>
      <c r="R2486">
        <f>COUNTIF('一般職員　企業局→市長部局'!A:F,SQLデータ!B2486)</f>
        <v>0</v>
      </c>
    </row>
    <row r="2487" spans="1:18" x14ac:dyDescent="0.4">
      <c r="A2487" s="1">
        <v>202650002372</v>
      </c>
      <c r="B2487" s="1">
        <v>1196076</v>
      </c>
      <c r="C2487" s="2">
        <v>46123</v>
      </c>
      <c r="D2487" t="s">
        <v>17</v>
      </c>
      <c r="E2487" t="s">
        <v>8</v>
      </c>
      <c r="F2487" t="s">
        <v>54</v>
      </c>
      <c r="G2487" t="s">
        <v>9</v>
      </c>
      <c r="L2487">
        <f t="shared" si="191"/>
        <v>0</v>
      </c>
      <c r="M2487">
        <f t="shared" si="192"/>
        <v>0</v>
      </c>
      <c r="N2487">
        <f t="shared" si="193"/>
        <v>0</v>
      </c>
      <c r="O2487">
        <f t="shared" si="195"/>
        <v>1</v>
      </c>
      <c r="P2487" t="str">
        <f t="shared" si="194"/>
        <v/>
      </c>
      <c r="Q2487">
        <f>COUNTIF('責任職　企業局→市長部局'!A:A,SQLデータ!B2487)</f>
        <v>0</v>
      </c>
      <c r="R2487">
        <f>COUNTIF('一般職員　企業局→市長部局'!A:F,SQLデータ!B2487)</f>
        <v>0</v>
      </c>
    </row>
    <row r="2488" spans="1:18" x14ac:dyDescent="0.4">
      <c r="A2488" s="1">
        <v>202650002373</v>
      </c>
      <c r="B2488" s="1">
        <v>1126118</v>
      </c>
      <c r="C2488" s="2">
        <v>46123</v>
      </c>
      <c r="D2488" t="s">
        <v>17</v>
      </c>
      <c r="E2488" t="s">
        <v>8</v>
      </c>
      <c r="G2488" t="s">
        <v>9</v>
      </c>
      <c r="L2488">
        <f t="shared" si="191"/>
        <v>0</v>
      </c>
      <c r="M2488">
        <f t="shared" si="192"/>
        <v>0</v>
      </c>
      <c r="N2488">
        <f t="shared" si="193"/>
        <v>0</v>
      </c>
      <c r="O2488">
        <f t="shared" si="195"/>
        <v>1</v>
      </c>
      <c r="P2488" t="str">
        <f t="shared" si="194"/>
        <v/>
      </c>
      <c r="Q2488">
        <f>COUNTIF('責任職　企業局→市長部局'!A:A,SQLデータ!B2488)</f>
        <v>0</v>
      </c>
      <c r="R2488">
        <f>COUNTIF('一般職員　企業局→市長部局'!A:F,SQLデータ!B2488)</f>
        <v>0</v>
      </c>
    </row>
    <row r="2489" spans="1:18" x14ac:dyDescent="0.4">
      <c r="A2489" s="1">
        <v>202650002374</v>
      </c>
      <c r="B2489" s="1">
        <v>1226102</v>
      </c>
      <c r="C2489" s="2">
        <v>46123</v>
      </c>
      <c r="D2489" t="s">
        <v>17</v>
      </c>
      <c r="E2489" t="s">
        <v>8</v>
      </c>
      <c r="G2489" t="s">
        <v>9</v>
      </c>
      <c r="L2489">
        <f t="shared" si="191"/>
        <v>0</v>
      </c>
      <c r="M2489">
        <f t="shared" si="192"/>
        <v>0</v>
      </c>
      <c r="N2489">
        <f t="shared" si="193"/>
        <v>0</v>
      </c>
      <c r="O2489">
        <f t="shared" si="195"/>
        <v>1</v>
      </c>
      <c r="P2489" t="str">
        <f t="shared" si="194"/>
        <v/>
      </c>
      <c r="Q2489">
        <f>COUNTIF('責任職　企業局→市長部局'!A:A,SQLデータ!B2489)</f>
        <v>0</v>
      </c>
      <c r="R2489">
        <f>COUNTIF('一般職員　企業局→市長部局'!A:F,SQLデータ!B2489)</f>
        <v>0</v>
      </c>
    </row>
    <row r="2490" spans="1:18" x14ac:dyDescent="0.4">
      <c r="A2490" s="1">
        <v>202650002375</v>
      </c>
      <c r="B2490" s="1">
        <v>1201385</v>
      </c>
      <c r="C2490" s="2">
        <v>46123</v>
      </c>
      <c r="D2490" t="s">
        <v>17</v>
      </c>
      <c r="E2490" t="s">
        <v>8</v>
      </c>
      <c r="G2490" t="s">
        <v>9</v>
      </c>
      <c r="L2490">
        <f t="shared" si="191"/>
        <v>0</v>
      </c>
      <c r="M2490">
        <f t="shared" si="192"/>
        <v>0</v>
      </c>
      <c r="N2490">
        <f t="shared" si="193"/>
        <v>0</v>
      </c>
      <c r="O2490">
        <f t="shared" si="195"/>
        <v>1</v>
      </c>
      <c r="P2490" t="str">
        <f t="shared" si="194"/>
        <v/>
      </c>
      <c r="Q2490">
        <f>COUNTIF('責任職　企業局→市長部局'!A:A,SQLデータ!B2490)</f>
        <v>0</v>
      </c>
      <c r="R2490">
        <f>COUNTIF('一般職員　企業局→市長部局'!A:F,SQLデータ!B2490)</f>
        <v>0</v>
      </c>
    </row>
    <row r="2491" spans="1:18" x14ac:dyDescent="0.4">
      <c r="A2491" s="1">
        <v>202650002376</v>
      </c>
      <c r="B2491" s="1">
        <v>1021229</v>
      </c>
      <c r="C2491" s="2">
        <v>46123</v>
      </c>
      <c r="D2491" t="s">
        <v>17</v>
      </c>
      <c r="E2491" t="s">
        <v>8</v>
      </c>
      <c r="G2491" t="s">
        <v>9</v>
      </c>
      <c r="L2491">
        <f t="shared" si="191"/>
        <v>0</v>
      </c>
      <c r="M2491">
        <f t="shared" si="192"/>
        <v>0</v>
      </c>
      <c r="N2491">
        <f t="shared" si="193"/>
        <v>0</v>
      </c>
      <c r="O2491">
        <f t="shared" si="195"/>
        <v>1</v>
      </c>
      <c r="P2491" t="str">
        <f t="shared" si="194"/>
        <v/>
      </c>
      <c r="Q2491">
        <f>COUNTIF('責任職　企業局→市長部局'!A:A,SQLデータ!B2491)</f>
        <v>0</v>
      </c>
      <c r="R2491">
        <f>COUNTIF('一般職員　企業局→市長部局'!A:F,SQLデータ!B2491)</f>
        <v>0</v>
      </c>
    </row>
    <row r="2492" spans="1:18" x14ac:dyDescent="0.4">
      <c r="A2492" s="1">
        <v>202650002378</v>
      </c>
      <c r="B2492" s="1">
        <v>1246010</v>
      </c>
      <c r="C2492" s="2">
        <v>46123</v>
      </c>
      <c r="D2492" t="s">
        <v>17</v>
      </c>
      <c r="E2492" t="s">
        <v>8</v>
      </c>
      <c r="G2492" t="s">
        <v>9</v>
      </c>
      <c r="L2492">
        <f t="shared" si="191"/>
        <v>0</v>
      </c>
      <c r="M2492">
        <f t="shared" si="192"/>
        <v>0</v>
      </c>
      <c r="N2492">
        <f t="shared" si="193"/>
        <v>0</v>
      </c>
      <c r="O2492">
        <f t="shared" si="195"/>
        <v>1</v>
      </c>
      <c r="P2492" t="str">
        <f t="shared" si="194"/>
        <v/>
      </c>
      <c r="Q2492">
        <f>COUNTIF('責任職　企業局→市長部局'!A:A,SQLデータ!B2492)</f>
        <v>0</v>
      </c>
      <c r="R2492">
        <f>COUNTIF('一般職員　企業局→市長部局'!A:F,SQLデータ!B2492)</f>
        <v>0</v>
      </c>
    </row>
    <row r="2493" spans="1:18" x14ac:dyDescent="0.4">
      <c r="A2493" s="1">
        <v>202650002379</v>
      </c>
      <c r="B2493" s="1">
        <v>930160</v>
      </c>
      <c r="C2493" s="2">
        <v>46123</v>
      </c>
      <c r="D2493" t="s">
        <v>17</v>
      </c>
      <c r="E2493" t="s">
        <v>8</v>
      </c>
      <c r="G2493" t="s">
        <v>9</v>
      </c>
      <c r="L2493">
        <f t="shared" si="191"/>
        <v>0</v>
      </c>
      <c r="M2493">
        <f t="shared" si="192"/>
        <v>0</v>
      </c>
      <c r="N2493">
        <f t="shared" si="193"/>
        <v>0</v>
      </c>
      <c r="O2493">
        <f t="shared" si="195"/>
        <v>1</v>
      </c>
      <c r="P2493" t="str">
        <f t="shared" si="194"/>
        <v/>
      </c>
      <c r="Q2493">
        <f>COUNTIF('責任職　企業局→市長部局'!A:A,SQLデータ!B2493)</f>
        <v>0</v>
      </c>
      <c r="R2493">
        <f>COUNTIF('一般職員　企業局→市長部局'!A:F,SQLデータ!B2493)</f>
        <v>0</v>
      </c>
    </row>
    <row r="2494" spans="1:18" x14ac:dyDescent="0.4">
      <c r="A2494" s="1">
        <v>202650002380</v>
      </c>
      <c r="B2494" s="1">
        <v>1171548</v>
      </c>
      <c r="C2494" s="2">
        <v>46123</v>
      </c>
      <c r="D2494" t="s">
        <v>17</v>
      </c>
      <c r="E2494" t="s">
        <v>8</v>
      </c>
      <c r="G2494" t="s">
        <v>9</v>
      </c>
      <c r="L2494">
        <f t="shared" si="191"/>
        <v>0</v>
      </c>
      <c r="M2494">
        <f t="shared" si="192"/>
        <v>0</v>
      </c>
      <c r="N2494">
        <f t="shared" si="193"/>
        <v>0</v>
      </c>
      <c r="O2494">
        <f t="shared" si="195"/>
        <v>1</v>
      </c>
      <c r="P2494" t="str">
        <f t="shared" si="194"/>
        <v/>
      </c>
      <c r="Q2494">
        <f>COUNTIF('責任職　企業局→市長部局'!A:A,SQLデータ!B2494)</f>
        <v>0</v>
      </c>
      <c r="R2494">
        <f>COUNTIF('一般職員　企業局→市長部局'!A:F,SQLデータ!B2494)</f>
        <v>0</v>
      </c>
    </row>
    <row r="2495" spans="1:18" x14ac:dyDescent="0.4">
      <c r="A2495" s="1">
        <v>202650002381</v>
      </c>
      <c r="B2495" s="1">
        <v>1014011</v>
      </c>
      <c r="C2495" s="2">
        <v>46113</v>
      </c>
      <c r="D2495" t="s">
        <v>17</v>
      </c>
      <c r="E2495" t="s">
        <v>8</v>
      </c>
      <c r="G2495" t="s">
        <v>9</v>
      </c>
      <c r="L2495">
        <f t="shared" si="191"/>
        <v>0</v>
      </c>
      <c r="M2495">
        <f t="shared" si="192"/>
        <v>0</v>
      </c>
      <c r="N2495">
        <f t="shared" si="193"/>
        <v>0</v>
      </c>
      <c r="O2495">
        <f t="shared" si="195"/>
        <v>1</v>
      </c>
      <c r="P2495" t="str">
        <f t="shared" si="194"/>
        <v/>
      </c>
      <c r="Q2495">
        <f>COUNTIF('責任職　企業局→市長部局'!A:A,SQLデータ!B2495)</f>
        <v>0</v>
      </c>
      <c r="R2495">
        <f>COUNTIF('一般職員　企業局→市長部局'!A:F,SQLデータ!B2495)</f>
        <v>0</v>
      </c>
    </row>
    <row r="2496" spans="1:18" x14ac:dyDescent="0.4">
      <c r="A2496" s="1">
        <v>202650002382</v>
      </c>
      <c r="B2496" s="1">
        <v>1184033</v>
      </c>
      <c r="C2496" s="2">
        <v>46113</v>
      </c>
      <c r="D2496" t="s">
        <v>17</v>
      </c>
      <c r="E2496" t="s">
        <v>8</v>
      </c>
      <c r="G2496" t="s">
        <v>9</v>
      </c>
      <c r="L2496">
        <f t="shared" si="191"/>
        <v>0</v>
      </c>
      <c r="M2496">
        <f t="shared" si="192"/>
        <v>0</v>
      </c>
      <c r="N2496">
        <f t="shared" si="193"/>
        <v>0</v>
      </c>
      <c r="O2496">
        <f t="shared" si="195"/>
        <v>1</v>
      </c>
      <c r="P2496" t="str">
        <f t="shared" si="194"/>
        <v/>
      </c>
      <c r="Q2496">
        <f>COUNTIF('責任職　企業局→市長部局'!A:A,SQLデータ!B2496)</f>
        <v>0</v>
      </c>
      <c r="R2496">
        <f>COUNTIF('一般職員　企業局→市長部局'!A:F,SQLデータ!B2496)</f>
        <v>0</v>
      </c>
    </row>
    <row r="2497" spans="1:18" x14ac:dyDescent="0.4">
      <c r="A2497" s="1">
        <v>202650002383</v>
      </c>
      <c r="B2497" s="1">
        <v>994278</v>
      </c>
      <c r="C2497" s="2">
        <v>46113</v>
      </c>
      <c r="D2497" t="s">
        <v>17</v>
      </c>
      <c r="E2497" t="s">
        <v>8</v>
      </c>
      <c r="G2497" t="s">
        <v>9</v>
      </c>
      <c r="L2497">
        <f t="shared" si="191"/>
        <v>0</v>
      </c>
      <c r="M2497">
        <f t="shared" si="192"/>
        <v>0</v>
      </c>
      <c r="N2497">
        <f t="shared" si="193"/>
        <v>0</v>
      </c>
      <c r="O2497">
        <f t="shared" si="195"/>
        <v>1</v>
      </c>
      <c r="P2497" t="str">
        <f t="shared" si="194"/>
        <v/>
      </c>
      <c r="Q2497">
        <f>COUNTIF('責任職　企業局→市長部局'!A:A,SQLデータ!B2497)</f>
        <v>0</v>
      </c>
      <c r="R2497">
        <f>COUNTIF('一般職員　企業局→市長部局'!A:F,SQLデータ!B2497)</f>
        <v>0</v>
      </c>
    </row>
    <row r="2498" spans="1:18" x14ac:dyDescent="0.4">
      <c r="A2498" s="1">
        <v>202650002384</v>
      </c>
      <c r="B2498" s="1">
        <v>1028062</v>
      </c>
      <c r="C2498" s="2">
        <v>46113</v>
      </c>
      <c r="D2498" t="s">
        <v>17</v>
      </c>
      <c r="E2498" t="s">
        <v>8</v>
      </c>
      <c r="G2498" t="s">
        <v>9</v>
      </c>
      <c r="L2498">
        <f t="shared" ref="L2498:L2561" si="196">IF(ISBLANK(J2498),0,1)</f>
        <v>0</v>
      </c>
      <c r="M2498">
        <f t="shared" ref="M2498:M2561" si="197">IF(AND(L2498=0,I2498&lt;&gt;""),1,0)</f>
        <v>0</v>
      </c>
      <c r="N2498">
        <f t="shared" ref="N2498:N2561" si="198">IF(AND(L2498=0,M2498=0,K2498&lt;&gt;""),1,0)</f>
        <v>0</v>
      </c>
      <c r="O2498">
        <f t="shared" si="195"/>
        <v>1</v>
      </c>
      <c r="P2498" t="str">
        <f t="shared" ref="P2498:P2561" si="199">IF(D2498&lt;&gt;"扶養","",IF(E2498&lt;&gt;"確認待ち",1,IF(OR(AND(G2498="本人の結婚",O2498=1),AND(H2498="減",OR(N2498=1,O2498=1))),1,0)))</f>
        <v/>
      </c>
      <c r="Q2498">
        <f>COUNTIF('責任職　企業局→市長部局'!A:A,SQLデータ!B2498)</f>
        <v>0</v>
      </c>
      <c r="R2498">
        <f>COUNTIF('一般職員　企業局→市長部局'!A:F,SQLデータ!B2498)</f>
        <v>0</v>
      </c>
    </row>
    <row r="2499" spans="1:18" x14ac:dyDescent="0.4">
      <c r="A2499" s="1">
        <v>202650002385</v>
      </c>
      <c r="B2499" s="1">
        <v>1026023</v>
      </c>
      <c r="C2499" s="2">
        <v>46123</v>
      </c>
      <c r="D2499" t="s">
        <v>17</v>
      </c>
      <c r="E2499" t="s">
        <v>8</v>
      </c>
      <c r="G2499" t="s">
        <v>9</v>
      </c>
      <c r="L2499">
        <f t="shared" si="196"/>
        <v>0</v>
      </c>
      <c r="M2499">
        <f t="shared" si="197"/>
        <v>0</v>
      </c>
      <c r="N2499">
        <f t="shared" si="198"/>
        <v>0</v>
      </c>
      <c r="O2499">
        <f t="shared" si="195"/>
        <v>1</v>
      </c>
      <c r="P2499" t="str">
        <f t="shared" si="199"/>
        <v/>
      </c>
      <c r="Q2499">
        <f>COUNTIF('責任職　企業局→市長部局'!A:A,SQLデータ!B2499)</f>
        <v>0</v>
      </c>
      <c r="R2499">
        <f>COUNTIF('一般職員　企業局→市長部局'!A:F,SQLデータ!B2499)</f>
        <v>0</v>
      </c>
    </row>
    <row r="2500" spans="1:18" x14ac:dyDescent="0.4">
      <c r="A2500" s="1">
        <v>202650002386</v>
      </c>
      <c r="B2500" s="1">
        <v>1004180</v>
      </c>
      <c r="C2500" s="2">
        <v>46113</v>
      </c>
      <c r="D2500" t="s">
        <v>17</v>
      </c>
      <c r="E2500" t="s">
        <v>8</v>
      </c>
      <c r="G2500" t="s">
        <v>9</v>
      </c>
      <c r="L2500">
        <f t="shared" si="196"/>
        <v>0</v>
      </c>
      <c r="M2500">
        <f t="shared" si="197"/>
        <v>0</v>
      </c>
      <c r="N2500">
        <f t="shared" si="198"/>
        <v>0</v>
      </c>
      <c r="O2500">
        <f t="shared" si="195"/>
        <v>1</v>
      </c>
      <c r="P2500" t="str">
        <f t="shared" si="199"/>
        <v/>
      </c>
      <c r="Q2500">
        <f>COUNTIF('責任職　企業局→市長部局'!A:A,SQLデータ!B2500)</f>
        <v>0</v>
      </c>
      <c r="R2500">
        <f>COUNTIF('一般職員　企業局→市長部局'!A:F,SQLデータ!B2500)</f>
        <v>0</v>
      </c>
    </row>
    <row r="2501" spans="1:18" x14ac:dyDescent="0.4">
      <c r="A2501" s="1">
        <v>202650002387</v>
      </c>
      <c r="B2501" s="1">
        <v>940605</v>
      </c>
      <c r="C2501" s="2">
        <v>46113</v>
      </c>
      <c r="D2501" t="s">
        <v>17</v>
      </c>
      <c r="E2501" t="s">
        <v>8</v>
      </c>
      <c r="G2501" t="s">
        <v>9</v>
      </c>
      <c r="L2501">
        <f t="shared" si="196"/>
        <v>0</v>
      </c>
      <c r="M2501">
        <f t="shared" si="197"/>
        <v>0</v>
      </c>
      <c r="N2501">
        <f t="shared" si="198"/>
        <v>0</v>
      </c>
      <c r="O2501">
        <f t="shared" si="195"/>
        <v>1</v>
      </c>
      <c r="P2501" t="str">
        <f t="shared" si="199"/>
        <v/>
      </c>
      <c r="Q2501">
        <f>COUNTIF('責任職　企業局→市長部局'!A:A,SQLデータ!B2501)</f>
        <v>0</v>
      </c>
      <c r="R2501">
        <f>COUNTIF('一般職員　企業局→市長部局'!A:F,SQLデータ!B2501)</f>
        <v>0</v>
      </c>
    </row>
    <row r="2502" spans="1:18" x14ac:dyDescent="0.4">
      <c r="A2502" s="1">
        <v>202650002388</v>
      </c>
      <c r="B2502" s="1">
        <v>1154048</v>
      </c>
      <c r="C2502" s="2">
        <v>46113</v>
      </c>
      <c r="D2502" t="s">
        <v>17</v>
      </c>
      <c r="E2502" t="s">
        <v>8</v>
      </c>
      <c r="G2502" t="s">
        <v>9</v>
      </c>
      <c r="L2502">
        <f t="shared" si="196"/>
        <v>0</v>
      </c>
      <c r="M2502">
        <f t="shared" si="197"/>
        <v>0</v>
      </c>
      <c r="N2502">
        <f t="shared" si="198"/>
        <v>0</v>
      </c>
      <c r="O2502">
        <f t="shared" si="195"/>
        <v>1</v>
      </c>
      <c r="P2502" t="str">
        <f t="shared" si="199"/>
        <v/>
      </c>
      <c r="Q2502">
        <f>COUNTIF('責任職　企業局→市長部局'!A:A,SQLデータ!B2502)</f>
        <v>0</v>
      </c>
      <c r="R2502">
        <f>COUNTIF('一般職員　企業局→市長部局'!A:F,SQLデータ!B2502)</f>
        <v>0</v>
      </c>
    </row>
    <row r="2503" spans="1:18" x14ac:dyDescent="0.4">
      <c r="A2503" s="1">
        <v>202650002389</v>
      </c>
      <c r="B2503" s="1">
        <v>1106014</v>
      </c>
      <c r="C2503" s="2">
        <v>46123</v>
      </c>
      <c r="D2503" t="s">
        <v>17</v>
      </c>
      <c r="E2503" t="s">
        <v>8</v>
      </c>
      <c r="G2503" t="s">
        <v>9</v>
      </c>
      <c r="L2503">
        <f t="shared" si="196"/>
        <v>0</v>
      </c>
      <c r="M2503">
        <f t="shared" si="197"/>
        <v>0</v>
      </c>
      <c r="N2503">
        <f t="shared" si="198"/>
        <v>0</v>
      </c>
      <c r="O2503">
        <f t="shared" si="195"/>
        <v>1</v>
      </c>
      <c r="P2503" t="str">
        <f t="shared" si="199"/>
        <v/>
      </c>
      <c r="Q2503">
        <f>COUNTIF('責任職　企業局→市長部局'!A:A,SQLデータ!B2503)</f>
        <v>0</v>
      </c>
      <c r="R2503">
        <f>COUNTIF('一般職員　企業局→市長部局'!A:F,SQLデータ!B2503)</f>
        <v>0</v>
      </c>
    </row>
    <row r="2504" spans="1:18" x14ac:dyDescent="0.4">
      <c r="A2504" s="1">
        <v>202650002390</v>
      </c>
      <c r="B2504" s="1">
        <v>1174017</v>
      </c>
      <c r="C2504" s="2">
        <v>46113</v>
      </c>
      <c r="D2504" t="s">
        <v>17</v>
      </c>
      <c r="E2504" t="s">
        <v>8</v>
      </c>
      <c r="G2504" t="s">
        <v>9</v>
      </c>
      <c r="L2504">
        <f t="shared" si="196"/>
        <v>0</v>
      </c>
      <c r="M2504">
        <f t="shared" si="197"/>
        <v>0</v>
      </c>
      <c r="N2504">
        <f t="shared" si="198"/>
        <v>0</v>
      </c>
      <c r="O2504">
        <f t="shared" si="195"/>
        <v>1</v>
      </c>
      <c r="P2504" t="str">
        <f t="shared" si="199"/>
        <v/>
      </c>
      <c r="Q2504">
        <f>COUNTIF('責任職　企業局→市長部局'!A:A,SQLデータ!B2504)</f>
        <v>0</v>
      </c>
      <c r="R2504">
        <f>COUNTIF('一般職員　企業局→市長部局'!A:F,SQLデータ!B2504)</f>
        <v>0</v>
      </c>
    </row>
    <row r="2505" spans="1:18" x14ac:dyDescent="0.4">
      <c r="A2505" s="1">
        <v>202650002391</v>
      </c>
      <c r="B2505" s="1">
        <v>972010</v>
      </c>
      <c r="C2505" s="2">
        <v>46124</v>
      </c>
      <c r="D2505" t="s">
        <v>17</v>
      </c>
      <c r="E2505" t="s">
        <v>8</v>
      </c>
      <c r="G2505" t="s">
        <v>9</v>
      </c>
      <c r="L2505">
        <f t="shared" si="196"/>
        <v>0</v>
      </c>
      <c r="M2505">
        <f t="shared" si="197"/>
        <v>0</v>
      </c>
      <c r="N2505">
        <f t="shared" si="198"/>
        <v>0</v>
      </c>
      <c r="O2505">
        <f t="shared" ref="O2505:O2568" si="200">IF(COUNTIF(L2505:N2505,0)=3,1,0)</f>
        <v>1</v>
      </c>
      <c r="P2505" t="str">
        <f t="shared" si="199"/>
        <v/>
      </c>
      <c r="Q2505">
        <f>COUNTIF('責任職　企業局→市長部局'!A:A,SQLデータ!B2505)</f>
        <v>0</v>
      </c>
      <c r="R2505">
        <f>COUNTIF('一般職員　企業局→市長部局'!A:F,SQLデータ!B2505)</f>
        <v>0</v>
      </c>
    </row>
    <row r="2506" spans="1:18" x14ac:dyDescent="0.4">
      <c r="A2506" s="1">
        <v>202650002392</v>
      </c>
      <c r="B2506" s="1">
        <v>1146090</v>
      </c>
      <c r="C2506" s="2">
        <v>46124</v>
      </c>
      <c r="D2506" t="s">
        <v>17</v>
      </c>
      <c r="E2506" t="s">
        <v>8</v>
      </c>
      <c r="G2506" t="s">
        <v>9</v>
      </c>
      <c r="L2506">
        <f t="shared" si="196"/>
        <v>0</v>
      </c>
      <c r="M2506">
        <f t="shared" si="197"/>
        <v>0</v>
      </c>
      <c r="N2506">
        <f t="shared" si="198"/>
        <v>0</v>
      </c>
      <c r="O2506">
        <f t="shared" si="200"/>
        <v>1</v>
      </c>
      <c r="P2506" t="str">
        <f t="shared" si="199"/>
        <v/>
      </c>
      <c r="Q2506">
        <f>COUNTIF('責任職　企業局→市長部局'!A:A,SQLデータ!B2506)</f>
        <v>0</v>
      </c>
      <c r="R2506">
        <f>COUNTIF('一般職員　企業局→市長部局'!A:F,SQLデータ!B2506)</f>
        <v>0</v>
      </c>
    </row>
    <row r="2507" spans="1:18" x14ac:dyDescent="0.4">
      <c r="A2507" s="1">
        <v>202650002393</v>
      </c>
      <c r="B2507" s="1">
        <v>1101451</v>
      </c>
      <c r="C2507" s="2">
        <v>46124</v>
      </c>
      <c r="D2507" t="s">
        <v>17</v>
      </c>
      <c r="E2507" t="s">
        <v>8</v>
      </c>
      <c r="G2507" t="s">
        <v>9</v>
      </c>
      <c r="L2507">
        <f t="shared" si="196"/>
        <v>0</v>
      </c>
      <c r="M2507">
        <f t="shared" si="197"/>
        <v>0</v>
      </c>
      <c r="N2507">
        <f t="shared" si="198"/>
        <v>0</v>
      </c>
      <c r="O2507">
        <f t="shared" si="200"/>
        <v>1</v>
      </c>
      <c r="P2507" t="str">
        <f t="shared" si="199"/>
        <v/>
      </c>
      <c r="Q2507">
        <f>COUNTIF('責任職　企業局→市長部局'!A:A,SQLデータ!B2507)</f>
        <v>0</v>
      </c>
      <c r="R2507">
        <f>COUNTIF('一般職員　企業局→市長部局'!A:F,SQLデータ!B2507)</f>
        <v>0</v>
      </c>
    </row>
    <row r="2508" spans="1:18" x14ac:dyDescent="0.4">
      <c r="A2508" s="1">
        <v>202650002394</v>
      </c>
      <c r="B2508" s="1">
        <v>1136082</v>
      </c>
      <c r="C2508" s="2">
        <v>46124</v>
      </c>
      <c r="D2508" t="s">
        <v>17</v>
      </c>
      <c r="E2508" t="s">
        <v>8</v>
      </c>
      <c r="G2508" t="s">
        <v>9</v>
      </c>
      <c r="L2508">
        <f t="shared" si="196"/>
        <v>0</v>
      </c>
      <c r="M2508">
        <f t="shared" si="197"/>
        <v>0</v>
      </c>
      <c r="N2508">
        <f t="shared" si="198"/>
        <v>0</v>
      </c>
      <c r="O2508">
        <f t="shared" si="200"/>
        <v>1</v>
      </c>
      <c r="P2508" t="str">
        <f t="shared" si="199"/>
        <v/>
      </c>
      <c r="Q2508">
        <f>COUNTIF('責任職　企業局→市長部局'!A:A,SQLデータ!B2508)</f>
        <v>0</v>
      </c>
      <c r="R2508">
        <f>COUNTIF('一般職員　企業局→市長部局'!A:F,SQLデータ!B2508)</f>
        <v>0</v>
      </c>
    </row>
    <row r="2509" spans="1:18" x14ac:dyDescent="0.4">
      <c r="A2509" s="1">
        <v>202650002395</v>
      </c>
      <c r="B2509" s="1">
        <v>960604</v>
      </c>
      <c r="C2509" s="2">
        <v>46124</v>
      </c>
      <c r="D2509" t="s">
        <v>17</v>
      </c>
      <c r="E2509" t="s">
        <v>8</v>
      </c>
      <c r="G2509" t="s">
        <v>9</v>
      </c>
      <c r="L2509">
        <f t="shared" si="196"/>
        <v>0</v>
      </c>
      <c r="M2509">
        <f t="shared" si="197"/>
        <v>0</v>
      </c>
      <c r="N2509">
        <f t="shared" si="198"/>
        <v>0</v>
      </c>
      <c r="O2509">
        <f t="shared" si="200"/>
        <v>1</v>
      </c>
      <c r="P2509" t="str">
        <f t="shared" si="199"/>
        <v/>
      </c>
      <c r="Q2509">
        <f>COUNTIF('責任職　企業局→市長部局'!A:A,SQLデータ!B2509)</f>
        <v>0</v>
      </c>
      <c r="R2509">
        <f>COUNTIF('一般職員　企業局→市長部局'!A:F,SQLデータ!B2509)</f>
        <v>0</v>
      </c>
    </row>
    <row r="2510" spans="1:18" x14ac:dyDescent="0.4">
      <c r="A2510" s="1">
        <v>202650002396</v>
      </c>
      <c r="B2510" s="1">
        <v>1211105</v>
      </c>
      <c r="C2510" s="2">
        <v>46129</v>
      </c>
      <c r="D2510" t="s">
        <v>17</v>
      </c>
      <c r="E2510" t="s">
        <v>8</v>
      </c>
      <c r="G2510" t="s">
        <v>9</v>
      </c>
      <c r="L2510">
        <f t="shared" si="196"/>
        <v>0</v>
      </c>
      <c r="M2510">
        <f t="shared" si="197"/>
        <v>0</v>
      </c>
      <c r="N2510">
        <f t="shared" si="198"/>
        <v>0</v>
      </c>
      <c r="O2510">
        <f t="shared" si="200"/>
        <v>1</v>
      </c>
      <c r="P2510" t="str">
        <f t="shared" si="199"/>
        <v/>
      </c>
      <c r="Q2510">
        <f>COUNTIF('責任職　企業局→市長部局'!A:A,SQLデータ!B2510)</f>
        <v>0</v>
      </c>
      <c r="R2510">
        <f>COUNTIF('一般職員　企業局→市長部局'!A:F,SQLデータ!B2510)</f>
        <v>0</v>
      </c>
    </row>
    <row r="2511" spans="1:18" x14ac:dyDescent="0.4">
      <c r="A2511" s="1">
        <v>202650002397</v>
      </c>
      <c r="B2511" s="1">
        <v>1211471</v>
      </c>
      <c r="C2511" s="2">
        <v>46124</v>
      </c>
      <c r="D2511" t="s">
        <v>17</v>
      </c>
      <c r="E2511" t="s">
        <v>8</v>
      </c>
      <c r="G2511" t="s">
        <v>9</v>
      </c>
      <c r="L2511">
        <f t="shared" si="196"/>
        <v>0</v>
      </c>
      <c r="M2511">
        <f t="shared" si="197"/>
        <v>0</v>
      </c>
      <c r="N2511">
        <f t="shared" si="198"/>
        <v>0</v>
      </c>
      <c r="O2511">
        <f t="shared" si="200"/>
        <v>1</v>
      </c>
      <c r="P2511" t="str">
        <f t="shared" si="199"/>
        <v/>
      </c>
      <c r="Q2511">
        <f>COUNTIF('責任職　企業局→市長部局'!A:A,SQLデータ!B2511)</f>
        <v>0</v>
      </c>
      <c r="R2511">
        <f>COUNTIF('一般職員　企業局→市長部局'!A:F,SQLデータ!B2511)</f>
        <v>0</v>
      </c>
    </row>
    <row r="2512" spans="1:18" x14ac:dyDescent="0.4">
      <c r="A2512" s="1">
        <v>202650002398</v>
      </c>
      <c r="B2512" s="1">
        <v>1216128</v>
      </c>
      <c r="C2512" s="2">
        <v>46124</v>
      </c>
      <c r="D2512" t="s">
        <v>17</v>
      </c>
      <c r="E2512" t="s">
        <v>8</v>
      </c>
      <c r="G2512" t="s">
        <v>9</v>
      </c>
      <c r="L2512">
        <f t="shared" si="196"/>
        <v>0</v>
      </c>
      <c r="M2512">
        <f t="shared" si="197"/>
        <v>0</v>
      </c>
      <c r="N2512">
        <f t="shared" si="198"/>
        <v>0</v>
      </c>
      <c r="O2512">
        <f t="shared" si="200"/>
        <v>1</v>
      </c>
      <c r="P2512" t="str">
        <f t="shared" si="199"/>
        <v/>
      </c>
      <c r="Q2512">
        <f>COUNTIF('責任職　企業局→市長部局'!A:A,SQLデータ!B2512)</f>
        <v>0</v>
      </c>
      <c r="R2512">
        <f>COUNTIF('一般職員　企業局→市長部局'!A:F,SQLデータ!B2512)</f>
        <v>0</v>
      </c>
    </row>
    <row r="2513" spans="1:18" x14ac:dyDescent="0.4">
      <c r="A2513" s="1">
        <v>202650002400</v>
      </c>
      <c r="B2513" s="1">
        <v>1176004</v>
      </c>
      <c r="C2513" s="2">
        <v>46124</v>
      </c>
      <c r="D2513" t="s">
        <v>17</v>
      </c>
      <c r="E2513" t="s">
        <v>8</v>
      </c>
      <c r="G2513" t="s">
        <v>9</v>
      </c>
      <c r="L2513">
        <f t="shared" si="196"/>
        <v>0</v>
      </c>
      <c r="M2513">
        <f t="shared" si="197"/>
        <v>0</v>
      </c>
      <c r="N2513">
        <f t="shared" si="198"/>
        <v>0</v>
      </c>
      <c r="O2513">
        <f t="shared" si="200"/>
        <v>1</v>
      </c>
      <c r="P2513" t="str">
        <f t="shared" si="199"/>
        <v/>
      </c>
      <c r="Q2513">
        <f>COUNTIF('責任職　企業局→市長部局'!A:A,SQLデータ!B2513)</f>
        <v>0</v>
      </c>
      <c r="R2513">
        <f>COUNTIF('一般職員　企業局→市長部局'!A:F,SQLデータ!B2513)</f>
        <v>0</v>
      </c>
    </row>
    <row r="2514" spans="1:18" x14ac:dyDescent="0.4">
      <c r="A2514" s="1">
        <v>202650002401</v>
      </c>
      <c r="B2514" s="1">
        <v>880446</v>
      </c>
      <c r="C2514" s="2">
        <v>46125</v>
      </c>
      <c r="D2514" t="s">
        <v>17</v>
      </c>
      <c r="E2514" t="s">
        <v>8</v>
      </c>
      <c r="G2514" t="s">
        <v>9</v>
      </c>
      <c r="L2514">
        <f t="shared" si="196"/>
        <v>0</v>
      </c>
      <c r="M2514">
        <f t="shared" si="197"/>
        <v>0</v>
      </c>
      <c r="N2514">
        <f t="shared" si="198"/>
        <v>0</v>
      </c>
      <c r="O2514">
        <f t="shared" si="200"/>
        <v>1</v>
      </c>
      <c r="P2514" t="str">
        <f t="shared" si="199"/>
        <v/>
      </c>
      <c r="Q2514">
        <f>COUNTIF('責任職　企業局→市長部局'!A:A,SQLデータ!B2514)</f>
        <v>0</v>
      </c>
      <c r="R2514">
        <f>COUNTIF('一般職員　企業局→市長部局'!A:F,SQLデータ!B2514)</f>
        <v>0</v>
      </c>
    </row>
    <row r="2515" spans="1:18" x14ac:dyDescent="0.4">
      <c r="A2515" s="1">
        <v>202650002402</v>
      </c>
      <c r="B2515" s="1">
        <v>1102027</v>
      </c>
      <c r="C2515" s="2">
        <v>46125</v>
      </c>
      <c r="D2515" t="s">
        <v>17</v>
      </c>
      <c r="E2515" t="s">
        <v>8</v>
      </c>
      <c r="G2515" t="s">
        <v>9</v>
      </c>
      <c r="L2515">
        <f t="shared" si="196"/>
        <v>0</v>
      </c>
      <c r="M2515">
        <f t="shared" si="197"/>
        <v>0</v>
      </c>
      <c r="N2515">
        <f t="shared" si="198"/>
        <v>0</v>
      </c>
      <c r="O2515">
        <f t="shared" si="200"/>
        <v>1</v>
      </c>
      <c r="P2515" t="str">
        <f t="shared" si="199"/>
        <v/>
      </c>
      <c r="Q2515">
        <f>COUNTIF('責任職　企業局→市長部局'!A:A,SQLデータ!B2515)</f>
        <v>0</v>
      </c>
      <c r="R2515">
        <f>COUNTIF('一般職員　企業局→市長部局'!A:F,SQLデータ!B2515)</f>
        <v>0</v>
      </c>
    </row>
    <row r="2516" spans="1:18" x14ac:dyDescent="0.4">
      <c r="A2516" s="1">
        <v>202650002403</v>
      </c>
      <c r="B2516" s="1">
        <v>930600</v>
      </c>
      <c r="C2516" s="2">
        <v>46125</v>
      </c>
      <c r="D2516" t="s">
        <v>17</v>
      </c>
      <c r="E2516" t="s">
        <v>8</v>
      </c>
      <c r="G2516" t="s">
        <v>9</v>
      </c>
      <c r="L2516">
        <f t="shared" si="196"/>
        <v>0</v>
      </c>
      <c r="M2516">
        <f t="shared" si="197"/>
        <v>0</v>
      </c>
      <c r="N2516">
        <f t="shared" si="198"/>
        <v>0</v>
      </c>
      <c r="O2516">
        <f t="shared" si="200"/>
        <v>1</v>
      </c>
      <c r="P2516" t="str">
        <f t="shared" si="199"/>
        <v/>
      </c>
      <c r="Q2516">
        <f>COUNTIF('責任職　企業局→市長部局'!A:A,SQLデータ!B2516)</f>
        <v>0</v>
      </c>
      <c r="R2516">
        <f>COUNTIF('一般職員　企業局→市長部局'!A:F,SQLデータ!B2516)</f>
        <v>0</v>
      </c>
    </row>
    <row r="2517" spans="1:18" x14ac:dyDescent="0.4">
      <c r="A2517" s="1">
        <v>202650002404</v>
      </c>
      <c r="B2517" s="1">
        <v>1212096</v>
      </c>
      <c r="C2517" s="2">
        <v>46127</v>
      </c>
      <c r="D2517" t="s">
        <v>17</v>
      </c>
      <c r="E2517" t="s">
        <v>8</v>
      </c>
      <c r="G2517" t="s">
        <v>9</v>
      </c>
      <c r="L2517">
        <f t="shared" si="196"/>
        <v>0</v>
      </c>
      <c r="M2517">
        <f t="shared" si="197"/>
        <v>0</v>
      </c>
      <c r="N2517">
        <f t="shared" si="198"/>
        <v>0</v>
      </c>
      <c r="O2517">
        <f t="shared" si="200"/>
        <v>1</v>
      </c>
      <c r="P2517" t="str">
        <f t="shared" si="199"/>
        <v/>
      </c>
      <c r="Q2517">
        <f>COUNTIF('責任職　企業局→市長部局'!A:A,SQLデータ!B2517)</f>
        <v>0</v>
      </c>
      <c r="R2517">
        <f>COUNTIF('一般職員　企業局→市長部局'!A:F,SQLデータ!B2517)</f>
        <v>0</v>
      </c>
    </row>
    <row r="2518" spans="1:18" x14ac:dyDescent="0.4">
      <c r="A2518" s="1">
        <v>202650002405</v>
      </c>
      <c r="B2518" s="1">
        <v>1036074</v>
      </c>
      <c r="C2518" s="2">
        <v>46125</v>
      </c>
      <c r="D2518" t="s">
        <v>17</v>
      </c>
      <c r="E2518" t="s">
        <v>8</v>
      </c>
      <c r="G2518" t="s">
        <v>9</v>
      </c>
      <c r="L2518">
        <f t="shared" si="196"/>
        <v>0</v>
      </c>
      <c r="M2518">
        <f t="shared" si="197"/>
        <v>0</v>
      </c>
      <c r="N2518">
        <f t="shared" si="198"/>
        <v>0</v>
      </c>
      <c r="O2518">
        <f t="shared" si="200"/>
        <v>1</v>
      </c>
      <c r="P2518" t="str">
        <f t="shared" si="199"/>
        <v/>
      </c>
      <c r="Q2518">
        <f>COUNTIF('責任職　企業局→市長部局'!A:A,SQLデータ!B2518)</f>
        <v>0</v>
      </c>
      <c r="R2518">
        <f>COUNTIF('一般職員　企業局→市長部局'!A:F,SQLデータ!B2518)</f>
        <v>0</v>
      </c>
    </row>
    <row r="2519" spans="1:18" x14ac:dyDescent="0.4">
      <c r="A2519" s="1">
        <v>202650002406</v>
      </c>
      <c r="B2519" s="1">
        <v>1221315</v>
      </c>
      <c r="C2519" s="2">
        <v>46127</v>
      </c>
      <c r="D2519" t="s">
        <v>17</v>
      </c>
      <c r="E2519" t="s">
        <v>8</v>
      </c>
      <c r="G2519" t="s">
        <v>9</v>
      </c>
      <c r="L2519">
        <f t="shared" si="196"/>
        <v>0</v>
      </c>
      <c r="M2519">
        <f t="shared" si="197"/>
        <v>0</v>
      </c>
      <c r="N2519">
        <f t="shared" si="198"/>
        <v>0</v>
      </c>
      <c r="O2519">
        <f t="shared" si="200"/>
        <v>1</v>
      </c>
      <c r="P2519" t="str">
        <f t="shared" si="199"/>
        <v/>
      </c>
      <c r="Q2519">
        <f>COUNTIF('責任職　企業局→市長部局'!A:A,SQLデータ!B2519)</f>
        <v>0</v>
      </c>
      <c r="R2519">
        <f>COUNTIF('一般職員　企業局→市長部局'!A:F,SQLデータ!B2519)</f>
        <v>0</v>
      </c>
    </row>
    <row r="2520" spans="1:18" x14ac:dyDescent="0.4">
      <c r="A2520" s="1">
        <v>202650002407</v>
      </c>
      <c r="B2520" s="1">
        <v>1181061</v>
      </c>
      <c r="C2520" s="2">
        <v>46125</v>
      </c>
      <c r="D2520" t="s">
        <v>17</v>
      </c>
      <c r="E2520" t="s">
        <v>8</v>
      </c>
      <c r="G2520" t="s">
        <v>9</v>
      </c>
      <c r="L2520">
        <f t="shared" si="196"/>
        <v>0</v>
      </c>
      <c r="M2520">
        <f t="shared" si="197"/>
        <v>0</v>
      </c>
      <c r="N2520">
        <f t="shared" si="198"/>
        <v>0</v>
      </c>
      <c r="O2520">
        <f t="shared" si="200"/>
        <v>1</v>
      </c>
      <c r="P2520" t="str">
        <f t="shared" si="199"/>
        <v/>
      </c>
      <c r="Q2520">
        <f>COUNTIF('責任職　企業局→市長部局'!A:A,SQLデータ!B2520)</f>
        <v>0</v>
      </c>
      <c r="R2520">
        <f>COUNTIF('一般職員　企業局→市長部局'!A:F,SQLデータ!B2520)</f>
        <v>0</v>
      </c>
    </row>
    <row r="2521" spans="1:18" x14ac:dyDescent="0.4">
      <c r="A2521" s="1">
        <v>202650002408</v>
      </c>
      <c r="B2521" s="1">
        <v>1111251</v>
      </c>
      <c r="C2521" s="2">
        <v>46125</v>
      </c>
      <c r="D2521" t="s">
        <v>17</v>
      </c>
      <c r="E2521" t="s">
        <v>8</v>
      </c>
      <c r="G2521" t="s">
        <v>9</v>
      </c>
      <c r="L2521">
        <f t="shared" si="196"/>
        <v>0</v>
      </c>
      <c r="M2521">
        <f t="shared" si="197"/>
        <v>0</v>
      </c>
      <c r="N2521">
        <f t="shared" si="198"/>
        <v>0</v>
      </c>
      <c r="O2521">
        <f t="shared" si="200"/>
        <v>1</v>
      </c>
      <c r="P2521" t="str">
        <f t="shared" si="199"/>
        <v/>
      </c>
      <c r="Q2521">
        <f>COUNTIF('責任職　企業局→市長部局'!A:A,SQLデータ!B2521)</f>
        <v>0</v>
      </c>
      <c r="R2521">
        <f>COUNTIF('一般職員　企業局→市長部局'!A:F,SQLデータ!B2521)</f>
        <v>0</v>
      </c>
    </row>
    <row r="2522" spans="1:18" x14ac:dyDescent="0.4">
      <c r="A2522" s="1">
        <v>202650002409</v>
      </c>
      <c r="B2522" s="1">
        <v>1254045</v>
      </c>
      <c r="C2522" s="2">
        <v>46125</v>
      </c>
      <c r="D2522" t="s">
        <v>17</v>
      </c>
      <c r="E2522" t="s">
        <v>8</v>
      </c>
      <c r="G2522" t="s">
        <v>9</v>
      </c>
      <c r="L2522">
        <f t="shared" si="196"/>
        <v>0</v>
      </c>
      <c r="M2522">
        <f t="shared" si="197"/>
        <v>0</v>
      </c>
      <c r="N2522">
        <f t="shared" si="198"/>
        <v>0</v>
      </c>
      <c r="O2522">
        <f t="shared" si="200"/>
        <v>1</v>
      </c>
      <c r="P2522" t="str">
        <f t="shared" si="199"/>
        <v/>
      </c>
      <c r="Q2522">
        <f>COUNTIF('責任職　企業局→市長部局'!A:A,SQLデータ!B2522)</f>
        <v>0</v>
      </c>
      <c r="R2522">
        <f>COUNTIF('一般職員　企業局→市長部局'!A:F,SQLデータ!B2522)</f>
        <v>0</v>
      </c>
    </row>
    <row r="2523" spans="1:18" x14ac:dyDescent="0.4">
      <c r="A2523" s="1">
        <v>202650002410</v>
      </c>
      <c r="B2523" s="1">
        <v>1161296</v>
      </c>
      <c r="C2523" s="2">
        <v>46125</v>
      </c>
      <c r="D2523" t="s">
        <v>17</v>
      </c>
      <c r="E2523" t="s">
        <v>8</v>
      </c>
      <c r="G2523" t="s">
        <v>9</v>
      </c>
      <c r="L2523">
        <f t="shared" si="196"/>
        <v>0</v>
      </c>
      <c r="M2523">
        <f t="shared" si="197"/>
        <v>0</v>
      </c>
      <c r="N2523">
        <f t="shared" si="198"/>
        <v>0</v>
      </c>
      <c r="O2523">
        <f t="shared" si="200"/>
        <v>1</v>
      </c>
      <c r="P2523" t="str">
        <f t="shared" si="199"/>
        <v/>
      </c>
      <c r="Q2523">
        <f>COUNTIF('責任職　企業局→市長部局'!A:A,SQLデータ!B2523)</f>
        <v>0</v>
      </c>
      <c r="R2523">
        <f>COUNTIF('一般職員　企業局→市長部局'!A:F,SQLデータ!B2523)</f>
        <v>0</v>
      </c>
    </row>
    <row r="2524" spans="1:18" x14ac:dyDescent="0.4">
      <c r="A2524" s="1">
        <v>202650002411</v>
      </c>
      <c r="B2524" s="1">
        <v>1214004</v>
      </c>
      <c r="C2524" s="2">
        <v>46125</v>
      </c>
      <c r="D2524" t="s">
        <v>17</v>
      </c>
      <c r="E2524" t="s">
        <v>8</v>
      </c>
      <c r="G2524" t="s">
        <v>9</v>
      </c>
      <c r="L2524">
        <f t="shared" si="196"/>
        <v>0</v>
      </c>
      <c r="M2524">
        <f t="shared" si="197"/>
        <v>0</v>
      </c>
      <c r="N2524">
        <f t="shared" si="198"/>
        <v>0</v>
      </c>
      <c r="O2524">
        <f t="shared" si="200"/>
        <v>1</v>
      </c>
      <c r="P2524" t="str">
        <f t="shared" si="199"/>
        <v/>
      </c>
      <c r="Q2524">
        <f>COUNTIF('責任職　企業局→市長部局'!A:A,SQLデータ!B2524)</f>
        <v>0</v>
      </c>
      <c r="R2524">
        <f>COUNTIF('一般職員　企業局→市長部局'!A:F,SQLデータ!B2524)</f>
        <v>0</v>
      </c>
    </row>
    <row r="2525" spans="1:18" x14ac:dyDescent="0.4">
      <c r="A2525" s="1">
        <v>202650002412</v>
      </c>
      <c r="B2525" s="1">
        <v>974277</v>
      </c>
      <c r="C2525" s="2">
        <v>46125</v>
      </c>
      <c r="D2525" t="s">
        <v>17</v>
      </c>
      <c r="E2525" t="s">
        <v>8</v>
      </c>
      <c r="G2525" t="s">
        <v>9</v>
      </c>
      <c r="L2525">
        <f t="shared" si="196"/>
        <v>0</v>
      </c>
      <c r="M2525">
        <f t="shared" si="197"/>
        <v>0</v>
      </c>
      <c r="N2525">
        <f t="shared" si="198"/>
        <v>0</v>
      </c>
      <c r="O2525">
        <f t="shared" si="200"/>
        <v>1</v>
      </c>
      <c r="P2525" t="str">
        <f t="shared" si="199"/>
        <v/>
      </c>
      <c r="Q2525">
        <f>COUNTIF('責任職　企業局→市長部局'!A:A,SQLデータ!B2525)</f>
        <v>0</v>
      </c>
      <c r="R2525">
        <f>COUNTIF('一般職員　企業局→市長部局'!A:F,SQLデータ!B2525)</f>
        <v>0</v>
      </c>
    </row>
    <row r="2526" spans="1:18" x14ac:dyDescent="0.4">
      <c r="A2526" s="1">
        <v>202650002413</v>
      </c>
      <c r="B2526" s="1">
        <v>890307</v>
      </c>
      <c r="C2526" s="2">
        <v>46125</v>
      </c>
      <c r="D2526" t="s">
        <v>17</v>
      </c>
      <c r="E2526" t="s">
        <v>8</v>
      </c>
      <c r="G2526" t="s">
        <v>9</v>
      </c>
      <c r="L2526">
        <f t="shared" si="196"/>
        <v>0</v>
      </c>
      <c r="M2526">
        <f t="shared" si="197"/>
        <v>0</v>
      </c>
      <c r="N2526">
        <f t="shared" si="198"/>
        <v>0</v>
      </c>
      <c r="O2526">
        <f t="shared" si="200"/>
        <v>1</v>
      </c>
      <c r="P2526" t="str">
        <f t="shared" si="199"/>
        <v/>
      </c>
      <c r="Q2526">
        <f>COUNTIF('責任職　企業局→市長部局'!A:A,SQLデータ!B2526)</f>
        <v>0</v>
      </c>
      <c r="R2526">
        <f>COUNTIF('一般職員　企業局→市長部局'!A:F,SQLデータ!B2526)</f>
        <v>0</v>
      </c>
    </row>
    <row r="2527" spans="1:18" x14ac:dyDescent="0.4">
      <c r="A2527" s="1">
        <v>202650002415</v>
      </c>
      <c r="B2527" s="1">
        <v>1014145</v>
      </c>
      <c r="C2527" s="2">
        <v>46125</v>
      </c>
      <c r="D2527" t="s">
        <v>17</v>
      </c>
      <c r="E2527" t="s">
        <v>8</v>
      </c>
      <c r="G2527" t="s">
        <v>9</v>
      </c>
      <c r="L2527">
        <f t="shared" si="196"/>
        <v>0</v>
      </c>
      <c r="M2527">
        <f t="shared" si="197"/>
        <v>0</v>
      </c>
      <c r="N2527">
        <f t="shared" si="198"/>
        <v>0</v>
      </c>
      <c r="O2527">
        <f t="shared" si="200"/>
        <v>1</v>
      </c>
      <c r="P2527" t="str">
        <f t="shared" si="199"/>
        <v/>
      </c>
      <c r="Q2527">
        <f>COUNTIF('責任職　企業局→市長部局'!A:A,SQLデータ!B2527)</f>
        <v>0</v>
      </c>
      <c r="R2527">
        <f>COUNTIF('一般職員　企業局→市長部局'!A:F,SQLデータ!B2527)</f>
        <v>0</v>
      </c>
    </row>
    <row r="2528" spans="1:18" x14ac:dyDescent="0.4">
      <c r="A2528" s="1">
        <v>202650002416</v>
      </c>
      <c r="B2528" s="1">
        <v>1028043</v>
      </c>
      <c r="C2528" s="2">
        <v>46125</v>
      </c>
      <c r="D2528" t="s">
        <v>17</v>
      </c>
      <c r="E2528" t="s">
        <v>8</v>
      </c>
      <c r="G2528" t="s">
        <v>9</v>
      </c>
      <c r="L2528">
        <f t="shared" si="196"/>
        <v>0</v>
      </c>
      <c r="M2528">
        <f t="shared" si="197"/>
        <v>0</v>
      </c>
      <c r="N2528">
        <f t="shared" si="198"/>
        <v>0</v>
      </c>
      <c r="O2528">
        <f t="shared" si="200"/>
        <v>1</v>
      </c>
      <c r="P2528" t="str">
        <f t="shared" si="199"/>
        <v/>
      </c>
      <c r="Q2528">
        <f>COUNTIF('責任職　企業局→市長部局'!A:A,SQLデータ!B2528)</f>
        <v>0</v>
      </c>
      <c r="R2528">
        <f>COUNTIF('一般職員　企業局→市長部局'!A:F,SQLデータ!B2528)</f>
        <v>0</v>
      </c>
    </row>
    <row r="2529" spans="1:18" x14ac:dyDescent="0.4">
      <c r="A2529" s="1">
        <v>202650002417</v>
      </c>
      <c r="B2529" s="1">
        <v>1154074</v>
      </c>
      <c r="C2529" s="2">
        <v>46125</v>
      </c>
      <c r="D2529" t="s">
        <v>17</v>
      </c>
      <c r="E2529" t="s">
        <v>8</v>
      </c>
      <c r="G2529" t="s">
        <v>9</v>
      </c>
      <c r="L2529">
        <f t="shared" si="196"/>
        <v>0</v>
      </c>
      <c r="M2529">
        <f t="shared" si="197"/>
        <v>0</v>
      </c>
      <c r="N2529">
        <f t="shared" si="198"/>
        <v>0</v>
      </c>
      <c r="O2529">
        <f t="shared" si="200"/>
        <v>1</v>
      </c>
      <c r="P2529" t="str">
        <f t="shared" si="199"/>
        <v/>
      </c>
      <c r="Q2529">
        <f>COUNTIF('責任職　企業局→市長部局'!A:A,SQLデータ!B2529)</f>
        <v>0</v>
      </c>
      <c r="R2529">
        <f>COUNTIF('一般職員　企業局→市長部局'!A:F,SQLデータ!B2529)</f>
        <v>0</v>
      </c>
    </row>
    <row r="2530" spans="1:18" x14ac:dyDescent="0.4">
      <c r="A2530" s="1">
        <v>202650002418</v>
      </c>
      <c r="B2530" s="1">
        <v>974246</v>
      </c>
      <c r="C2530" s="2">
        <v>46125</v>
      </c>
      <c r="D2530" t="s">
        <v>17</v>
      </c>
      <c r="E2530" t="s">
        <v>8</v>
      </c>
      <c r="G2530" t="s">
        <v>9</v>
      </c>
      <c r="L2530">
        <f t="shared" si="196"/>
        <v>0</v>
      </c>
      <c r="M2530">
        <f t="shared" si="197"/>
        <v>0</v>
      </c>
      <c r="N2530">
        <f t="shared" si="198"/>
        <v>0</v>
      </c>
      <c r="O2530">
        <f t="shared" si="200"/>
        <v>1</v>
      </c>
      <c r="P2530" t="str">
        <f t="shared" si="199"/>
        <v/>
      </c>
      <c r="Q2530">
        <f>COUNTIF('責任職　企業局→市長部局'!A:A,SQLデータ!B2530)</f>
        <v>0</v>
      </c>
      <c r="R2530">
        <f>COUNTIF('一般職員　企業局→市長部局'!A:F,SQLデータ!B2530)</f>
        <v>0</v>
      </c>
    </row>
    <row r="2531" spans="1:18" x14ac:dyDescent="0.4">
      <c r="A2531" s="1">
        <v>202650002419</v>
      </c>
      <c r="B2531" s="1">
        <v>1246029</v>
      </c>
      <c r="C2531" s="2">
        <v>46127</v>
      </c>
      <c r="D2531" t="s">
        <v>17</v>
      </c>
      <c r="E2531" t="s">
        <v>8</v>
      </c>
      <c r="G2531" t="s">
        <v>9</v>
      </c>
      <c r="L2531">
        <f t="shared" si="196"/>
        <v>0</v>
      </c>
      <c r="M2531">
        <f t="shared" si="197"/>
        <v>0</v>
      </c>
      <c r="N2531">
        <f t="shared" si="198"/>
        <v>0</v>
      </c>
      <c r="O2531">
        <f t="shared" si="200"/>
        <v>1</v>
      </c>
      <c r="P2531" t="str">
        <f t="shared" si="199"/>
        <v/>
      </c>
      <c r="Q2531">
        <f>COUNTIF('責任職　企業局→市長部局'!A:A,SQLデータ!B2531)</f>
        <v>0</v>
      </c>
      <c r="R2531">
        <f>COUNTIF('一般職員　企業局→市長部局'!A:F,SQLデータ!B2531)</f>
        <v>0</v>
      </c>
    </row>
    <row r="2532" spans="1:18" x14ac:dyDescent="0.4">
      <c r="A2532" s="1">
        <v>202650002420</v>
      </c>
      <c r="B2532" s="1">
        <v>1174013</v>
      </c>
      <c r="C2532" s="2">
        <v>46125</v>
      </c>
      <c r="D2532" t="s">
        <v>17</v>
      </c>
      <c r="E2532" t="s">
        <v>8</v>
      </c>
      <c r="G2532" t="s">
        <v>9</v>
      </c>
      <c r="L2532">
        <f t="shared" si="196"/>
        <v>0</v>
      </c>
      <c r="M2532">
        <f t="shared" si="197"/>
        <v>0</v>
      </c>
      <c r="N2532">
        <f t="shared" si="198"/>
        <v>0</v>
      </c>
      <c r="O2532">
        <f t="shared" si="200"/>
        <v>1</v>
      </c>
      <c r="P2532" t="str">
        <f t="shared" si="199"/>
        <v/>
      </c>
      <c r="Q2532">
        <f>COUNTIF('責任職　企業局→市長部局'!A:A,SQLデータ!B2532)</f>
        <v>0</v>
      </c>
      <c r="R2532">
        <f>COUNTIF('一般職員　企業局→市長部局'!A:F,SQLデータ!B2532)</f>
        <v>0</v>
      </c>
    </row>
    <row r="2533" spans="1:18" x14ac:dyDescent="0.4">
      <c r="A2533" s="1">
        <v>202650002421</v>
      </c>
      <c r="B2533" s="1">
        <v>1221035</v>
      </c>
      <c r="C2533" s="2">
        <v>46125</v>
      </c>
      <c r="D2533" t="s">
        <v>17</v>
      </c>
      <c r="E2533" t="s">
        <v>8</v>
      </c>
      <c r="G2533" t="s">
        <v>9</v>
      </c>
      <c r="L2533">
        <f t="shared" si="196"/>
        <v>0</v>
      </c>
      <c r="M2533">
        <f t="shared" si="197"/>
        <v>0</v>
      </c>
      <c r="N2533">
        <f t="shared" si="198"/>
        <v>0</v>
      </c>
      <c r="O2533">
        <f t="shared" si="200"/>
        <v>1</v>
      </c>
      <c r="P2533" t="str">
        <f t="shared" si="199"/>
        <v/>
      </c>
      <c r="Q2533">
        <f>COUNTIF('責任職　企業局→市長部局'!A:A,SQLデータ!B2533)</f>
        <v>0</v>
      </c>
      <c r="R2533">
        <f>COUNTIF('一般職員　企業局→市長部局'!A:F,SQLデータ!B2533)</f>
        <v>0</v>
      </c>
    </row>
    <row r="2534" spans="1:18" x14ac:dyDescent="0.4">
      <c r="A2534" s="1">
        <v>202650002422</v>
      </c>
      <c r="B2534" s="1">
        <v>1131167</v>
      </c>
      <c r="C2534" s="2">
        <v>46125</v>
      </c>
      <c r="D2534" t="s">
        <v>17</v>
      </c>
      <c r="E2534" t="s">
        <v>8</v>
      </c>
      <c r="G2534" t="s">
        <v>9</v>
      </c>
      <c r="L2534">
        <f t="shared" si="196"/>
        <v>0</v>
      </c>
      <c r="M2534">
        <f t="shared" si="197"/>
        <v>0</v>
      </c>
      <c r="N2534">
        <f t="shared" si="198"/>
        <v>0</v>
      </c>
      <c r="O2534">
        <f t="shared" si="200"/>
        <v>1</v>
      </c>
      <c r="P2534" t="str">
        <f t="shared" si="199"/>
        <v/>
      </c>
      <c r="Q2534">
        <f>COUNTIF('責任職　企業局→市長部局'!A:A,SQLデータ!B2534)</f>
        <v>0</v>
      </c>
      <c r="R2534">
        <f>COUNTIF('一般職員　企業局→市長部局'!A:F,SQLデータ!B2534)</f>
        <v>0</v>
      </c>
    </row>
    <row r="2535" spans="1:18" x14ac:dyDescent="0.4">
      <c r="A2535" s="1">
        <v>202650002423</v>
      </c>
      <c r="B2535" s="1">
        <v>1246047</v>
      </c>
      <c r="C2535" s="2">
        <v>46125</v>
      </c>
      <c r="D2535" t="s">
        <v>17</v>
      </c>
      <c r="E2535" t="s">
        <v>8</v>
      </c>
      <c r="G2535" t="s">
        <v>9</v>
      </c>
      <c r="L2535">
        <f t="shared" si="196"/>
        <v>0</v>
      </c>
      <c r="M2535">
        <f t="shared" si="197"/>
        <v>0</v>
      </c>
      <c r="N2535">
        <f t="shared" si="198"/>
        <v>0</v>
      </c>
      <c r="O2535">
        <f t="shared" si="200"/>
        <v>1</v>
      </c>
      <c r="P2535" t="str">
        <f t="shared" si="199"/>
        <v/>
      </c>
      <c r="Q2535">
        <f>COUNTIF('責任職　企業局→市長部局'!A:A,SQLデータ!B2535)</f>
        <v>0</v>
      </c>
      <c r="R2535">
        <f>COUNTIF('一般職員　企業局→市長部局'!A:F,SQLデータ!B2535)</f>
        <v>0</v>
      </c>
    </row>
    <row r="2536" spans="1:18" x14ac:dyDescent="0.4">
      <c r="A2536" s="1">
        <v>202650002424</v>
      </c>
      <c r="B2536" s="1">
        <v>1122072</v>
      </c>
      <c r="C2536" s="2">
        <v>46125</v>
      </c>
      <c r="D2536" t="s">
        <v>17</v>
      </c>
      <c r="E2536" t="s">
        <v>8</v>
      </c>
      <c r="G2536" t="s">
        <v>9</v>
      </c>
      <c r="L2536">
        <f t="shared" si="196"/>
        <v>0</v>
      </c>
      <c r="M2536">
        <f t="shared" si="197"/>
        <v>0</v>
      </c>
      <c r="N2536">
        <f t="shared" si="198"/>
        <v>0</v>
      </c>
      <c r="O2536">
        <f t="shared" si="200"/>
        <v>1</v>
      </c>
      <c r="P2536" t="str">
        <f t="shared" si="199"/>
        <v/>
      </c>
      <c r="Q2536">
        <f>COUNTIF('責任職　企業局→市長部局'!A:A,SQLデータ!B2536)</f>
        <v>0</v>
      </c>
      <c r="R2536">
        <f>COUNTIF('一般職員　企業局→市長部局'!A:F,SQLデータ!B2536)</f>
        <v>0</v>
      </c>
    </row>
    <row r="2537" spans="1:18" x14ac:dyDescent="0.4">
      <c r="A2537" s="1">
        <v>202650002425</v>
      </c>
      <c r="B2537" s="1">
        <v>1112161</v>
      </c>
      <c r="C2537" s="2">
        <v>46125</v>
      </c>
      <c r="D2537" t="s">
        <v>17</v>
      </c>
      <c r="E2537" t="s">
        <v>8</v>
      </c>
      <c r="G2537" t="s">
        <v>9</v>
      </c>
      <c r="L2537">
        <f t="shared" si="196"/>
        <v>0</v>
      </c>
      <c r="M2537">
        <f t="shared" si="197"/>
        <v>0</v>
      </c>
      <c r="N2537">
        <f t="shared" si="198"/>
        <v>0</v>
      </c>
      <c r="O2537">
        <f t="shared" si="200"/>
        <v>1</v>
      </c>
      <c r="P2537" t="str">
        <f t="shared" si="199"/>
        <v/>
      </c>
      <c r="Q2537">
        <f>COUNTIF('責任職　企業局→市長部局'!A:A,SQLデータ!B2537)</f>
        <v>0</v>
      </c>
      <c r="R2537">
        <f>COUNTIF('一般職員　企業局→市長部局'!A:F,SQLデータ!B2537)</f>
        <v>0</v>
      </c>
    </row>
    <row r="2538" spans="1:18" x14ac:dyDescent="0.4">
      <c r="A2538" s="1">
        <v>202650002426</v>
      </c>
      <c r="B2538" s="1">
        <v>1176111</v>
      </c>
      <c r="C2538" s="2">
        <v>46125</v>
      </c>
      <c r="D2538" t="s">
        <v>17</v>
      </c>
      <c r="E2538" t="s">
        <v>8</v>
      </c>
      <c r="G2538" t="s">
        <v>9</v>
      </c>
      <c r="L2538">
        <f t="shared" si="196"/>
        <v>0</v>
      </c>
      <c r="M2538">
        <f t="shared" si="197"/>
        <v>0</v>
      </c>
      <c r="N2538">
        <f t="shared" si="198"/>
        <v>0</v>
      </c>
      <c r="O2538">
        <f t="shared" si="200"/>
        <v>1</v>
      </c>
      <c r="P2538" t="str">
        <f t="shared" si="199"/>
        <v/>
      </c>
      <c r="Q2538">
        <f>COUNTIF('責任職　企業局→市長部局'!A:A,SQLデータ!B2538)</f>
        <v>0</v>
      </c>
      <c r="R2538">
        <f>COUNTIF('一般職員　企業局→市長部局'!A:F,SQLデータ!B2538)</f>
        <v>0</v>
      </c>
    </row>
    <row r="2539" spans="1:18" x14ac:dyDescent="0.4">
      <c r="A2539" s="1">
        <v>202650002427</v>
      </c>
      <c r="B2539" s="1">
        <v>1254001</v>
      </c>
      <c r="C2539" s="2">
        <v>46125</v>
      </c>
      <c r="D2539" t="s">
        <v>17</v>
      </c>
      <c r="E2539" t="s">
        <v>8</v>
      </c>
      <c r="G2539" t="s">
        <v>9</v>
      </c>
      <c r="L2539">
        <f t="shared" si="196"/>
        <v>0</v>
      </c>
      <c r="M2539">
        <f t="shared" si="197"/>
        <v>0</v>
      </c>
      <c r="N2539">
        <f t="shared" si="198"/>
        <v>0</v>
      </c>
      <c r="O2539">
        <f t="shared" si="200"/>
        <v>1</v>
      </c>
      <c r="P2539" t="str">
        <f t="shared" si="199"/>
        <v/>
      </c>
      <c r="Q2539">
        <f>COUNTIF('責任職　企業局→市長部局'!A:A,SQLデータ!B2539)</f>
        <v>0</v>
      </c>
      <c r="R2539">
        <f>COUNTIF('一般職員　企業局→市長部局'!A:F,SQLデータ!B2539)</f>
        <v>0</v>
      </c>
    </row>
    <row r="2540" spans="1:18" x14ac:dyDescent="0.4">
      <c r="A2540" s="1">
        <v>202650002428</v>
      </c>
      <c r="B2540" s="1">
        <v>972509</v>
      </c>
      <c r="C2540" s="2">
        <v>46125</v>
      </c>
      <c r="D2540" t="s">
        <v>17</v>
      </c>
      <c r="E2540" t="s">
        <v>8</v>
      </c>
      <c r="G2540" t="s">
        <v>9</v>
      </c>
      <c r="L2540">
        <f t="shared" si="196"/>
        <v>0</v>
      </c>
      <c r="M2540">
        <f t="shared" si="197"/>
        <v>0</v>
      </c>
      <c r="N2540">
        <f t="shared" si="198"/>
        <v>0</v>
      </c>
      <c r="O2540">
        <f t="shared" si="200"/>
        <v>1</v>
      </c>
      <c r="P2540" t="str">
        <f t="shared" si="199"/>
        <v/>
      </c>
      <c r="Q2540">
        <f>COUNTIF('責任職　企業局→市長部局'!A:A,SQLデータ!B2540)</f>
        <v>0</v>
      </c>
      <c r="R2540">
        <f>COUNTIF('一般職員　企業局→市長部局'!A:F,SQLデータ!B2540)</f>
        <v>0</v>
      </c>
    </row>
    <row r="2541" spans="1:18" x14ac:dyDescent="0.4">
      <c r="A2541" s="1">
        <v>202650002429</v>
      </c>
      <c r="B2541" s="1">
        <v>1041086</v>
      </c>
      <c r="C2541" s="2">
        <v>46125</v>
      </c>
      <c r="D2541" t="s">
        <v>17</v>
      </c>
      <c r="E2541" t="s">
        <v>8</v>
      </c>
      <c r="G2541" t="s">
        <v>9</v>
      </c>
      <c r="L2541">
        <f t="shared" si="196"/>
        <v>0</v>
      </c>
      <c r="M2541">
        <f t="shared" si="197"/>
        <v>0</v>
      </c>
      <c r="N2541">
        <f t="shared" si="198"/>
        <v>0</v>
      </c>
      <c r="O2541">
        <f t="shared" si="200"/>
        <v>1</v>
      </c>
      <c r="P2541" t="str">
        <f t="shared" si="199"/>
        <v/>
      </c>
      <c r="Q2541">
        <f>COUNTIF('責任職　企業局→市長部局'!A:A,SQLデータ!B2541)</f>
        <v>0</v>
      </c>
      <c r="R2541">
        <f>COUNTIF('一般職員　企業局→市長部局'!A:F,SQLデータ!B2541)</f>
        <v>0</v>
      </c>
    </row>
    <row r="2542" spans="1:18" x14ac:dyDescent="0.4">
      <c r="A2542" s="1">
        <v>202650002430</v>
      </c>
      <c r="B2542" s="1">
        <v>1124022</v>
      </c>
      <c r="C2542" s="2">
        <v>46125</v>
      </c>
      <c r="D2542" t="s">
        <v>17</v>
      </c>
      <c r="E2542" t="s">
        <v>8</v>
      </c>
      <c r="G2542" t="s">
        <v>9</v>
      </c>
      <c r="L2542">
        <f t="shared" si="196"/>
        <v>0</v>
      </c>
      <c r="M2542">
        <f t="shared" si="197"/>
        <v>0</v>
      </c>
      <c r="N2542">
        <f t="shared" si="198"/>
        <v>0</v>
      </c>
      <c r="O2542">
        <f t="shared" si="200"/>
        <v>1</v>
      </c>
      <c r="P2542" t="str">
        <f t="shared" si="199"/>
        <v/>
      </c>
      <c r="Q2542">
        <f>COUNTIF('責任職　企業局→市長部局'!A:A,SQLデータ!B2542)</f>
        <v>0</v>
      </c>
      <c r="R2542">
        <f>COUNTIF('一般職員　企業局→市長部局'!A:F,SQLデータ!B2542)</f>
        <v>0</v>
      </c>
    </row>
    <row r="2543" spans="1:18" x14ac:dyDescent="0.4">
      <c r="A2543" s="1">
        <v>202650002431</v>
      </c>
      <c r="B2543" s="1">
        <v>1204084</v>
      </c>
      <c r="C2543" s="2">
        <v>46125</v>
      </c>
      <c r="D2543" t="s">
        <v>17</v>
      </c>
      <c r="E2543" t="s">
        <v>8</v>
      </c>
      <c r="G2543" t="s">
        <v>9</v>
      </c>
      <c r="L2543">
        <f t="shared" si="196"/>
        <v>0</v>
      </c>
      <c r="M2543">
        <f t="shared" si="197"/>
        <v>0</v>
      </c>
      <c r="N2543">
        <f t="shared" si="198"/>
        <v>0</v>
      </c>
      <c r="O2543">
        <f t="shared" si="200"/>
        <v>1</v>
      </c>
      <c r="P2543" t="str">
        <f t="shared" si="199"/>
        <v/>
      </c>
      <c r="Q2543">
        <f>COUNTIF('責任職　企業局→市長部局'!A:A,SQLデータ!B2543)</f>
        <v>0</v>
      </c>
      <c r="R2543">
        <f>COUNTIF('一般職員　企業局→市長部局'!A:F,SQLデータ!B2543)</f>
        <v>0</v>
      </c>
    </row>
    <row r="2544" spans="1:18" x14ac:dyDescent="0.4">
      <c r="A2544" s="1">
        <v>202650002432</v>
      </c>
      <c r="B2544" s="1">
        <v>1231068</v>
      </c>
      <c r="C2544" s="2">
        <v>46128</v>
      </c>
      <c r="D2544" t="s">
        <v>17</v>
      </c>
      <c r="E2544" t="s">
        <v>8</v>
      </c>
      <c r="G2544" t="s">
        <v>9</v>
      </c>
      <c r="L2544">
        <f t="shared" si="196"/>
        <v>0</v>
      </c>
      <c r="M2544">
        <f t="shared" si="197"/>
        <v>0</v>
      </c>
      <c r="N2544">
        <f t="shared" si="198"/>
        <v>0</v>
      </c>
      <c r="O2544">
        <f t="shared" si="200"/>
        <v>1</v>
      </c>
      <c r="P2544" t="str">
        <f t="shared" si="199"/>
        <v/>
      </c>
      <c r="Q2544">
        <f>COUNTIF('責任職　企業局→市長部局'!A:A,SQLデータ!B2544)</f>
        <v>0</v>
      </c>
      <c r="R2544">
        <f>COUNTIF('一般職員　企業局→市長部局'!A:F,SQLデータ!B2544)</f>
        <v>0</v>
      </c>
    </row>
    <row r="2545" spans="1:18" x14ac:dyDescent="0.4">
      <c r="A2545" s="1">
        <v>202650002433</v>
      </c>
      <c r="B2545" s="1">
        <v>1191240</v>
      </c>
      <c r="C2545" s="2">
        <v>46125</v>
      </c>
      <c r="D2545" t="s">
        <v>17</v>
      </c>
      <c r="E2545" t="s">
        <v>8</v>
      </c>
      <c r="G2545" t="s">
        <v>9</v>
      </c>
      <c r="L2545">
        <f t="shared" si="196"/>
        <v>0</v>
      </c>
      <c r="M2545">
        <f t="shared" si="197"/>
        <v>0</v>
      </c>
      <c r="N2545">
        <f t="shared" si="198"/>
        <v>0</v>
      </c>
      <c r="O2545">
        <f t="shared" si="200"/>
        <v>1</v>
      </c>
      <c r="P2545" t="str">
        <f t="shared" si="199"/>
        <v/>
      </c>
      <c r="Q2545">
        <f>COUNTIF('責任職　企業局→市長部局'!A:A,SQLデータ!B2545)</f>
        <v>0</v>
      </c>
      <c r="R2545">
        <f>COUNTIF('一般職員　企業局→市長部局'!A:F,SQLデータ!B2545)</f>
        <v>0</v>
      </c>
    </row>
    <row r="2546" spans="1:18" x14ac:dyDescent="0.4">
      <c r="A2546" s="1">
        <v>202650002434</v>
      </c>
      <c r="B2546" s="1">
        <v>1192002</v>
      </c>
      <c r="C2546" s="2">
        <v>46125</v>
      </c>
      <c r="D2546" t="s">
        <v>17</v>
      </c>
      <c r="E2546" t="s">
        <v>8</v>
      </c>
      <c r="G2546" t="s">
        <v>9</v>
      </c>
      <c r="L2546">
        <f t="shared" si="196"/>
        <v>0</v>
      </c>
      <c r="M2546">
        <f t="shared" si="197"/>
        <v>0</v>
      </c>
      <c r="N2546">
        <f t="shared" si="198"/>
        <v>0</v>
      </c>
      <c r="O2546">
        <f t="shared" si="200"/>
        <v>1</v>
      </c>
      <c r="P2546" t="str">
        <f t="shared" si="199"/>
        <v/>
      </c>
      <c r="Q2546">
        <f>COUNTIF('責任職　企業局→市長部局'!A:A,SQLデータ!B2546)</f>
        <v>0</v>
      </c>
      <c r="R2546">
        <f>COUNTIF('一般職員　企業局→市長部局'!A:F,SQLデータ!B2546)</f>
        <v>0</v>
      </c>
    </row>
    <row r="2547" spans="1:18" x14ac:dyDescent="0.4">
      <c r="A2547" s="1">
        <v>202650002435</v>
      </c>
      <c r="B2547" s="1">
        <v>1106007</v>
      </c>
      <c r="C2547" s="2">
        <v>46125</v>
      </c>
      <c r="D2547" t="s">
        <v>17</v>
      </c>
      <c r="E2547" t="s">
        <v>8</v>
      </c>
      <c r="G2547" t="s">
        <v>9</v>
      </c>
      <c r="L2547">
        <f t="shared" si="196"/>
        <v>0</v>
      </c>
      <c r="M2547">
        <f t="shared" si="197"/>
        <v>0</v>
      </c>
      <c r="N2547">
        <f t="shared" si="198"/>
        <v>0</v>
      </c>
      <c r="O2547">
        <f t="shared" si="200"/>
        <v>1</v>
      </c>
      <c r="P2547" t="str">
        <f t="shared" si="199"/>
        <v/>
      </c>
      <c r="Q2547">
        <f>COUNTIF('責任職　企業局→市長部局'!A:A,SQLデータ!B2547)</f>
        <v>0</v>
      </c>
      <c r="R2547">
        <f>COUNTIF('一般職員　企業局→市長部局'!A:F,SQLデータ!B2547)</f>
        <v>0</v>
      </c>
    </row>
    <row r="2548" spans="1:18" x14ac:dyDescent="0.4">
      <c r="A2548" s="1">
        <v>202650002437</v>
      </c>
      <c r="B2548" s="1">
        <v>1242070</v>
      </c>
      <c r="C2548" s="2">
        <v>46125</v>
      </c>
      <c r="D2548" t="s">
        <v>17</v>
      </c>
      <c r="E2548" t="s">
        <v>8</v>
      </c>
      <c r="G2548" t="s">
        <v>9</v>
      </c>
      <c r="L2548">
        <f t="shared" si="196"/>
        <v>0</v>
      </c>
      <c r="M2548">
        <f t="shared" si="197"/>
        <v>0</v>
      </c>
      <c r="N2548">
        <f t="shared" si="198"/>
        <v>0</v>
      </c>
      <c r="O2548">
        <f t="shared" si="200"/>
        <v>1</v>
      </c>
      <c r="P2548" t="str">
        <f t="shared" si="199"/>
        <v/>
      </c>
      <c r="Q2548">
        <f>COUNTIF('責任職　企業局→市長部局'!A:A,SQLデータ!B2548)</f>
        <v>0</v>
      </c>
      <c r="R2548">
        <f>COUNTIF('一般職員　企業局→市長部局'!A:F,SQLデータ!B2548)</f>
        <v>0</v>
      </c>
    </row>
    <row r="2549" spans="1:18" x14ac:dyDescent="0.4">
      <c r="A2549" s="1">
        <v>202650002438</v>
      </c>
      <c r="B2549" s="1">
        <v>1071159</v>
      </c>
      <c r="C2549" s="2">
        <v>46125</v>
      </c>
      <c r="D2549" t="s">
        <v>17</v>
      </c>
      <c r="E2549" t="s">
        <v>8</v>
      </c>
      <c r="G2549" t="s">
        <v>9</v>
      </c>
      <c r="L2549">
        <f t="shared" si="196"/>
        <v>0</v>
      </c>
      <c r="M2549">
        <f t="shared" si="197"/>
        <v>0</v>
      </c>
      <c r="N2549">
        <f t="shared" si="198"/>
        <v>0</v>
      </c>
      <c r="O2549">
        <f t="shared" si="200"/>
        <v>1</v>
      </c>
      <c r="P2549" t="str">
        <f t="shared" si="199"/>
        <v/>
      </c>
      <c r="Q2549">
        <f>COUNTIF('責任職　企業局→市長部局'!A:A,SQLデータ!B2549)</f>
        <v>0</v>
      </c>
      <c r="R2549">
        <f>COUNTIF('一般職員　企業局→市長部局'!A:F,SQLデータ!B2549)</f>
        <v>0</v>
      </c>
    </row>
    <row r="2550" spans="1:18" x14ac:dyDescent="0.4">
      <c r="A2550" s="1">
        <v>202650002439</v>
      </c>
      <c r="B2550" s="1">
        <v>1032025</v>
      </c>
      <c r="C2550" s="2">
        <v>46125</v>
      </c>
      <c r="D2550" t="s">
        <v>17</v>
      </c>
      <c r="E2550" t="s">
        <v>8</v>
      </c>
      <c r="G2550" t="s">
        <v>9</v>
      </c>
      <c r="L2550">
        <f t="shared" si="196"/>
        <v>0</v>
      </c>
      <c r="M2550">
        <f t="shared" si="197"/>
        <v>0</v>
      </c>
      <c r="N2550">
        <f t="shared" si="198"/>
        <v>0</v>
      </c>
      <c r="O2550">
        <f t="shared" si="200"/>
        <v>1</v>
      </c>
      <c r="P2550" t="str">
        <f t="shared" si="199"/>
        <v/>
      </c>
      <c r="Q2550">
        <f>COUNTIF('責任職　企業局→市長部局'!A:A,SQLデータ!B2550)</f>
        <v>0</v>
      </c>
      <c r="R2550">
        <f>COUNTIF('一般職員　企業局→市長部局'!A:F,SQLデータ!B2550)</f>
        <v>0</v>
      </c>
    </row>
    <row r="2551" spans="1:18" x14ac:dyDescent="0.4">
      <c r="A2551" s="1">
        <v>202650002440</v>
      </c>
      <c r="B2551" s="1">
        <v>1071382</v>
      </c>
      <c r="C2551" s="2">
        <v>46125</v>
      </c>
      <c r="D2551" t="s">
        <v>17</v>
      </c>
      <c r="E2551" t="s">
        <v>8</v>
      </c>
      <c r="G2551" t="s">
        <v>9</v>
      </c>
      <c r="L2551">
        <f t="shared" si="196"/>
        <v>0</v>
      </c>
      <c r="M2551">
        <f t="shared" si="197"/>
        <v>0</v>
      </c>
      <c r="N2551">
        <f t="shared" si="198"/>
        <v>0</v>
      </c>
      <c r="O2551">
        <f t="shared" si="200"/>
        <v>1</v>
      </c>
      <c r="P2551" t="str">
        <f t="shared" si="199"/>
        <v/>
      </c>
      <c r="Q2551">
        <f>COUNTIF('責任職　企業局→市長部局'!A:A,SQLデータ!B2551)</f>
        <v>0</v>
      </c>
      <c r="R2551">
        <f>COUNTIF('一般職員　企業局→市長部局'!A:F,SQLデータ!B2551)</f>
        <v>0</v>
      </c>
    </row>
    <row r="2552" spans="1:18" x14ac:dyDescent="0.4">
      <c r="A2552" s="1">
        <v>202650002441</v>
      </c>
      <c r="B2552" s="1">
        <v>1202506</v>
      </c>
      <c r="C2552" s="2">
        <v>46127</v>
      </c>
      <c r="D2552" t="s">
        <v>17</v>
      </c>
      <c r="E2552" t="s">
        <v>8</v>
      </c>
      <c r="G2552" t="s">
        <v>9</v>
      </c>
      <c r="L2552">
        <f t="shared" si="196"/>
        <v>0</v>
      </c>
      <c r="M2552">
        <f t="shared" si="197"/>
        <v>0</v>
      </c>
      <c r="N2552">
        <f t="shared" si="198"/>
        <v>0</v>
      </c>
      <c r="O2552">
        <f t="shared" si="200"/>
        <v>1</v>
      </c>
      <c r="P2552" t="str">
        <f t="shared" si="199"/>
        <v/>
      </c>
      <c r="Q2552">
        <f>COUNTIF('責任職　企業局→市長部局'!A:A,SQLデータ!B2552)</f>
        <v>0</v>
      </c>
      <c r="R2552">
        <f>COUNTIF('一般職員　企業局→市長部局'!A:F,SQLデータ!B2552)</f>
        <v>0</v>
      </c>
    </row>
    <row r="2553" spans="1:18" x14ac:dyDescent="0.4">
      <c r="A2553" s="1">
        <v>202650002442</v>
      </c>
      <c r="B2553" s="1">
        <v>1176036</v>
      </c>
      <c r="C2553" s="2">
        <v>46125</v>
      </c>
      <c r="D2553" t="s">
        <v>17</v>
      </c>
      <c r="E2553" t="s">
        <v>8</v>
      </c>
      <c r="G2553" t="s">
        <v>9</v>
      </c>
      <c r="L2553">
        <f t="shared" si="196"/>
        <v>0</v>
      </c>
      <c r="M2553">
        <f t="shared" si="197"/>
        <v>0</v>
      </c>
      <c r="N2553">
        <f t="shared" si="198"/>
        <v>0</v>
      </c>
      <c r="O2553">
        <f t="shared" si="200"/>
        <v>1</v>
      </c>
      <c r="P2553" t="str">
        <f t="shared" si="199"/>
        <v/>
      </c>
      <c r="Q2553">
        <f>COUNTIF('責任職　企業局→市長部局'!A:A,SQLデータ!B2553)</f>
        <v>0</v>
      </c>
      <c r="R2553">
        <f>COUNTIF('一般職員　企業局→市長部局'!A:F,SQLデータ!B2553)</f>
        <v>0</v>
      </c>
    </row>
    <row r="2554" spans="1:18" x14ac:dyDescent="0.4">
      <c r="A2554" s="1">
        <v>202650002443</v>
      </c>
      <c r="B2554" s="1">
        <v>1066011</v>
      </c>
      <c r="C2554" s="2">
        <v>46125</v>
      </c>
      <c r="D2554" t="s">
        <v>17</v>
      </c>
      <c r="E2554" t="s">
        <v>8</v>
      </c>
      <c r="G2554" t="s">
        <v>9</v>
      </c>
      <c r="L2554">
        <f t="shared" si="196"/>
        <v>0</v>
      </c>
      <c r="M2554">
        <f t="shared" si="197"/>
        <v>0</v>
      </c>
      <c r="N2554">
        <f t="shared" si="198"/>
        <v>0</v>
      </c>
      <c r="O2554">
        <f t="shared" si="200"/>
        <v>1</v>
      </c>
      <c r="P2554" t="str">
        <f t="shared" si="199"/>
        <v/>
      </c>
      <c r="Q2554">
        <f>COUNTIF('責任職　企業局→市長部局'!A:A,SQLデータ!B2554)</f>
        <v>0</v>
      </c>
      <c r="R2554">
        <f>COUNTIF('一般職員　企業局→市長部局'!A:F,SQLデータ!B2554)</f>
        <v>0</v>
      </c>
    </row>
    <row r="2555" spans="1:18" x14ac:dyDescent="0.4">
      <c r="A2555" s="1">
        <v>202650002445</v>
      </c>
      <c r="B2555" s="1">
        <v>991129</v>
      </c>
      <c r="C2555" s="2">
        <v>46118</v>
      </c>
      <c r="D2555" t="s">
        <v>17</v>
      </c>
      <c r="E2555" t="s">
        <v>8</v>
      </c>
      <c r="G2555" t="s">
        <v>9</v>
      </c>
      <c r="L2555">
        <f t="shared" si="196"/>
        <v>0</v>
      </c>
      <c r="M2555">
        <f t="shared" si="197"/>
        <v>0</v>
      </c>
      <c r="N2555">
        <f t="shared" si="198"/>
        <v>0</v>
      </c>
      <c r="O2555">
        <f t="shared" si="200"/>
        <v>1</v>
      </c>
      <c r="P2555" t="str">
        <f t="shared" si="199"/>
        <v/>
      </c>
      <c r="Q2555">
        <f>COUNTIF('責任職　企業局→市長部局'!A:A,SQLデータ!B2555)</f>
        <v>0</v>
      </c>
      <c r="R2555">
        <f>COUNTIF('一般職員　企業局→市長部局'!A:F,SQLデータ!B2555)</f>
        <v>0</v>
      </c>
    </row>
    <row r="2556" spans="1:18" x14ac:dyDescent="0.4">
      <c r="A2556" s="1">
        <v>202650002446</v>
      </c>
      <c r="B2556" s="1">
        <v>1131209</v>
      </c>
      <c r="C2556" s="2">
        <v>46125</v>
      </c>
      <c r="D2556" t="s">
        <v>17</v>
      </c>
      <c r="E2556" t="s">
        <v>8</v>
      </c>
      <c r="G2556" t="s">
        <v>9</v>
      </c>
      <c r="L2556">
        <f t="shared" si="196"/>
        <v>0</v>
      </c>
      <c r="M2556">
        <f t="shared" si="197"/>
        <v>0</v>
      </c>
      <c r="N2556">
        <f t="shared" si="198"/>
        <v>0</v>
      </c>
      <c r="O2556">
        <f t="shared" si="200"/>
        <v>1</v>
      </c>
      <c r="P2556" t="str">
        <f t="shared" si="199"/>
        <v/>
      </c>
      <c r="Q2556">
        <f>COUNTIF('責任職　企業局→市長部局'!A:A,SQLデータ!B2556)</f>
        <v>0</v>
      </c>
      <c r="R2556">
        <f>COUNTIF('一般職員　企業局→市長部局'!A:F,SQLデータ!B2556)</f>
        <v>0</v>
      </c>
    </row>
    <row r="2557" spans="1:18" x14ac:dyDescent="0.4">
      <c r="A2557" s="1">
        <v>202650002447</v>
      </c>
      <c r="B2557" s="1">
        <v>1141237</v>
      </c>
      <c r="C2557" s="2">
        <v>46118</v>
      </c>
      <c r="D2557" t="s">
        <v>17</v>
      </c>
      <c r="E2557" t="s">
        <v>8</v>
      </c>
      <c r="G2557" t="s">
        <v>9</v>
      </c>
      <c r="L2557">
        <f t="shared" si="196"/>
        <v>0</v>
      </c>
      <c r="M2557">
        <f t="shared" si="197"/>
        <v>0</v>
      </c>
      <c r="N2557">
        <f t="shared" si="198"/>
        <v>0</v>
      </c>
      <c r="O2557">
        <f t="shared" si="200"/>
        <v>1</v>
      </c>
      <c r="P2557" t="str">
        <f t="shared" si="199"/>
        <v/>
      </c>
      <c r="Q2557">
        <f>COUNTIF('責任職　企業局→市長部局'!A:A,SQLデータ!B2557)</f>
        <v>0</v>
      </c>
      <c r="R2557">
        <f>COUNTIF('一般職員　企業局→市長部局'!A:F,SQLデータ!B2557)</f>
        <v>0</v>
      </c>
    </row>
    <row r="2558" spans="1:18" x14ac:dyDescent="0.4">
      <c r="A2558" s="1">
        <v>202650002448</v>
      </c>
      <c r="B2558" s="1">
        <v>1213029</v>
      </c>
      <c r="C2558" s="2">
        <v>46125</v>
      </c>
      <c r="D2558" t="s">
        <v>17</v>
      </c>
      <c r="E2558" t="s">
        <v>8</v>
      </c>
      <c r="G2558" t="s">
        <v>9</v>
      </c>
      <c r="L2558">
        <f t="shared" si="196"/>
        <v>0</v>
      </c>
      <c r="M2558">
        <f t="shared" si="197"/>
        <v>0</v>
      </c>
      <c r="N2558">
        <f t="shared" si="198"/>
        <v>0</v>
      </c>
      <c r="O2558">
        <f t="shared" si="200"/>
        <v>1</v>
      </c>
      <c r="P2558" t="str">
        <f t="shared" si="199"/>
        <v/>
      </c>
      <c r="Q2558">
        <f>COUNTIF('責任職　企業局→市長部局'!A:A,SQLデータ!B2558)</f>
        <v>0</v>
      </c>
      <c r="R2558">
        <f>COUNTIF('一般職員　企業局→市長部局'!A:F,SQLデータ!B2558)</f>
        <v>0</v>
      </c>
    </row>
    <row r="2559" spans="1:18" x14ac:dyDescent="0.4">
      <c r="A2559" s="1">
        <v>202650002449</v>
      </c>
      <c r="B2559" s="1">
        <v>870365</v>
      </c>
      <c r="C2559" s="2">
        <v>46127</v>
      </c>
      <c r="D2559" t="s">
        <v>17</v>
      </c>
      <c r="E2559" t="s">
        <v>8</v>
      </c>
      <c r="G2559" t="s">
        <v>9</v>
      </c>
      <c r="L2559">
        <f t="shared" si="196"/>
        <v>0</v>
      </c>
      <c r="M2559">
        <f t="shared" si="197"/>
        <v>0</v>
      </c>
      <c r="N2559">
        <f t="shared" si="198"/>
        <v>0</v>
      </c>
      <c r="O2559">
        <f t="shared" si="200"/>
        <v>1</v>
      </c>
      <c r="P2559" t="str">
        <f t="shared" si="199"/>
        <v/>
      </c>
      <c r="Q2559">
        <f>COUNTIF('責任職　企業局→市長部局'!A:A,SQLデータ!B2559)</f>
        <v>0</v>
      </c>
      <c r="R2559">
        <f>COUNTIF('一般職員　企業局→市長部局'!A:F,SQLデータ!B2559)</f>
        <v>0</v>
      </c>
    </row>
    <row r="2560" spans="1:18" x14ac:dyDescent="0.4">
      <c r="A2560" s="1">
        <v>202650002450</v>
      </c>
      <c r="B2560" s="1">
        <v>982030</v>
      </c>
      <c r="C2560" s="2">
        <v>46125</v>
      </c>
      <c r="D2560" t="s">
        <v>17</v>
      </c>
      <c r="E2560" t="s">
        <v>8</v>
      </c>
      <c r="G2560" t="s">
        <v>9</v>
      </c>
      <c r="L2560">
        <f t="shared" si="196"/>
        <v>0</v>
      </c>
      <c r="M2560">
        <f t="shared" si="197"/>
        <v>0</v>
      </c>
      <c r="N2560">
        <f t="shared" si="198"/>
        <v>0</v>
      </c>
      <c r="O2560">
        <f t="shared" si="200"/>
        <v>1</v>
      </c>
      <c r="P2560" t="str">
        <f t="shared" si="199"/>
        <v/>
      </c>
      <c r="Q2560">
        <f>COUNTIF('責任職　企業局→市長部局'!A:A,SQLデータ!B2560)</f>
        <v>0</v>
      </c>
      <c r="R2560">
        <f>COUNTIF('一般職員　企業局→市長部局'!A:F,SQLデータ!B2560)</f>
        <v>0</v>
      </c>
    </row>
    <row r="2561" spans="1:18" x14ac:dyDescent="0.4">
      <c r="A2561" s="1">
        <v>202650002451</v>
      </c>
      <c r="B2561" s="1">
        <v>1191515</v>
      </c>
      <c r="C2561" s="2">
        <v>46125</v>
      </c>
      <c r="D2561" t="s">
        <v>17</v>
      </c>
      <c r="E2561" t="s">
        <v>8</v>
      </c>
      <c r="G2561" t="s">
        <v>9</v>
      </c>
      <c r="L2561">
        <f t="shared" si="196"/>
        <v>0</v>
      </c>
      <c r="M2561">
        <f t="shared" si="197"/>
        <v>0</v>
      </c>
      <c r="N2561">
        <f t="shared" si="198"/>
        <v>0</v>
      </c>
      <c r="O2561">
        <f t="shared" si="200"/>
        <v>1</v>
      </c>
      <c r="P2561" t="str">
        <f t="shared" si="199"/>
        <v/>
      </c>
      <c r="Q2561">
        <f>COUNTIF('責任職　企業局→市長部局'!A:A,SQLデータ!B2561)</f>
        <v>0</v>
      </c>
      <c r="R2561">
        <f>COUNTIF('一般職員　企業局→市長部局'!A:F,SQLデータ!B2561)</f>
        <v>0</v>
      </c>
    </row>
    <row r="2562" spans="1:18" x14ac:dyDescent="0.4">
      <c r="A2562" s="1">
        <v>202650002452</v>
      </c>
      <c r="B2562" s="1">
        <v>1096010</v>
      </c>
      <c r="C2562" s="2">
        <v>46125</v>
      </c>
      <c r="D2562" t="s">
        <v>17</v>
      </c>
      <c r="E2562" t="s">
        <v>8</v>
      </c>
      <c r="G2562" t="s">
        <v>9</v>
      </c>
      <c r="L2562">
        <f t="shared" ref="L2562:L2625" si="201">IF(ISBLANK(J2562),0,1)</f>
        <v>0</v>
      </c>
      <c r="M2562">
        <f t="shared" ref="M2562:M2625" si="202">IF(AND(L2562=0,I2562&lt;&gt;""),1,0)</f>
        <v>0</v>
      </c>
      <c r="N2562">
        <f t="shared" ref="N2562:N2625" si="203">IF(AND(L2562=0,M2562=0,K2562&lt;&gt;""),1,0)</f>
        <v>0</v>
      </c>
      <c r="O2562">
        <f t="shared" si="200"/>
        <v>1</v>
      </c>
      <c r="P2562" t="str">
        <f t="shared" ref="P2562:P2625" si="204">IF(D2562&lt;&gt;"扶養","",IF(E2562&lt;&gt;"確認待ち",1,IF(OR(AND(G2562="本人の結婚",O2562=1),AND(H2562="減",OR(N2562=1,O2562=1))),1,0)))</f>
        <v/>
      </c>
      <c r="Q2562">
        <f>COUNTIF('責任職　企業局→市長部局'!A:A,SQLデータ!B2562)</f>
        <v>0</v>
      </c>
      <c r="R2562">
        <f>COUNTIF('一般職員　企業局→市長部局'!A:F,SQLデータ!B2562)</f>
        <v>0</v>
      </c>
    </row>
    <row r="2563" spans="1:18" x14ac:dyDescent="0.4">
      <c r="A2563" s="1">
        <v>202650002454</v>
      </c>
      <c r="B2563" s="1">
        <v>1186003</v>
      </c>
      <c r="C2563" s="2">
        <v>46129</v>
      </c>
      <c r="D2563" t="s">
        <v>17</v>
      </c>
      <c r="E2563" t="s">
        <v>8</v>
      </c>
      <c r="G2563" t="s">
        <v>9</v>
      </c>
      <c r="L2563">
        <f t="shared" si="201"/>
        <v>0</v>
      </c>
      <c r="M2563">
        <f t="shared" si="202"/>
        <v>0</v>
      </c>
      <c r="N2563">
        <f t="shared" si="203"/>
        <v>0</v>
      </c>
      <c r="O2563">
        <f t="shared" si="200"/>
        <v>1</v>
      </c>
      <c r="P2563" t="str">
        <f t="shared" si="204"/>
        <v/>
      </c>
      <c r="Q2563">
        <f>COUNTIF('責任職　企業局→市長部局'!A:A,SQLデータ!B2563)</f>
        <v>0</v>
      </c>
      <c r="R2563">
        <f>COUNTIF('一般職員　企業局→市長部局'!A:F,SQLデータ!B2563)</f>
        <v>0</v>
      </c>
    </row>
    <row r="2564" spans="1:18" x14ac:dyDescent="0.4">
      <c r="A2564" s="1">
        <v>202650002455</v>
      </c>
      <c r="B2564" s="1">
        <v>1051011</v>
      </c>
      <c r="C2564" s="2">
        <v>46125</v>
      </c>
      <c r="D2564" t="s">
        <v>17</v>
      </c>
      <c r="E2564" t="s">
        <v>8</v>
      </c>
      <c r="G2564" t="s">
        <v>9</v>
      </c>
      <c r="L2564">
        <f t="shared" si="201"/>
        <v>0</v>
      </c>
      <c r="M2564">
        <f t="shared" si="202"/>
        <v>0</v>
      </c>
      <c r="N2564">
        <f t="shared" si="203"/>
        <v>0</v>
      </c>
      <c r="O2564">
        <f t="shared" si="200"/>
        <v>1</v>
      </c>
      <c r="P2564" t="str">
        <f t="shared" si="204"/>
        <v/>
      </c>
      <c r="Q2564">
        <f>COUNTIF('責任職　企業局→市長部局'!A:A,SQLデータ!B2564)</f>
        <v>0</v>
      </c>
      <c r="R2564">
        <f>COUNTIF('一般職員　企業局→市長部局'!A:F,SQLデータ!B2564)</f>
        <v>0</v>
      </c>
    </row>
    <row r="2565" spans="1:18" x14ac:dyDescent="0.4">
      <c r="A2565" s="1">
        <v>202650002456</v>
      </c>
      <c r="B2565" s="1">
        <v>1126086</v>
      </c>
      <c r="C2565" s="2">
        <v>46125</v>
      </c>
      <c r="D2565" t="s">
        <v>17</v>
      </c>
      <c r="E2565" t="s">
        <v>8</v>
      </c>
      <c r="G2565" t="s">
        <v>9</v>
      </c>
      <c r="L2565">
        <f t="shared" si="201"/>
        <v>0</v>
      </c>
      <c r="M2565">
        <f t="shared" si="202"/>
        <v>0</v>
      </c>
      <c r="N2565">
        <f t="shared" si="203"/>
        <v>0</v>
      </c>
      <c r="O2565">
        <f t="shared" si="200"/>
        <v>1</v>
      </c>
      <c r="P2565" t="str">
        <f t="shared" si="204"/>
        <v/>
      </c>
      <c r="Q2565">
        <f>COUNTIF('責任職　企業局→市長部局'!A:A,SQLデータ!B2565)</f>
        <v>0</v>
      </c>
      <c r="R2565">
        <f>COUNTIF('一般職員　企業局→市長部局'!A:F,SQLデータ!B2565)</f>
        <v>0</v>
      </c>
    </row>
    <row r="2566" spans="1:18" x14ac:dyDescent="0.4">
      <c r="A2566" s="1">
        <v>202650002457</v>
      </c>
      <c r="B2566" s="1">
        <v>1032503</v>
      </c>
      <c r="C2566" s="2">
        <v>46125</v>
      </c>
      <c r="D2566" t="s">
        <v>17</v>
      </c>
      <c r="E2566" t="s">
        <v>8</v>
      </c>
      <c r="G2566" t="s">
        <v>9</v>
      </c>
      <c r="L2566">
        <f t="shared" si="201"/>
        <v>0</v>
      </c>
      <c r="M2566">
        <f t="shared" si="202"/>
        <v>0</v>
      </c>
      <c r="N2566">
        <f t="shared" si="203"/>
        <v>0</v>
      </c>
      <c r="O2566">
        <f t="shared" si="200"/>
        <v>1</v>
      </c>
      <c r="P2566" t="str">
        <f t="shared" si="204"/>
        <v/>
      </c>
      <c r="Q2566">
        <f>COUNTIF('責任職　企業局→市長部局'!A:A,SQLデータ!B2566)</f>
        <v>0</v>
      </c>
      <c r="R2566">
        <f>COUNTIF('一般職員　企業局→市長部局'!A:F,SQLデータ!B2566)</f>
        <v>0</v>
      </c>
    </row>
    <row r="2567" spans="1:18" x14ac:dyDescent="0.4">
      <c r="A2567" s="1">
        <v>202650002458</v>
      </c>
      <c r="B2567" s="1">
        <v>1061015</v>
      </c>
      <c r="C2567" s="2">
        <v>46125</v>
      </c>
      <c r="D2567" t="s">
        <v>17</v>
      </c>
      <c r="E2567" t="s">
        <v>8</v>
      </c>
      <c r="G2567" t="s">
        <v>9</v>
      </c>
      <c r="L2567">
        <f t="shared" si="201"/>
        <v>0</v>
      </c>
      <c r="M2567">
        <f t="shared" si="202"/>
        <v>0</v>
      </c>
      <c r="N2567">
        <f t="shared" si="203"/>
        <v>0</v>
      </c>
      <c r="O2567">
        <f t="shared" si="200"/>
        <v>1</v>
      </c>
      <c r="P2567" t="str">
        <f t="shared" si="204"/>
        <v/>
      </c>
      <c r="Q2567">
        <f>COUNTIF('責任職　企業局→市長部局'!A:A,SQLデータ!B2567)</f>
        <v>0</v>
      </c>
      <c r="R2567">
        <f>COUNTIF('一般職員　企業局→市長部局'!A:F,SQLデータ!B2567)</f>
        <v>0</v>
      </c>
    </row>
    <row r="2568" spans="1:18" x14ac:dyDescent="0.4">
      <c r="A2568" s="1">
        <v>202650002459</v>
      </c>
      <c r="B2568" s="1">
        <v>1112103</v>
      </c>
      <c r="C2568" s="2">
        <v>46125</v>
      </c>
      <c r="D2568" t="s">
        <v>17</v>
      </c>
      <c r="E2568" t="s">
        <v>8</v>
      </c>
      <c r="G2568" t="s">
        <v>9</v>
      </c>
      <c r="L2568">
        <f t="shared" si="201"/>
        <v>0</v>
      </c>
      <c r="M2568">
        <f t="shared" si="202"/>
        <v>0</v>
      </c>
      <c r="N2568">
        <f t="shared" si="203"/>
        <v>0</v>
      </c>
      <c r="O2568">
        <f t="shared" si="200"/>
        <v>1</v>
      </c>
      <c r="P2568" t="str">
        <f t="shared" si="204"/>
        <v/>
      </c>
      <c r="Q2568">
        <f>COUNTIF('責任職　企業局→市長部局'!A:A,SQLデータ!B2568)</f>
        <v>0</v>
      </c>
      <c r="R2568">
        <f>COUNTIF('一般職員　企業局→市長部局'!A:F,SQLデータ!B2568)</f>
        <v>0</v>
      </c>
    </row>
    <row r="2569" spans="1:18" x14ac:dyDescent="0.4">
      <c r="A2569" s="1">
        <v>202650002460</v>
      </c>
      <c r="B2569" s="1">
        <v>1004081</v>
      </c>
      <c r="C2569" s="2">
        <v>46125</v>
      </c>
      <c r="D2569" t="s">
        <v>17</v>
      </c>
      <c r="E2569" t="s">
        <v>8</v>
      </c>
      <c r="G2569" t="s">
        <v>9</v>
      </c>
      <c r="L2569">
        <f t="shared" si="201"/>
        <v>0</v>
      </c>
      <c r="M2569">
        <f t="shared" si="202"/>
        <v>0</v>
      </c>
      <c r="N2569">
        <f t="shared" si="203"/>
        <v>0</v>
      </c>
      <c r="O2569">
        <f t="shared" ref="O2569:O2632" si="205">IF(COUNTIF(L2569:N2569,0)=3,1,0)</f>
        <v>1</v>
      </c>
      <c r="P2569" t="str">
        <f t="shared" si="204"/>
        <v/>
      </c>
      <c r="Q2569">
        <f>COUNTIF('責任職　企業局→市長部局'!A:A,SQLデータ!B2569)</f>
        <v>0</v>
      </c>
      <c r="R2569">
        <f>COUNTIF('一般職員　企業局→市長部局'!A:F,SQLデータ!B2569)</f>
        <v>0</v>
      </c>
    </row>
    <row r="2570" spans="1:18" x14ac:dyDescent="0.4">
      <c r="A2570" s="1">
        <v>202650002461</v>
      </c>
      <c r="B2570" s="1">
        <v>1051080</v>
      </c>
      <c r="C2570" s="2">
        <v>46125</v>
      </c>
      <c r="D2570" t="s">
        <v>17</v>
      </c>
      <c r="E2570" t="s">
        <v>8</v>
      </c>
      <c r="G2570" t="s">
        <v>9</v>
      </c>
      <c r="L2570">
        <f t="shared" si="201"/>
        <v>0</v>
      </c>
      <c r="M2570">
        <f t="shared" si="202"/>
        <v>0</v>
      </c>
      <c r="N2570">
        <f t="shared" si="203"/>
        <v>0</v>
      </c>
      <c r="O2570">
        <f t="shared" si="205"/>
        <v>1</v>
      </c>
      <c r="P2570" t="str">
        <f t="shared" si="204"/>
        <v/>
      </c>
      <c r="Q2570">
        <f>COUNTIF('責任職　企業局→市長部局'!A:A,SQLデータ!B2570)</f>
        <v>0</v>
      </c>
      <c r="R2570">
        <f>COUNTIF('一般職員　企業局→市長部局'!A:F,SQLデータ!B2570)</f>
        <v>0</v>
      </c>
    </row>
    <row r="2571" spans="1:18" x14ac:dyDescent="0.4">
      <c r="A2571" s="1">
        <v>202650002462</v>
      </c>
      <c r="B2571" s="1">
        <v>910103</v>
      </c>
      <c r="C2571" s="2">
        <v>46125</v>
      </c>
      <c r="D2571" t="s">
        <v>17</v>
      </c>
      <c r="E2571" t="s">
        <v>8</v>
      </c>
      <c r="G2571" t="s">
        <v>9</v>
      </c>
      <c r="L2571">
        <f t="shared" si="201"/>
        <v>0</v>
      </c>
      <c r="M2571">
        <f t="shared" si="202"/>
        <v>0</v>
      </c>
      <c r="N2571">
        <f t="shared" si="203"/>
        <v>0</v>
      </c>
      <c r="O2571">
        <f t="shared" si="205"/>
        <v>1</v>
      </c>
      <c r="P2571" t="str">
        <f t="shared" si="204"/>
        <v/>
      </c>
      <c r="Q2571">
        <f>COUNTIF('責任職　企業局→市長部局'!A:A,SQLデータ!B2571)</f>
        <v>0</v>
      </c>
      <c r="R2571">
        <f>COUNTIF('一般職員　企業局→市長部局'!A:F,SQLデータ!B2571)</f>
        <v>0</v>
      </c>
    </row>
    <row r="2572" spans="1:18" x14ac:dyDescent="0.4">
      <c r="A2572" s="1">
        <v>202650002463</v>
      </c>
      <c r="B2572" s="1">
        <v>1032050</v>
      </c>
      <c r="C2572" s="2">
        <v>46125</v>
      </c>
      <c r="D2572" t="s">
        <v>17</v>
      </c>
      <c r="E2572" t="s">
        <v>8</v>
      </c>
      <c r="G2572" t="s">
        <v>9</v>
      </c>
      <c r="L2572">
        <f t="shared" si="201"/>
        <v>0</v>
      </c>
      <c r="M2572">
        <f t="shared" si="202"/>
        <v>0</v>
      </c>
      <c r="N2572">
        <f t="shared" si="203"/>
        <v>0</v>
      </c>
      <c r="O2572">
        <f t="shared" si="205"/>
        <v>1</v>
      </c>
      <c r="P2572" t="str">
        <f t="shared" si="204"/>
        <v/>
      </c>
      <c r="Q2572">
        <f>COUNTIF('責任職　企業局→市長部局'!A:A,SQLデータ!B2572)</f>
        <v>0</v>
      </c>
      <c r="R2572">
        <f>COUNTIF('一般職員　企業局→市長部局'!A:F,SQLデータ!B2572)</f>
        <v>0</v>
      </c>
    </row>
    <row r="2573" spans="1:18" x14ac:dyDescent="0.4">
      <c r="A2573" s="1">
        <v>202650002464</v>
      </c>
      <c r="B2573" s="1">
        <v>1172146</v>
      </c>
      <c r="C2573" s="2">
        <v>46125</v>
      </c>
      <c r="D2573" t="s">
        <v>17</v>
      </c>
      <c r="E2573" t="s">
        <v>8</v>
      </c>
      <c r="G2573" t="s">
        <v>9</v>
      </c>
      <c r="L2573">
        <f t="shared" si="201"/>
        <v>0</v>
      </c>
      <c r="M2573">
        <f t="shared" si="202"/>
        <v>0</v>
      </c>
      <c r="N2573">
        <f t="shared" si="203"/>
        <v>0</v>
      </c>
      <c r="O2573">
        <f t="shared" si="205"/>
        <v>1</v>
      </c>
      <c r="P2573" t="str">
        <f t="shared" si="204"/>
        <v/>
      </c>
      <c r="Q2573">
        <f>COUNTIF('責任職　企業局→市長部局'!A:A,SQLデータ!B2573)</f>
        <v>0</v>
      </c>
      <c r="R2573">
        <f>COUNTIF('一般職員　企業局→市長部局'!A:F,SQLデータ!B2573)</f>
        <v>0</v>
      </c>
    </row>
    <row r="2574" spans="1:18" x14ac:dyDescent="0.4">
      <c r="A2574" s="1">
        <v>202650002465</v>
      </c>
      <c r="B2574" s="1">
        <v>1133009</v>
      </c>
      <c r="C2574" s="2">
        <v>46125</v>
      </c>
      <c r="D2574" t="s">
        <v>17</v>
      </c>
      <c r="E2574" t="s">
        <v>8</v>
      </c>
      <c r="G2574" t="s">
        <v>9</v>
      </c>
      <c r="L2574">
        <f t="shared" si="201"/>
        <v>0</v>
      </c>
      <c r="M2574">
        <f t="shared" si="202"/>
        <v>0</v>
      </c>
      <c r="N2574">
        <f t="shared" si="203"/>
        <v>0</v>
      </c>
      <c r="O2574">
        <f t="shared" si="205"/>
        <v>1</v>
      </c>
      <c r="P2574" t="str">
        <f t="shared" si="204"/>
        <v/>
      </c>
      <c r="Q2574">
        <f>COUNTIF('責任職　企業局→市長部局'!A:A,SQLデータ!B2574)</f>
        <v>0</v>
      </c>
      <c r="R2574">
        <f>COUNTIF('一般職員　企業局→市長部局'!A:F,SQLデータ!B2574)</f>
        <v>0</v>
      </c>
    </row>
    <row r="2575" spans="1:18" x14ac:dyDescent="0.4">
      <c r="A2575" s="1">
        <v>202650002466</v>
      </c>
      <c r="B2575" s="1">
        <v>840163</v>
      </c>
      <c r="C2575" s="2">
        <v>46127</v>
      </c>
      <c r="D2575" t="s">
        <v>17</v>
      </c>
      <c r="E2575" t="s">
        <v>8</v>
      </c>
      <c r="G2575" t="s">
        <v>9</v>
      </c>
      <c r="L2575">
        <f t="shared" si="201"/>
        <v>0</v>
      </c>
      <c r="M2575">
        <f t="shared" si="202"/>
        <v>0</v>
      </c>
      <c r="N2575">
        <f t="shared" si="203"/>
        <v>0</v>
      </c>
      <c r="O2575">
        <f t="shared" si="205"/>
        <v>1</v>
      </c>
      <c r="P2575" t="str">
        <f t="shared" si="204"/>
        <v/>
      </c>
      <c r="Q2575">
        <f>COUNTIF('責任職　企業局→市長部局'!A:A,SQLデータ!B2575)</f>
        <v>0</v>
      </c>
      <c r="R2575">
        <f>COUNTIF('一般職員　企業局→市長部局'!A:F,SQLデータ!B2575)</f>
        <v>0</v>
      </c>
    </row>
    <row r="2576" spans="1:18" x14ac:dyDescent="0.4">
      <c r="A2576" s="1">
        <v>202650002467</v>
      </c>
      <c r="B2576" s="1">
        <v>1086068</v>
      </c>
      <c r="C2576" s="2">
        <v>46127</v>
      </c>
      <c r="D2576" t="s">
        <v>17</v>
      </c>
      <c r="E2576" t="s">
        <v>8</v>
      </c>
      <c r="G2576" t="s">
        <v>9</v>
      </c>
      <c r="L2576">
        <f t="shared" si="201"/>
        <v>0</v>
      </c>
      <c r="M2576">
        <f t="shared" si="202"/>
        <v>0</v>
      </c>
      <c r="N2576">
        <f t="shared" si="203"/>
        <v>0</v>
      </c>
      <c r="O2576">
        <f t="shared" si="205"/>
        <v>1</v>
      </c>
      <c r="P2576" t="str">
        <f t="shared" si="204"/>
        <v/>
      </c>
      <c r="Q2576">
        <f>COUNTIF('責任職　企業局→市長部局'!A:A,SQLデータ!B2576)</f>
        <v>0</v>
      </c>
      <c r="R2576">
        <f>COUNTIF('一般職員　企業局→市長部局'!A:F,SQLデータ!B2576)</f>
        <v>0</v>
      </c>
    </row>
    <row r="2577" spans="1:18" x14ac:dyDescent="0.4">
      <c r="A2577" s="1">
        <v>202650002468</v>
      </c>
      <c r="B2577" s="1">
        <v>1086011</v>
      </c>
      <c r="C2577" s="2">
        <v>46127</v>
      </c>
      <c r="D2577" t="s">
        <v>17</v>
      </c>
      <c r="E2577" t="s">
        <v>8</v>
      </c>
      <c r="G2577" t="s">
        <v>9</v>
      </c>
      <c r="L2577">
        <f t="shared" si="201"/>
        <v>0</v>
      </c>
      <c r="M2577">
        <f t="shared" si="202"/>
        <v>0</v>
      </c>
      <c r="N2577">
        <f t="shared" si="203"/>
        <v>0</v>
      </c>
      <c r="O2577">
        <f t="shared" si="205"/>
        <v>1</v>
      </c>
      <c r="P2577" t="str">
        <f t="shared" si="204"/>
        <v/>
      </c>
      <c r="Q2577">
        <f>COUNTIF('責任職　企業局→市長部局'!A:A,SQLデータ!B2577)</f>
        <v>0</v>
      </c>
      <c r="R2577">
        <f>COUNTIF('一般職員　企業局→市長部局'!A:F,SQLデータ!B2577)</f>
        <v>0</v>
      </c>
    </row>
    <row r="2578" spans="1:18" x14ac:dyDescent="0.4">
      <c r="A2578" s="1">
        <v>202650002469</v>
      </c>
      <c r="B2578" s="1">
        <v>1126036</v>
      </c>
      <c r="C2578" s="2">
        <v>46127</v>
      </c>
      <c r="D2578" t="s">
        <v>17</v>
      </c>
      <c r="E2578" t="s">
        <v>8</v>
      </c>
      <c r="G2578" t="s">
        <v>9</v>
      </c>
      <c r="L2578">
        <f t="shared" si="201"/>
        <v>0</v>
      </c>
      <c r="M2578">
        <f t="shared" si="202"/>
        <v>0</v>
      </c>
      <c r="N2578">
        <f t="shared" si="203"/>
        <v>0</v>
      </c>
      <c r="O2578">
        <f t="shared" si="205"/>
        <v>1</v>
      </c>
      <c r="P2578" t="str">
        <f t="shared" si="204"/>
        <v/>
      </c>
      <c r="Q2578">
        <f>COUNTIF('責任職　企業局→市長部局'!A:A,SQLデータ!B2578)</f>
        <v>0</v>
      </c>
      <c r="R2578">
        <f>COUNTIF('一般職員　企業局→市長部局'!A:F,SQLデータ!B2578)</f>
        <v>0</v>
      </c>
    </row>
    <row r="2579" spans="1:18" x14ac:dyDescent="0.4">
      <c r="A2579" s="1">
        <v>202650002470</v>
      </c>
      <c r="B2579" s="1">
        <v>1212116</v>
      </c>
      <c r="C2579" s="2">
        <v>46127</v>
      </c>
      <c r="D2579" t="s">
        <v>17</v>
      </c>
      <c r="E2579" t="s">
        <v>8</v>
      </c>
      <c r="G2579" t="s">
        <v>9</v>
      </c>
      <c r="L2579">
        <f t="shared" si="201"/>
        <v>0</v>
      </c>
      <c r="M2579">
        <f t="shared" si="202"/>
        <v>0</v>
      </c>
      <c r="N2579">
        <f t="shared" si="203"/>
        <v>0</v>
      </c>
      <c r="O2579">
        <f t="shared" si="205"/>
        <v>1</v>
      </c>
      <c r="P2579" t="str">
        <f t="shared" si="204"/>
        <v/>
      </c>
      <c r="Q2579">
        <f>COUNTIF('責任職　企業局→市長部局'!A:A,SQLデータ!B2579)</f>
        <v>0</v>
      </c>
      <c r="R2579">
        <f>COUNTIF('一般職員　企業局→市長部局'!A:F,SQLデータ!B2579)</f>
        <v>0</v>
      </c>
    </row>
    <row r="2580" spans="1:18" x14ac:dyDescent="0.4">
      <c r="A2580" s="1">
        <v>202650002471</v>
      </c>
      <c r="B2580" s="1">
        <v>1056006</v>
      </c>
      <c r="C2580" s="2">
        <v>46127</v>
      </c>
      <c r="D2580" t="s">
        <v>17</v>
      </c>
      <c r="E2580" t="s">
        <v>8</v>
      </c>
      <c r="G2580" t="s">
        <v>9</v>
      </c>
      <c r="L2580">
        <f t="shared" si="201"/>
        <v>0</v>
      </c>
      <c r="M2580">
        <f t="shared" si="202"/>
        <v>0</v>
      </c>
      <c r="N2580">
        <f t="shared" si="203"/>
        <v>0</v>
      </c>
      <c r="O2580">
        <f t="shared" si="205"/>
        <v>1</v>
      </c>
      <c r="P2580" t="str">
        <f t="shared" si="204"/>
        <v/>
      </c>
      <c r="Q2580">
        <f>COUNTIF('責任職　企業局→市長部局'!A:A,SQLデータ!B2580)</f>
        <v>0</v>
      </c>
      <c r="R2580">
        <f>COUNTIF('一般職員　企業局→市長部局'!A:F,SQLデータ!B2580)</f>
        <v>0</v>
      </c>
    </row>
    <row r="2581" spans="1:18" x14ac:dyDescent="0.4">
      <c r="A2581" s="1">
        <v>202650002472</v>
      </c>
      <c r="B2581" s="1">
        <v>930494</v>
      </c>
      <c r="C2581" s="2">
        <v>46127</v>
      </c>
      <c r="D2581" t="s">
        <v>17</v>
      </c>
      <c r="E2581" t="s">
        <v>8</v>
      </c>
      <c r="G2581" t="s">
        <v>9</v>
      </c>
      <c r="L2581">
        <f t="shared" si="201"/>
        <v>0</v>
      </c>
      <c r="M2581">
        <f t="shared" si="202"/>
        <v>0</v>
      </c>
      <c r="N2581">
        <f t="shared" si="203"/>
        <v>0</v>
      </c>
      <c r="O2581">
        <f t="shared" si="205"/>
        <v>1</v>
      </c>
      <c r="P2581" t="str">
        <f t="shared" si="204"/>
        <v/>
      </c>
      <c r="Q2581">
        <f>COUNTIF('責任職　企業局→市長部局'!A:A,SQLデータ!B2581)</f>
        <v>0</v>
      </c>
      <c r="R2581">
        <f>COUNTIF('一般職員　企業局→市長部局'!A:F,SQLデータ!B2581)</f>
        <v>0</v>
      </c>
    </row>
    <row r="2582" spans="1:18" x14ac:dyDescent="0.4">
      <c r="A2582" s="1">
        <v>202650002473</v>
      </c>
      <c r="B2582" s="1">
        <v>1146005</v>
      </c>
      <c r="C2582" s="2">
        <v>46127</v>
      </c>
      <c r="D2582" t="s">
        <v>17</v>
      </c>
      <c r="E2582" t="s">
        <v>8</v>
      </c>
      <c r="G2582" t="s">
        <v>9</v>
      </c>
      <c r="L2582">
        <f t="shared" si="201"/>
        <v>0</v>
      </c>
      <c r="M2582">
        <f t="shared" si="202"/>
        <v>0</v>
      </c>
      <c r="N2582">
        <f t="shared" si="203"/>
        <v>0</v>
      </c>
      <c r="O2582">
        <f t="shared" si="205"/>
        <v>1</v>
      </c>
      <c r="P2582" t="str">
        <f t="shared" si="204"/>
        <v/>
      </c>
      <c r="Q2582">
        <f>COUNTIF('責任職　企業局→市長部局'!A:A,SQLデータ!B2582)</f>
        <v>0</v>
      </c>
      <c r="R2582">
        <f>COUNTIF('一般職員　企業局→市長部局'!A:F,SQLデータ!B2582)</f>
        <v>0</v>
      </c>
    </row>
    <row r="2583" spans="1:18" x14ac:dyDescent="0.4">
      <c r="A2583" s="1">
        <v>202650002474</v>
      </c>
      <c r="B2583" s="1">
        <v>1091291</v>
      </c>
      <c r="C2583" s="2">
        <v>46127</v>
      </c>
      <c r="D2583" t="s">
        <v>17</v>
      </c>
      <c r="E2583" t="s">
        <v>8</v>
      </c>
      <c r="G2583" t="s">
        <v>9</v>
      </c>
      <c r="L2583">
        <f t="shared" si="201"/>
        <v>0</v>
      </c>
      <c r="M2583">
        <f t="shared" si="202"/>
        <v>0</v>
      </c>
      <c r="N2583">
        <f t="shared" si="203"/>
        <v>0</v>
      </c>
      <c r="O2583">
        <f t="shared" si="205"/>
        <v>1</v>
      </c>
      <c r="P2583" t="str">
        <f t="shared" si="204"/>
        <v/>
      </c>
      <c r="Q2583">
        <f>COUNTIF('責任職　企業局→市長部局'!A:A,SQLデータ!B2583)</f>
        <v>0</v>
      </c>
      <c r="R2583">
        <f>COUNTIF('一般職員　企業局→市長部局'!A:F,SQLデータ!B2583)</f>
        <v>0</v>
      </c>
    </row>
    <row r="2584" spans="1:18" x14ac:dyDescent="0.4">
      <c r="A2584" s="1">
        <v>202650002475</v>
      </c>
      <c r="B2584" s="1">
        <v>1256097</v>
      </c>
      <c r="C2584" s="2">
        <v>46127</v>
      </c>
      <c r="D2584" t="s">
        <v>17</v>
      </c>
      <c r="E2584" t="s">
        <v>8</v>
      </c>
      <c r="G2584" t="s">
        <v>9</v>
      </c>
      <c r="L2584">
        <f t="shared" si="201"/>
        <v>0</v>
      </c>
      <c r="M2584">
        <f t="shared" si="202"/>
        <v>0</v>
      </c>
      <c r="N2584">
        <f t="shared" si="203"/>
        <v>0</v>
      </c>
      <c r="O2584">
        <f t="shared" si="205"/>
        <v>1</v>
      </c>
      <c r="P2584" t="str">
        <f t="shared" si="204"/>
        <v/>
      </c>
      <c r="Q2584">
        <f>COUNTIF('責任職　企業局→市長部局'!A:A,SQLデータ!B2584)</f>
        <v>0</v>
      </c>
      <c r="R2584">
        <f>COUNTIF('一般職員　企業局→市長部局'!A:F,SQLデータ!B2584)</f>
        <v>0</v>
      </c>
    </row>
    <row r="2585" spans="1:18" x14ac:dyDescent="0.4">
      <c r="A2585" s="1">
        <v>202650002476</v>
      </c>
      <c r="B2585" s="1">
        <v>850152</v>
      </c>
      <c r="C2585" s="2">
        <v>46127</v>
      </c>
      <c r="D2585" t="s">
        <v>17</v>
      </c>
      <c r="E2585" t="s">
        <v>8</v>
      </c>
      <c r="G2585" t="s">
        <v>9</v>
      </c>
      <c r="L2585">
        <f t="shared" si="201"/>
        <v>0</v>
      </c>
      <c r="M2585">
        <f t="shared" si="202"/>
        <v>0</v>
      </c>
      <c r="N2585">
        <f t="shared" si="203"/>
        <v>0</v>
      </c>
      <c r="O2585">
        <f t="shared" si="205"/>
        <v>1</v>
      </c>
      <c r="P2585" t="str">
        <f t="shared" si="204"/>
        <v/>
      </c>
      <c r="Q2585">
        <f>COUNTIF('責任職　企業局→市長部局'!A:A,SQLデータ!B2585)</f>
        <v>0</v>
      </c>
      <c r="R2585">
        <f>COUNTIF('一般職員　企業局→市長部局'!A:F,SQLデータ!B2585)</f>
        <v>0</v>
      </c>
    </row>
    <row r="2586" spans="1:18" x14ac:dyDescent="0.4">
      <c r="A2586" s="1">
        <v>202650002477</v>
      </c>
      <c r="B2586" s="1">
        <v>930436</v>
      </c>
      <c r="C2586" s="2">
        <v>46127</v>
      </c>
      <c r="D2586" t="s">
        <v>17</v>
      </c>
      <c r="E2586" t="s">
        <v>8</v>
      </c>
      <c r="G2586" t="s">
        <v>9</v>
      </c>
      <c r="L2586">
        <f t="shared" si="201"/>
        <v>0</v>
      </c>
      <c r="M2586">
        <f t="shared" si="202"/>
        <v>0</v>
      </c>
      <c r="N2586">
        <f t="shared" si="203"/>
        <v>0</v>
      </c>
      <c r="O2586">
        <f t="shared" si="205"/>
        <v>1</v>
      </c>
      <c r="P2586" t="str">
        <f t="shared" si="204"/>
        <v/>
      </c>
      <c r="Q2586">
        <f>COUNTIF('責任職　企業局→市長部局'!A:A,SQLデータ!B2586)</f>
        <v>0</v>
      </c>
      <c r="R2586">
        <f>COUNTIF('一般職員　企業局→市長部局'!A:F,SQLデータ!B2586)</f>
        <v>0</v>
      </c>
    </row>
    <row r="2587" spans="1:18" x14ac:dyDescent="0.4">
      <c r="A2587" s="1">
        <v>202650002478</v>
      </c>
      <c r="B2587" s="1">
        <v>984014</v>
      </c>
      <c r="C2587" s="2">
        <v>46127</v>
      </c>
      <c r="D2587" t="s">
        <v>17</v>
      </c>
      <c r="E2587" t="s">
        <v>8</v>
      </c>
      <c r="G2587" t="s">
        <v>9</v>
      </c>
      <c r="L2587">
        <f t="shared" si="201"/>
        <v>0</v>
      </c>
      <c r="M2587">
        <f t="shared" si="202"/>
        <v>0</v>
      </c>
      <c r="N2587">
        <f t="shared" si="203"/>
        <v>0</v>
      </c>
      <c r="O2587">
        <f t="shared" si="205"/>
        <v>1</v>
      </c>
      <c r="P2587" t="str">
        <f t="shared" si="204"/>
        <v/>
      </c>
      <c r="Q2587">
        <f>COUNTIF('責任職　企業局→市長部局'!A:A,SQLデータ!B2587)</f>
        <v>0</v>
      </c>
      <c r="R2587">
        <f>COUNTIF('一般職員　企業局→市長部局'!A:F,SQLデータ!B2587)</f>
        <v>0</v>
      </c>
    </row>
    <row r="2588" spans="1:18" x14ac:dyDescent="0.4">
      <c r="A2588" s="1">
        <v>202650002479</v>
      </c>
      <c r="B2588" s="1">
        <v>1102023</v>
      </c>
      <c r="C2588" s="2">
        <v>46127</v>
      </c>
      <c r="D2588" t="s">
        <v>17</v>
      </c>
      <c r="E2588" t="s">
        <v>8</v>
      </c>
      <c r="G2588" t="s">
        <v>9</v>
      </c>
      <c r="L2588">
        <f t="shared" si="201"/>
        <v>0</v>
      </c>
      <c r="M2588">
        <f t="shared" si="202"/>
        <v>0</v>
      </c>
      <c r="N2588">
        <f t="shared" si="203"/>
        <v>0</v>
      </c>
      <c r="O2588">
        <f t="shared" si="205"/>
        <v>1</v>
      </c>
      <c r="P2588" t="str">
        <f t="shared" si="204"/>
        <v/>
      </c>
      <c r="Q2588">
        <f>COUNTIF('責任職　企業局→市長部局'!A:A,SQLデータ!B2588)</f>
        <v>0</v>
      </c>
      <c r="R2588">
        <f>COUNTIF('一般職員　企業局→市長部局'!A:F,SQLデータ!B2588)</f>
        <v>0</v>
      </c>
    </row>
    <row r="2589" spans="1:18" x14ac:dyDescent="0.4">
      <c r="A2589" s="1">
        <v>202650002480</v>
      </c>
      <c r="B2589" s="1">
        <v>930374</v>
      </c>
      <c r="C2589" s="2">
        <v>46127</v>
      </c>
      <c r="D2589" t="s">
        <v>17</v>
      </c>
      <c r="E2589" t="s">
        <v>8</v>
      </c>
      <c r="G2589" t="s">
        <v>9</v>
      </c>
      <c r="L2589">
        <f t="shared" si="201"/>
        <v>0</v>
      </c>
      <c r="M2589">
        <f t="shared" si="202"/>
        <v>0</v>
      </c>
      <c r="N2589">
        <f t="shared" si="203"/>
        <v>0</v>
      </c>
      <c r="O2589">
        <f t="shared" si="205"/>
        <v>1</v>
      </c>
      <c r="P2589" t="str">
        <f t="shared" si="204"/>
        <v/>
      </c>
      <c r="Q2589">
        <f>COUNTIF('責任職　企業局→市長部局'!A:A,SQLデータ!B2589)</f>
        <v>0</v>
      </c>
      <c r="R2589">
        <f>COUNTIF('一般職員　企業局→市長部局'!A:F,SQLデータ!B2589)</f>
        <v>0</v>
      </c>
    </row>
    <row r="2590" spans="1:18" x14ac:dyDescent="0.4">
      <c r="A2590" s="1">
        <v>202650002481</v>
      </c>
      <c r="B2590" s="1">
        <v>950053</v>
      </c>
      <c r="C2590" s="2">
        <v>46127</v>
      </c>
      <c r="D2590" t="s">
        <v>17</v>
      </c>
      <c r="E2590" t="s">
        <v>8</v>
      </c>
      <c r="G2590" t="s">
        <v>9</v>
      </c>
      <c r="L2590">
        <f t="shared" si="201"/>
        <v>0</v>
      </c>
      <c r="M2590">
        <f t="shared" si="202"/>
        <v>0</v>
      </c>
      <c r="N2590">
        <f t="shared" si="203"/>
        <v>0</v>
      </c>
      <c r="O2590">
        <f t="shared" si="205"/>
        <v>1</v>
      </c>
      <c r="P2590" t="str">
        <f t="shared" si="204"/>
        <v/>
      </c>
      <c r="Q2590">
        <f>COUNTIF('責任職　企業局→市長部局'!A:A,SQLデータ!B2590)</f>
        <v>0</v>
      </c>
      <c r="R2590">
        <f>COUNTIF('一般職員　企業局→市長部局'!A:F,SQLデータ!B2590)</f>
        <v>0</v>
      </c>
    </row>
    <row r="2591" spans="1:18" x14ac:dyDescent="0.4">
      <c r="A2591" s="1">
        <v>202650002482</v>
      </c>
      <c r="B2591" s="1">
        <v>1101402</v>
      </c>
      <c r="C2591" s="2">
        <v>46127</v>
      </c>
      <c r="D2591" t="s">
        <v>17</v>
      </c>
      <c r="E2591" t="s">
        <v>8</v>
      </c>
      <c r="G2591" t="s">
        <v>9</v>
      </c>
      <c r="L2591">
        <f t="shared" si="201"/>
        <v>0</v>
      </c>
      <c r="M2591">
        <f t="shared" si="202"/>
        <v>0</v>
      </c>
      <c r="N2591">
        <f t="shared" si="203"/>
        <v>0</v>
      </c>
      <c r="O2591">
        <f t="shared" si="205"/>
        <v>1</v>
      </c>
      <c r="P2591" t="str">
        <f t="shared" si="204"/>
        <v/>
      </c>
      <c r="Q2591">
        <f>COUNTIF('責任職　企業局→市長部局'!A:A,SQLデータ!B2591)</f>
        <v>0</v>
      </c>
      <c r="R2591">
        <f>COUNTIF('一般職員　企業局→市長部局'!A:F,SQLデータ!B2591)</f>
        <v>0</v>
      </c>
    </row>
    <row r="2592" spans="1:18" x14ac:dyDescent="0.4">
      <c r="A2592" s="1">
        <v>202650002483</v>
      </c>
      <c r="B2592" s="1">
        <v>1226112</v>
      </c>
      <c r="C2592" s="2">
        <v>46127</v>
      </c>
      <c r="D2592" t="s">
        <v>17</v>
      </c>
      <c r="E2592" t="s">
        <v>8</v>
      </c>
      <c r="G2592" t="s">
        <v>9</v>
      </c>
      <c r="L2592">
        <f t="shared" si="201"/>
        <v>0</v>
      </c>
      <c r="M2592">
        <f t="shared" si="202"/>
        <v>0</v>
      </c>
      <c r="N2592">
        <f t="shared" si="203"/>
        <v>0</v>
      </c>
      <c r="O2592">
        <f t="shared" si="205"/>
        <v>1</v>
      </c>
      <c r="P2592" t="str">
        <f t="shared" si="204"/>
        <v/>
      </c>
      <c r="Q2592">
        <f>COUNTIF('責任職　企業局→市長部局'!A:A,SQLデータ!B2592)</f>
        <v>0</v>
      </c>
      <c r="R2592">
        <f>COUNTIF('一般職員　企業局→市長部局'!A:F,SQLデータ!B2592)</f>
        <v>0</v>
      </c>
    </row>
    <row r="2593" spans="1:18" x14ac:dyDescent="0.4">
      <c r="A2593" s="1">
        <v>202650002484</v>
      </c>
      <c r="B2593" s="1">
        <v>1031125</v>
      </c>
      <c r="C2593" s="2">
        <v>46127</v>
      </c>
      <c r="D2593" t="s">
        <v>17</v>
      </c>
      <c r="E2593" t="s">
        <v>8</v>
      </c>
      <c r="G2593" t="s">
        <v>9</v>
      </c>
      <c r="L2593">
        <f t="shared" si="201"/>
        <v>0</v>
      </c>
      <c r="M2593">
        <f t="shared" si="202"/>
        <v>0</v>
      </c>
      <c r="N2593">
        <f t="shared" si="203"/>
        <v>0</v>
      </c>
      <c r="O2593">
        <f t="shared" si="205"/>
        <v>1</v>
      </c>
      <c r="P2593" t="str">
        <f t="shared" si="204"/>
        <v/>
      </c>
      <c r="Q2593">
        <f>COUNTIF('責任職　企業局→市長部局'!A:A,SQLデータ!B2593)</f>
        <v>0</v>
      </c>
      <c r="R2593">
        <f>COUNTIF('一般職員　企業局→市長部局'!A:F,SQLデータ!B2593)</f>
        <v>0</v>
      </c>
    </row>
    <row r="2594" spans="1:18" x14ac:dyDescent="0.4">
      <c r="A2594" s="1">
        <v>202650002485</v>
      </c>
      <c r="B2594" s="1">
        <v>1232073</v>
      </c>
      <c r="C2594" s="2">
        <v>46127</v>
      </c>
      <c r="D2594" t="s">
        <v>17</v>
      </c>
      <c r="E2594" t="s">
        <v>8</v>
      </c>
      <c r="G2594" t="s">
        <v>9</v>
      </c>
      <c r="L2594">
        <f t="shared" si="201"/>
        <v>0</v>
      </c>
      <c r="M2594">
        <f t="shared" si="202"/>
        <v>0</v>
      </c>
      <c r="N2594">
        <f t="shared" si="203"/>
        <v>0</v>
      </c>
      <c r="O2594">
        <f t="shared" si="205"/>
        <v>1</v>
      </c>
      <c r="P2594" t="str">
        <f t="shared" si="204"/>
        <v/>
      </c>
      <c r="Q2594">
        <f>COUNTIF('責任職　企業局→市長部局'!A:A,SQLデータ!B2594)</f>
        <v>0</v>
      </c>
      <c r="R2594">
        <f>COUNTIF('一般職員　企業局→市長部局'!A:F,SQLデータ!B2594)</f>
        <v>0</v>
      </c>
    </row>
    <row r="2595" spans="1:18" x14ac:dyDescent="0.4">
      <c r="A2595" s="1">
        <v>202650002486</v>
      </c>
      <c r="B2595" s="1">
        <v>1151099</v>
      </c>
      <c r="C2595" s="2">
        <v>46127</v>
      </c>
      <c r="D2595" t="s">
        <v>17</v>
      </c>
      <c r="E2595" t="s">
        <v>8</v>
      </c>
      <c r="G2595" t="s">
        <v>9</v>
      </c>
      <c r="L2595">
        <f t="shared" si="201"/>
        <v>0</v>
      </c>
      <c r="M2595">
        <f t="shared" si="202"/>
        <v>0</v>
      </c>
      <c r="N2595">
        <f t="shared" si="203"/>
        <v>0</v>
      </c>
      <c r="O2595">
        <f t="shared" si="205"/>
        <v>1</v>
      </c>
      <c r="P2595" t="str">
        <f t="shared" si="204"/>
        <v/>
      </c>
      <c r="Q2595">
        <f>COUNTIF('責任職　企業局→市長部局'!A:A,SQLデータ!B2595)</f>
        <v>0</v>
      </c>
      <c r="R2595">
        <f>COUNTIF('一般職員　企業局→市長部局'!A:F,SQLデータ!B2595)</f>
        <v>0</v>
      </c>
    </row>
    <row r="2596" spans="1:18" x14ac:dyDescent="0.4">
      <c r="A2596" s="1">
        <v>202650002487</v>
      </c>
      <c r="B2596" s="1">
        <v>1232025</v>
      </c>
      <c r="C2596" s="2">
        <v>46127</v>
      </c>
      <c r="D2596" t="s">
        <v>17</v>
      </c>
      <c r="E2596" t="s">
        <v>8</v>
      </c>
      <c r="G2596" t="s">
        <v>9</v>
      </c>
      <c r="L2596">
        <f t="shared" si="201"/>
        <v>0</v>
      </c>
      <c r="M2596">
        <f t="shared" si="202"/>
        <v>0</v>
      </c>
      <c r="N2596">
        <f t="shared" si="203"/>
        <v>0</v>
      </c>
      <c r="O2596">
        <f t="shared" si="205"/>
        <v>1</v>
      </c>
      <c r="P2596" t="str">
        <f t="shared" si="204"/>
        <v/>
      </c>
      <c r="Q2596">
        <f>COUNTIF('責任職　企業局→市長部局'!A:A,SQLデータ!B2596)</f>
        <v>0</v>
      </c>
      <c r="R2596">
        <f>COUNTIF('一般職員　企業局→市長部局'!A:F,SQLデータ!B2596)</f>
        <v>0</v>
      </c>
    </row>
    <row r="2597" spans="1:18" x14ac:dyDescent="0.4">
      <c r="A2597" s="1">
        <v>202650002488</v>
      </c>
      <c r="B2597" s="1">
        <v>1151256</v>
      </c>
      <c r="C2597" s="2">
        <v>46127</v>
      </c>
      <c r="D2597" t="s">
        <v>17</v>
      </c>
      <c r="E2597" t="s">
        <v>8</v>
      </c>
      <c r="G2597" t="s">
        <v>9</v>
      </c>
      <c r="L2597">
        <f t="shared" si="201"/>
        <v>0</v>
      </c>
      <c r="M2597">
        <f t="shared" si="202"/>
        <v>0</v>
      </c>
      <c r="N2597">
        <f t="shared" si="203"/>
        <v>0</v>
      </c>
      <c r="O2597">
        <f t="shared" si="205"/>
        <v>1</v>
      </c>
      <c r="P2597" t="str">
        <f t="shared" si="204"/>
        <v/>
      </c>
      <c r="Q2597">
        <f>COUNTIF('責任職　企業局→市長部局'!A:A,SQLデータ!B2597)</f>
        <v>0</v>
      </c>
      <c r="R2597">
        <f>COUNTIF('一般職員　企業局→市長部局'!A:F,SQLデータ!B2597)</f>
        <v>0</v>
      </c>
    </row>
    <row r="2598" spans="1:18" x14ac:dyDescent="0.4">
      <c r="A2598" s="1">
        <v>202650002489</v>
      </c>
      <c r="B2598" s="1">
        <v>920311</v>
      </c>
      <c r="C2598" s="2">
        <v>46127</v>
      </c>
      <c r="D2598" t="s">
        <v>17</v>
      </c>
      <c r="E2598" t="s">
        <v>8</v>
      </c>
      <c r="G2598" t="s">
        <v>9</v>
      </c>
      <c r="L2598">
        <f t="shared" si="201"/>
        <v>0</v>
      </c>
      <c r="M2598">
        <f t="shared" si="202"/>
        <v>0</v>
      </c>
      <c r="N2598">
        <f t="shared" si="203"/>
        <v>0</v>
      </c>
      <c r="O2598">
        <f t="shared" si="205"/>
        <v>1</v>
      </c>
      <c r="P2598" t="str">
        <f t="shared" si="204"/>
        <v/>
      </c>
      <c r="Q2598">
        <f>COUNTIF('責任職　企業局→市長部局'!A:A,SQLデータ!B2598)</f>
        <v>0</v>
      </c>
      <c r="R2598">
        <f>COUNTIF('一般職員　企業局→市長部局'!A:F,SQLデータ!B2598)</f>
        <v>0</v>
      </c>
    </row>
    <row r="2599" spans="1:18" x14ac:dyDescent="0.4">
      <c r="A2599" s="1">
        <v>202650002490</v>
      </c>
      <c r="B2599" s="1">
        <v>1081076</v>
      </c>
      <c r="C2599" s="2">
        <v>46127</v>
      </c>
      <c r="D2599" t="s">
        <v>17</v>
      </c>
      <c r="E2599" t="s">
        <v>8</v>
      </c>
      <c r="G2599" t="s">
        <v>9</v>
      </c>
      <c r="L2599">
        <f t="shared" si="201"/>
        <v>0</v>
      </c>
      <c r="M2599">
        <f t="shared" si="202"/>
        <v>0</v>
      </c>
      <c r="N2599">
        <f t="shared" si="203"/>
        <v>0</v>
      </c>
      <c r="O2599">
        <f t="shared" si="205"/>
        <v>1</v>
      </c>
      <c r="P2599" t="str">
        <f t="shared" si="204"/>
        <v/>
      </c>
      <c r="Q2599">
        <f>COUNTIF('責任職　企業局→市長部局'!A:A,SQLデータ!B2599)</f>
        <v>0</v>
      </c>
      <c r="R2599">
        <f>COUNTIF('一般職員　企業局→市長部局'!A:F,SQLデータ!B2599)</f>
        <v>0</v>
      </c>
    </row>
    <row r="2600" spans="1:18" x14ac:dyDescent="0.4">
      <c r="A2600" s="1">
        <v>202650002491</v>
      </c>
      <c r="B2600" s="1">
        <v>1201055</v>
      </c>
      <c r="C2600" s="2">
        <v>46127</v>
      </c>
      <c r="D2600" t="s">
        <v>17</v>
      </c>
      <c r="E2600" t="s">
        <v>8</v>
      </c>
      <c r="G2600" t="s">
        <v>9</v>
      </c>
      <c r="L2600">
        <f t="shared" si="201"/>
        <v>0</v>
      </c>
      <c r="M2600">
        <f t="shared" si="202"/>
        <v>0</v>
      </c>
      <c r="N2600">
        <f t="shared" si="203"/>
        <v>0</v>
      </c>
      <c r="O2600">
        <f t="shared" si="205"/>
        <v>1</v>
      </c>
      <c r="P2600" t="str">
        <f t="shared" si="204"/>
        <v/>
      </c>
      <c r="Q2600">
        <f>COUNTIF('責任職　企業局→市長部局'!A:A,SQLデータ!B2600)</f>
        <v>0</v>
      </c>
      <c r="R2600">
        <f>COUNTIF('一般職員　企業局→市長部局'!A:F,SQLデータ!B2600)</f>
        <v>0</v>
      </c>
    </row>
    <row r="2601" spans="1:18" x14ac:dyDescent="0.4">
      <c r="A2601" s="1">
        <v>202650002492</v>
      </c>
      <c r="B2601" s="1">
        <v>1202026</v>
      </c>
      <c r="C2601" s="2">
        <v>46127</v>
      </c>
      <c r="D2601" t="s">
        <v>17</v>
      </c>
      <c r="E2601" t="s">
        <v>8</v>
      </c>
      <c r="G2601" t="s">
        <v>9</v>
      </c>
      <c r="L2601">
        <f t="shared" si="201"/>
        <v>0</v>
      </c>
      <c r="M2601">
        <f t="shared" si="202"/>
        <v>0</v>
      </c>
      <c r="N2601">
        <f t="shared" si="203"/>
        <v>0</v>
      </c>
      <c r="O2601">
        <f t="shared" si="205"/>
        <v>1</v>
      </c>
      <c r="P2601" t="str">
        <f t="shared" si="204"/>
        <v/>
      </c>
      <c r="Q2601">
        <f>COUNTIF('責任職　企業局→市長部局'!A:A,SQLデータ!B2601)</f>
        <v>0</v>
      </c>
      <c r="R2601">
        <f>COUNTIF('一般職員　企業局→市長部局'!A:F,SQLデータ!B2601)</f>
        <v>0</v>
      </c>
    </row>
    <row r="2602" spans="1:18" x14ac:dyDescent="0.4">
      <c r="A2602" s="1">
        <v>202650002493</v>
      </c>
      <c r="B2602" s="1">
        <v>1121024</v>
      </c>
      <c r="C2602" s="2">
        <v>46127</v>
      </c>
      <c r="D2602" t="s">
        <v>17</v>
      </c>
      <c r="E2602" t="s">
        <v>8</v>
      </c>
      <c r="G2602" t="s">
        <v>9</v>
      </c>
      <c r="L2602">
        <f t="shared" si="201"/>
        <v>0</v>
      </c>
      <c r="M2602">
        <f t="shared" si="202"/>
        <v>0</v>
      </c>
      <c r="N2602">
        <f t="shared" si="203"/>
        <v>0</v>
      </c>
      <c r="O2602">
        <f t="shared" si="205"/>
        <v>1</v>
      </c>
      <c r="P2602" t="str">
        <f t="shared" si="204"/>
        <v/>
      </c>
      <c r="Q2602">
        <f>COUNTIF('責任職　企業局→市長部局'!A:A,SQLデータ!B2602)</f>
        <v>0</v>
      </c>
      <c r="R2602">
        <f>COUNTIF('一般職員　企業局→市長部局'!A:F,SQLデータ!B2602)</f>
        <v>0</v>
      </c>
    </row>
    <row r="2603" spans="1:18" x14ac:dyDescent="0.4">
      <c r="A2603" s="1">
        <v>202650002494</v>
      </c>
      <c r="B2603" s="1">
        <v>1202123</v>
      </c>
      <c r="C2603" s="2">
        <v>46127</v>
      </c>
      <c r="D2603" t="s">
        <v>17</v>
      </c>
      <c r="E2603" t="s">
        <v>8</v>
      </c>
      <c r="G2603" t="s">
        <v>9</v>
      </c>
      <c r="L2603">
        <f t="shared" si="201"/>
        <v>0</v>
      </c>
      <c r="M2603">
        <f t="shared" si="202"/>
        <v>0</v>
      </c>
      <c r="N2603">
        <f t="shared" si="203"/>
        <v>0</v>
      </c>
      <c r="O2603">
        <f t="shared" si="205"/>
        <v>1</v>
      </c>
      <c r="P2603" t="str">
        <f t="shared" si="204"/>
        <v/>
      </c>
      <c r="Q2603">
        <f>COUNTIF('責任職　企業局→市長部局'!A:A,SQLデータ!B2603)</f>
        <v>0</v>
      </c>
      <c r="R2603">
        <f>COUNTIF('一般職員　企業局→市長部局'!A:F,SQLデータ!B2603)</f>
        <v>0</v>
      </c>
    </row>
    <row r="2604" spans="1:18" x14ac:dyDescent="0.4">
      <c r="A2604" s="1">
        <v>202650002495</v>
      </c>
      <c r="B2604" s="1">
        <v>1091146</v>
      </c>
      <c r="C2604" s="2">
        <v>46127</v>
      </c>
      <c r="D2604" t="s">
        <v>17</v>
      </c>
      <c r="E2604" t="s">
        <v>8</v>
      </c>
      <c r="G2604" t="s">
        <v>9</v>
      </c>
      <c r="L2604">
        <f t="shared" si="201"/>
        <v>0</v>
      </c>
      <c r="M2604">
        <f t="shared" si="202"/>
        <v>0</v>
      </c>
      <c r="N2604">
        <f t="shared" si="203"/>
        <v>0</v>
      </c>
      <c r="O2604">
        <f t="shared" si="205"/>
        <v>1</v>
      </c>
      <c r="P2604" t="str">
        <f t="shared" si="204"/>
        <v/>
      </c>
      <c r="Q2604">
        <f>COUNTIF('責任職　企業局→市長部局'!A:A,SQLデータ!B2604)</f>
        <v>0</v>
      </c>
      <c r="R2604">
        <f>COUNTIF('一般職員　企業局→市長部局'!A:F,SQLデータ!B2604)</f>
        <v>0</v>
      </c>
    </row>
    <row r="2605" spans="1:18" x14ac:dyDescent="0.4">
      <c r="A2605" s="1">
        <v>202650002496</v>
      </c>
      <c r="B2605" s="1">
        <v>1236070</v>
      </c>
      <c r="C2605" s="2">
        <v>46127</v>
      </c>
      <c r="D2605" t="s">
        <v>17</v>
      </c>
      <c r="E2605" t="s">
        <v>8</v>
      </c>
      <c r="G2605" t="s">
        <v>9</v>
      </c>
      <c r="L2605">
        <f t="shared" si="201"/>
        <v>0</v>
      </c>
      <c r="M2605">
        <f t="shared" si="202"/>
        <v>0</v>
      </c>
      <c r="N2605">
        <f t="shared" si="203"/>
        <v>0</v>
      </c>
      <c r="O2605">
        <f t="shared" si="205"/>
        <v>1</v>
      </c>
      <c r="P2605" t="str">
        <f t="shared" si="204"/>
        <v/>
      </c>
      <c r="Q2605">
        <f>COUNTIF('責任職　企業局→市長部局'!A:A,SQLデータ!B2605)</f>
        <v>0</v>
      </c>
      <c r="R2605">
        <f>COUNTIF('一般職員　企業局→市長部局'!A:F,SQLデータ!B2605)</f>
        <v>0</v>
      </c>
    </row>
    <row r="2606" spans="1:18" x14ac:dyDescent="0.4">
      <c r="A2606" s="1">
        <v>202650002497</v>
      </c>
      <c r="B2606" s="1">
        <v>1101053</v>
      </c>
      <c r="C2606" s="2">
        <v>46127</v>
      </c>
      <c r="D2606" t="s">
        <v>17</v>
      </c>
      <c r="E2606" t="s">
        <v>8</v>
      </c>
      <c r="G2606" t="s">
        <v>9</v>
      </c>
      <c r="L2606">
        <f t="shared" si="201"/>
        <v>0</v>
      </c>
      <c r="M2606">
        <f t="shared" si="202"/>
        <v>0</v>
      </c>
      <c r="N2606">
        <f t="shared" si="203"/>
        <v>0</v>
      </c>
      <c r="O2606">
        <f t="shared" si="205"/>
        <v>1</v>
      </c>
      <c r="P2606" t="str">
        <f t="shared" si="204"/>
        <v/>
      </c>
      <c r="Q2606">
        <f>COUNTIF('責任職　企業局→市長部局'!A:A,SQLデータ!B2606)</f>
        <v>0</v>
      </c>
      <c r="R2606">
        <f>COUNTIF('一般職員　企業局→市長部局'!A:F,SQLデータ!B2606)</f>
        <v>0</v>
      </c>
    </row>
    <row r="2607" spans="1:18" x14ac:dyDescent="0.4">
      <c r="A2607" s="1">
        <v>202650002498</v>
      </c>
      <c r="B2607" s="1">
        <v>1111157</v>
      </c>
      <c r="C2607" s="2">
        <v>46127</v>
      </c>
      <c r="D2607" t="s">
        <v>17</v>
      </c>
      <c r="E2607" t="s">
        <v>8</v>
      </c>
      <c r="G2607" t="s">
        <v>9</v>
      </c>
      <c r="L2607">
        <f t="shared" si="201"/>
        <v>0</v>
      </c>
      <c r="M2607">
        <f t="shared" si="202"/>
        <v>0</v>
      </c>
      <c r="N2607">
        <f t="shared" si="203"/>
        <v>0</v>
      </c>
      <c r="O2607">
        <f t="shared" si="205"/>
        <v>1</v>
      </c>
      <c r="P2607" t="str">
        <f t="shared" si="204"/>
        <v/>
      </c>
      <c r="Q2607">
        <f>COUNTIF('責任職　企業局→市長部局'!A:A,SQLデータ!B2607)</f>
        <v>0</v>
      </c>
      <c r="R2607">
        <f>COUNTIF('一般職員　企業局→市長部局'!A:F,SQLデータ!B2607)</f>
        <v>0</v>
      </c>
    </row>
    <row r="2608" spans="1:18" x14ac:dyDescent="0.4">
      <c r="A2608" s="1">
        <v>202650002499</v>
      </c>
      <c r="B2608" s="1">
        <v>1121217</v>
      </c>
      <c r="C2608" s="2">
        <v>46127</v>
      </c>
      <c r="D2608" t="s">
        <v>17</v>
      </c>
      <c r="E2608" t="s">
        <v>8</v>
      </c>
      <c r="G2608" t="s">
        <v>9</v>
      </c>
      <c r="L2608">
        <f t="shared" si="201"/>
        <v>0</v>
      </c>
      <c r="M2608">
        <f t="shared" si="202"/>
        <v>0</v>
      </c>
      <c r="N2608">
        <f t="shared" si="203"/>
        <v>0</v>
      </c>
      <c r="O2608">
        <f t="shared" si="205"/>
        <v>1</v>
      </c>
      <c r="P2608" t="str">
        <f t="shared" si="204"/>
        <v/>
      </c>
      <c r="Q2608">
        <f>COUNTIF('責任職　企業局→市長部局'!A:A,SQLデータ!B2608)</f>
        <v>0</v>
      </c>
      <c r="R2608">
        <f>COUNTIF('一般職員　企業局→市長部局'!A:F,SQLデータ!B2608)</f>
        <v>0</v>
      </c>
    </row>
    <row r="2609" spans="1:18" x14ac:dyDescent="0.4">
      <c r="A2609" s="1">
        <v>202650002500</v>
      </c>
      <c r="B2609" s="1">
        <v>1122082</v>
      </c>
      <c r="C2609" s="2">
        <v>46127</v>
      </c>
      <c r="D2609" t="s">
        <v>17</v>
      </c>
      <c r="E2609" t="s">
        <v>8</v>
      </c>
      <c r="G2609" t="s">
        <v>9</v>
      </c>
      <c r="L2609">
        <f t="shared" si="201"/>
        <v>0</v>
      </c>
      <c r="M2609">
        <f t="shared" si="202"/>
        <v>0</v>
      </c>
      <c r="N2609">
        <f t="shared" si="203"/>
        <v>0</v>
      </c>
      <c r="O2609">
        <f t="shared" si="205"/>
        <v>1</v>
      </c>
      <c r="P2609" t="str">
        <f t="shared" si="204"/>
        <v/>
      </c>
      <c r="Q2609">
        <f>COUNTIF('責任職　企業局→市長部局'!A:A,SQLデータ!B2609)</f>
        <v>0</v>
      </c>
      <c r="R2609">
        <f>COUNTIF('一般職員　企業局→市長部局'!A:F,SQLデータ!B2609)</f>
        <v>0</v>
      </c>
    </row>
    <row r="2610" spans="1:18" x14ac:dyDescent="0.4">
      <c r="A2610" s="1">
        <v>202650002501</v>
      </c>
      <c r="B2610" s="1">
        <v>1110005</v>
      </c>
      <c r="C2610" s="2">
        <v>46127</v>
      </c>
      <c r="D2610" t="s">
        <v>17</v>
      </c>
      <c r="E2610" t="s">
        <v>8</v>
      </c>
      <c r="G2610" t="s">
        <v>9</v>
      </c>
      <c r="L2610">
        <f t="shared" si="201"/>
        <v>0</v>
      </c>
      <c r="M2610">
        <f t="shared" si="202"/>
        <v>0</v>
      </c>
      <c r="N2610">
        <f t="shared" si="203"/>
        <v>0</v>
      </c>
      <c r="O2610">
        <f t="shared" si="205"/>
        <v>1</v>
      </c>
      <c r="P2610" t="str">
        <f t="shared" si="204"/>
        <v/>
      </c>
      <c r="Q2610">
        <f>COUNTIF('責任職　企業局→市長部局'!A:A,SQLデータ!B2610)</f>
        <v>0</v>
      </c>
      <c r="R2610">
        <f>COUNTIF('一般職員　企業局→市長部局'!A:F,SQLデータ!B2610)</f>
        <v>0</v>
      </c>
    </row>
    <row r="2611" spans="1:18" x14ac:dyDescent="0.4">
      <c r="A2611" s="1">
        <v>202650002502</v>
      </c>
      <c r="B2611" s="1">
        <v>1181071</v>
      </c>
      <c r="C2611" s="2">
        <v>46127</v>
      </c>
      <c r="D2611" t="s">
        <v>17</v>
      </c>
      <c r="E2611" t="s">
        <v>8</v>
      </c>
      <c r="G2611" t="s">
        <v>9</v>
      </c>
      <c r="L2611">
        <f t="shared" si="201"/>
        <v>0</v>
      </c>
      <c r="M2611">
        <f t="shared" si="202"/>
        <v>0</v>
      </c>
      <c r="N2611">
        <f t="shared" si="203"/>
        <v>0</v>
      </c>
      <c r="O2611">
        <f t="shared" si="205"/>
        <v>1</v>
      </c>
      <c r="P2611" t="str">
        <f t="shared" si="204"/>
        <v/>
      </c>
      <c r="Q2611">
        <f>COUNTIF('責任職　企業局→市長部局'!A:A,SQLデータ!B2611)</f>
        <v>0</v>
      </c>
      <c r="R2611">
        <f>COUNTIF('一般職員　企業局→市長部局'!A:F,SQLデータ!B2611)</f>
        <v>0</v>
      </c>
    </row>
    <row r="2612" spans="1:18" x14ac:dyDescent="0.4">
      <c r="A2612" s="1">
        <v>202650002503</v>
      </c>
      <c r="B2612" s="1">
        <v>890349</v>
      </c>
      <c r="C2612" s="2">
        <v>46127</v>
      </c>
      <c r="D2612" t="s">
        <v>17</v>
      </c>
      <c r="E2612" t="s">
        <v>8</v>
      </c>
      <c r="G2612" t="s">
        <v>9</v>
      </c>
      <c r="L2612">
        <f t="shared" si="201"/>
        <v>0</v>
      </c>
      <c r="M2612">
        <f t="shared" si="202"/>
        <v>0</v>
      </c>
      <c r="N2612">
        <f t="shared" si="203"/>
        <v>0</v>
      </c>
      <c r="O2612">
        <f t="shared" si="205"/>
        <v>1</v>
      </c>
      <c r="P2612" t="str">
        <f t="shared" si="204"/>
        <v/>
      </c>
      <c r="Q2612">
        <f>COUNTIF('責任職　企業局→市長部局'!A:A,SQLデータ!B2612)</f>
        <v>0</v>
      </c>
      <c r="R2612">
        <f>COUNTIF('一般職員　企業局→市長部局'!A:F,SQLデータ!B2612)</f>
        <v>0</v>
      </c>
    </row>
    <row r="2613" spans="1:18" x14ac:dyDescent="0.4">
      <c r="A2613" s="1">
        <v>202650002504</v>
      </c>
      <c r="B2613" s="1">
        <v>1102114</v>
      </c>
      <c r="C2613" s="2">
        <v>46127</v>
      </c>
      <c r="D2613" t="s">
        <v>17</v>
      </c>
      <c r="E2613" t="s">
        <v>8</v>
      </c>
      <c r="G2613" t="s">
        <v>9</v>
      </c>
      <c r="L2613">
        <f t="shared" si="201"/>
        <v>0</v>
      </c>
      <c r="M2613">
        <f t="shared" si="202"/>
        <v>0</v>
      </c>
      <c r="N2613">
        <f t="shared" si="203"/>
        <v>0</v>
      </c>
      <c r="O2613">
        <f t="shared" si="205"/>
        <v>1</v>
      </c>
      <c r="P2613" t="str">
        <f t="shared" si="204"/>
        <v/>
      </c>
      <c r="Q2613">
        <f>COUNTIF('責任職　企業局→市長部局'!A:A,SQLデータ!B2613)</f>
        <v>0</v>
      </c>
      <c r="R2613">
        <f>COUNTIF('一般職員　企業局→市長部局'!A:F,SQLデータ!B2613)</f>
        <v>0</v>
      </c>
    </row>
    <row r="2614" spans="1:18" x14ac:dyDescent="0.4">
      <c r="A2614" s="1">
        <v>202650002505</v>
      </c>
      <c r="B2614" s="1">
        <v>1113021</v>
      </c>
      <c r="C2614" s="2">
        <v>46127</v>
      </c>
      <c r="D2614" t="s">
        <v>17</v>
      </c>
      <c r="E2614" t="s">
        <v>8</v>
      </c>
      <c r="G2614" t="s">
        <v>9</v>
      </c>
      <c r="L2614">
        <f t="shared" si="201"/>
        <v>0</v>
      </c>
      <c r="M2614">
        <f t="shared" si="202"/>
        <v>0</v>
      </c>
      <c r="N2614">
        <f t="shared" si="203"/>
        <v>0</v>
      </c>
      <c r="O2614">
        <f t="shared" si="205"/>
        <v>1</v>
      </c>
      <c r="P2614" t="str">
        <f t="shared" si="204"/>
        <v/>
      </c>
      <c r="Q2614">
        <f>COUNTIF('責任職　企業局→市長部局'!A:A,SQLデータ!B2614)</f>
        <v>0</v>
      </c>
      <c r="R2614">
        <f>COUNTIF('一般職員　企業局→市長部局'!A:F,SQLデータ!B2614)</f>
        <v>0</v>
      </c>
    </row>
    <row r="2615" spans="1:18" x14ac:dyDescent="0.4">
      <c r="A2615" s="1">
        <v>202650002506</v>
      </c>
      <c r="B2615" s="1">
        <v>1193012</v>
      </c>
      <c r="C2615" s="2">
        <v>46127</v>
      </c>
      <c r="D2615" t="s">
        <v>17</v>
      </c>
      <c r="E2615" t="s">
        <v>8</v>
      </c>
      <c r="G2615" t="s">
        <v>9</v>
      </c>
      <c r="L2615">
        <f t="shared" si="201"/>
        <v>0</v>
      </c>
      <c r="M2615">
        <f t="shared" si="202"/>
        <v>0</v>
      </c>
      <c r="N2615">
        <f t="shared" si="203"/>
        <v>0</v>
      </c>
      <c r="O2615">
        <f t="shared" si="205"/>
        <v>1</v>
      </c>
      <c r="P2615" t="str">
        <f t="shared" si="204"/>
        <v/>
      </c>
      <c r="Q2615">
        <f>COUNTIF('責任職　企業局→市長部局'!A:A,SQLデータ!B2615)</f>
        <v>0</v>
      </c>
      <c r="R2615">
        <f>COUNTIF('一般職員　企業局→市長部局'!A:F,SQLデータ!B2615)</f>
        <v>0</v>
      </c>
    </row>
    <row r="2616" spans="1:18" x14ac:dyDescent="0.4">
      <c r="A2616" s="1">
        <v>202650002507</v>
      </c>
      <c r="B2616" s="1">
        <v>850365</v>
      </c>
      <c r="C2616" s="2">
        <v>46127</v>
      </c>
      <c r="D2616" t="s">
        <v>17</v>
      </c>
      <c r="E2616" t="s">
        <v>8</v>
      </c>
      <c r="G2616" t="s">
        <v>9</v>
      </c>
      <c r="L2616">
        <f t="shared" si="201"/>
        <v>0</v>
      </c>
      <c r="M2616">
        <f t="shared" si="202"/>
        <v>0</v>
      </c>
      <c r="N2616">
        <f t="shared" si="203"/>
        <v>0</v>
      </c>
      <c r="O2616">
        <f t="shared" si="205"/>
        <v>1</v>
      </c>
      <c r="P2616" t="str">
        <f t="shared" si="204"/>
        <v/>
      </c>
      <c r="Q2616">
        <f>COUNTIF('責任職　企業局→市長部局'!A:A,SQLデータ!B2616)</f>
        <v>0</v>
      </c>
      <c r="R2616">
        <f>COUNTIF('一般職員　企業局→市長部局'!A:F,SQLデータ!B2616)</f>
        <v>0</v>
      </c>
    </row>
    <row r="2617" spans="1:18" x14ac:dyDescent="0.4">
      <c r="A2617" s="1">
        <v>202650002508</v>
      </c>
      <c r="B2617" s="1">
        <v>1191043</v>
      </c>
      <c r="C2617" s="2">
        <v>46127</v>
      </c>
      <c r="D2617" t="s">
        <v>17</v>
      </c>
      <c r="E2617" t="s">
        <v>8</v>
      </c>
      <c r="G2617" t="s">
        <v>9</v>
      </c>
      <c r="L2617">
        <f t="shared" si="201"/>
        <v>0</v>
      </c>
      <c r="M2617">
        <f t="shared" si="202"/>
        <v>0</v>
      </c>
      <c r="N2617">
        <f t="shared" si="203"/>
        <v>0</v>
      </c>
      <c r="O2617">
        <f t="shared" si="205"/>
        <v>1</v>
      </c>
      <c r="P2617" t="str">
        <f t="shared" si="204"/>
        <v/>
      </c>
      <c r="Q2617">
        <f>COUNTIF('責任職　企業局→市長部局'!A:A,SQLデータ!B2617)</f>
        <v>0</v>
      </c>
      <c r="R2617">
        <f>COUNTIF('一般職員　企業局→市長部局'!A:F,SQLデータ!B2617)</f>
        <v>0</v>
      </c>
    </row>
    <row r="2618" spans="1:18" x14ac:dyDescent="0.4">
      <c r="A2618" s="1">
        <v>202650002509</v>
      </c>
      <c r="B2618" s="1">
        <v>1221107</v>
      </c>
      <c r="C2618" s="2">
        <v>46127</v>
      </c>
      <c r="D2618" t="s">
        <v>17</v>
      </c>
      <c r="E2618" t="s">
        <v>8</v>
      </c>
      <c r="G2618" t="s">
        <v>9</v>
      </c>
      <c r="L2618">
        <f t="shared" si="201"/>
        <v>0</v>
      </c>
      <c r="M2618">
        <f t="shared" si="202"/>
        <v>0</v>
      </c>
      <c r="N2618">
        <f t="shared" si="203"/>
        <v>0</v>
      </c>
      <c r="O2618">
        <f t="shared" si="205"/>
        <v>1</v>
      </c>
      <c r="P2618" t="str">
        <f t="shared" si="204"/>
        <v/>
      </c>
      <c r="Q2618">
        <f>COUNTIF('責任職　企業局→市長部局'!A:A,SQLデータ!B2618)</f>
        <v>0</v>
      </c>
      <c r="R2618">
        <f>COUNTIF('一般職員　企業局→市長部局'!A:F,SQLデータ!B2618)</f>
        <v>0</v>
      </c>
    </row>
    <row r="2619" spans="1:18" x14ac:dyDescent="0.4">
      <c r="A2619" s="1">
        <v>202650002510</v>
      </c>
      <c r="B2619" s="1">
        <v>1232303</v>
      </c>
      <c r="C2619" s="2">
        <v>46127</v>
      </c>
      <c r="D2619" t="s">
        <v>17</v>
      </c>
      <c r="E2619" t="s">
        <v>8</v>
      </c>
      <c r="G2619" t="s">
        <v>9</v>
      </c>
      <c r="L2619">
        <f t="shared" si="201"/>
        <v>0</v>
      </c>
      <c r="M2619">
        <f t="shared" si="202"/>
        <v>0</v>
      </c>
      <c r="N2619">
        <f t="shared" si="203"/>
        <v>0</v>
      </c>
      <c r="O2619">
        <f t="shared" si="205"/>
        <v>1</v>
      </c>
      <c r="P2619" t="str">
        <f t="shared" si="204"/>
        <v/>
      </c>
      <c r="Q2619">
        <f>COUNTIF('責任職　企業局→市長部局'!A:A,SQLデータ!B2619)</f>
        <v>0</v>
      </c>
      <c r="R2619">
        <f>COUNTIF('一般職員　企業局→市長部局'!A:F,SQLデータ!B2619)</f>
        <v>0</v>
      </c>
    </row>
    <row r="2620" spans="1:18" x14ac:dyDescent="0.4">
      <c r="A2620" s="1">
        <v>202650002511</v>
      </c>
      <c r="B2620" s="1">
        <v>1220087</v>
      </c>
      <c r="C2620" s="2">
        <v>46127</v>
      </c>
      <c r="D2620" t="s">
        <v>17</v>
      </c>
      <c r="E2620" t="s">
        <v>8</v>
      </c>
      <c r="G2620" t="s">
        <v>9</v>
      </c>
      <c r="L2620">
        <f t="shared" si="201"/>
        <v>0</v>
      </c>
      <c r="M2620">
        <f t="shared" si="202"/>
        <v>0</v>
      </c>
      <c r="N2620">
        <f t="shared" si="203"/>
        <v>0</v>
      </c>
      <c r="O2620">
        <f t="shared" si="205"/>
        <v>1</v>
      </c>
      <c r="P2620" t="str">
        <f t="shared" si="204"/>
        <v/>
      </c>
      <c r="Q2620">
        <f>COUNTIF('責任職　企業局→市長部局'!A:A,SQLデータ!B2620)</f>
        <v>0</v>
      </c>
      <c r="R2620">
        <f>COUNTIF('一般職員　企業局→市長部局'!A:F,SQLデータ!B2620)</f>
        <v>0</v>
      </c>
    </row>
    <row r="2621" spans="1:18" x14ac:dyDescent="0.4">
      <c r="A2621" s="1">
        <v>202650002512</v>
      </c>
      <c r="B2621" s="1">
        <v>1191126</v>
      </c>
      <c r="C2621" s="2">
        <v>46127</v>
      </c>
      <c r="D2621" t="s">
        <v>17</v>
      </c>
      <c r="E2621" t="s">
        <v>8</v>
      </c>
      <c r="G2621" t="s">
        <v>9</v>
      </c>
      <c r="L2621">
        <f t="shared" si="201"/>
        <v>0</v>
      </c>
      <c r="M2621">
        <f t="shared" si="202"/>
        <v>0</v>
      </c>
      <c r="N2621">
        <f t="shared" si="203"/>
        <v>0</v>
      </c>
      <c r="O2621">
        <f t="shared" si="205"/>
        <v>1</v>
      </c>
      <c r="P2621" t="str">
        <f t="shared" si="204"/>
        <v/>
      </c>
      <c r="Q2621">
        <f>COUNTIF('責任職　企業局→市長部局'!A:A,SQLデータ!B2621)</f>
        <v>0</v>
      </c>
      <c r="R2621">
        <f>COUNTIF('一般職員　企業局→市長部局'!A:F,SQLデータ!B2621)</f>
        <v>0</v>
      </c>
    </row>
    <row r="2622" spans="1:18" x14ac:dyDescent="0.4">
      <c r="A2622" s="1">
        <v>202650002513</v>
      </c>
      <c r="B2622" s="1">
        <v>1231162</v>
      </c>
      <c r="C2622" s="2">
        <v>46127</v>
      </c>
      <c r="D2622" t="s">
        <v>17</v>
      </c>
      <c r="E2622" t="s">
        <v>8</v>
      </c>
      <c r="G2622" t="s">
        <v>9</v>
      </c>
      <c r="L2622">
        <f t="shared" si="201"/>
        <v>0</v>
      </c>
      <c r="M2622">
        <f t="shared" si="202"/>
        <v>0</v>
      </c>
      <c r="N2622">
        <f t="shared" si="203"/>
        <v>0</v>
      </c>
      <c r="O2622">
        <f t="shared" si="205"/>
        <v>1</v>
      </c>
      <c r="P2622" t="str">
        <f t="shared" si="204"/>
        <v/>
      </c>
      <c r="Q2622">
        <f>COUNTIF('責任職　企業局→市長部局'!A:A,SQLデータ!B2622)</f>
        <v>0</v>
      </c>
      <c r="R2622">
        <f>COUNTIF('一般職員　企業局→市長部局'!A:F,SQLデータ!B2622)</f>
        <v>0</v>
      </c>
    </row>
    <row r="2623" spans="1:18" x14ac:dyDescent="0.4">
      <c r="A2623" s="1">
        <v>202650002514</v>
      </c>
      <c r="B2623" s="1">
        <v>1161059</v>
      </c>
      <c r="C2623" s="2">
        <v>46127</v>
      </c>
      <c r="D2623" t="s">
        <v>17</v>
      </c>
      <c r="E2623" t="s">
        <v>8</v>
      </c>
      <c r="G2623" t="s">
        <v>9</v>
      </c>
      <c r="L2623">
        <f t="shared" si="201"/>
        <v>0</v>
      </c>
      <c r="M2623">
        <f t="shared" si="202"/>
        <v>0</v>
      </c>
      <c r="N2623">
        <f t="shared" si="203"/>
        <v>0</v>
      </c>
      <c r="O2623">
        <f t="shared" si="205"/>
        <v>1</v>
      </c>
      <c r="P2623" t="str">
        <f t="shared" si="204"/>
        <v/>
      </c>
      <c r="Q2623">
        <f>COUNTIF('責任職　企業局→市長部局'!A:A,SQLデータ!B2623)</f>
        <v>0</v>
      </c>
      <c r="R2623">
        <f>COUNTIF('一般職員　企業局→市長部局'!A:F,SQLデータ!B2623)</f>
        <v>0</v>
      </c>
    </row>
    <row r="2624" spans="1:18" x14ac:dyDescent="0.4">
      <c r="A2624" s="1">
        <v>202650002515</v>
      </c>
      <c r="B2624" s="1">
        <v>1232086</v>
      </c>
      <c r="C2624" s="2">
        <v>46127</v>
      </c>
      <c r="D2624" t="s">
        <v>17</v>
      </c>
      <c r="E2624" t="s">
        <v>8</v>
      </c>
      <c r="G2624" t="s">
        <v>9</v>
      </c>
      <c r="L2624">
        <f t="shared" si="201"/>
        <v>0</v>
      </c>
      <c r="M2624">
        <f t="shared" si="202"/>
        <v>0</v>
      </c>
      <c r="N2624">
        <f t="shared" si="203"/>
        <v>0</v>
      </c>
      <c r="O2624">
        <f t="shared" si="205"/>
        <v>1</v>
      </c>
      <c r="P2624" t="str">
        <f t="shared" si="204"/>
        <v/>
      </c>
      <c r="Q2624">
        <f>COUNTIF('責任職　企業局→市長部局'!A:A,SQLデータ!B2624)</f>
        <v>0</v>
      </c>
      <c r="R2624">
        <f>COUNTIF('一般職員　企業局→市長部局'!A:F,SQLデータ!B2624)</f>
        <v>0</v>
      </c>
    </row>
    <row r="2625" spans="1:18" x14ac:dyDescent="0.4">
      <c r="A2625" s="1">
        <v>202650002516</v>
      </c>
      <c r="B2625" s="1">
        <v>1112125</v>
      </c>
      <c r="C2625" s="2">
        <v>46127</v>
      </c>
      <c r="D2625" t="s">
        <v>17</v>
      </c>
      <c r="E2625" t="s">
        <v>8</v>
      </c>
      <c r="G2625" t="s">
        <v>9</v>
      </c>
      <c r="L2625">
        <f t="shared" si="201"/>
        <v>0</v>
      </c>
      <c r="M2625">
        <f t="shared" si="202"/>
        <v>0</v>
      </c>
      <c r="N2625">
        <f t="shared" si="203"/>
        <v>0</v>
      </c>
      <c r="O2625">
        <f t="shared" si="205"/>
        <v>1</v>
      </c>
      <c r="P2625" t="str">
        <f t="shared" si="204"/>
        <v/>
      </c>
      <c r="Q2625">
        <f>COUNTIF('責任職　企業局→市長部局'!A:A,SQLデータ!B2625)</f>
        <v>0</v>
      </c>
      <c r="R2625">
        <f>COUNTIF('一般職員　企業局→市長部局'!A:F,SQLデータ!B2625)</f>
        <v>0</v>
      </c>
    </row>
    <row r="2626" spans="1:18" x14ac:dyDescent="0.4">
      <c r="A2626" s="1">
        <v>202650002517</v>
      </c>
      <c r="B2626" s="1">
        <v>1231238</v>
      </c>
      <c r="C2626" s="2">
        <v>46127</v>
      </c>
      <c r="D2626" t="s">
        <v>17</v>
      </c>
      <c r="E2626" t="s">
        <v>8</v>
      </c>
      <c r="G2626" t="s">
        <v>9</v>
      </c>
      <c r="L2626">
        <f t="shared" ref="L2626:L2689" si="206">IF(ISBLANK(J2626),0,1)</f>
        <v>0</v>
      </c>
      <c r="M2626">
        <f t="shared" ref="M2626:M2689" si="207">IF(AND(L2626=0,I2626&lt;&gt;""),1,0)</f>
        <v>0</v>
      </c>
      <c r="N2626">
        <f t="shared" ref="N2626:N2689" si="208">IF(AND(L2626=0,M2626=0,K2626&lt;&gt;""),1,0)</f>
        <v>0</v>
      </c>
      <c r="O2626">
        <f t="shared" si="205"/>
        <v>1</v>
      </c>
      <c r="P2626" t="str">
        <f t="shared" ref="P2626:P2689" si="209">IF(D2626&lt;&gt;"扶養","",IF(E2626&lt;&gt;"確認待ち",1,IF(OR(AND(G2626="本人の結婚",O2626=1),AND(H2626="減",OR(N2626=1,O2626=1))),1,0)))</f>
        <v/>
      </c>
      <c r="Q2626">
        <f>COUNTIF('責任職　企業局→市長部局'!A:A,SQLデータ!B2626)</f>
        <v>0</v>
      </c>
      <c r="R2626">
        <f>COUNTIF('一般職員　企業局→市長部局'!A:F,SQLデータ!B2626)</f>
        <v>0</v>
      </c>
    </row>
    <row r="2627" spans="1:18" x14ac:dyDescent="0.4">
      <c r="A2627" s="1">
        <v>202650002518</v>
      </c>
      <c r="B2627" s="1">
        <v>950181</v>
      </c>
      <c r="C2627" s="2">
        <v>46127</v>
      </c>
      <c r="D2627" t="s">
        <v>17</v>
      </c>
      <c r="E2627" t="s">
        <v>8</v>
      </c>
      <c r="G2627" t="s">
        <v>9</v>
      </c>
      <c r="L2627">
        <f t="shared" si="206"/>
        <v>0</v>
      </c>
      <c r="M2627">
        <f t="shared" si="207"/>
        <v>0</v>
      </c>
      <c r="N2627">
        <f t="shared" si="208"/>
        <v>0</v>
      </c>
      <c r="O2627">
        <f t="shared" si="205"/>
        <v>1</v>
      </c>
      <c r="P2627" t="str">
        <f t="shared" si="209"/>
        <v/>
      </c>
      <c r="Q2627">
        <f>COUNTIF('責任職　企業局→市長部局'!A:A,SQLデータ!B2627)</f>
        <v>0</v>
      </c>
      <c r="R2627">
        <f>COUNTIF('一般職員　企業局→市長部局'!A:F,SQLデータ!B2627)</f>
        <v>0</v>
      </c>
    </row>
    <row r="2628" spans="1:18" x14ac:dyDescent="0.4">
      <c r="A2628" s="1">
        <v>202650002519</v>
      </c>
      <c r="B2628" s="1">
        <v>1231312</v>
      </c>
      <c r="C2628" s="2">
        <v>46127</v>
      </c>
      <c r="D2628" t="s">
        <v>17</v>
      </c>
      <c r="E2628" t="s">
        <v>8</v>
      </c>
      <c r="G2628" t="s">
        <v>9</v>
      </c>
      <c r="L2628">
        <f t="shared" si="206"/>
        <v>0</v>
      </c>
      <c r="M2628">
        <f t="shared" si="207"/>
        <v>0</v>
      </c>
      <c r="N2628">
        <f t="shared" si="208"/>
        <v>0</v>
      </c>
      <c r="O2628">
        <f t="shared" si="205"/>
        <v>1</v>
      </c>
      <c r="P2628" t="str">
        <f t="shared" si="209"/>
        <v/>
      </c>
      <c r="Q2628">
        <f>COUNTIF('責任職　企業局→市長部局'!A:A,SQLデータ!B2628)</f>
        <v>0</v>
      </c>
      <c r="R2628">
        <f>COUNTIF('一般職員　企業局→市長部局'!A:F,SQLデータ!B2628)</f>
        <v>0</v>
      </c>
    </row>
    <row r="2629" spans="1:18" x14ac:dyDescent="0.4">
      <c r="A2629" s="1">
        <v>202650002521</v>
      </c>
      <c r="B2629" s="1">
        <v>1201368</v>
      </c>
      <c r="C2629" s="2">
        <v>46127</v>
      </c>
      <c r="D2629" t="s">
        <v>17</v>
      </c>
      <c r="E2629" t="s">
        <v>8</v>
      </c>
      <c r="G2629" t="s">
        <v>9</v>
      </c>
      <c r="L2629">
        <f t="shared" si="206"/>
        <v>0</v>
      </c>
      <c r="M2629">
        <f t="shared" si="207"/>
        <v>0</v>
      </c>
      <c r="N2629">
        <f t="shared" si="208"/>
        <v>0</v>
      </c>
      <c r="O2629">
        <f t="shared" si="205"/>
        <v>1</v>
      </c>
      <c r="P2629" t="str">
        <f t="shared" si="209"/>
        <v/>
      </c>
      <c r="Q2629">
        <f>COUNTIF('責任職　企業局→市長部局'!A:A,SQLデータ!B2629)</f>
        <v>0</v>
      </c>
      <c r="R2629">
        <f>COUNTIF('一般職員　企業局→市長部局'!A:F,SQLデータ!B2629)</f>
        <v>0</v>
      </c>
    </row>
    <row r="2630" spans="1:18" x14ac:dyDescent="0.4">
      <c r="A2630" s="1">
        <v>202650002522</v>
      </c>
      <c r="B2630" s="1">
        <v>1122103</v>
      </c>
      <c r="C2630" s="2">
        <v>46127</v>
      </c>
      <c r="D2630" t="s">
        <v>17</v>
      </c>
      <c r="E2630" t="s">
        <v>8</v>
      </c>
      <c r="G2630" t="s">
        <v>9</v>
      </c>
      <c r="L2630">
        <f t="shared" si="206"/>
        <v>0</v>
      </c>
      <c r="M2630">
        <f t="shared" si="207"/>
        <v>0</v>
      </c>
      <c r="N2630">
        <f t="shared" si="208"/>
        <v>0</v>
      </c>
      <c r="O2630">
        <f t="shared" si="205"/>
        <v>1</v>
      </c>
      <c r="P2630" t="str">
        <f t="shared" si="209"/>
        <v/>
      </c>
      <c r="Q2630">
        <f>COUNTIF('責任職　企業局→市長部局'!A:A,SQLデータ!B2630)</f>
        <v>0</v>
      </c>
      <c r="R2630">
        <f>COUNTIF('一般職員　企業局→市長部局'!A:F,SQLデータ!B2630)</f>
        <v>0</v>
      </c>
    </row>
    <row r="2631" spans="1:18" x14ac:dyDescent="0.4">
      <c r="A2631" s="1">
        <v>202650002524</v>
      </c>
      <c r="B2631" s="1">
        <v>1221124</v>
      </c>
      <c r="C2631" s="2">
        <v>46127</v>
      </c>
      <c r="D2631" t="s">
        <v>17</v>
      </c>
      <c r="E2631" t="s">
        <v>8</v>
      </c>
      <c r="G2631" t="s">
        <v>9</v>
      </c>
      <c r="L2631">
        <f t="shared" si="206"/>
        <v>0</v>
      </c>
      <c r="M2631">
        <f t="shared" si="207"/>
        <v>0</v>
      </c>
      <c r="N2631">
        <f t="shared" si="208"/>
        <v>0</v>
      </c>
      <c r="O2631">
        <f t="shared" si="205"/>
        <v>1</v>
      </c>
      <c r="P2631" t="str">
        <f t="shared" si="209"/>
        <v/>
      </c>
      <c r="Q2631">
        <f>COUNTIF('責任職　企業局→市長部局'!A:A,SQLデータ!B2631)</f>
        <v>0</v>
      </c>
      <c r="R2631">
        <f>COUNTIF('一般職員　企業局→市長部局'!A:F,SQLデータ!B2631)</f>
        <v>0</v>
      </c>
    </row>
    <row r="2632" spans="1:18" x14ac:dyDescent="0.4">
      <c r="A2632" s="1">
        <v>202650002525</v>
      </c>
      <c r="B2632" s="1">
        <v>1162030</v>
      </c>
      <c r="C2632" s="2">
        <v>46127</v>
      </c>
      <c r="D2632" t="s">
        <v>17</v>
      </c>
      <c r="E2632" t="s">
        <v>8</v>
      </c>
      <c r="G2632" t="s">
        <v>9</v>
      </c>
      <c r="L2632">
        <f t="shared" si="206"/>
        <v>0</v>
      </c>
      <c r="M2632">
        <f t="shared" si="207"/>
        <v>0</v>
      </c>
      <c r="N2632">
        <f t="shared" si="208"/>
        <v>0</v>
      </c>
      <c r="O2632">
        <f t="shared" si="205"/>
        <v>1</v>
      </c>
      <c r="P2632" t="str">
        <f t="shared" si="209"/>
        <v/>
      </c>
      <c r="Q2632">
        <f>COUNTIF('責任職　企業局→市長部局'!A:A,SQLデータ!B2632)</f>
        <v>0</v>
      </c>
      <c r="R2632">
        <f>COUNTIF('一般職員　企業局→市長部局'!A:F,SQLデータ!B2632)</f>
        <v>0</v>
      </c>
    </row>
    <row r="2633" spans="1:18" x14ac:dyDescent="0.4">
      <c r="A2633" s="1">
        <v>202650002526</v>
      </c>
      <c r="B2633" s="1">
        <v>1151258</v>
      </c>
      <c r="C2633" s="2">
        <v>46127</v>
      </c>
      <c r="D2633" t="s">
        <v>17</v>
      </c>
      <c r="E2633" t="s">
        <v>8</v>
      </c>
      <c r="G2633" t="s">
        <v>9</v>
      </c>
      <c r="L2633">
        <f t="shared" si="206"/>
        <v>0</v>
      </c>
      <c r="M2633">
        <f t="shared" si="207"/>
        <v>0</v>
      </c>
      <c r="N2633">
        <f t="shared" si="208"/>
        <v>0</v>
      </c>
      <c r="O2633">
        <f t="shared" ref="O2633:O2696" si="210">IF(COUNTIF(L2633:N2633,0)=3,1,0)</f>
        <v>1</v>
      </c>
      <c r="P2633" t="str">
        <f t="shared" si="209"/>
        <v/>
      </c>
      <c r="Q2633">
        <f>COUNTIF('責任職　企業局→市長部局'!A:A,SQLデータ!B2633)</f>
        <v>0</v>
      </c>
      <c r="R2633">
        <f>COUNTIF('一般職員　企業局→市長部局'!A:F,SQLデータ!B2633)</f>
        <v>0</v>
      </c>
    </row>
    <row r="2634" spans="1:18" x14ac:dyDescent="0.4">
      <c r="A2634" s="1">
        <v>202650002527</v>
      </c>
      <c r="B2634" s="1">
        <v>1091188</v>
      </c>
      <c r="C2634" s="2">
        <v>46127</v>
      </c>
      <c r="D2634" t="s">
        <v>17</v>
      </c>
      <c r="E2634" t="s">
        <v>8</v>
      </c>
      <c r="G2634" t="s">
        <v>9</v>
      </c>
      <c r="L2634">
        <f t="shared" si="206"/>
        <v>0</v>
      </c>
      <c r="M2634">
        <f t="shared" si="207"/>
        <v>0</v>
      </c>
      <c r="N2634">
        <f t="shared" si="208"/>
        <v>0</v>
      </c>
      <c r="O2634">
        <f t="shared" si="210"/>
        <v>1</v>
      </c>
      <c r="P2634" t="str">
        <f t="shared" si="209"/>
        <v/>
      </c>
      <c r="Q2634">
        <f>COUNTIF('責任職　企業局→市長部局'!A:A,SQLデータ!B2634)</f>
        <v>0</v>
      </c>
      <c r="R2634">
        <f>COUNTIF('一般職員　企業局→市長部局'!A:F,SQLデータ!B2634)</f>
        <v>0</v>
      </c>
    </row>
    <row r="2635" spans="1:18" x14ac:dyDescent="0.4">
      <c r="A2635" s="1">
        <v>202650002528</v>
      </c>
      <c r="B2635" s="1">
        <v>1021140</v>
      </c>
      <c r="C2635" s="2">
        <v>46127</v>
      </c>
      <c r="D2635" t="s">
        <v>17</v>
      </c>
      <c r="E2635" t="s">
        <v>8</v>
      </c>
      <c r="G2635" t="s">
        <v>9</v>
      </c>
      <c r="L2635">
        <f t="shared" si="206"/>
        <v>0</v>
      </c>
      <c r="M2635">
        <f t="shared" si="207"/>
        <v>0</v>
      </c>
      <c r="N2635">
        <f t="shared" si="208"/>
        <v>0</v>
      </c>
      <c r="O2635">
        <f t="shared" si="210"/>
        <v>1</v>
      </c>
      <c r="P2635" t="str">
        <f t="shared" si="209"/>
        <v/>
      </c>
      <c r="Q2635">
        <f>COUNTIF('責任職　企業局→市長部局'!A:A,SQLデータ!B2635)</f>
        <v>0</v>
      </c>
      <c r="R2635">
        <f>COUNTIF('一般職員　企業局→市長部局'!A:F,SQLデータ!B2635)</f>
        <v>0</v>
      </c>
    </row>
    <row r="2636" spans="1:18" x14ac:dyDescent="0.4">
      <c r="A2636" s="1">
        <v>202650002529</v>
      </c>
      <c r="B2636" s="1">
        <v>1231177</v>
      </c>
      <c r="C2636" s="2">
        <v>46127</v>
      </c>
      <c r="D2636" t="s">
        <v>17</v>
      </c>
      <c r="E2636" t="s">
        <v>8</v>
      </c>
      <c r="G2636" t="s">
        <v>9</v>
      </c>
      <c r="L2636">
        <f t="shared" si="206"/>
        <v>0</v>
      </c>
      <c r="M2636">
        <f t="shared" si="207"/>
        <v>0</v>
      </c>
      <c r="N2636">
        <f t="shared" si="208"/>
        <v>0</v>
      </c>
      <c r="O2636">
        <f t="shared" si="210"/>
        <v>1</v>
      </c>
      <c r="P2636" t="str">
        <f t="shared" si="209"/>
        <v/>
      </c>
      <c r="Q2636">
        <f>COUNTIF('責任職　企業局→市長部局'!A:A,SQLデータ!B2636)</f>
        <v>0</v>
      </c>
      <c r="R2636">
        <f>COUNTIF('一般職員　企業局→市長部局'!A:F,SQLデータ!B2636)</f>
        <v>0</v>
      </c>
    </row>
    <row r="2637" spans="1:18" x14ac:dyDescent="0.4">
      <c r="A2637" s="1">
        <v>202650002530</v>
      </c>
      <c r="B2637" s="1">
        <v>1203004</v>
      </c>
      <c r="C2637" s="2">
        <v>46127</v>
      </c>
      <c r="D2637" t="s">
        <v>17</v>
      </c>
      <c r="E2637" t="s">
        <v>8</v>
      </c>
      <c r="G2637" t="s">
        <v>9</v>
      </c>
      <c r="L2637">
        <f t="shared" si="206"/>
        <v>0</v>
      </c>
      <c r="M2637">
        <f t="shared" si="207"/>
        <v>0</v>
      </c>
      <c r="N2637">
        <f t="shared" si="208"/>
        <v>0</v>
      </c>
      <c r="O2637">
        <f t="shared" si="210"/>
        <v>1</v>
      </c>
      <c r="P2637" t="str">
        <f t="shared" si="209"/>
        <v/>
      </c>
      <c r="Q2637">
        <f>COUNTIF('責任職　企業局→市長部局'!A:A,SQLデータ!B2637)</f>
        <v>0</v>
      </c>
      <c r="R2637">
        <f>COUNTIF('一般職員　企業局→市長部局'!A:F,SQLデータ!B2637)</f>
        <v>0</v>
      </c>
    </row>
    <row r="2638" spans="1:18" x14ac:dyDescent="0.4">
      <c r="A2638" s="1">
        <v>202650002531</v>
      </c>
      <c r="B2638" s="1">
        <v>1161257</v>
      </c>
      <c r="C2638" s="2">
        <v>46127</v>
      </c>
      <c r="D2638" t="s">
        <v>17</v>
      </c>
      <c r="E2638" t="s">
        <v>8</v>
      </c>
      <c r="G2638" t="s">
        <v>9</v>
      </c>
      <c r="L2638">
        <f t="shared" si="206"/>
        <v>0</v>
      </c>
      <c r="M2638">
        <f t="shared" si="207"/>
        <v>0</v>
      </c>
      <c r="N2638">
        <f t="shared" si="208"/>
        <v>0</v>
      </c>
      <c r="O2638">
        <f t="shared" si="210"/>
        <v>1</v>
      </c>
      <c r="P2638" t="str">
        <f t="shared" si="209"/>
        <v/>
      </c>
      <c r="Q2638">
        <f>COUNTIF('責任職　企業局→市長部局'!A:A,SQLデータ!B2638)</f>
        <v>0</v>
      </c>
      <c r="R2638">
        <f>COUNTIF('一般職員　企業局→市長部局'!A:F,SQLデータ!B2638)</f>
        <v>0</v>
      </c>
    </row>
    <row r="2639" spans="1:18" x14ac:dyDescent="0.4">
      <c r="A2639" s="1">
        <v>202650002533</v>
      </c>
      <c r="B2639" s="1">
        <v>1171562</v>
      </c>
      <c r="C2639" s="2">
        <v>46127</v>
      </c>
      <c r="D2639" t="s">
        <v>17</v>
      </c>
      <c r="E2639" t="s">
        <v>8</v>
      </c>
      <c r="G2639" t="s">
        <v>9</v>
      </c>
      <c r="L2639">
        <f t="shared" si="206"/>
        <v>0</v>
      </c>
      <c r="M2639">
        <f t="shared" si="207"/>
        <v>0</v>
      </c>
      <c r="N2639">
        <f t="shared" si="208"/>
        <v>0</v>
      </c>
      <c r="O2639">
        <f t="shared" si="210"/>
        <v>1</v>
      </c>
      <c r="P2639" t="str">
        <f t="shared" si="209"/>
        <v/>
      </c>
      <c r="Q2639">
        <f>COUNTIF('責任職　企業局→市長部局'!A:A,SQLデータ!B2639)</f>
        <v>0</v>
      </c>
      <c r="R2639">
        <f>COUNTIF('一般職員　企業局→市長部局'!A:F,SQLデータ!B2639)</f>
        <v>0</v>
      </c>
    </row>
    <row r="2640" spans="1:18" x14ac:dyDescent="0.4">
      <c r="A2640" s="1">
        <v>202650002534</v>
      </c>
      <c r="B2640" s="1">
        <v>1101270</v>
      </c>
      <c r="C2640" s="2">
        <v>46127</v>
      </c>
      <c r="D2640" t="s">
        <v>17</v>
      </c>
      <c r="E2640" t="s">
        <v>8</v>
      </c>
      <c r="G2640" t="s">
        <v>9</v>
      </c>
      <c r="L2640">
        <f t="shared" si="206"/>
        <v>0</v>
      </c>
      <c r="M2640">
        <f t="shared" si="207"/>
        <v>0</v>
      </c>
      <c r="N2640">
        <f t="shared" si="208"/>
        <v>0</v>
      </c>
      <c r="O2640">
        <f t="shared" si="210"/>
        <v>1</v>
      </c>
      <c r="P2640" t="str">
        <f t="shared" si="209"/>
        <v/>
      </c>
      <c r="Q2640">
        <f>COUNTIF('責任職　企業局→市長部局'!A:A,SQLデータ!B2640)</f>
        <v>0</v>
      </c>
      <c r="R2640">
        <f>COUNTIF('一般職員　企業局→市長部局'!A:F,SQLデータ!B2640)</f>
        <v>0</v>
      </c>
    </row>
    <row r="2641" spans="1:18" x14ac:dyDescent="0.4">
      <c r="A2641" s="1">
        <v>202650002535</v>
      </c>
      <c r="B2641" s="1">
        <v>1161001</v>
      </c>
      <c r="C2641" s="2">
        <v>46127</v>
      </c>
      <c r="D2641" t="s">
        <v>17</v>
      </c>
      <c r="E2641" t="s">
        <v>8</v>
      </c>
      <c r="G2641" t="s">
        <v>9</v>
      </c>
      <c r="L2641">
        <f t="shared" si="206"/>
        <v>0</v>
      </c>
      <c r="M2641">
        <f t="shared" si="207"/>
        <v>0</v>
      </c>
      <c r="N2641">
        <f t="shared" si="208"/>
        <v>0</v>
      </c>
      <c r="O2641">
        <f t="shared" si="210"/>
        <v>1</v>
      </c>
      <c r="P2641" t="str">
        <f t="shared" si="209"/>
        <v/>
      </c>
      <c r="Q2641">
        <f>COUNTIF('責任職　企業局→市長部局'!A:A,SQLデータ!B2641)</f>
        <v>0</v>
      </c>
      <c r="R2641">
        <f>COUNTIF('一般職員　企業局→市長部局'!A:F,SQLデータ!B2641)</f>
        <v>0</v>
      </c>
    </row>
    <row r="2642" spans="1:18" x14ac:dyDescent="0.4">
      <c r="A2642" s="1">
        <v>202650002536</v>
      </c>
      <c r="B2642" s="1">
        <v>1131315</v>
      </c>
      <c r="C2642" s="2">
        <v>46127</v>
      </c>
      <c r="D2642" t="s">
        <v>17</v>
      </c>
      <c r="E2642" t="s">
        <v>8</v>
      </c>
      <c r="G2642" t="s">
        <v>9</v>
      </c>
      <c r="L2642">
        <f t="shared" si="206"/>
        <v>0</v>
      </c>
      <c r="M2642">
        <f t="shared" si="207"/>
        <v>0</v>
      </c>
      <c r="N2642">
        <f t="shared" si="208"/>
        <v>0</v>
      </c>
      <c r="O2642">
        <f t="shared" si="210"/>
        <v>1</v>
      </c>
      <c r="P2642" t="str">
        <f t="shared" si="209"/>
        <v/>
      </c>
      <c r="Q2642">
        <f>COUNTIF('責任職　企業局→市長部局'!A:A,SQLデータ!B2642)</f>
        <v>0</v>
      </c>
      <c r="R2642">
        <f>COUNTIF('一般職員　企業局→市長部局'!A:F,SQLデータ!B2642)</f>
        <v>0</v>
      </c>
    </row>
    <row r="2643" spans="1:18" x14ac:dyDescent="0.4">
      <c r="A2643" s="1">
        <v>202650002537</v>
      </c>
      <c r="B2643" s="1">
        <v>1223003</v>
      </c>
      <c r="C2643" s="2">
        <v>46127</v>
      </c>
      <c r="D2643" t="s">
        <v>17</v>
      </c>
      <c r="E2643" t="s">
        <v>8</v>
      </c>
      <c r="G2643" t="s">
        <v>9</v>
      </c>
      <c r="L2643">
        <f t="shared" si="206"/>
        <v>0</v>
      </c>
      <c r="M2643">
        <f t="shared" si="207"/>
        <v>0</v>
      </c>
      <c r="N2643">
        <f t="shared" si="208"/>
        <v>0</v>
      </c>
      <c r="O2643">
        <f t="shared" si="210"/>
        <v>1</v>
      </c>
      <c r="P2643" t="str">
        <f t="shared" si="209"/>
        <v/>
      </c>
      <c r="Q2643">
        <f>COUNTIF('責任職　企業局→市長部局'!A:A,SQLデータ!B2643)</f>
        <v>0</v>
      </c>
      <c r="R2643">
        <f>COUNTIF('一般職員　企業局→市長部局'!A:F,SQLデータ!B2643)</f>
        <v>0</v>
      </c>
    </row>
    <row r="2644" spans="1:18" x14ac:dyDescent="0.4">
      <c r="A2644" s="1">
        <v>202650002538</v>
      </c>
      <c r="B2644" s="1">
        <v>1081121</v>
      </c>
      <c r="C2644" s="2">
        <v>46127</v>
      </c>
      <c r="D2644" t="s">
        <v>17</v>
      </c>
      <c r="E2644" t="s">
        <v>8</v>
      </c>
      <c r="G2644" t="s">
        <v>9</v>
      </c>
      <c r="L2644">
        <f t="shared" si="206"/>
        <v>0</v>
      </c>
      <c r="M2644">
        <f t="shared" si="207"/>
        <v>0</v>
      </c>
      <c r="N2644">
        <f t="shared" si="208"/>
        <v>0</v>
      </c>
      <c r="O2644">
        <f t="shared" si="210"/>
        <v>1</v>
      </c>
      <c r="P2644" t="str">
        <f t="shared" si="209"/>
        <v/>
      </c>
      <c r="Q2644">
        <f>COUNTIF('責任職　企業局→市長部局'!A:A,SQLデータ!B2644)</f>
        <v>0</v>
      </c>
      <c r="R2644">
        <f>COUNTIF('一般職員　企業局→市長部局'!A:F,SQLデータ!B2644)</f>
        <v>0</v>
      </c>
    </row>
    <row r="2645" spans="1:18" x14ac:dyDescent="0.4">
      <c r="A2645" s="1">
        <v>202650002539</v>
      </c>
      <c r="B2645" s="1">
        <v>1222310</v>
      </c>
      <c r="C2645" s="2">
        <v>46127</v>
      </c>
      <c r="D2645" t="s">
        <v>17</v>
      </c>
      <c r="E2645" t="s">
        <v>8</v>
      </c>
      <c r="G2645" t="s">
        <v>9</v>
      </c>
      <c r="L2645">
        <f t="shared" si="206"/>
        <v>0</v>
      </c>
      <c r="M2645">
        <f t="shared" si="207"/>
        <v>0</v>
      </c>
      <c r="N2645">
        <f t="shared" si="208"/>
        <v>0</v>
      </c>
      <c r="O2645">
        <f t="shared" si="210"/>
        <v>1</v>
      </c>
      <c r="P2645" t="str">
        <f t="shared" si="209"/>
        <v/>
      </c>
      <c r="Q2645">
        <f>COUNTIF('責任職　企業局→市長部局'!A:A,SQLデータ!B2645)</f>
        <v>0</v>
      </c>
      <c r="R2645">
        <f>COUNTIF('一般職員　企業局→市長部局'!A:F,SQLデータ!B2645)</f>
        <v>0</v>
      </c>
    </row>
    <row r="2646" spans="1:18" x14ac:dyDescent="0.4">
      <c r="A2646" s="1">
        <v>202650002540</v>
      </c>
      <c r="B2646" s="1">
        <v>1201087</v>
      </c>
      <c r="C2646" s="2">
        <v>46127</v>
      </c>
      <c r="D2646" t="s">
        <v>17</v>
      </c>
      <c r="E2646" t="s">
        <v>8</v>
      </c>
      <c r="G2646" t="s">
        <v>9</v>
      </c>
      <c r="L2646">
        <f t="shared" si="206"/>
        <v>0</v>
      </c>
      <c r="M2646">
        <f t="shared" si="207"/>
        <v>0</v>
      </c>
      <c r="N2646">
        <f t="shared" si="208"/>
        <v>0</v>
      </c>
      <c r="O2646">
        <f t="shared" si="210"/>
        <v>1</v>
      </c>
      <c r="P2646" t="str">
        <f t="shared" si="209"/>
        <v/>
      </c>
      <c r="Q2646">
        <f>COUNTIF('責任職　企業局→市長部局'!A:A,SQLデータ!B2646)</f>
        <v>0</v>
      </c>
      <c r="R2646">
        <f>COUNTIF('一般職員　企業局→市長部局'!A:F,SQLデータ!B2646)</f>
        <v>0</v>
      </c>
    </row>
    <row r="2647" spans="1:18" x14ac:dyDescent="0.4">
      <c r="A2647" s="1">
        <v>202650002541</v>
      </c>
      <c r="B2647" s="1">
        <v>1151181</v>
      </c>
      <c r="C2647" s="2">
        <v>46127</v>
      </c>
      <c r="D2647" t="s">
        <v>17</v>
      </c>
      <c r="E2647" t="s">
        <v>8</v>
      </c>
      <c r="G2647" t="s">
        <v>9</v>
      </c>
      <c r="L2647">
        <f t="shared" si="206"/>
        <v>0</v>
      </c>
      <c r="M2647">
        <f t="shared" si="207"/>
        <v>0</v>
      </c>
      <c r="N2647">
        <f t="shared" si="208"/>
        <v>0</v>
      </c>
      <c r="O2647">
        <f t="shared" si="210"/>
        <v>1</v>
      </c>
      <c r="P2647" t="str">
        <f t="shared" si="209"/>
        <v/>
      </c>
      <c r="Q2647">
        <f>COUNTIF('責任職　企業局→市長部局'!A:A,SQLデータ!B2647)</f>
        <v>0</v>
      </c>
      <c r="R2647">
        <f>COUNTIF('一般職員　企業局→市長部局'!A:F,SQLデータ!B2647)</f>
        <v>0</v>
      </c>
    </row>
    <row r="2648" spans="1:18" x14ac:dyDescent="0.4">
      <c r="A2648" s="1">
        <v>202650002542</v>
      </c>
      <c r="B2648" s="1">
        <v>1221234</v>
      </c>
      <c r="C2648" s="2">
        <v>46127</v>
      </c>
      <c r="D2648" t="s">
        <v>17</v>
      </c>
      <c r="E2648" t="s">
        <v>8</v>
      </c>
      <c r="G2648" t="s">
        <v>9</v>
      </c>
      <c r="L2648">
        <f t="shared" si="206"/>
        <v>0</v>
      </c>
      <c r="M2648">
        <f t="shared" si="207"/>
        <v>0</v>
      </c>
      <c r="N2648">
        <f t="shared" si="208"/>
        <v>0</v>
      </c>
      <c r="O2648">
        <f t="shared" si="210"/>
        <v>1</v>
      </c>
      <c r="P2648" t="str">
        <f t="shared" si="209"/>
        <v/>
      </c>
      <c r="Q2648">
        <f>COUNTIF('責任職　企業局→市長部局'!A:A,SQLデータ!B2648)</f>
        <v>0</v>
      </c>
      <c r="R2648">
        <f>COUNTIF('一般職員　企業局→市長部局'!A:F,SQLデータ!B2648)</f>
        <v>0</v>
      </c>
    </row>
    <row r="2649" spans="1:18" x14ac:dyDescent="0.4">
      <c r="A2649" s="1">
        <v>202650002543</v>
      </c>
      <c r="B2649" s="1">
        <v>1172151</v>
      </c>
      <c r="C2649" s="2">
        <v>46127</v>
      </c>
      <c r="D2649" t="s">
        <v>17</v>
      </c>
      <c r="E2649" t="s">
        <v>8</v>
      </c>
      <c r="G2649" t="s">
        <v>9</v>
      </c>
      <c r="L2649">
        <f t="shared" si="206"/>
        <v>0</v>
      </c>
      <c r="M2649">
        <f t="shared" si="207"/>
        <v>0</v>
      </c>
      <c r="N2649">
        <f t="shared" si="208"/>
        <v>0</v>
      </c>
      <c r="O2649">
        <f t="shared" si="210"/>
        <v>1</v>
      </c>
      <c r="P2649" t="str">
        <f t="shared" si="209"/>
        <v/>
      </c>
      <c r="Q2649">
        <f>COUNTIF('責任職　企業局→市長部局'!A:A,SQLデータ!B2649)</f>
        <v>0</v>
      </c>
      <c r="R2649">
        <f>COUNTIF('一般職員　企業局→市長部局'!A:F,SQLデータ!B2649)</f>
        <v>0</v>
      </c>
    </row>
    <row r="2650" spans="1:18" x14ac:dyDescent="0.4">
      <c r="A2650" s="1">
        <v>202650002544</v>
      </c>
      <c r="B2650" s="1">
        <v>840453</v>
      </c>
      <c r="C2650" s="2">
        <v>46127</v>
      </c>
      <c r="D2650" t="s">
        <v>17</v>
      </c>
      <c r="E2650" t="s">
        <v>8</v>
      </c>
      <c r="G2650" t="s">
        <v>9</v>
      </c>
      <c r="L2650">
        <f t="shared" si="206"/>
        <v>0</v>
      </c>
      <c r="M2650">
        <f t="shared" si="207"/>
        <v>0</v>
      </c>
      <c r="N2650">
        <f t="shared" si="208"/>
        <v>0</v>
      </c>
      <c r="O2650">
        <f t="shared" si="210"/>
        <v>1</v>
      </c>
      <c r="P2650" t="str">
        <f t="shared" si="209"/>
        <v/>
      </c>
      <c r="Q2650">
        <f>COUNTIF('責任職　企業局→市長部局'!A:A,SQLデータ!B2650)</f>
        <v>0</v>
      </c>
      <c r="R2650">
        <f>COUNTIF('一般職員　企業局→市長部局'!A:F,SQLデータ!B2650)</f>
        <v>0</v>
      </c>
    </row>
    <row r="2651" spans="1:18" x14ac:dyDescent="0.4">
      <c r="A2651" s="1">
        <v>202650002545</v>
      </c>
      <c r="B2651" s="1">
        <v>981023</v>
      </c>
      <c r="C2651" s="2">
        <v>46127</v>
      </c>
      <c r="D2651" t="s">
        <v>17</v>
      </c>
      <c r="E2651" t="s">
        <v>8</v>
      </c>
      <c r="G2651" t="s">
        <v>9</v>
      </c>
      <c r="L2651">
        <f t="shared" si="206"/>
        <v>0</v>
      </c>
      <c r="M2651">
        <f t="shared" si="207"/>
        <v>0</v>
      </c>
      <c r="N2651">
        <f t="shared" si="208"/>
        <v>0</v>
      </c>
      <c r="O2651">
        <f t="shared" si="210"/>
        <v>1</v>
      </c>
      <c r="P2651" t="str">
        <f t="shared" si="209"/>
        <v/>
      </c>
      <c r="Q2651">
        <f>COUNTIF('責任職　企業局→市長部局'!A:A,SQLデータ!B2651)</f>
        <v>0</v>
      </c>
      <c r="R2651">
        <f>COUNTIF('一般職員　企業局→市長部局'!A:F,SQLデータ!B2651)</f>
        <v>0</v>
      </c>
    </row>
    <row r="2652" spans="1:18" x14ac:dyDescent="0.4">
      <c r="A2652" s="1">
        <v>202650002546</v>
      </c>
      <c r="B2652" s="1">
        <v>920305</v>
      </c>
      <c r="C2652" s="2">
        <v>46127</v>
      </c>
      <c r="D2652" t="s">
        <v>17</v>
      </c>
      <c r="E2652" t="s">
        <v>8</v>
      </c>
      <c r="G2652" t="s">
        <v>9</v>
      </c>
      <c r="L2652">
        <f t="shared" si="206"/>
        <v>0</v>
      </c>
      <c r="M2652">
        <f t="shared" si="207"/>
        <v>0</v>
      </c>
      <c r="N2652">
        <f t="shared" si="208"/>
        <v>0</v>
      </c>
      <c r="O2652">
        <f t="shared" si="210"/>
        <v>1</v>
      </c>
      <c r="P2652" t="str">
        <f t="shared" si="209"/>
        <v/>
      </c>
      <c r="Q2652">
        <f>COUNTIF('責任職　企業局→市長部局'!A:A,SQLデータ!B2652)</f>
        <v>0</v>
      </c>
      <c r="R2652">
        <f>COUNTIF('一般職員　企業局→市長部局'!A:F,SQLデータ!B2652)</f>
        <v>0</v>
      </c>
    </row>
    <row r="2653" spans="1:18" x14ac:dyDescent="0.4">
      <c r="A2653" s="1">
        <v>202650002547</v>
      </c>
      <c r="B2653" s="1">
        <v>870357</v>
      </c>
      <c r="C2653" s="2">
        <v>46127</v>
      </c>
      <c r="D2653" t="s">
        <v>17</v>
      </c>
      <c r="E2653" t="s">
        <v>8</v>
      </c>
      <c r="G2653" t="s">
        <v>9</v>
      </c>
      <c r="L2653">
        <f t="shared" si="206"/>
        <v>0</v>
      </c>
      <c r="M2653">
        <f t="shared" si="207"/>
        <v>0</v>
      </c>
      <c r="N2653">
        <f t="shared" si="208"/>
        <v>0</v>
      </c>
      <c r="O2653">
        <f t="shared" si="210"/>
        <v>1</v>
      </c>
      <c r="P2653" t="str">
        <f t="shared" si="209"/>
        <v/>
      </c>
      <c r="Q2653">
        <f>COUNTIF('責任職　企業局→市長部局'!A:A,SQLデータ!B2653)</f>
        <v>0</v>
      </c>
      <c r="R2653">
        <f>COUNTIF('一般職員　企業局→市長部局'!A:F,SQLデータ!B2653)</f>
        <v>0</v>
      </c>
    </row>
    <row r="2654" spans="1:18" x14ac:dyDescent="0.4">
      <c r="A2654" s="1">
        <v>202650002548</v>
      </c>
      <c r="B2654" s="1">
        <v>1231123</v>
      </c>
      <c r="C2654" s="2">
        <v>46127</v>
      </c>
      <c r="D2654" t="s">
        <v>17</v>
      </c>
      <c r="E2654" t="s">
        <v>8</v>
      </c>
      <c r="G2654" t="s">
        <v>9</v>
      </c>
      <c r="L2654">
        <f t="shared" si="206"/>
        <v>0</v>
      </c>
      <c r="M2654">
        <f t="shared" si="207"/>
        <v>0</v>
      </c>
      <c r="N2654">
        <f t="shared" si="208"/>
        <v>0</v>
      </c>
      <c r="O2654">
        <f t="shared" si="210"/>
        <v>1</v>
      </c>
      <c r="P2654" t="str">
        <f t="shared" si="209"/>
        <v/>
      </c>
      <c r="Q2654">
        <f>COUNTIF('責任職　企業局→市長部局'!A:A,SQLデータ!B2654)</f>
        <v>0</v>
      </c>
      <c r="R2654">
        <f>COUNTIF('一般職員　企業局→市長部局'!A:F,SQLデータ!B2654)</f>
        <v>0</v>
      </c>
    </row>
    <row r="2655" spans="1:18" x14ac:dyDescent="0.4">
      <c r="A2655" s="1">
        <v>202650002549</v>
      </c>
      <c r="B2655" s="1">
        <v>1171268</v>
      </c>
      <c r="C2655" s="2">
        <v>46127</v>
      </c>
      <c r="D2655" t="s">
        <v>17</v>
      </c>
      <c r="E2655" t="s">
        <v>8</v>
      </c>
      <c r="G2655" t="s">
        <v>9</v>
      </c>
      <c r="L2655">
        <f t="shared" si="206"/>
        <v>0</v>
      </c>
      <c r="M2655">
        <f t="shared" si="207"/>
        <v>0</v>
      </c>
      <c r="N2655">
        <f t="shared" si="208"/>
        <v>0</v>
      </c>
      <c r="O2655">
        <f t="shared" si="210"/>
        <v>1</v>
      </c>
      <c r="P2655" t="str">
        <f t="shared" si="209"/>
        <v/>
      </c>
      <c r="Q2655">
        <f>COUNTIF('責任職　企業局→市長部局'!A:A,SQLデータ!B2655)</f>
        <v>0</v>
      </c>
      <c r="R2655">
        <f>COUNTIF('一般職員　企業局→市長部局'!A:F,SQLデータ!B2655)</f>
        <v>0</v>
      </c>
    </row>
    <row r="2656" spans="1:18" x14ac:dyDescent="0.4">
      <c r="A2656" s="1">
        <v>202650002550</v>
      </c>
      <c r="B2656" s="1">
        <v>1211078</v>
      </c>
      <c r="C2656" s="2">
        <v>46127</v>
      </c>
      <c r="D2656" t="s">
        <v>17</v>
      </c>
      <c r="E2656" t="s">
        <v>8</v>
      </c>
      <c r="G2656" t="s">
        <v>9</v>
      </c>
      <c r="L2656">
        <f t="shared" si="206"/>
        <v>0</v>
      </c>
      <c r="M2656">
        <f t="shared" si="207"/>
        <v>0</v>
      </c>
      <c r="N2656">
        <f t="shared" si="208"/>
        <v>0</v>
      </c>
      <c r="O2656">
        <f t="shared" si="210"/>
        <v>1</v>
      </c>
      <c r="P2656" t="str">
        <f t="shared" si="209"/>
        <v/>
      </c>
      <c r="Q2656">
        <f>COUNTIF('責任職　企業局→市長部局'!A:A,SQLデータ!B2656)</f>
        <v>0</v>
      </c>
      <c r="R2656">
        <f>COUNTIF('一般職員　企業局→市長部局'!A:F,SQLデータ!B2656)</f>
        <v>0</v>
      </c>
    </row>
    <row r="2657" spans="1:18" x14ac:dyDescent="0.4">
      <c r="A2657" s="1">
        <v>202650002551</v>
      </c>
      <c r="B2657" s="1">
        <v>1191143</v>
      </c>
      <c r="C2657" s="2">
        <v>46127</v>
      </c>
      <c r="D2657" t="s">
        <v>17</v>
      </c>
      <c r="E2657" t="s">
        <v>8</v>
      </c>
      <c r="G2657" t="s">
        <v>9</v>
      </c>
      <c r="L2657">
        <f t="shared" si="206"/>
        <v>0</v>
      </c>
      <c r="M2657">
        <f t="shared" si="207"/>
        <v>0</v>
      </c>
      <c r="N2657">
        <f t="shared" si="208"/>
        <v>0</v>
      </c>
      <c r="O2657">
        <f t="shared" si="210"/>
        <v>1</v>
      </c>
      <c r="P2657" t="str">
        <f t="shared" si="209"/>
        <v/>
      </c>
      <c r="Q2657">
        <f>COUNTIF('責任職　企業局→市長部局'!A:A,SQLデータ!B2657)</f>
        <v>0</v>
      </c>
      <c r="R2657">
        <f>COUNTIF('一般職員　企業局→市長部局'!A:F,SQLデータ!B2657)</f>
        <v>0</v>
      </c>
    </row>
    <row r="2658" spans="1:18" x14ac:dyDescent="0.4">
      <c r="A2658" s="1">
        <v>202650002552</v>
      </c>
      <c r="B2658" s="1">
        <v>1162005</v>
      </c>
      <c r="C2658" s="2">
        <v>46127</v>
      </c>
      <c r="D2658" t="s">
        <v>17</v>
      </c>
      <c r="E2658" t="s">
        <v>8</v>
      </c>
      <c r="G2658" t="s">
        <v>9</v>
      </c>
      <c r="L2658">
        <f t="shared" si="206"/>
        <v>0</v>
      </c>
      <c r="M2658">
        <f t="shared" si="207"/>
        <v>0</v>
      </c>
      <c r="N2658">
        <f t="shared" si="208"/>
        <v>0</v>
      </c>
      <c r="O2658">
        <f t="shared" si="210"/>
        <v>1</v>
      </c>
      <c r="P2658" t="str">
        <f t="shared" si="209"/>
        <v/>
      </c>
      <c r="Q2658">
        <f>COUNTIF('責任職　企業局→市長部局'!A:A,SQLデータ!B2658)</f>
        <v>0</v>
      </c>
      <c r="R2658">
        <f>COUNTIF('一般職員　企業局→市長部局'!A:F,SQLデータ!B2658)</f>
        <v>0</v>
      </c>
    </row>
    <row r="2659" spans="1:18" x14ac:dyDescent="0.4">
      <c r="A2659" s="1">
        <v>202650002553</v>
      </c>
      <c r="B2659" s="1">
        <v>1111042</v>
      </c>
      <c r="C2659" s="2">
        <v>46127</v>
      </c>
      <c r="D2659" t="s">
        <v>17</v>
      </c>
      <c r="E2659" t="s">
        <v>8</v>
      </c>
      <c r="G2659" t="s">
        <v>9</v>
      </c>
      <c r="L2659">
        <f t="shared" si="206"/>
        <v>0</v>
      </c>
      <c r="M2659">
        <f t="shared" si="207"/>
        <v>0</v>
      </c>
      <c r="N2659">
        <f t="shared" si="208"/>
        <v>0</v>
      </c>
      <c r="O2659">
        <f t="shared" si="210"/>
        <v>1</v>
      </c>
      <c r="P2659" t="str">
        <f t="shared" si="209"/>
        <v/>
      </c>
      <c r="Q2659">
        <f>COUNTIF('責任職　企業局→市長部局'!A:A,SQLデータ!B2659)</f>
        <v>0</v>
      </c>
      <c r="R2659">
        <f>COUNTIF('一般職員　企業局→市長部局'!A:F,SQLデータ!B2659)</f>
        <v>0</v>
      </c>
    </row>
    <row r="2660" spans="1:18" x14ac:dyDescent="0.4">
      <c r="A2660" s="1">
        <v>202650002555</v>
      </c>
      <c r="B2660" s="1">
        <v>1221187</v>
      </c>
      <c r="C2660" s="2">
        <v>46127</v>
      </c>
      <c r="D2660" t="s">
        <v>17</v>
      </c>
      <c r="E2660" t="s">
        <v>8</v>
      </c>
      <c r="G2660" t="s">
        <v>9</v>
      </c>
      <c r="L2660">
        <f t="shared" si="206"/>
        <v>0</v>
      </c>
      <c r="M2660">
        <f t="shared" si="207"/>
        <v>0</v>
      </c>
      <c r="N2660">
        <f t="shared" si="208"/>
        <v>0</v>
      </c>
      <c r="O2660">
        <f t="shared" si="210"/>
        <v>1</v>
      </c>
      <c r="P2660" t="str">
        <f t="shared" si="209"/>
        <v/>
      </c>
      <c r="Q2660">
        <f>COUNTIF('責任職　企業局→市長部局'!A:A,SQLデータ!B2660)</f>
        <v>0</v>
      </c>
      <c r="R2660">
        <f>COUNTIF('一般職員　企業局→市長部局'!A:F,SQLデータ!B2660)</f>
        <v>0</v>
      </c>
    </row>
    <row r="2661" spans="1:18" x14ac:dyDescent="0.4">
      <c r="A2661" s="1">
        <v>202650002556</v>
      </c>
      <c r="B2661" s="1">
        <v>1191140</v>
      </c>
      <c r="C2661" s="2">
        <v>46127</v>
      </c>
      <c r="D2661" t="s">
        <v>17</v>
      </c>
      <c r="E2661" t="s">
        <v>8</v>
      </c>
      <c r="G2661" t="s">
        <v>9</v>
      </c>
      <c r="L2661">
        <f t="shared" si="206"/>
        <v>0</v>
      </c>
      <c r="M2661">
        <f t="shared" si="207"/>
        <v>0</v>
      </c>
      <c r="N2661">
        <f t="shared" si="208"/>
        <v>0</v>
      </c>
      <c r="O2661">
        <f t="shared" si="210"/>
        <v>1</v>
      </c>
      <c r="P2661" t="str">
        <f t="shared" si="209"/>
        <v/>
      </c>
      <c r="Q2661">
        <f>COUNTIF('責任職　企業局→市長部局'!A:A,SQLデータ!B2661)</f>
        <v>0</v>
      </c>
      <c r="R2661">
        <f>COUNTIF('一般職員　企業局→市長部局'!A:F,SQLデータ!B2661)</f>
        <v>0</v>
      </c>
    </row>
    <row r="2662" spans="1:18" x14ac:dyDescent="0.4">
      <c r="A2662" s="1">
        <v>202650002557</v>
      </c>
      <c r="B2662" s="1">
        <v>1071198</v>
      </c>
      <c r="C2662" s="2">
        <v>46127</v>
      </c>
      <c r="D2662" t="s">
        <v>17</v>
      </c>
      <c r="E2662" t="s">
        <v>8</v>
      </c>
      <c r="G2662" t="s">
        <v>9</v>
      </c>
      <c r="L2662">
        <f t="shared" si="206"/>
        <v>0</v>
      </c>
      <c r="M2662">
        <f t="shared" si="207"/>
        <v>0</v>
      </c>
      <c r="N2662">
        <f t="shared" si="208"/>
        <v>0</v>
      </c>
      <c r="O2662">
        <f t="shared" si="210"/>
        <v>1</v>
      </c>
      <c r="P2662" t="str">
        <f t="shared" si="209"/>
        <v/>
      </c>
      <c r="Q2662">
        <f>COUNTIF('責任職　企業局→市長部局'!A:A,SQLデータ!B2662)</f>
        <v>0</v>
      </c>
      <c r="R2662">
        <f>COUNTIF('一般職員　企業局→市長部局'!A:F,SQLデータ!B2662)</f>
        <v>0</v>
      </c>
    </row>
    <row r="2663" spans="1:18" x14ac:dyDescent="0.4">
      <c r="A2663" s="1">
        <v>202650002558</v>
      </c>
      <c r="B2663" s="1">
        <v>1231026</v>
      </c>
      <c r="C2663" s="2">
        <v>46127</v>
      </c>
      <c r="D2663" t="s">
        <v>17</v>
      </c>
      <c r="E2663" t="s">
        <v>8</v>
      </c>
      <c r="G2663" t="s">
        <v>9</v>
      </c>
      <c r="L2663">
        <f t="shared" si="206"/>
        <v>0</v>
      </c>
      <c r="M2663">
        <f t="shared" si="207"/>
        <v>0</v>
      </c>
      <c r="N2663">
        <f t="shared" si="208"/>
        <v>0</v>
      </c>
      <c r="O2663">
        <f t="shared" si="210"/>
        <v>1</v>
      </c>
      <c r="P2663" t="str">
        <f t="shared" si="209"/>
        <v/>
      </c>
      <c r="Q2663">
        <f>COUNTIF('責任職　企業局→市長部局'!A:A,SQLデータ!B2663)</f>
        <v>0</v>
      </c>
      <c r="R2663">
        <f>COUNTIF('一般職員　企業局→市長部局'!A:F,SQLデータ!B2663)</f>
        <v>0</v>
      </c>
    </row>
    <row r="2664" spans="1:18" x14ac:dyDescent="0.4">
      <c r="A2664" s="1">
        <v>202650002559</v>
      </c>
      <c r="B2664" s="1">
        <v>1181087</v>
      </c>
      <c r="C2664" s="2">
        <v>46127</v>
      </c>
      <c r="D2664" t="s">
        <v>17</v>
      </c>
      <c r="E2664" t="s">
        <v>8</v>
      </c>
      <c r="G2664" t="s">
        <v>9</v>
      </c>
      <c r="L2664">
        <f t="shared" si="206"/>
        <v>0</v>
      </c>
      <c r="M2664">
        <f t="shared" si="207"/>
        <v>0</v>
      </c>
      <c r="N2664">
        <f t="shared" si="208"/>
        <v>0</v>
      </c>
      <c r="O2664">
        <f t="shared" si="210"/>
        <v>1</v>
      </c>
      <c r="P2664" t="str">
        <f t="shared" si="209"/>
        <v/>
      </c>
      <c r="Q2664">
        <f>COUNTIF('責任職　企業局→市長部局'!A:A,SQLデータ!B2664)</f>
        <v>0</v>
      </c>
      <c r="R2664">
        <f>COUNTIF('一般職員　企業局→市長部局'!A:F,SQLデータ!B2664)</f>
        <v>0</v>
      </c>
    </row>
    <row r="2665" spans="1:18" x14ac:dyDescent="0.4">
      <c r="A2665" s="1">
        <v>202650002560</v>
      </c>
      <c r="B2665" s="1">
        <v>1091006</v>
      </c>
      <c r="C2665" s="2">
        <v>46127</v>
      </c>
      <c r="D2665" t="s">
        <v>17</v>
      </c>
      <c r="E2665" t="s">
        <v>8</v>
      </c>
      <c r="G2665" t="s">
        <v>9</v>
      </c>
      <c r="L2665">
        <f t="shared" si="206"/>
        <v>0</v>
      </c>
      <c r="M2665">
        <f t="shared" si="207"/>
        <v>0</v>
      </c>
      <c r="N2665">
        <f t="shared" si="208"/>
        <v>0</v>
      </c>
      <c r="O2665">
        <f t="shared" si="210"/>
        <v>1</v>
      </c>
      <c r="P2665" t="str">
        <f t="shared" si="209"/>
        <v/>
      </c>
      <c r="Q2665">
        <f>COUNTIF('責任職　企業局→市長部局'!A:A,SQLデータ!B2665)</f>
        <v>0</v>
      </c>
      <c r="R2665">
        <f>COUNTIF('一般職員　企業局→市長部局'!A:F,SQLデータ!B2665)</f>
        <v>0</v>
      </c>
    </row>
    <row r="2666" spans="1:18" x14ac:dyDescent="0.4">
      <c r="A2666" s="1">
        <v>202650002561</v>
      </c>
      <c r="B2666" s="1">
        <v>1231135</v>
      </c>
      <c r="C2666" s="2">
        <v>46127</v>
      </c>
      <c r="D2666" t="s">
        <v>17</v>
      </c>
      <c r="E2666" t="s">
        <v>8</v>
      </c>
      <c r="G2666" t="s">
        <v>9</v>
      </c>
      <c r="L2666">
        <f t="shared" si="206"/>
        <v>0</v>
      </c>
      <c r="M2666">
        <f t="shared" si="207"/>
        <v>0</v>
      </c>
      <c r="N2666">
        <f t="shared" si="208"/>
        <v>0</v>
      </c>
      <c r="O2666">
        <f t="shared" si="210"/>
        <v>1</v>
      </c>
      <c r="P2666" t="str">
        <f t="shared" si="209"/>
        <v/>
      </c>
      <c r="Q2666">
        <f>COUNTIF('責任職　企業局→市長部局'!A:A,SQLデータ!B2666)</f>
        <v>0</v>
      </c>
      <c r="R2666">
        <f>COUNTIF('一般職員　企業局→市長部局'!A:F,SQLデータ!B2666)</f>
        <v>0</v>
      </c>
    </row>
    <row r="2667" spans="1:18" x14ac:dyDescent="0.4">
      <c r="A2667" s="1">
        <v>202650002562</v>
      </c>
      <c r="B2667" s="1">
        <v>1001056</v>
      </c>
      <c r="C2667" s="2">
        <v>46127</v>
      </c>
      <c r="D2667" t="s">
        <v>17</v>
      </c>
      <c r="E2667" t="s">
        <v>8</v>
      </c>
      <c r="G2667" t="s">
        <v>9</v>
      </c>
      <c r="L2667">
        <f t="shared" si="206"/>
        <v>0</v>
      </c>
      <c r="M2667">
        <f t="shared" si="207"/>
        <v>0</v>
      </c>
      <c r="N2667">
        <f t="shared" si="208"/>
        <v>0</v>
      </c>
      <c r="O2667">
        <f t="shared" si="210"/>
        <v>1</v>
      </c>
      <c r="P2667" t="str">
        <f t="shared" si="209"/>
        <v/>
      </c>
      <c r="Q2667">
        <f>COUNTIF('責任職　企業局→市長部局'!A:A,SQLデータ!B2667)</f>
        <v>0</v>
      </c>
      <c r="R2667">
        <f>COUNTIF('一般職員　企業局→市長部局'!A:F,SQLデータ!B2667)</f>
        <v>0</v>
      </c>
    </row>
    <row r="2668" spans="1:18" x14ac:dyDescent="0.4">
      <c r="A2668" s="1">
        <v>202650002563</v>
      </c>
      <c r="B2668" s="1">
        <v>910565</v>
      </c>
      <c r="C2668" s="2">
        <v>46127</v>
      </c>
      <c r="D2668" t="s">
        <v>17</v>
      </c>
      <c r="E2668" t="s">
        <v>8</v>
      </c>
      <c r="G2668" t="s">
        <v>9</v>
      </c>
      <c r="L2668">
        <f t="shared" si="206"/>
        <v>0</v>
      </c>
      <c r="M2668">
        <f t="shared" si="207"/>
        <v>0</v>
      </c>
      <c r="N2668">
        <f t="shared" si="208"/>
        <v>0</v>
      </c>
      <c r="O2668">
        <f t="shared" si="210"/>
        <v>1</v>
      </c>
      <c r="P2668" t="str">
        <f t="shared" si="209"/>
        <v/>
      </c>
      <c r="Q2668">
        <f>COUNTIF('責任職　企業局→市長部局'!A:A,SQLデータ!B2668)</f>
        <v>0</v>
      </c>
      <c r="R2668">
        <f>COUNTIF('一般職員　企業局→市長部局'!A:F,SQLデータ!B2668)</f>
        <v>0</v>
      </c>
    </row>
    <row r="2669" spans="1:18" x14ac:dyDescent="0.4">
      <c r="A2669" s="1">
        <v>202650002564</v>
      </c>
      <c r="B2669" s="1">
        <v>1231252</v>
      </c>
      <c r="C2669" s="2">
        <v>46127</v>
      </c>
      <c r="D2669" t="s">
        <v>17</v>
      </c>
      <c r="E2669" t="s">
        <v>8</v>
      </c>
      <c r="G2669" t="s">
        <v>9</v>
      </c>
      <c r="L2669">
        <f t="shared" si="206"/>
        <v>0</v>
      </c>
      <c r="M2669">
        <f t="shared" si="207"/>
        <v>0</v>
      </c>
      <c r="N2669">
        <f t="shared" si="208"/>
        <v>0</v>
      </c>
      <c r="O2669">
        <f t="shared" si="210"/>
        <v>1</v>
      </c>
      <c r="P2669" t="str">
        <f t="shared" si="209"/>
        <v/>
      </c>
      <c r="Q2669">
        <f>COUNTIF('責任職　企業局→市長部局'!A:A,SQLデータ!B2669)</f>
        <v>0</v>
      </c>
      <c r="R2669">
        <f>COUNTIF('一般職員　企業局→市長部局'!A:F,SQLデータ!B2669)</f>
        <v>0</v>
      </c>
    </row>
    <row r="2670" spans="1:18" x14ac:dyDescent="0.4">
      <c r="A2670" s="1">
        <v>202650002565</v>
      </c>
      <c r="B2670" s="1">
        <v>1081056</v>
      </c>
      <c r="C2670" s="2">
        <v>46127</v>
      </c>
      <c r="D2670" t="s">
        <v>17</v>
      </c>
      <c r="E2670" t="s">
        <v>8</v>
      </c>
      <c r="G2670" t="s">
        <v>9</v>
      </c>
      <c r="L2670">
        <f t="shared" si="206"/>
        <v>0</v>
      </c>
      <c r="M2670">
        <f t="shared" si="207"/>
        <v>0</v>
      </c>
      <c r="N2670">
        <f t="shared" si="208"/>
        <v>0</v>
      </c>
      <c r="O2670">
        <f t="shared" si="210"/>
        <v>1</v>
      </c>
      <c r="P2670" t="str">
        <f t="shared" si="209"/>
        <v/>
      </c>
      <c r="Q2670">
        <f>COUNTIF('責任職　企業局→市長部局'!A:A,SQLデータ!B2670)</f>
        <v>0</v>
      </c>
      <c r="R2670">
        <f>COUNTIF('一般職員　企業局→市長部局'!A:F,SQLデータ!B2670)</f>
        <v>0</v>
      </c>
    </row>
    <row r="2671" spans="1:18" x14ac:dyDescent="0.4">
      <c r="A2671" s="1">
        <v>202650002566</v>
      </c>
      <c r="B2671" s="1">
        <v>960324</v>
      </c>
      <c r="C2671" s="2">
        <v>46127</v>
      </c>
      <c r="D2671" t="s">
        <v>17</v>
      </c>
      <c r="E2671" t="s">
        <v>8</v>
      </c>
      <c r="G2671" t="s">
        <v>9</v>
      </c>
      <c r="L2671">
        <f t="shared" si="206"/>
        <v>0</v>
      </c>
      <c r="M2671">
        <f t="shared" si="207"/>
        <v>0</v>
      </c>
      <c r="N2671">
        <f t="shared" si="208"/>
        <v>0</v>
      </c>
      <c r="O2671">
        <f t="shared" si="210"/>
        <v>1</v>
      </c>
      <c r="P2671" t="str">
        <f t="shared" si="209"/>
        <v/>
      </c>
      <c r="Q2671">
        <f>COUNTIF('責任職　企業局→市長部局'!A:A,SQLデータ!B2671)</f>
        <v>0</v>
      </c>
      <c r="R2671">
        <f>COUNTIF('一般職員　企業局→市長部局'!A:F,SQLデータ!B2671)</f>
        <v>0</v>
      </c>
    </row>
    <row r="2672" spans="1:18" x14ac:dyDescent="0.4">
      <c r="A2672" s="1">
        <v>202650002567</v>
      </c>
      <c r="B2672" s="1">
        <v>1192077</v>
      </c>
      <c r="C2672" s="2">
        <v>46127</v>
      </c>
      <c r="D2672" t="s">
        <v>17</v>
      </c>
      <c r="E2672" t="s">
        <v>8</v>
      </c>
      <c r="G2672" t="s">
        <v>9</v>
      </c>
      <c r="L2672">
        <f t="shared" si="206"/>
        <v>0</v>
      </c>
      <c r="M2672">
        <f t="shared" si="207"/>
        <v>0</v>
      </c>
      <c r="N2672">
        <f t="shared" si="208"/>
        <v>0</v>
      </c>
      <c r="O2672">
        <f t="shared" si="210"/>
        <v>1</v>
      </c>
      <c r="P2672" t="str">
        <f t="shared" si="209"/>
        <v/>
      </c>
      <c r="Q2672">
        <f>COUNTIF('責任職　企業局→市長部局'!A:A,SQLデータ!B2672)</f>
        <v>0</v>
      </c>
      <c r="R2672">
        <f>COUNTIF('一般職員　企業局→市長部局'!A:F,SQLデータ!B2672)</f>
        <v>0</v>
      </c>
    </row>
    <row r="2673" spans="1:18" x14ac:dyDescent="0.4">
      <c r="A2673" s="1">
        <v>202650002568</v>
      </c>
      <c r="B2673" s="1">
        <v>1191113</v>
      </c>
      <c r="C2673" s="2">
        <v>46127</v>
      </c>
      <c r="D2673" t="s">
        <v>17</v>
      </c>
      <c r="E2673" t="s">
        <v>8</v>
      </c>
      <c r="G2673" t="s">
        <v>9</v>
      </c>
      <c r="L2673">
        <f t="shared" si="206"/>
        <v>0</v>
      </c>
      <c r="M2673">
        <f t="shared" si="207"/>
        <v>0</v>
      </c>
      <c r="N2673">
        <f t="shared" si="208"/>
        <v>0</v>
      </c>
      <c r="O2673">
        <f t="shared" si="210"/>
        <v>1</v>
      </c>
      <c r="P2673" t="str">
        <f t="shared" si="209"/>
        <v/>
      </c>
      <c r="Q2673">
        <f>COUNTIF('責任職　企業局→市長部局'!A:A,SQLデータ!B2673)</f>
        <v>0</v>
      </c>
      <c r="R2673">
        <f>COUNTIF('一般職員　企業局→市長部局'!A:F,SQLデータ!B2673)</f>
        <v>0</v>
      </c>
    </row>
    <row r="2674" spans="1:18" x14ac:dyDescent="0.4">
      <c r="A2674" s="1">
        <v>202650002569</v>
      </c>
      <c r="B2674" s="1">
        <v>1231076</v>
      </c>
      <c r="C2674" s="2">
        <v>46127</v>
      </c>
      <c r="D2674" t="s">
        <v>17</v>
      </c>
      <c r="E2674" t="s">
        <v>8</v>
      </c>
      <c r="G2674" t="s">
        <v>9</v>
      </c>
      <c r="L2674">
        <f t="shared" si="206"/>
        <v>0</v>
      </c>
      <c r="M2674">
        <f t="shared" si="207"/>
        <v>0</v>
      </c>
      <c r="N2674">
        <f t="shared" si="208"/>
        <v>0</v>
      </c>
      <c r="O2674">
        <f t="shared" si="210"/>
        <v>1</v>
      </c>
      <c r="P2674" t="str">
        <f t="shared" si="209"/>
        <v/>
      </c>
      <c r="Q2674">
        <f>COUNTIF('責任職　企業局→市長部局'!A:A,SQLデータ!B2674)</f>
        <v>0</v>
      </c>
      <c r="R2674">
        <f>COUNTIF('一般職員　企業局→市長部局'!A:F,SQLデータ!B2674)</f>
        <v>0</v>
      </c>
    </row>
    <row r="2675" spans="1:18" x14ac:dyDescent="0.4">
      <c r="A2675" s="1">
        <v>202650002570</v>
      </c>
      <c r="B2675" s="1">
        <v>1201518</v>
      </c>
      <c r="C2675" s="2">
        <v>46127</v>
      </c>
      <c r="D2675" t="s">
        <v>17</v>
      </c>
      <c r="E2675" t="s">
        <v>8</v>
      </c>
      <c r="G2675" t="s">
        <v>9</v>
      </c>
      <c r="L2675">
        <f t="shared" si="206"/>
        <v>0</v>
      </c>
      <c r="M2675">
        <f t="shared" si="207"/>
        <v>0</v>
      </c>
      <c r="N2675">
        <f t="shared" si="208"/>
        <v>0</v>
      </c>
      <c r="O2675">
        <f t="shared" si="210"/>
        <v>1</v>
      </c>
      <c r="P2675" t="str">
        <f t="shared" si="209"/>
        <v/>
      </c>
      <c r="Q2675">
        <f>COUNTIF('責任職　企業局→市長部局'!A:A,SQLデータ!B2675)</f>
        <v>0</v>
      </c>
      <c r="R2675">
        <f>COUNTIF('一般職員　企業局→市長部局'!A:F,SQLデータ!B2675)</f>
        <v>0</v>
      </c>
    </row>
    <row r="2676" spans="1:18" x14ac:dyDescent="0.4">
      <c r="A2676" s="1">
        <v>202650002571</v>
      </c>
      <c r="B2676" s="1">
        <v>1161369</v>
      </c>
      <c r="C2676" s="2">
        <v>46127</v>
      </c>
      <c r="D2676" t="s">
        <v>17</v>
      </c>
      <c r="E2676" t="s">
        <v>8</v>
      </c>
      <c r="G2676" t="s">
        <v>9</v>
      </c>
      <c r="L2676">
        <f t="shared" si="206"/>
        <v>0</v>
      </c>
      <c r="M2676">
        <f t="shared" si="207"/>
        <v>0</v>
      </c>
      <c r="N2676">
        <f t="shared" si="208"/>
        <v>0</v>
      </c>
      <c r="O2676">
        <f t="shared" si="210"/>
        <v>1</v>
      </c>
      <c r="P2676" t="str">
        <f t="shared" si="209"/>
        <v/>
      </c>
      <c r="Q2676">
        <f>COUNTIF('責任職　企業局→市長部局'!A:A,SQLデータ!B2676)</f>
        <v>0</v>
      </c>
      <c r="R2676">
        <f>COUNTIF('一般職員　企業局→市長部局'!A:F,SQLデータ!B2676)</f>
        <v>0</v>
      </c>
    </row>
    <row r="2677" spans="1:18" x14ac:dyDescent="0.4">
      <c r="A2677" s="1">
        <v>202650002572</v>
      </c>
      <c r="B2677" s="1">
        <v>1221088</v>
      </c>
      <c r="C2677" s="2">
        <v>46127</v>
      </c>
      <c r="D2677" t="s">
        <v>17</v>
      </c>
      <c r="E2677" t="s">
        <v>8</v>
      </c>
      <c r="G2677" t="s">
        <v>9</v>
      </c>
      <c r="L2677">
        <f t="shared" si="206"/>
        <v>0</v>
      </c>
      <c r="M2677">
        <f t="shared" si="207"/>
        <v>0</v>
      </c>
      <c r="N2677">
        <f t="shared" si="208"/>
        <v>0</v>
      </c>
      <c r="O2677">
        <f t="shared" si="210"/>
        <v>1</v>
      </c>
      <c r="P2677" t="str">
        <f t="shared" si="209"/>
        <v/>
      </c>
      <c r="Q2677">
        <f>COUNTIF('責任職　企業局→市長部局'!A:A,SQLデータ!B2677)</f>
        <v>0</v>
      </c>
      <c r="R2677">
        <f>COUNTIF('一般職員　企業局→市長部局'!A:F,SQLデータ!B2677)</f>
        <v>0</v>
      </c>
    </row>
    <row r="2678" spans="1:18" x14ac:dyDescent="0.4">
      <c r="A2678" s="1">
        <v>202650002573</v>
      </c>
      <c r="B2678" s="1">
        <v>1161514</v>
      </c>
      <c r="C2678" s="2">
        <v>46127</v>
      </c>
      <c r="D2678" t="s">
        <v>17</v>
      </c>
      <c r="E2678" t="s">
        <v>8</v>
      </c>
      <c r="G2678" t="s">
        <v>9</v>
      </c>
      <c r="L2678">
        <f t="shared" si="206"/>
        <v>0</v>
      </c>
      <c r="M2678">
        <f t="shared" si="207"/>
        <v>0</v>
      </c>
      <c r="N2678">
        <f t="shared" si="208"/>
        <v>0</v>
      </c>
      <c r="O2678">
        <f t="shared" si="210"/>
        <v>1</v>
      </c>
      <c r="P2678" t="str">
        <f t="shared" si="209"/>
        <v/>
      </c>
      <c r="Q2678">
        <f>COUNTIF('責任職　企業局→市長部局'!A:A,SQLデータ!B2678)</f>
        <v>0</v>
      </c>
      <c r="R2678">
        <f>COUNTIF('一般職員　企業局→市長部局'!A:F,SQLデータ!B2678)</f>
        <v>0</v>
      </c>
    </row>
    <row r="2679" spans="1:18" x14ac:dyDescent="0.4">
      <c r="A2679" s="1">
        <v>202650002574</v>
      </c>
      <c r="B2679" s="1">
        <v>1181154</v>
      </c>
      <c r="C2679" s="2">
        <v>46127</v>
      </c>
      <c r="D2679" t="s">
        <v>17</v>
      </c>
      <c r="E2679" t="s">
        <v>8</v>
      </c>
      <c r="G2679" t="s">
        <v>9</v>
      </c>
      <c r="L2679">
        <f t="shared" si="206"/>
        <v>0</v>
      </c>
      <c r="M2679">
        <f t="shared" si="207"/>
        <v>0</v>
      </c>
      <c r="N2679">
        <f t="shared" si="208"/>
        <v>0</v>
      </c>
      <c r="O2679">
        <f t="shared" si="210"/>
        <v>1</v>
      </c>
      <c r="P2679" t="str">
        <f t="shared" si="209"/>
        <v/>
      </c>
      <c r="Q2679">
        <f>COUNTIF('責任職　企業局→市長部局'!A:A,SQLデータ!B2679)</f>
        <v>0</v>
      </c>
      <c r="R2679">
        <f>COUNTIF('一般職員　企業局→市長部局'!A:F,SQLデータ!B2679)</f>
        <v>0</v>
      </c>
    </row>
    <row r="2680" spans="1:18" x14ac:dyDescent="0.4">
      <c r="A2680" s="1">
        <v>202650002576</v>
      </c>
      <c r="B2680" s="1">
        <v>940199</v>
      </c>
      <c r="C2680" s="2">
        <v>46127</v>
      </c>
      <c r="D2680" t="s">
        <v>17</v>
      </c>
      <c r="E2680" t="s">
        <v>8</v>
      </c>
      <c r="G2680" t="s">
        <v>9</v>
      </c>
      <c r="L2680">
        <f t="shared" si="206"/>
        <v>0</v>
      </c>
      <c r="M2680">
        <f t="shared" si="207"/>
        <v>0</v>
      </c>
      <c r="N2680">
        <f t="shared" si="208"/>
        <v>0</v>
      </c>
      <c r="O2680">
        <f t="shared" si="210"/>
        <v>1</v>
      </c>
      <c r="P2680" t="str">
        <f t="shared" si="209"/>
        <v/>
      </c>
      <c r="Q2680">
        <f>COUNTIF('責任職　企業局→市長部局'!A:A,SQLデータ!B2680)</f>
        <v>0</v>
      </c>
      <c r="R2680">
        <f>COUNTIF('一般職員　企業局→市長部局'!A:F,SQLデータ!B2680)</f>
        <v>0</v>
      </c>
    </row>
    <row r="2681" spans="1:18" x14ac:dyDescent="0.4">
      <c r="A2681" s="1">
        <v>202650002577</v>
      </c>
      <c r="B2681" s="1">
        <v>1101321</v>
      </c>
      <c r="C2681" s="2">
        <v>46127</v>
      </c>
      <c r="D2681" t="s">
        <v>17</v>
      </c>
      <c r="E2681" t="s">
        <v>8</v>
      </c>
      <c r="G2681" t="s">
        <v>9</v>
      </c>
      <c r="L2681">
        <f t="shared" si="206"/>
        <v>0</v>
      </c>
      <c r="M2681">
        <f t="shared" si="207"/>
        <v>0</v>
      </c>
      <c r="N2681">
        <f t="shared" si="208"/>
        <v>0</v>
      </c>
      <c r="O2681">
        <f t="shared" si="210"/>
        <v>1</v>
      </c>
      <c r="P2681" t="str">
        <f t="shared" si="209"/>
        <v/>
      </c>
      <c r="Q2681">
        <f>COUNTIF('責任職　企業局→市長部局'!A:A,SQLデータ!B2681)</f>
        <v>0</v>
      </c>
      <c r="R2681">
        <f>COUNTIF('一般職員　企業局→市長部局'!A:F,SQLデータ!B2681)</f>
        <v>0</v>
      </c>
    </row>
    <row r="2682" spans="1:18" x14ac:dyDescent="0.4">
      <c r="A2682" s="1">
        <v>202650002578</v>
      </c>
      <c r="B2682" s="1">
        <v>1141292</v>
      </c>
      <c r="C2682" s="2">
        <v>46127</v>
      </c>
      <c r="D2682" t="s">
        <v>17</v>
      </c>
      <c r="E2682" t="s">
        <v>8</v>
      </c>
      <c r="G2682" t="s">
        <v>9</v>
      </c>
      <c r="L2682">
        <f t="shared" si="206"/>
        <v>0</v>
      </c>
      <c r="M2682">
        <f t="shared" si="207"/>
        <v>0</v>
      </c>
      <c r="N2682">
        <f t="shared" si="208"/>
        <v>0</v>
      </c>
      <c r="O2682">
        <f t="shared" si="210"/>
        <v>1</v>
      </c>
      <c r="P2682" t="str">
        <f t="shared" si="209"/>
        <v/>
      </c>
      <c r="Q2682">
        <f>COUNTIF('責任職　企業局→市長部局'!A:A,SQLデータ!B2682)</f>
        <v>0</v>
      </c>
      <c r="R2682">
        <f>COUNTIF('一般職員　企業局→市長部局'!A:F,SQLデータ!B2682)</f>
        <v>0</v>
      </c>
    </row>
    <row r="2683" spans="1:18" x14ac:dyDescent="0.4">
      <c r="A2683" s="1">
        <v>202650002579</v>
      </c>
      <c r="B2683" s="1">
        <v>960265</v>
      </c>
      <c r="C2683" s="2">
        <v>46127</v>
      </c>
      <c r="D2683" t="s">
        <v>17</v>
      </c>
      <c r="E2683" t="s">
        <v>8</v>
      </c>
      <c r="G2683" t="s">
        <v>9</v>
      </c>
      <c r="L2683">
        <f t="shared" si="206"/>
        <v>0</v>
      </c>
      <c r="M2683">
        <f t="shared" si="207"/>
        <v>0</v>
      </c>
      <c r="N2683">
        <f t="shared" si="208"/>
        <v>0</v>
      </c>
      <c r="O2683">
        <f t="shared" si="210"/>
        <v>1</v>
      </c>
      <c r="P2683" t="str">
        <f t="shared" si="209"/>
        <v/>
      </c>
      <c r="Q2683">
        <f>COUNTIF('責任職　企業局→市長部局'!A:A,SQLデータ!B2683)</f>
        <v>0</v>
      </c>
      <c r="R2683">
        <f>COUNTIF('一般職員　企業局→市長部局'!A:F,SQLデータ!B2683)</f>
        <v>0</v>
      </c>
    </row>
    <row r="2684" spans="1:18" x14ac:dyDescent="0.4">
      <c r="A2684" s="1">
        <v>202650002580</v>
      </c>
      <c r="B2684" s="1">
        <v>1212312</v>
      </c>
      <c r="C2684" s="2">
        <v>46127</v>
      </c>
      <c r="D2684" t="s">
        <v>17</v>
      </c>
      <c r="E2684" t="s">
        <v>8</v>
      </c>
      <c r="G2684" t="s">
        <v>9</v>
      </c>
      <c r="L2684">
        <f t="shared" si="206"/>
        <v>0</v>
      </c>
      <c r="M2684">
        <f t="shared" si="207"/>
        <v>0</v>
      </c>
      <c r="N2684">
        <f t="shared" si="208"/>
        <v>0</v>
      </c>
      <c r="O2684">
        <f t="shared" si="210"/>
        <v>1</v>
      </c>
      <c r="P2684" t="str">
        <f t="shared" si="209"/>
        <v/>
      </c>
      <c r="Q2684">
        <f>COUNTIF('責任職　企業局→市長部局'!A:A,SQLデータ!B2684)</f>
        <v>0</v>
      </c>
      <c r="R2684">
        <f>COUNTIF('一般職員　企業局→市長部局'!A:F,SQLデータ!B2684)</f>
        <v>0</v>
      </c>
    </row>
    <row r="2685" spans="1:18" x14ac:dyDescent="0.4">
      <c r="A2685" s="1">
        <v>202650002581</v>
      </c>
      <c r="B2685" s="1">
        <v>1200023</v>
      </c>
      <c r="C2685" s="2">
        <v>46127</v>
      </c>
      <c r="D2685" t="s">
        <v>17</v>
      </c>
      <c r="E2685" t="s">
        <v>8</v>
      </c>
      <c r="G2685" t="s">
        <v>9</v>
      </c>
      <c r="L2685">
        <f t="shared" si="206"/>
        <v>0</v>
      </c>
      <c r="M2685">
        <f t="shared" si="207"/>
        <v>0</v>
      </c>
      <c r="N2685">
        <f t="shared" si="208"/>
        <v>0</v>
      </c>
      <c r="O2685">
        <f t="shared" si="210"/>
        <v>1</v>
      </c>
      <c r="P2685" t="str">
        <f t="shared" si="209"/>
        <v/>
      </c>
      <c r="Q2685">
        <f>COUNTIF('責任職　企業局→市長部局'!A:A,SQLデータ!B2685)</f>
        <v>0</v>
      </c>
      <c r="R2685">
        <f>COUNTIF('一般職員　企業局→市長部局'!A:F,SQLデータ!B2685)</f>
        <v>0</v>
      </c>
    </row>
    <row r="2686" spans="1:18" x14ac:dyDescent="0.4">
      <c r="A2686" s="1">
        <v>202650002582</v>
      </c>
      <c r="B2686" s="1">
        <v>940737</v>
      </c>
      <c r="C2686" s="2">
        <v>46127</v>
      </c>
      <c r="D2686" t="s">
        <v>17</v>
      </c>
      <c r="E2686" t="s">
        <v>8</v>
      </c>
      <c r="G2686" t="s">
        <v>9</v>
      </c>
      <c r="L2686">
        <f t="shared" si="206"/>
        <v>0</v>
      </c>
      <c r="M2686">
        <f t="shared" si="207"/>
        <v>0</v>
      </c>
      <c r="N2686">
        <f t="shared" si="208"/>
        <v>0</v>
      </c>
      <c r="O2686">
        <f t="shared" si="210"/>
        <v>1</v>
      </c>
      <c r="P2686" t="str">
        <f t="shared" si="209"/>
        <v/>
      </c>
      <c r="Q2686">
        <f>COUNTIF('責任職　企業局→市長部局'!A:A,SQLデータ!B2686)</f>
        <v>0</v>
      </c>
      <c r="R2686">
        <f>COUNTIF('一般職員　企業局→市長部局'!A:F,SQLデータ!B2686)</f>
        <v>0</v>
      </c>
    </row>
    <row r="2687" spans="1:18" x14ac:dyDescent="0.4">
      <c r="A2687" s="1">
        <v>202650002583</v>
      </c>
      <c r="B2687" s="1">
        <v>920411</v>
      </c>
      <c r="C2687" s="2">
        <v>46127</v>
      </c>
      <c r="D2687" t="s">
        <v>17</v>
      </c>
      <c r="E2687" t="s">
        <v>8</v>
      </c>
      <c r="G2687" t="s">
        <v>9</v>
      </c>
      <c r="L2687">
        <f t="shared" si="206"/>
        <v>0</v>
      </c>
      <c r="M2687">
        <f t="shared" si="207"/>
        <v>0</v>
      </c>
      <c r="N2687">
        <f t="shared" si="208"/>
        <v>0</v>
      </c>
      <c r="O2687">
        <f t="shared" si="210"/>
        <v>1</v>
      </c>
      <c r="P2687" t="str">
        <f t="shared" si="209"/>
        <v/>
      </c>
      <c r="Q2687">
        <f>COUNTIF('責任職　企業局→市長部局'!A:A,SQLデータ!B2687)</f>
        <v>0</v>
      </c>
      <c r="R2687">
        <f>COUNTIF('一般職員　企業局→市長部局'!A:F,SQLデータ!B2687)</f>
        <v>0</v>
      </c>
    </row>
    <row r="2688" spans="1:18" x14ac:dyDescent="0.4">
      <c r="A2688" s="1">
        <v>202650002584</v>
      </c>
      <c r="B2688" s="1">
        <v>1223014</v>
      </c>
      <c r="C2688" s="2">
        <v>46127</v>
      </c>
      <c r="D2688" t="s">
        <v>17</v>
      </c>
      <c r="E2688" t="s">
        <v>8</v>
      </c>
      <c r="G2688" t="s">
        <v>9</v>
      </c>
      <c r="L2688">
        <f t="shared" si="206"/>
        <v>0</v>
      </c>
      <c r="M2688">
        <f t="shared" si="207"/>
        <v>0</v>
      </c>
      <c r="N2688">
        <f t="shared" si="208"/>
        <v>0</v>
      </c>
      <c r="O2688">
        <f t="shared" si="210"/>
        <v>1</v>
      </c>
      <c r="P2688" t="str">
        <f t="shared" si="209"/>
        <v/>
      </c>
      <c r="Q2688">
        <f>COUNTIF('責任職　企業局→市長部局'!A:A,SQLデータ!B2688)</f>
        <v>0</v>
      </c>
      <c r="R2688">
        <f>COUNTIF('一般職員　企業局→市長部局'!A:F,SQLデータ!B2688)</f>
        <v>0</v>
      </c>
    </row>
    <row r="2689" spans="1:18" x14ac:dyDescent="0.4">
      <c r="A2689" s="1">
        <v>202650002585</v>
      </c>
      <c r="B2689" s="1">
        <v>1151283</v>
      </c>
      <c r="C2689" s="2">
        <v>46127</v>
      </c>
      <c r="D2689" t="s">
        <v>17</v>
      </c>
      <c r="E2689" t="s">
        <v>8</v>
      </c>
      <c r="G2689" t="s">
        <v>9</v>
      </c>
      <c r="L2689">
        <f t="shared" si="206"/>
        <v>0</v>
      </c>
      <c r="M2689">
        <f t="shared" si="207"/>
        <v>0</v>
      </c>
      <c r="N2689">
        <f t="shared" si="208"/>
        <v>0</v>
      </c>
      <c r="O2689">
        <f t="shared" si="210"/>
        <v>1</v>
      </c>
      <c r="P2689" t="str">
        <f t="shared" si="209"/>
        <v/>
      </c>
      <c r="Q2689">
        <f>COUNTIF('責任職　企業局→市長部局'!A:A,SQLデータ!B2689)</f>
        <v>0</v>
      </c>
      <c r="R2689">
        <f>COUNTIF('一般職員　企業局→市長部局'!A:F,SQLデータ!B2689)</f>
        <v>0</v>
      </c>
    </row>
    <row r="2690" spans="1:18" x14ac:dyDescent="0.4">
      <c r="A2690" s="1">
        <v>202650002586</v>
      </c>
      <c r="B2690" s="1">
        <v>991045</v>
      </c>
      <c r="C2690" s="2">
        <v>46127</v>
      </c>
      <c r="D2690" t="s">
        <v>17</v>
      </c>
      <c r="E2690" t="s">
        <v>8</v>
      </c>
      <c r="G2690" t="s">
        <v>9</v>
      </c>
      <c r="L2690">
        <f t="shared" ref="L2690:L2753" si="211">IF(ISBLANK(J2690),0,1)</f>
        <v>0</v>
      </c>
      <c r="M2690">
        <f t="shared" ref="M2690:M2753" si="212">IF(AND(L2690=0,I2690&lt;&gt;""),1,0)</f>
        <v>0</v>
      </c>
      <c r="N2690">
        <f t="shared" ref="N2690:N2753" si="213">IF(AND(L2690=0,M2690=0,K2690&lt;&gt;""),1,0)</f>
        <v>0</v>
      </c>
      <c r="O2690">
        <f t="shared" si="210"/>
        <v>1</v>
      </c>
      <c r="P2690" t="str">
        <f t="shared" ref="P2690:P2753" si="214">IF(D2690&lt;&gt;"扶養","",IF(E2690&lt;&gt;"確認待ち",1,IF(OR(AND(G2690="本人の結婚",O2690=1),AND(H2690="減",OR(N2690=1,O2690=1))),1,0)))</f>
        <v/>
      </c>
      <c r="Q2690">
        <f>COUNTIF('責任職　企業局→市長部局'!A:A,SQLデータ!B2690)</f>
        <v>0</v>
      </c>
      <c r="R2690">
        <f>COUNTIF('一般職員　企業局→市長部局'!A:F,SQLデータ!B2690)</f>
        <v>0</v>
      </c>
    </row>
    <row r="2691" spans="1:18" x14ac:dyDescent="0.4">
      <c r="A2691" s="1">
        <v>202650002587</v>
      </c>
      <c r="B2691" s="1">
        <v>1101285</v>
      </c>
      <c r="C2691" s="2">
        <v>46127</v>
      </c>
      <c r="D2691" t="s">
        <v>17</v>
      </c>
      <c r="E2691" t="s">
        <v>8</v>
      </c>
      <c r="G2691" t="s">
        <v>9</v>
      </c>
      <c r="L2691">
        <f t="shared" si="211"/>
        <v>0</v>
      </c>
      <c r="M2691">
        <f t="shared" si="212"/>
        <v>0</v>
      </c>
      <c r="N2691">
        <f t="shared" si="213"/>
        <v>0</v>
      </c>
      <c r="O2691">
        <f t="shared" si="210"/>
        <v>1</v>
      </c>
      <c r="P2691" t="str">
        <f t="shared" si="214"/>
        <v/>
      </c>
      <c r="Q2691">
        <f>COUNTIF('責任職　企業局→市長部局'!A:A,SQLデータ!B2691)</f>
        <v>0</v>
      </c>
      <c r="R2691">
        <f>COUNTIF('一般職員　企業局→市長部局'!A:F,SQLデータ!B2691)</f>
        <v>0</v>
      </c>
    </row>
    <row r="2692" spans="1:18" x14ac:dyDescent="0.4">
      <c r="A2692" s="1">
        <v>202650002588</v>
      </c>
      <c r="B2692" s="1">
        <v>1201122</v>
      </c>
      <c r="C2692" s="2">
        <v>46127</v>
      </c>
      <c r="D2692" t="s">
        <v>17</v>
      </c>
      <c r="E2692" t="s">
        <v>8</v>
      </c>
      <c r="G2692" t="s">
        <v>9</v>
      </c>
      <c r="L2692">
        <f t="shared" si="211"/>
        <v>0</v>
      </c>
      <c r="M2692">
        <f t="shared" si="212"/>
        <v>0</v>
      </c>
      <c r="N2692">
        <f t="shared" si="213"/>
        <v>0</v>
      </c>
      <c r="O2692">
        <f t="shared" si="210"/>
        <v>1</v>
      </c>
      <c r="P2692" t="str">
        <f t="shared" si="214"/>
        <v/>
      </c>
      <c r="Q2692">
        <f>COUNTIF('責任職　企業局→市長部局'!A:A,SQLデータ!B2692)</f>
        <v>0</v>
      </c>
      <c r="R2692">
        <f>COUNTIF('一般職員　企業局→市長部局'!A:F,SQLデータ!B2692)</f>
        <v>0</v>
      </c>
    </row>
    <row r="2693" spans="1:18" x14ac:dyDescent="0.4">
      <c r="A2693" s="1">
        <v>202650002589</v>
      </c>
      <c r="B2693" s="1">
        <v>1191259</v>
      </c>
      <c r="C2693" s="2">
        <v>46127</v>
      </c>
      <c r="D2693" t="s">
        <v>17</v>
      </c>
      <c r="E2693" t="s">
        <v>8</v>
      </c>
      <c r="G2693" t="s">
        <v>9</v>
      </c>
      <c r="L2693">
        <f t="shared" si="211"/>
        <v>0</v>
      </c>
      <c r="M2693">
        <f t="shared" si="212"/>
        <v>0</v>
      </c>
      <c r="N2693">
        <f t="shared" si="213"/>
        <v>0</v>
      </c>
      <c r="O2693">
        <f t="shared" si="210"/>
        <v>1</v>
      </c>
      <c r="P2693" t="str">
        <f t="shared" si="214"/>
        <v/>
      </c>
      <c r="Q2693">
        <f>COUNTIF('責任職　企業局→市長部局'!A:A,SQLデータ!B2693)</f>
        <v>0</v>
      </c>
      <c r="R2693">
        <f>COUNTIF('一般職員　企業局→市長部局'!A:F,SQLデータ!B2693)</f>
        <v>0</v>
      </c>
    </row>
    <row r="2694" spans="1:18" x14ac:dyDescent="0.4">
      <c r="A2694" s="1">
        <v>202650002590</v>
      </c>
      <c r="B2694" s="1">
        <v>1221172</v>
      </c>
      <c r="C2694" s="2">
        <v>46127</v>
      </c>
      <c r="D2694" t="s">
        <v>17</v>
      </c>
      <c r="E2694" t="s">
        <v>8</v>
      </c>
      <c r="G2694" t="s">
        <v>9</v>
      </c>
      <c r="L2694">
        <f t="shared" si="211"/>
        <v>0</v>
      </c>
      <c r="M2694">
        <f t="shared" si="212"/>
        <v>0</v>
      </c>
      <c r="N2694">
        <f t="shared" si="213"/>
        <v>0</v>
      </c>
      <c r="O2694">
        <f t="shared" si="210"/>
        <v>1</v>
      </c>
      <c r="P2694" t="str">
        <f t="shared" si="214"/>
        <v/>
      </c>
      <c r="Q2694">
        <f>COUNTIF('責任職　企業局→市長部局'!A:A,SQLデータ!B2694)</f>
        <v>0</v>
      </c>
      <c r="R2694">
        <f>COUNTIF('一般職員　企業局→市長部局'!A:F,SQLデータ!B2694)</f>
        <v>0</v>
      </c>
    </row>
    <row r="2695" spans="1:18" x14ac:dyDescent="0.4">
      <c r="A2695" s="1">
        <v>202650002591</v>
      </c>
      <c r="B2695" s="1">
        <v>1142106</v>
      </c>
      <c r="C2695" s="2">
        <v>46127</v>
      </c>
      <c r="D2695" t="s">
        <v>17</v>
      </c>
      <c r="E2695" t="s">
        <v>8</v>
      </c>
      <c r="G2695" t="s">
        <v>9</v>
      </c>
      <c r="L2695">
        <f t="shared" si="211"/>
        <v>0</v>
      </c>
      <c r="M2695">
        <f t="shared" si="212"/>
        <v>0</v>
      </c>
      <c r="N2695">
        <f t="shared" si="213"/>
        <v>0</v>
      </c>
      <c r="O2695">
        <f t="shared" si="210"/>
        <v>1</v>
      </c>
      <c r="P2695" t="str">
        <f t="shared" si="214"/>
        <v/>
      </c>
      <c r="Q2695">
        <f>COUNTIF('責任職　企業局→市長部局'!A:A,SQLデータ!B2695)</f>
        <v>0</v>
      </c>
      <c r="R2695">
        <f>COUNTIF('一般職員　企業局→市長部局'!A:F,SQLデータ!B2695)</f>
        <v>0</v>
      </c>
    </row>
    <row r="2696" spans="1:18" x14ac:dyDescent="0.4">
      <c r="A2696" s="1">
        <v>202650002592</v>
      </c>
      <c r="B2696" s="1">
        <v>1231171</v>
      </c>
      <c r="C2696" s="2">
        <v>46127</v>
      </c>
      <c r="D2696" t="s">
        <v>17</v>
      </c>
      <c r="E2696" t="s">
        <v>8</v>
      </c>
      <c r="G2696" t="s">
        <v>9</v>
      </c>
      <c r="L2696">
        <f t="shared" si="211"/>
        <v>0</v>
      </c>
      <c r="M2696">
        <f t="shared" si="212"/>
        <v>0</v>
      </c>
      <c r="N2696">
        <f t="shared" si="213"/>
        <v>0</v>
      </c>
      <c r="O2696">
        <f t="shared" si="210"/>
        <v>1</v>
      </c>
      <c r="P2696" t="str">
        <f t="shared" si="214"/>
        <v/>
      </c>
      <c r="Q2696">
        <f>COUNTIF('責任職　企業局→市長部局'!A:A,SQLデータ!B2696)</f>
        <v>0</v>
      </c>
      <c r="R2696">
        <f>COUNTIF('一般職員　企業局→市長部局'!A:F,SQLデータ!B2696)</f>
        <v>0</v>
      </c>
    </row>
    <row r="2697" spans="1:18" x14ac:dyDescent="0.4">
      <c r="A2697" s="1">
        <v>202650002593</v>
      </c>
      <c r="B2697" s="1">
        <v>1161539</v>
      </c>
      <c r="C2697" s="2">
        <v>46127</v>
      </c>
      <c r="D2697" t="s">
        <v>17</v>
      </c>
      <c r="E2697" t="s">
        <v>8</v>
      </c>
      <c r="G2697" t="s">
        <v>9</v>
      </c>
      <c r="L2697">
        <f t="shared" si="211"/>
        <v>0</v>
      </c>
      <c r="M2697">
        <f t="shared" si="212"/>
        <v>0</v>
      </c>
      <c r="N2697">
        <f t="shared" si="213"/>
        <v>0</v>
      </c>
      <c r="O2697">
        <f t="shared" ref="O2697:O2760" si="215">IF(COUNTIF(L2697:N2697,0)=3,1,0)</f>
        <v>1</v>
      </c>
      <c r="P2697" t="str">
        <f t="shared" si="214"/>
        <v/>
      </c>
      <c r="Q2697">
        <f>COUNTIF('責任職　企業局→市長部局'!A:A,SQLデータ!B2697)</f>
        <v>0</v>
      </c>
      <c r="R2697">
        <f>COUNTIF('一般職員　企業局→市長部局'!A:F,SQLデータ!B2697)</f>
        <v>0</v>
      </c>
    </row>
    <row r="2698" spans="1:18" x14ac:dyDescent="0.4">
      <c r="A2698" s="1">
        <v>202650002594</v>
      </c>
      <c r="B2698" s="1">
        <v>1210008</v>
      </c>
      <c r="C2698" s="2">
        <v>46127</v>
      </c>
      <c r="D2698" t="s">
        <v>17</v>
      </c>
      <c r="E2698" t="s">
        <v>8</v>
      </c>
      <c r="G2698" t="s">
        <v>9</v>
      </c>
      <c r="L2698">
        <f t="shared" si="211"/>
        <v>0</v>
      </c>
      <c r="M2698">
        <f t="shared" si="212"/>
        <v>0</v>
      </c>
      <c r="N2698">
        <f t="shared" si="213"/>
        <v>0</v>
      </c>
      <c r="O2698">
        <f t="shared" si="215"/>
        <v>1</v>
      </c>
      <c r="P2698" t="str">
        <f t="shared" si="214"/>
        <v/>
      </c>
      <c r="Q2698">
        <f>COUNTIF('責任職　企業局→市長部局'!A:A,SQLデータ!B2698)</f>
        <v>0</v>
      </c>
      <c r="R2698">
        <f>COUNTIF('一般職員　企業局→市長部局'!A:F,SQLデータ!B2698)</f>
        <v>0</v>
      </c>
    </row>
    <row r="2699" spans="1:18" x14ac:dyDescent="0.4">
      <c r="A2699" s="1">
        <v>202650002595</v>
      </c>
      <c r="B2699" s="1">
        <v>900494</v>
      </c>
      <c r="C2699" s="2">
        <v>46127</v>
      </c>
      <c r="D2699" t="s">
        <v>17</v>
      </c>
      <c r="E2699" t="s">
        <v>8</v>
      </c>
      <c r="G2699" t="s">
        <v>9</v>
      </c>
      <c r="L2699">
        <f t="shared" si="211"/>
        <v>0</v>
      </c>
      <c r="M2699">
        <f t="shared" si="212"/>
        <v>0</v>
      </c>
      <c r="N2699">
        <f t="shared" si="213"/>
        <v>0</v>
      </c>
      <c r="O2699">
        <f t="shared" si="215"/>
        <v>1</v>
      </c>
      <c r="P2699" t="str">
        <f t="shared" si="214"/>
        <v/>
      </c>
      <c r="Q2699">
        <f>COUNTIF('責任職　企業局→市長部局'!A:A,SQLデータ!B2699)</f>
        <v>0</v>
      </c>
      <c r="R2699">
        <f>COUNTIF('一般職員　企業局→市長部局'!A:F,SQLデータ!B2699)</f>
        <v>0</v>
      </c>
    </row>
    <row r="2700" spans="1:18" x14ac:dyDescent="0.4">
      <c r="A2700" s="1">
        <v>202650002596</v>
      </c>
      <c r="B2700" s="1">
        <v>1081376</v>
      </c>
      <c r="C2700" s="2">
        <v>46127</v>
      </c>
      <c r="D2700" t="s">
        <v>17</v>
      </c>
      <c r="E2700" t="s">
        <v>8</v>
      </c>
      <c r="G2700" t="s">
        <v>9</v>
      </c>
      <c r="L2700">
        <f t="shared" si="211"/>
        <v>0</v>
      </c>
      <c r="M2700">
        <f t="shared" si="212"/>
        <v>0</v>
      </c>
      <c r="N2700">
        <f t="shared" si="213"/>
        <v>0</v>
      </c>
      <c r="O2700">
        <f t="shared" si="215"/>
        <v>1</v>
      </c>
      <c r="P2700" t="str">
        <f t="shared" si="214"/>
        <v/>
      </c>
      <c r="Q2700">
        <f>COUNTIF('責任職　企業局→市長部局'!A:A,SQLデータ!B2700)</f>
        <v>0</v>
      </c>
      <c r="R2700">
        <f>COUNTIF('一般職員　企業局→市長部局'!A:F,SQLデータ!B2700)</f>
        <v>0</v>
      </c>
    </row>
    <row r="2701" spans="1:18" x14ac:dyDescent="0.4">
      <c r="A2701" s="1">
        <v>202650002598</v>
      </c>
      <c r="B2701" s="1">
        <v>1181317</v>
      </c>
      <c r="C2701" s="2">
        <v>46127</v>
      </c>
      <c r="D2701" t="s">
        <v>17</v>
      </c>
      <c r="E2701" t="s">
        <v>8</v>
      </c>
      <c r="G2701" t="s">
        <v>9</v>
      </c>
      <c r="L2701">
        <f t="shared" si="211"/>
        <v>0</v>
      </c>
      <c r="M2701">
        <f t="shared" si="212"/>
        <v>0</v>
      </c>
      <c r="N2701">
        <f t="shared" si="213"/>
        <v>0</v>
      </c>
      <c r="O2701">
        <f t="shared" si="215"/>
        <v>1</v>
      </c>
      <c r="P2701" t="str">
        <f t="shared" si="214"/>
        <v/>
      </c>
      <c r="Q2701">
        <f>COUNTIF('責任職　企業局→市長部局'!A:A,SQLデータ!B2701)</f>
        <v>0</v>
      </c>
      <c r="R2701">
        <f>COUNTIF('一般職員　企業局→市長部局'!A:F,SQLデータ!B2701)</f>
        <v>0</v>
      </c>
    </row>
    <row r="2702" spans="1:18" x14ac:dyDescent="0.4">
      <c r="A2702" s="1">
        <v>202650002599</v>
      </c>
      <c r="B2702" s="1">
        <v>1191362</v>
      </c>
      <c r="C2702" s="2">
        <v>46127</v>
      </c>
      <c r="D2702" t="s">
        <v>17</v>
      </c>
      <c r="E2702" t="s">
        <v>8</v>
      </c>
      <c r="G2702" t="s">
        <v>9</v>
      </c>
      <c r="L2702">
        <f t="shared" si="211"/>
        <v>0</v>
      </c>
      <c r="M2702">
        <f t="shared" si="212"/>
        <v>0</v>
      </c>
      <c r="N2702">
        <f t="shared" si="213"/>
        <v>0</v>
      </c>
      <c r="O2702">
        <f t="shared" si="215"/>
        <v>1</v>
      </c>
      <c r="P2702" t="str">
        <f t="shared" si="214"/>
        <v/>
      </c>
      <c r="Q2702">
        <f>COUNTIF('責任職　企業局→市長部局'!A:A,SQLデータ!B2702)</f>
        <v>0</v>
      </c>
      <c r="R2702">
        <f>COUNTIF('一般職員　企業局→市長部局'!A:F,SQLデータ!B2702)</f>
        <v>0</v>
      </c>
    </row>
    <row r="2703" spans="1:18" x14ac:dyDescent="0.4">
      <c r="A2703" s="1">
        <v>202650002600</v>
      </c>
      <c r="B2703" s="1">
        <v>920516</v>
      </c>
      <c r="C2703" s="2">
        <v>46127</v>
      </c>
      <c r="D2703" t="s">
        <v>17</v>
      </c>
      <c r="E2703" t="s">
        <v>8</v>
      </c>
      <c r="G2703" t="s">
        <v>9</v>
      </c>
      <c r="L2703">
        <f t="shared" si="211"/>
        <v>0</v>
      </c>
      <c r="M2703">
        <f t="shared" si="212"/>
        <v>0</v>
      </c>
      <c r="N2703">
        <f t="shared" si="213"/>
        <v>0</v>
      </c>
      <c r="O2703">
        <f t="shared" si="215"/>
        <v>1</v>
      </c>
      <c r="P2703" t="str">
        <f t="shared" si="214"/>
        <v/>
      </c>
      <c r="Q2703">
        <f>COUNTIF('責任職　企業局→市長部局'!A:A,SQLデータ!B2703)</f>
        <v>0</v>
      </c>
      <c r="R2703">
        <f>COUNTIF('一般職員　企業局→市長部局'!A:F,SQLデータ!B2703)</f>
        <v>0</v>
      </c>
    </row>
    <row r="2704" spans="1:18" x14ac:dyDescent="0.4">
      <c r="A2704" s="1">
        <v>202650002601</v>
      </c>
      <c r="B2704" s="1">
        <v>1011159</v>
      </c>
      <c r="C2704" s="2">
        <v>46127</v>
      </c>
      <c r="D2704" t="s">
        <v>17</v>
      </c>
      <c r="E2704" t="s">
        <v>8</v>
      </c>
      <c r="G2704" t="s">
        <v>9</v>
      </c>
      <c r="L2704">
        <f t="shared" si="211"/>
        <v>0</v>
      </c>
      <c r="M2704">
        <f t="shared" si="212"/>
        <v>0</v>
      </c>
      <c r="N2704">
        <f t="shared" si="213"/>
        <v>0</v>
      </c>
      <c r="O2704">
        <f t="shared" si="215"/>
        <v>1</v>
      </c>
      <c r="P2704" t="str">
        <f t="shared" si="214"/>
        <v/>
      </c>
      <c r="Q2704">
        <f>COUNTIF('責任職　企業局→市長部局'!A:A,SQLデータ!B2704)</f>
        <v>0</v>
      </c>
      <c r="R2704">
        <f>COUNTIF('一般職員　企業局→市長部局'!A:F,SQLデータ!B2704)</f>
        <v>0</v>
      </c>
    </row>
    <row r="2705" spans="1:18" x14ac:dyDescent="0.4">
      <c r="A2705" s="1">
        <v>202650002602</v>
      </c>
      <c r="B2705" s="1">
        <v>1151132</v>
      </c>
      <c r="C2705" s="2">
        <v>46127</v>
      </c>
      <c r="D2705" t="s">
        <v>17</v>
      </c>
      <c r="E2705" t="s">
        <v>8</v>
      </c>
      <c r="G2705" t="s">
        <v>9</v>
      </c>
      <c r="L2705">
        <f t="shared" si="211"/>
        <v>0</v>
      </c>
      <c r="M2705">
        <f t="shared" si="212"/>
        <v>0</v>
      </c>
      <c r="N2705">
        <f t="shared" si="213"/>
        <v>0</v>
      </c>
      <c r="O2705">
        <f t="shared" si="215"/>
        <v>1</v>
      </c>
      <c r="P2705" t="str">
        <f t="shared" si="214"/>
        <v/>
      </c>
      <c r="Q2705">
        <f>COUNTIF('責任職　企業局→市長部局'!A:A,SQLデータ!B2705)</f>
        <v>0</v>
      </c>
      <c r="R2705">
        <f>COUNTIF('一般職員　企業局→市長部局'!A:F,SQLデータ!B2705)</f>
        <v>0</v>
      </c>
    </row>
    <row r="2706" spans="1:18" x14ac:dyDescent="0.4">
      <c r="A2706" s="1">
        <v>202650002603</v>
      </c>
      <c r="B2706" s="1">
        <v>1221057</v>
      </c>
      <c r="C2706" s="2">
        <v>46127</v>
      </c>
      <c r="D2706" t="s">
        <v>17</v>
      </c>
      <c r="E2706" t="s">
        <v>8</v>
      </c>
      <c r="G2706" t="s">
        <v>9</v>
      </c>
      <c r="L2706">
        <f t="shared" si="211"/>
        <v>0</v>
      </c>
      <c r="M2706">
        <f t="shared" si="212"/>
        <v>0</v>
      </c>
      <c r="N2706">
        <f t="shared" si="213"/>
        <v>0</v>
      </c>
      <c r="O2706">
        <f t="shared" si="215"/>
        <v>1</v>
      </c>
      <c r="P2706" t="str">
        <f t="shared" si="214"/>
        <v/>
      </c>
      <c r="Q2706">
        <f>COUNTIF('責任職　企業局→市長部局'!A:A,SQLデータ!B2706)</f>
        <v>0</v>
      </c>
      <c r="R2706">
        <f>COUNTIF('一般職員　企業局→市長部局'!A:F,SQLデータ!B2706)</f>
        <v>0</v>
      </c>
    </row>
    <row r="2707" spans="1:18" x14ac:dyDescent="0.4">
      <c r="A2707" s="1">
        <v>202650002604</v>
      </c>
      <c r="B2707" s="1">
        <v>1221170</v>
      </c>
      <c r="C2707" s="2">
        <v>46127</v>
      </c>
      <c r="D2707" t="s">
        <v>17</v>
      </c>
      <c r="E2707" t="s">
        <v>8</v>
      </c>
      <c r="G2707" t="s">
        <v>9</v>
      </c>
      <c r="L2707">
        <f t="shared" si="211"/>
        <v>0</v>
      </c>
      <c r="M2707">
        <f t="shared" si="212"/>
        <v>0</v>
      </c>
      <c r="N2707">
        <f t="shared" si="213"/>
        <v>0</v>
      </c>
      <c r="O2707">
        <f t="shared" si="215"/>
        <v>1</v>
      </c>
      <c r="P2707" t="str">
        <f t="shared" si="214"/>
        <v/>
      </c>
      <c r="Q2707">
        <f>COUNTIF('責任職　企業局→市長部局'!A:A,SQLデータ!B2707)</f>
        <v>0</v>
      </c>
      <c r="R2707">
        <f>COUNTIF('一般職員　企業局→市長部局'!A:F,SQLデータ!B2707)</f>
        <v>0</v>
      </c>
    </row>
    <row r="2708" spans="1:18" x14ac:dyDescent="0.4">
      <c r="A2708" s="1">
        <v>202650002605</v>
      </c>
      <c r="B2708" s="1">
        <v>1221293</v>
      </c>
      <c r="C2708" s="2">
        <v>46127</v>
      </c>
      <c r="D2708" t="s">
        <v>17</v>
      </c>
      <c r="E2708" t="s">
        <v>8</v>
      </c>
      <c r="G2708" t="s">
        <v>9</v>
      </c>
      <c r="L2708">
        <f t="shared" si="211"/>
        <v>0</v>
      </c>
      <c r="M2708">
        <f t="shared" si="212"/>
        <v>0</v>
      </c>
      <c r="N2708">
        <f t="shared" si="213"/>
        <v>0</v>
      </c>
      <c r="O2708">
        <f t="shared" si="215"/>
        <v>1</v>
      </c>
      <c r="P2708" t="str">
        <f t="shared" si="214"/>
        <v/>
      </c>
      <c r="Q2708">
        <f>COUNTIF('責任職　企業局→市長部局'!A:A,SQLデータ!B2708)</f>
        <v>0</v>
      </c>
      <c r="R2708">
        <f>COUNTIF('一般職員　企業局→市長部局'!A:F,SQLデータ!B2708)</f>
        <v>0</v>
      </c>
    </row>
    <row r="2709" spans="1:18" x14ac:dyDescent="0.4">
      <c r="A2709" s="1">
        <v>202650002606</v>
      </c>
      <c r="B2709" s="1">
        <v>1201280</v>
      </c>
      <c r="C2709" s="2">
        <v>46127</v>
      </c>
      <c r="D2709" t="s">
        <v>17</v>
      </c>
      <c r="E2709" t="s">
        <v>8</v>
      </c>
      <c r="G2709" t="s">
        <v>9</v>
      </c>
      <c r="L2709">
        <f t="shared" si="211"/>
        <v>0</v>
      </c>
      <c r="M2709">
        <f t="shared" si="212"/>
        <v>0</v>
      </c>
      <c r="N2709">
        <f t="shared" si="213"/>
        <v>0</v>
      </c>
      <c r="O2709">
        <f t="shared" si="215"/>
        <v>1</v>
      </c>
      <c r="P2709" t="str">
        <f t="shared" si="214"/>
        <v/>
      </c>
      <c r="Q2709">
        <f>COUNTIF('責任職　企業局→市長部局'!A:A,SQLデータ!B2709)</f>
        <v>0</v>
      </c>
      <c r="R2709">
        <f>COUNTIF('一般職員　企業局→市長部局'!A:F,SQLデータ!B2709)</f>
        <v>0</v>
      </c>
    </row>
    <row r="2710" spans="1:18" x14ac:dyDescent="0.4">
      <c r="A2710" s="1">
        <v>202650002607</v>
      </c>
      <c r="B2710" s="1">
        <v>1131194</v>
      </c>
      <c r="C2710" s="2">
        <v>46127</v>
      </c>
      <c r="D2710" t="s">
        <v>17</v>
      </c>
      <c r="E2710" t="s">
        <v>8</v>
      </c>
      <c r="G2710" t="s">
        <v>9</v>
      </c>
      <c r="L2710">
        <f t="shared" si="211"/>
        <v>0</v>
      </c>
      <c r="M2710">
        <f t="shared" si="212"/>
        <v>0</v>
      </c>
      <c r="N2710">
        <f t="shared" si="213"/>
        <v>0</v>
      </c>
      <c r="O2710">
        <f t="shared" si="215"/>
        <v>1</v>
      </c>
      <c r="P2710" t="str">
        <f t="shared" si="214"/>
        <v/>
      </c>
      <c r="Q2710">
        <f>COUNTIF('責任職　企業局→市長部局'!A:A,SQLデータ!B2710)</f>
        <v>0</v>
      </c>
      <c r="R2710">
        <f>COUNTIF('一般職員　企業局→市長部局'!A:F,SQLデータ!B2710)</f>
        <v>0</v>
      </c>
    </row>
    <row r="2711" spans="1:18" x14ac:dyDescent="0.4">
      <c r="A2711" s="1">
        <v>202650002608</v>
      </c>
      <c r="B2711" s="1">
        <v>940567</v>
      </c>
      <c r="C2711" s="2">
        <v>46127</v>
      </c>
      <c r="D2711" t="s">
        <v>17</v>
      </c>
      <c r="E2711" t="s">
        <v>8</v>
      </c>
      <c r="G2711" t="s">
        <v>9</v>
      </c>
      <c r="L2711">
        <f t="shared" si="211"/>
        <v>0</v>
      </c>
      <c r="M2711">
        <f t="shared" si="212"/>
        <v>0</v>
      </c>
      <c r="N2711">
        <f t="shared" si="213"/>
        <v>0</v>
      </c>
      <c r="O2711">
        <f t="shared" si="215"/>
        <v>1</v>
      </c>
      <c r="P2711" t="str">
        <f t="shared" si="214"/>
        <v/>
      </c>
      <c r="Q2711">
        <f>COUNTIF('責任職　企業局→市長部局'!A:A,SQLデータ!B2711)</f>
        <v>0</v>
      </c>
      <c r="R2711">
        <f>COUNTIF('一般職員　企業局→市長部局'!A:F,SQLデータ!B2711)</f>
        <v>0</v>
      </c>
    </row>
    <row r="2712" spans="1:18" x14ac:dyDescent="0.4">
      <c r="A2712" s="1">
        <v>202650002609</v>
      </c>
      <c r="B2712" s="1">
        <v>1201255</v>
      </c>
      <c r="C2712" s="2">
        <v>46127</v>
      </c>
      <c r="D2712" t="s">
        <v>17</v>
      </c>
      <c r="E2712" t="s">
        <v>8</v>
      </c>
      <c r="G2712" t="s">
        <v>9</v>
      </c>
      <c r="L2712">
        <f t="shared" si="211"/>
        <v>0</v>
      </c>
      <c r="M2712">
        <f t="shared" si="212"/>
        <v>0</v>
      </c>
      <c r="N2712">
        <f t="shared" si="213"/>
        <v>0</v>
      </c>
      <c r="O2712">
        <f t="shared" si="215"/>
        <v>1</v>
      </c>
      <c r="P2712" t="str">
        <f t="shared" si="214"/>
        <v/>
      </c>
      <c r="Q2712">
        <f>COUNTIF('責任職　企業局→市長部局'!A:A,SQLデータ!B2712)</f>
        <v>0</v>
      </c>
      <c r="R2712">
        <f>COUNTIF('一般職員　企業局→市長部局'!A:F,SQLデータ!B2712)</f>
        <v>0</v>
      </c>
    </row>
    <row r="2713" spans="1:18" x14ac:dyDescent="0.4">
      <c r="A2713" s="1">
        <v>202650002610</v>
      </c>
      <c r="B2713" s="1">
        <v>1231363</v>
      </c>
      <c r="C2713" s="2">
        <v>46127</v>
      </c>
      <c r="D2713" t="s">
        <v>17</v>
      </c>
      <c r="E2713" t="s">
        <v>8</v>
      </c>
      <c r="G2713" t="s">
        <v>9</v>
      </c>
      <c r="L2713">
        <f t="shared" si="211"/>
        <v>0</v>
      </c>
      <c r="M2713">
        <f t="shared" si="212"/>
        <v>0</v>
      </c>
      <c r="N2713">
        <f t="shared" si="213"/>
        <v>0</v>
      </c>
      <c r="O2713">
        <f t="shared" si="215"/>
        <v>1</v>
      </c>
      <c r="P2713" t="str">
        <f t="shared" si="214"/>
        <v/>
      </c>
      <c r="Q2713">
        <f>COUNTIF('責任職　企業局→市長部局'!A:A,SQLデータ!B2713)</f>
        <v>0</v>
      </c>
      <c r="R2713">
        <f>COUNTIF('一般職員　企業局→市長部局'!A:F,SQLデータ!B2713)</f>
        <v>0</v>
      </c>
    </row>
    <row r="2714" spans="1:18" x14ac:dyDescent="0.4">
      <c r="A2714" s="1">
        <v>202650002611</v>
      </c>
      <c r="B2714" s="1">
        <v>1091328</v>
      </c>
      <c r="C2714" s="2">
        <v>46127</v>
      </c>
      <c r="D2714" t="s">
        <v>17</v>
      </c>
      <c r="E2714" t="s">
        <v>8</v>
      </c>
      <c r="G2714" t="s">
        <v>9</v>
      </c>
      <c r="L2714">
        <f t="shared" si="211"/>
        <v>0</v>
      </c>
      <c r="M2714">
        <f t="shared" si="212"/>
        <v>0</v>
      </c>
      <c r="N2714">
        <f t="shared" si="213"/>
        <v>0</v>
      </c>
      <c r="O2714">
        <f t="shared" si="215"/>
        <v>1</v>
      </c>
      <c r="P2714" t="str">
        <f t="shared" si="214"/>
        <v/>
      </c>
      <c r="Q2714">
        <f>COUNTIF('責任職　企業局→市長部局'!A:A,SQLデータ!B2714)</f>
        <v>0</v>
      </c>
      <c r="R2714">
        <f>COUNTIF('一般職員　企業局→市長部局'!A:F,SQLデータ!B2714)</f>
        <v>0</v>
      </c>
    </row>
    <row r="2715" spans="1:18" x14ac:dyDescent="0.4">
      <c r="A2715" s="1">
        <v>202650002612</v>
      </c>
      <c r="B2715" s="1">
        <v>1181206</v>
      </c>
      <c r="C2715" s="2">
        <v>46127</v>
      </c>
      <c r="D2715" t="s">
        <v>17</v>
      </c>
      <c r="E2715" t="s">
        <v>8</v>
      </c>
      <c r="G2715" t="s">
        <v>9</v>
      </c>
      <c r="L2715">
        <f t="shared" si="211"/>
        <v>0</v>
      </c>
      <c r="M2715">
        <f t="shared" si="212"/>
        <v>0</v>
      </c>
      <c r="N2715">
        <f t="shared" si="213"/>
        <v>0</v>
      </c>
      <c r="O2715">
        <f t="shared" si="215"/>
        <v>1</v>
      </c>
      <c r="P2715" t="str">
        <f t="shared" si="214"/>
        <v/>
      </c>
      <c r="Q2715">
        <f>COUNTIF('責任職　企業局→市長部局'!A:A,SQLデータ!B2715)</f>
        <v>0</v>
      </c>
      <c r="R2715">
        <f>COUNTIF('一般職員　企業局→市長部局'!A:F,SQLデータ!B2715)</f>
        <v>0</v>
      </c>
    </row>
    <row r="2716" spans="1:18" x14ac:dyDescent="0.4">
      <c r="A2716" s="1">
        <v>202650002613</v>
      </c>
      <c r="B2716" s="1">
        <v>971065</v>
      </c>
      <c r="C2716" s="2">
        <v>46127</v>
      </c>
      <c r="D2716" t="s">
        <v>17</v>
      </c>
      <c r="E2716" t="s">
        <v>8</v>
      </c>
      <c r="G2716" t="s">
        <v>9</v>
      </c>
      <c r="L2716">
        <f t="shared" si="211"/>
        <v>0</v>
      </c>
      <c r="M2716">
        <f t="shared" si="212"/>
        <v>0</v>
      </c>
      <c r="N2716">
        <f t="shared" si="213"/>
        <v>0</v>
      </c>
      <c r="O2716">
        <f t="shared" si="215"/>
        <v>1</v>
      </c>
      <c r="P2716" t="str">
        <f t="shared" si="214"/>
        <v/>
      </c>
      <c r="Q2716">
        <f>COUNTIF('責任職　企業局→市長部局'!A:A,SQLデータ!B2716)</f>
        <v>0</v>
      </c>
      <c r="R2716">
        <f>COUNTIF('一般職員　企業局→市長部局'!A:F,SQLデータ!B2716)</f>
        <v>0</v>
      </c>
    </row>
    <row r="2717" spans="1:18" x14ac:dyDescent="0.4">
      <c r="A2717" s="1">
        <v>202650002614</v>
      </c>
      <c r="B2717" s="1">
        <v>860274</v>
      </c>
      <c r="C2717" s="2">
        <v>46127</v>
      </c>
      <c r="D2717" t="s">
        <v>17</v>
      </c>
      <c r="E2717" t="s">
        <v>8</v>
      </c>
      <c r="G2717" t="s">
        <v>9</v>
      </c>
      <c r="L2717">
        <f t="shared" si="211"/>
        <v>0</v>
      </c>
      <c r="M2717">
        <f t="shared" si="212"/>
        <v>0</v>
      </c>
      <c r="N2717">
        <f t="shared" si="213"/>
        <v>0</v>
      </c>
      <c r="O2717">
        <f t="shared" si="215"/>
        <v>1</v>
      </c>
      <c r="P2717" t="str">
        <f t="shared" si="214"/>
        <v/>
      </c>
      <c r="Q2717">
        <f>COUNTIF('責任職　企業局→市長部局'!A:A,SQLデータ!B2717)</f>
        <v>0</v>
      </c>
      <c r="R2717">
        <f>COUNTIF('一般職員　企業局→市長部局'!A:F,SQLデータ!B2717)</f>
        <v>0</v>
      </c>
    </row>
    <row r="2718" spans="1:18" x14ac:dyDescent="0.4">
      <c r="A2718" s="1">
        <v>202650002615</v>
      </c>
      <c r="B2718" s="1">
        <v>1251208</v>
      </c>
      <c r="C2718" s="2">
        <v>46127</v>
      </c>
      <c r="D2718" t="s">
        <v>17</v>
      </c>
      <c r="E2718" t="s">
        <v>8</v>
      </c>
      <c r="G2718" t="s">
        <v>9</v>
      </c>
      <c r="L2718">
        <f t="shared" si="211"/>
        <v>0</v>
      </c>
      <c r="M2718">
        <f t="shared" si="212"/>
        <v>0</v>
      </c>
      <c r="N2718">
        <f t="shared" si="213"/>
        <v>0</v>
      </c>
      <c r="O2718">
        <f t="shared" si="215"/>
        <v>1</v>
      </c>
      <c r="P2718" t="str">
        <f t="shared" si="214"/>
        <v/>
      </c>
      <c r="Q2718">
        <f>COUNTIF('責任職　企業局→市長部局'!A:A,SQLデータ!B2718)</f>
        <v>0</v>
      </c>
      <c r="R2718">
        <f>COUNTIF('一般職員　企業局→市長部局'!A:F,SQLデータ!B2718)</f>
        <v>0</v>
      </c>
    </row>
    <row r="2719" spans="1:18" x14ac:dyDescent="0.4">
      <c r="A2719" s="1">
        <v>202650002616</v>
      </c>
      <c r="B2719" s="1">
        <v>1152135</v>
      </c>
      <c r="C2719" s="2">
        <v>46127</v>
      </c>
      <c r="D2719" t="s">
        <v>17</v>
      </c>
      <c r="E2719" t="s">
        <v>8</v>
      </c>
      <c r="G2719" t="s">
        <v>9</v>
      </c>
      <c r="L2719">
        <f t="shared" si="211"/>
        <v>0</v>
      </c>
      <c r="M2719">
        <f t="shared" si="212"/>
        <v>0</v>
      </c>
      <c r="N2719">
        <f t="shared" si="213"/>
        <v>0</v>
      </c>
      <c r="O2719">
        <f t="shared" si="215"/>
        <v>1</v>
      </c>
      <c r="P2719" t="str">
        <f t="shared" si="214"/>
        <v/>
      </c>
      <c r="Q2719">
        <f>COUNTIF('責任職　企業局→市長部局'!A:A,SQLデータ!B2719)</f>
        <v>0</v>
      </c>
      <c r="R2719">
        <f>COUNTIF('一般職員　企業局→市長部局'!A:F,SQLデータ!B2719)</f>
        <v>0</v>
      </c>
    </row>
    <row r="2720" spans="1:18" x14ac:dyDescent="0.4">
      <c r="A2720" s="1">
        <v>202650002617</v>
      </c>
      <c r="B2720" s="1">
        <v>1222090</v>
      </c>
      <c r="C2720" s="2">
        <v>46127</v>
      </c>
      <c r="D2720" t="s">
        <v>17</v>
      </c>
      <c r="E2720" t="s">
        <v>8</v>
      </c>
      <c r="G2720" t="s">
        <v>9</v>
      </c>
      <c r="L2720">
        <f t="shared" si="211"/>
        <v>0</v>
      </c>
      <c r="M2720">
        <f t="shared" si="212"/>
        <v>0</v>
      </c>
      <c r="N2720">
        <f t="shared" si="213"/>
        <v>0</v>
      </c>
      <c r="O2720">
        <f t="shared" si="215"/>
        <v>1</v>
      </c>
      <c r="P2720" t="str">
        <f t="shared" si="214"/>
        <v/>
      </c>
      <c r="Q2720">
        <f>COUNTIF('責任職　企業局→市長部局'!A:A,SQLデータ!B2720)</f>
        <v>0</v>
      </c>
      <c r="R2720">
        <f>COUNTIF('一般職員　企業局→市長部局'!A:F,SQLデータ!B2720)</f>
        <v>0</v>
      </c>
    </row>
    <row r="2721" spans="1:18" x14ac:dyDescent="0.4">
      <c r="A2721" s="1">
        <v>202650002619</v>
      </c>
      <c r="B2721" s="1">
        <v>1101438</v>
      </c>
      <c r="C2721" s="2">
        <v>46127</v>
      </c>
      <c r="D2721" t="s">
        <v>17</v>
      </c>
      <c r="E2721" t="s">
        <v>8</v>
      </c>
      <c r="G2721" t="s">
        <v>9</v>
      </c>
      <c r="L2721">
        <f t="shared" si="211"/>
        <v>0</v>
      </c>
      <c r="M2721">
        <f t="shared" si="212"/>
        <v>0</v>
      </c>
      <c r="N2721">
        <f t="shared" si="213"/>
        <v>0</v>
      </c>
      <c r="O2721">
        <f t="shared" si="215"/>
        <v>1</v>
      </c>
      <c r="P2721" t="str">
        <f t="shared" si="214"/>
        <v/>
      </c>
      <c r="Q2721">
        <f>COUNTIF('責任職　企業局→市長部局'!A:A,SQLデータ!B2721)</f>
        <v>0</v>
      </c>
      <c r="R2721">
        <f>COUNTIF('一般職員　企業局→市長部局'!A:F,SQLデータ!B2721)</f>
        <v>0</v>
      </c>
    </row>
    <row r="2722" spans="1:18" x14ac:dyDescent="0.4">
      <c r="A2722" s="1">
        <v>202650002620</v>
      </c>
      <c r="B2722" s="1">
        <v>1221379</v>
      </c>
      <c r="C2722" s="2">
        <v>46127</v>
      </c>
      <c r="D2722" t="s">
        <v>17</v>
      </c>
      <c r="E2722" t="s">
        <v>8</v>
      </c>
      <c r="G2722" t="s">
        <v>9</v>
      </c>
      <c r="L2722">
        <f t="shared" si="211"/>
        <v>0</v>
      </c>
      <c r="M2722">
        <f t="shared" si="212"/>
        <v>0</v>
      </c>
      <c r="N2722">
        <f t="shared" si="213"/>
        <v>0</v>
      </c>
      <c r="O2722">
        <f t="shared" si="215"/>
        <v>1</v>
      </c>
      <c r="P2722" t="str">
        <f t="shared" si="214"/>
        <v/>
      </c>
      <c r="Q2722">
        <f>COUNTIF('責任職　企業局→市長部局'!A:A,SQLデータ!B2722)</f>
        <v>0</v>
      </c>
      <c r="R2722">
        <f>COUNTIF('一般職員　企業局→市長部局'!A:F,SQLデータ!B2722)</f>
        <v>0</v>
      </c>
    </row>
    <row r="2723" spans="1:18" x14ac:dyDescent="0.4">
      <c r="A2723" s="1">
        <v>202650002622</v>
      </c>
      <c r="B2723" s="1">
        <v>1231229</v>
      </c>
      <c r="C2723" s="2">
        <v>46127</v>
      </c>
      <c r="D2723" t="s">
        <v>17</v>
      </c>
      <c r="E2723" t="s">
        <v>8</v>
      </c>
      <c r="G2723" t="s">
        <v>9</v>
      </c>
      <c r="L2723">
        <f t="shared" si="211"/>
        <v>0</v>
      </c>
      <c r="M2723">
        <f t="shared" si="212"/>
        <v>0</v>
      </c>
      <c r="N2723">
        <f t="shared" si="213"/>
        <v>0</v>
      </c>
      <c r="O2723">
        <f t="shared" si="215"/>
        <v>1</v>
      </c>
      <c r="P2723" t="str">
        <f t="shared" si="214"/>
        <v/>
      </c>
      <c r="Q2723">
        <f>COUNTIF('責任職　企業局→市長部局'!A:A,SQLデータ!B2723)</f>
        <v>0</v>
      </c>
      <c r="R2723">
        <f>COUNTIF('一般職員　企業局→市長部局'!A:F,SQLデータ!B2723)</f>
        <v>0</v>
      </c>
    </row>
    <row r="2724" spans="1:18" x14ac:dyDescent="0.4">
      <c r="A2724" s="1">
        <v>202650002623</v>
      </c>
      <c r="B2724" s="1">
        <v>950422</v>
      </c>
      <c r="C2724" s="2">
        <v>46127</v>
      </c>
      <c r="D2724" t="s">
        <v>17</v>
      </c>
      <c r="E2724" t="s">
        <v>8</v>
      </c>
      <c r="G2724" t="s">
        <v>9</v>
      </c>
      <c r="L2724">
        <f t="shared" si="211"/>
        <v>0</v>
      </c>
      <c r="M2724">
        <f t="shared" si="212"/>
        <v>0</v>
      </c>
      <c r="N2724">
        <f t="shared" si="213"/>
        <v>0</v>
      </c>
      <c r="O2724">
        <f t="shared" si="215"/>
        <v>1</v>
      </c>
      <c r="P2724" t="str">
        <f t="shared" si="214"/>
        <v/>
      </c>
      <c r="Q2724">
        <f>COUNTIF('責任職　企業局→市長部局'!A:A,SQLデータ!B2724)</f>
        <v>0</v>
      </c>
      <c r="R2724">
        <f>COUNTIF('一般職員　企業局→市長部局'!A:F,SQLデータ!B2724)</f>
        <v>0</v>
      </c>
    </row>
    <row r="2725" spans="1:18" x14ac:dyDescent="0.4">
      <c r="A2725" s="1">
        <v>202650002624</v>
      </c>
      <c r="B2725" s="1">
        <v>1221264</v>
      </c>
      <c r="C2725" s="2">
        <v>46127</v>
      </c>
      <c r="D2725" t="s">
        <v>17</v>
      </c>
      <c r="E2725" t="s">
        <v>8</v>
      </c>
      <c r="G2725" t="s">
        <v>9</v>
      </c>
      <c r="L2725">
        <f t="shared" si="211"/>
        <v>0</v>
      </c>
      <c r="M2725">
        <f t="shared" si="212"/>
        <v>0</v>
      </c>
      <c r="N2725">
        <f t="shared" si="213"/>
        <v>0</v>
      </c>
      <c r="O2725">
        <f t="shared" si="215"/>
        <v>1</v>
      </c>
      <c r="P2725" t="str">
        <f t="shared" si="214"/>
        <v/>
      </c>
      <c r="Q2725">
        <f>COUNTIF('責任職　企業局→市長部局'!A:A,SQLデータ!B2725)</f>
        <v>0</v>
      </c>
      <c r="R2725">
        <f>COUNTIF('一般職員　企業局→市長部局'!A:F,SQLデータ!B2725)</f>
        <v>0</v>
      </c>
    </row>
    <row r="2726" spans="1:18" x14ac:dyDescent="0.4">
      <c r="A2726" s="1">
        <v>202650002625</v>
      </c>
      <c r="B2726" s="1">
        <v>1052506</v>
      </c>
      <c r="C2726" s="2">
        <v>46127</v>
      </c>
      <c r="D2726" t="s">
        <v>17</v>
      </c>
      <c r="E2726" t="s">
        <v>8</v>
      </c>
      <c r="G2726" t="s">
        <v>9</v>
      </c>
      <c r="L2726">
        <f t="shared" si="211"/>
        <v>0</v>
      </c>
      <c r="M2726">
        <f t="shared" si="212"/>
        <v>0</v>
      </c>
      <c r="N2726">
        <f t="shared" si="213"/>
        <v>0</v>
      </c>
      <c r="O2726">
        <f t="shared" si="215"/>
        <v>1</v>
      </c>
      <c r="P2726" t="str">
        <f t="shared" si="214"/>
        <v/>
      </c>
      <c r="Q2726">
        <f>COUNTIF('責任職　企業局→市長部局'!A:A,SQLデータ!B2726)</f>
        <v>0</v>
      </c>
      <c r="R2726">
        <f>COUNTIF('一般職員　企業局→市長部局'!A:F,SQLデータ!B2726)</f>
        <v>0</v>
      </c>
    </row>
    <row r="2727" spans="1:18" x14ac:dyDescent="0.4">
      <c r="A2727" s="1">
        <v>202650002626</v>
      </c>
      <c r="B2727" s="1">
        <v>1202052</v>
      </c>
      <c r="C2727" s="2">
        <v>46127</v>
      </c>
      <c r="D2727" t="s">
        <v>17</v>
      </c>
      <c r="E2727" t="s">
        <v>8</v>
      </c>
      <c r="G2727" t="s">
        <v>9</v>
      </c>
      <c r="L2727">
        <f t="shared" si="211"/>
        <v>0</v>
      </c>
      <c r="M2727">
        <f t="shared" si="212"/>
        <v>0</v>
      </c>
      <c r="N2727">
        <f t="shared" si="213"/>
        <v>0</v>
      </c>
      <c r="O2727">
        <f t="shared" si="215"/>
        <v>1</v>
      </c>
      <c r="P2727" t="str">
        <f t="shared" si="214"/>
        <v/>
      </c>
      <c r="Q2727">
        <f>COUNTIF('責任職　企業局→市長部局'!A:A,SQLデータ!B2727)</f>
        <v>0</v>
      </c>
      <c r="R2727">
        <f>COUNTIF('一般職員　企業局→市長部局'!A:F,SQLデータ!B2727)</f>
        <v>0</v>
      </c>
    </row>
    <row r="2728" spans="1:18" x14ac:dyDescent="0.4">
      <c r="A2728" s="1">
        <v>202650002627</v>
      </c>
      <c r="B2728" s="1">
        <v>1063003</v>
      </c>
      <c r="C2728" s="2">
        <v>46127</v>
      </c>
      <c r="D2728" t="s">
        <v>17</v>
      </c>
      <c r="E2728" t="s">
        <v>8</v>
      </c>
      <c r="G2728" t="s">
        <v>9</v>
      </c>
      <c r="L2728">
        <f t="shared" si="211"/>
        <v>0</v>
      </c>
      <c r="M2728">
        <f t="shared" si="212"/>
        <v>0</v>
      </c>
      <c r="N2728">
        <f t="shared" si="213"/>
        <v>0</v>
      </c>
      <c r="O2728">
        <f t="shared" si="215"/>
        <v>1</v>
      </c>
      <c r="P2728" t="str">
        <f t="shared" si="214"/>
        <v/>
      </c>
      <c r="Q2728">
        <f>COUNTIF('責任職　企業局→市長部局'!A:A,SQLデータ!B2728)</f>
        <v>0</v>
      </c>
      <c r="R2728">
        <f>COUNTIF('一般職員　企業局→市長部局'!A:F,SQLデータ!B2728)</f>
        <v>0</v>
      </c>
    </row>
    <row r="2729" spans="1:18" x14ac:dyDescent="0.4">
      <c r="A2729" s="1">
        <v>202650002628</v>
      </c>
      <c r="B2729" s="1">
        <v>1201015</v>
      </c>
      <c r="C2729" s="2">
        <v>46127</v>
      </c>
      <c r="D2729" t="s">
        <v>17</v>
      </c>
      <c r="E2729" t="s">
        <v>8</v>
      </c>
      <c r="G2729" t="s">
        <v>9</v>
      </c>
      <c r="L2729">
        <f t="shared" si="211"/>
        <v>0</v>
      </c>
      <c r="M2729">
        <f t="shared" si="212"/>
        <v>0</v>
      </c>
      <c r="N2729">
        <f t="shared" si="213"/>
        <v>0</v>
      </c>
      <c r="O2729">
        <f t="shared" si="215"/>
        <v>1</v>
      </c>
      <c r="P2729" t="str">
        <f t="shared" si="214"/>
        <v/>
      </c>
      <c r="Q2729">
        <f>COUNTIF('責任職　企業局→市長部局'!A:A,SQLデータ!B2729)</f>
        <v>0</v>
      </c>
      <c r="R2729">
        <f>COUNTIF('一般職員　企業局→市長部局'!A:F,SQLデータ!B2729)</f>
        <v>0</v>
      </c>
    </row>
    <row r="2730" spans="1:18" x14ac:dyDescent="0.4">
      <c r="A2730" s="1">
        <v>202650002629</v>
      </c>
      <c r="B2730" s="1">
        <v>1221148</v>
      </c>
      <c r="C2730" s="2">
        <v>46127</v>
      </c>
      <c r="D2730" t="s">
        <v>17</v>
      </c>
      <c r="E2730" t="s">
        <v>8</v>
      </c>
      <c r="G2730" t="s">
        <v>9</v>
      </c>
      <c r="L2730">
        <f t="shared" si="211"/>
        <v>0</v>
      </c>
      <c r="M2730">
        <f t="shared" si="212"/>
        <v>0</v>
      </c>
      <c r="N2730">
        <f t="shared" si="213"/>
        <v>0</v>
      </c>
      <c r="O2730">
        <f t="shared" si="215"/>
        <v>1</v>
      </c>
      <c r="P2730" t="str">
        <f t="shared" si="214"/>
        <v/>
      </c>
      <c r="Q2730">
        <f>COUNTIF('責任職　企業局→市長部局'!A:A,SQLデータ!B2730)</f>
        <v>0</v>
      </c>
      <c r="R2730">
        <f>COUNTIF('一般職員　企業局→市長部局'!A:F,SQLデータ!B2730)</f>
        <v>0</v>
      </c>
    </row>
    <row r="2731" spans="1:18" x14ac:dyDescent="0.4">
      <c r="A2731" s="1">
        <v>202650002630</v>
      </c>
      <c r="B2731" s="1">
        <v>1172314</v>
      </c>
      <c r="C2731" s="2">
        <v>46127</v>
      </c>
      <c r="D2731" t="s">
        <v>17</v>
      </c>
      <c r="E2731" t="s">
        <v>8</v>
      </c>
      <c r="G2731" t="s">
        <v>9</v>
      </c>
      <c r="L2731">
        <f t="shared" si="211"/>
        <v>0</v>
      </c>
      <c r="M2731">
        <f t="shared" si="212"/>
        <v>0</v>
      </c>
      <c r="N2731">
        <f t="shared" si="213"/>
        <v>0</v>
      </c>
      <c r="O2731">
        <f t="shared" si="215"/>
        <v>1</v>
      </c>
      <c r="P2731" t="str">
        <f t="shared" si="214"/>
        <v/>
      </c>
      <c r="Q2731">
        <f>COUNTIF('責任職　企業局→市長部局'!A:A,SQLデータ!B2731)</f>
        <v>0</v>
      </c>
      <c r="R2731">
        <f>COUNTIF('一般職員　企業局→市長部局'!A:F,SQLデータ!B2731)</f>
        <v>0</v>
      </c>
    </row>
    <row r="2732" spans="1:18" x14ac:dyDescent="0.4">
      <c r="A2732" s="1">
        <v>202650002631</v>
      </c>
      <c r="B2732" s="1">
        <v>1181241</v>
      </c>
      <c r="C2732" s="2">
        <v>46127</v>
      </c>
      <c r="D2732" t="s">
        <v>17</v>
      </c>
      <c r="E2732" t="s">
        <v>8</v>
      </c>
      <c r="G2732" t="s">
        <v>9</v>
      </c>
      <c r="L2732">
        <f t="shared" si="211"/>
        <v>0</v>
      </c>
      <c r="M2732">
        <f t="shared" si="212"/>
        <v>0</v>
      </c>
      <c r="N2732">
        <f t="shared" si="213"/>
        <v>0</v>
      </c>
      <c r="O2732">
        <f t="shared" si="215"/>
        <v>1</v>
      </c>
      <c r="P2732" t="str">
        <f t="shared" si="214"/>
        <v/>
      </c>
      <c r="Q2732">
        <f>COUNTIF('責任職　企業局→市長部局'!A:A,SQLデータ!B2732)</f>
        <v>0</v>
      </c>
      <c r="R2732">
        <f>COUNTIF('一般職員　企業局→市長部局'!A:F,SQLデータ!B2732)</f>
        <v>0</v>
      </c>
    </row>
    <row r="2733" spans="1:18" x14ac:dyDescent="0.4">
      <c r="A2733" s="1">
        <v>202650002632</v>
      </c>
      <c r="B2733" s="1">
        <v>1161498</v>
      </c>
      <c r="C2733" s="2">
        <v>46127</v>
      </c>
      <c r="D2733" t="s">
        <v>17</v>
      </c>
      <c r="E2733" t="s">
        <v>8</v>
      </c>
      <c r="G2733" t="s">
        <v>9</v>
      </c>
      <c r="L2733">
        <f t="shared" si="211"/>
        <v>0</v>
      </c>
      <c r="M2733">
        <f t="shared" si="212"/>
        <v>0</v>
      </c>
      <c r="N2733">
        <f t="shared" si="213"/>
        <v>0</v>
      </c>
      <c r="O2733">
        <f t="shared" si="215"/>
        <v>1</v>
      </c>
      <c r="P2733" t="str">
        <f t="shared" si="214"/>
        <v/>
      </c>
      <c r="Q2733">
        <f>COUNTIF('責任職　企業局→市長部局'!A:A,SQLデータ!B2733)</f>
        <v>0</v>
      </c>
      <c r="R2733">
        <f>COUNTIF('一般職員　企業局→市長部局'!A:F,SQLデータ!B2733)</f>
        <v>0</v>
      </c>
    </row>
    <row r="2734" spans="1:18" x14ac:dyDescent="0.4">
      <c r="A2734" s="1">
        <v>202650002633</v>
      </c>
      <c r="B2734" s="1">
        <v>1131166</v>
      </c>
      <c r="C2734" s="2">
        <v>46127</v>
      </c>
      <c r="D2734" t="s">
        <v>17</v>
      </c>
      <c r="E2734" t="s">
        <v>8</v>
      </c>
      <c r="G2734" t="s">
        <v>9</v>
      </c>
      <c r="L2734">
        <f t="shared" si="211"/>
        <v>0</v>
      </c>
      <c r="M2734">
        <f t="shared" si="212"/>
        <v>0</v>
      </c>
      <c r="N2734">
        <f t="shared" si="213"/>
        <v>0</v>
      </c>
      <c r="O2734">
        <f t="shared" si="215"/>
        <v>1</v>
      </c>
      <c r="P2734" t="str">
        <f t="shared" si="214"/>
        <v/>
      </c>
      <c r="Q2734">
        <f>COUNTIF('責任職　企業局→市長部局'!A:A,SQLデータ!B2734)</f>
        <v>0</v>
      </c>
      <c r="R2734">
        <f>COUNTIF('一般職員　企業局→市長部局'!A:F,SQLデータ!B2734)</f>
        <v>0</v>
      </c>
    </row>
    <row r="2735" spans="1:18" x14ac:dyDescent="0.4">
      <c r="A2735" s="1">
        <v>202650002634</v>
      </c>
      <c r="B2735" s="1">
        <v>1201320</v>
      </c>
      <c r="C2735" s="2">
        <v>46127</v>
      </c>
      <c r="D2735" t="s">
        <v>17</v>
      </c>
      <c r="E2735" t="s">
        <v>8</v>
      </c>
      <c r="G2735" t="s">
        <v>9</v>
      </c>
      <c r="L2735">
        <f t="shared" si="211"/>
        <v>0</v>
      </c>
      <c r="M2735">
        <f t="shared" si="212"/>
        <v>0</v>
      </c>
      <c r="N2735">
        <f t="shared" si="213"/>
        <v>0</v>
      </c>
      <c r="O2735">
        <f t="shared" si="215"/>
        <v>1</v>
      </c>
      <c r="P2735" t="str">
        <f t="shared" si="214"/>
        <v/>
      </c>
      <c r="Q2735">
        <f>COUNTIF('責任職　企業局→市長部局'!A:A,SQLデータ!B2735)</f>
        <v>0</v>
      </c>
      <c r="R2735">
        <f>COUNTIF('一般職員　企業局→市長部局'!A:F,SQLデータ!B2735)</f>
        <v>0</v>
      </c>
    </row>
    <row r="2736" spans="1:18" x14ac:dyDescent="0.4">
      <c r="A2736" s="1">
        <v>202650002635</v>
      </c>
      <c r="B2736" s="1">
        <v>1071101</v>
      </c>
      <c r="C2736" s="2">
        <v>46127</v>
      </c>
      <c r="D2736" t="s">
        <v>17</v>
      </c>
      <c r="E2736" t="s">
        <v>8</v>
      </c>
      <c r="G2736" t="s">
        <v>9</v>
      </c>
      <c r="L2736">
        <f t="shared" si="211"/>
        <v>0</v>
      </c>
      <c r="M2736">
        <f t="shared" si="212"/>
        <v>0</v>
      </c>
      <c r="N2736">
        <f t="shared" si="213"/>
        <v>0</v>
      </c>
      <c r="O2736">
        <f t="shared" si="215"/>
        <v>1</v>
      </c>
      <c r="P2736" t="str">
        <f t="shared" si="214"/>
        <v/>
      </c>
      <c r="Q2736">
        <f>COUNTIF('責任職　企業局→市長部局'!A:A,SQLデータ!B2736)</f>
        <v>0</v>
      </c>
      <c r="R2736">
        <f>COUNTIF('一般職員　企業局→市長部局'!A:F,SQLデータ!B2736)</f>
        <v>0</v>
      </c>
    </row>
    <row r="2737" spans="1:18" x14ac:dyDescent="0.4">
      <c r="A2737" s="1">
        <v>202650002636</v>
      </c>
      <c r="B2737" s="1">
        <v>1221194</v>
      </c>
      <c r="C2737" s="2">
        <v>46127</v>
      </c>
      <c r="D2737" t="s">
        <v>17</v>
      </c>
      <c r="E2737" t="s">
        <v>8</v>
      </c>
      <c r="G2737" t="s">
        <v>9</v>
      </c>
      <c r="L2737">
        <f t="shared" si="211"/>
        <v>0</v>
      </c>
      <c r="M2737">
        <f t="shared" si="212"/>
        <v>0</v>
      </c>
      <c r="N2737">
        <f t="shared" si="213"/>
        <v>0</v>
      </c>
      <c r="O2737">
        <f t="shared" si="215"/>
        <v>1</v>
      </c>
      <c r="P2737" t="str">
        <f t="shared" si="214"/>
        <v/>
      </c>
      <c r="Q2737">
        <f>COUNTIF('責任職　企業局→市長部局'!A:A,SQLデータ!B2737)</f>
        <v>0</v>
      </c>
      <c r="R2737">
        <f>COUNTIF('一般職員　企業局→市長部局'!A:F,SQLデータ!B2737)</f>
        <v>0</v>
      </c>
    </row>
    <row r="2738" spans="1:18" x14ac:dyDescent="0.4">
      <c r="A2738" s="1">
        <v>202650002637</v>
      </c>
      <c r="B2738" s="1">
        <v>1151325</v>
      </c>
      <c r="C2738" s="2">
        <v>46127</v>
      </c>
      <c r="D2738" t="s">
        <v>17</v>
      </c>
      <c r="E2738" t="s">
        <v>8</v>
      </c>
      <c r="G2738" t="s">
        <v>9</v>
      </c>
      <c r="L2738">
        <f t="shared" si="211"/>
        <v>0</v>
      </c>
      <c r="M2738">
        <f t="shared" si="212"/>
        <v>0</v>
      </c>
      <c r="N2738">
        <f t="shared" si="213"/>
        <v>0</v>
      </c>
      <c r="O2738">
        <f t="shared" si="215"/>
        <v>1</v>
      </c>
      <c r="P2738" t="str">
        <f t="shared" si="214"/>
        <v/>
      </c>
      <c r="Q2738">
        <f>COUNTIF('責任職　企業局→市長部局'!A:A,SQLデータ!B2738)</f>
        <v>0</v>
      </c>
      <c r="R2738">
        <f>COUNTIF('一般職員　企業局→市長部局'!A:F,SQLデータ!B2738)</f>
        <v>0</v>
      </c>
    </row>
    <row r="2739" spans="1:18" x14ac:dyDescent="0.4">
      <c r="A2739" s="1">
        <v>202650002638</v>
      </c>
      <c r="B2739" s="1">
        <v>1191134</v>
      </c>
      <c r="C2739" s="2">
        <v>46127</v>
      </c>
      <c r="D2739" t="s">
        <v>17</v>
      </c>
      <c r="E2739" t="s">
        <v>8</v>
      </c>
      <c r="G2739" t="s">
        <v>9</v>
      </c>
      <c r="L2739">
        <f t="shared" si="211"/>
        <v>0</v>
      </c>
      <c r="M2739">
        <f t="shared" si="212"/>
        <v>0</v>
      </c>
      <c r="N2739">
        <f t="shared" si="213"/>
        <v>0</v>
      </c>
      <c r="O2739">
        <f t="shared" si="215"/>
        <v>1</v>
      </c>
      <c r="P2739" t="str">
        <f t="shared" si="214"/>
        <v/>
      </c>
      <c r="Q2739">
        <f>COUNTIF('責任職　企業局→市長部局'!A:A,SQLデータ!B2739)</f>
        <v>0</v>
      </c>
      <c r="R2739">
        <f>COUNTIF('一般職員　企業局→市長部局'!A:F,SQLデータ!B2739)</f>
        <v>0</v>
      </c>
    </row>
    <row r="2740" spans="1:18" x14ac:dyDescent="0.4">
      <c r="A2740" s="1">
        <v>202650002640</v>
      </c>
      <c r="B2740" s="1">
        <v>1131237</v>
      </c>
      <c r="C2740" s="2">
        <v>46127</v>
      </c>
      <c r="D2740" t="s">
        <v>17</v>
      </c>
      <c r="E2740" t="s">
        <v>8</v>
      </c>
      <c r="G2740" t="s">
        <v>9</v>
      </c>
      <c r="L2740">
        <f t="shared" si="211"/>
        <v>0</v>
      </c>
      <c r="M2740">
        <f t="shared" si="212"/>
        <v>0</v>
      </c>
      <c r="N2740">
        <f t="shared" si="213"/>
        <v>0</v>
      </c>
      <c r="O2740">
        <f t="shared" si="215"/>
        <v>1</v>
      </c>
      <c r="P2740" t="str">
        <f t="shared" si="214"/>
        <v/>
      </c>
      <c r="Q2740">
        <f>COUNTIF('責任職　企業局→市長部局'!A:A,SQLデータ!B2740)</f>
        <v>0</v>
      </c>
      <c r="R2740">
        <f>COUNTIF('一般職員　企業局→市長部局'!A:F,SQLデータ!B2740)</f>
        <v>0</v>
      </c>
    </row>
    <row r="2741" spans="1:18" x14ac:dyDescent="0.4">
      <c r="A2741" s="1">
        <v>202650002641</v>
      </c>
      <c r="B2741" s="1">
        <v>1081507</v>
      </c>
      <c r="C2741" s="2">
        <v>46127</v>
      </c>
      <c r="D2741" t="s">
        <v>17</v>
      </c>
      <c r="E2741" t="s">
        <v>8</v>
      </c>
      <c r="G2741" t="s">
        <v>9</v>
      </c>
      <c r="L2741">
        <f t="shared" si="211"/>
        <v>0</v>
      </c>
      <c r="M2741">
        <f t="shared" si="212"/>
        <v>0</v>
      </c>
      <c r="N2741">
        <f t="shared" si="213"/>
        <v>0</v>
      </c>
      <c r="O2741">
        <f t="shared" si="215"/>
        <v>1</v>
      </c>
      <c r="P2741" t="str">
        <f t="shared" si="214"/>
        <v/>
      </c>
      <c r="Q2741">
        <f>COUNTIF('責任職　企業局→市長部局'!A:A,SQLデータ!B2741)</f>
        <v>0</v>
      </c>
      <c r="R2741">
        <f>COUNTIF('一般職員　企業局→市長部局'!A:F,SQLデータ!B2741)</f>
        <v>0</v>
      </c>
    </row>
    <row r="2742" spans="1:18" x14ac:dyDescent="0.4">
      <c r="A2742" s="1">
        <v>202650002642</v>
      </c>
      <c r="B2742" s="1">
        <v>1221350</v>
      </c>
      <c r="C2742" s="2">
        <v>46127</v>
      </c>
      <c r="D2742" t="s">
        <v>17</v>
      </c>
      <c r="E2742" t="s">
        <v>8</v>
      </c>
      <c r="G2742" t="s">
        <v>9</v>
      </c>
      <c r="L2742">
        <f t="shared" si="211"/>
        <v>0</v>
      </c>
      <c r="M2742">
        <f t="shared" si="212"/>
        <v>0</v>
      </c>
      <c r="N2742">
        <f t="shared" si="213"/>
        <v>0</v>
      </c>
      <c r="O2742">
        <f t="shared" si="215"/>
        <v>1</v>
      </c>
      <c r="P2742" t="str">
        <f t="shared" si="214"/>
        <v/>
      </c>
      <c r="Q2742">
        <f>COUNTIF('責任職　企業局→市長部局'!A:A,SQLデータ!B2742)</f>
        <v>0</v>
      </c>
      <c r="R2742">
        <f>COUNTIF('一般職員　企業局→市長部局'!A:F,SQLデータ!B2742)</f>
        <v>0</v>
      </c>
    </row>
    <row r="2743" spans="1:18" x14ac:dyDescent="0.4">
      <c r="A2743" s="1">
        <v>202650002643</v>
      </c>
      <c r="B2743" s="1">
        <v>1152167</v>
      </c>
      <c r="C2743" s="2">
        <v>46127</v>
      </c>
      <c r="D2743" t="s">
        <v>17</v>
      </c>
      <c r="E2743" t="s">
        <v>8</v>
      </c>
      <c r="G2743" t="s">
        <v>9</v>
      </c>
      <c r="L2743">
        <f t="shared" si="211"/>
        <v>0</v>
      </c>
      <c r="M2743">
        <f t="shared" si="212"/>
        <v>0</v>
      </c>
      <c r="N2743">
        <f t="shared" si="213"/>
        <v>0</v>
      </c>
      <c r="O2743">
        <f t="shared" si="215"/>
        <v>1</v>
      </c>
      <c r="P2743" t="str">
        <f t="shared" si="214"/>
        <v/>
      </c>
      <c r="Q2743">
        <f>COUNTIF('責任職　企業局→市長部局'!A:A,SQLデータ!B2743)</f>
        <v>0</v>
      </c>
      <c r="R2743">
        <f>COUNTIF('一般職員　企業局→市長部局'!A:F,SQLデータ!B2743)</f>
        <v>0</v>
      </c>
    </row>
    <row r="2744" spans="1:18" x14ac:dyDescent="0.4">
      <c r="A2744" s="1">
        <v>202650002644</v>
      </c>
      <c r="B2744" s="1">
        <v>1001104</v>
      </c>
      <c r="C2744" s="2">
        <v>46127</v>
      </c>
      <c r="D2744" t="s">
        <v>17</v>
      </c>
      <c r="E2744" t="s">
        <v>8</v>
      </c>
      <c r="G2744" t="s">
        <v>9</v>
      </c>
      <c r="L2744">
        <f t="shared" si="211"/>
        <v>0</v>
      </c>
      <c r="M2744">
        <f t="shared" si="212"/>
        <v>0</v>
      </c>
      <c r="N2744">
        <f t="shared" si="213"/>
        <v>0</v>
      </c>
      <c r="O2744">
        <f t="shared" si="215"/>
        <v>1</v>
      </c>
      <c r="P2744" t="str">
        <f t="shared" si="214"/>
        <v/>
      </c>
      <c r="Q2744">
        <f>COUNTIF('責任職　企業局→市長部局'!A:A,SQLデータ!B2744)</f>
        <v>0</v>
      </c>
      <c r="R2744">
        <f>COUNTIF('一般職員　企業局→市長部局'!A:F,SQLデータ!B2744)</f>
        <v>0</v>
      </c>
    </row>
    <row r="2745" spans="1:18" x14ac:dyDescent="0.4">
      <c r="A2745" s="1">
        <v>202650002645</v>
      </c>
      <c r="B2745" s="1">
        <v>993012</v>
      </c>
      <c r="C2745" s="2">
        <v>46127</v>
      </c>
      <c r="D2745" t="s">
        <v>17</v>
      </c>
      <c r="E2745" t="s">
        <v>8</v>
      </c>
      <c r="G2745" t="s">
        <v>9</v>
      </c>
      <c r="L2745">
        <f t="shared" si="211"/>
        <v>0</v>
      </c>
      <c r="M2745">
        <f t="shared" si="212"/>
        <v>0</v>
      </c>
      <c r="N2745">
        <f t="shared" si="213"/>
        <v>0</v>
      </c>
      <c r="O2745">
        <f t="shared" si="215"/>
        <v>1</v>
      </c>
      <c r="P2745" t="str">
        <f t="shared" si="214"/>
        <v/>
      </c>
      <c r="Q2745">
        <f>COUNTIF('責任職　企業局→市長部局'!A:A,SQLデータ!B2745)</f>
        <v>0</v>
      </c>
      <c r="R2745">
        <f>COUNTIF('一般職員　企業局→市長部局'!A:F,SQLデータ!B2745)</f>
        <v>0</v>
      </c>
    </row>
    <row r="2746" spans="1:18" x14ac:dyDescent="0.4">
      <c r="A2746" s="1">
        <v>202650002647</v>
      </c>
      <c r="B2746" s="1">
        <v>1091169</v>
      </c>
      <c r="C2746" s="2">
        <v>46127</v>
      </c>
      <c r="D2746" t="s">
        <v>17</v>
      </c>
      <c r="E2746" t="s">
        <v>8</v>
      </c>
      <c r="G2746" t="s">
        <v>9</v>
      </c>
      <c r="L2746">
        <f t="shared" si="211"/>
        <v>0</v>
      </c>
      <c r="M2746">
        <f t="shared" si="212"/>
        <v>0</v>
      </c>
      <c r="N2746">
        <f t="shared" si="213"/>
        <v>0</v>
      </c>
      <c r="O2746">
        <f t="shared" si="215"/>
        <v>1</v>
      </c>
      <c r="P2746" t="str">
        <f t="shared" si="214"/>
        <v/>
      </c>
      <c r="Q2746">
        <f>COUNTIF('責任職　企業局→市長部局'!A:A,SQLデータ!B2746)</f>
        <v>0</v>
      </c>
      <c r="R2746">
        <f>COUNTIF('一般職員　企業局→市長部局'!A:F,SQLデータ!B2746)</f>
        <v>0</v>
      </c>
    </row>
    <row r="2747" spans="1:18" x14ac:dyDescent="0.4">
      <c r="A2747" s="1">
        <v>202650002648</v>
      </c>
      <c r="B2747" s="1">
        <v>1101085</v>
      </c>
      <c r="C2747" s="2">
        <v>46127</v>
      </c>
      <c r="D2747" t="s">
        <v>17</v>
      </c>
      <c r="E2747" t="s">
        <v>8</v>
      </c>
      <c r="G2747" t="s">
        <v>9</v>
      </c>
      <c r="L2747">
        <f t="shared" si="211"/>
        <v>0</v>
      </c>
      <c r="M2747">
        <f t="shared" si="212"/>
        <v>0</v>
      </c>
      <c r="N2747">
        <f t="shared" si="213"/>
        <v>0</v>
      </c>
      <c r="O2747">
        <f t="shared" si="215"/>
        <v>1</v>
      </c>
      <c r="P2747" t="str">
        <f t="shared" si="214"/>
        <v/>
      </c>
      <c r="Q2747">
        <f>COUNTIF('責任職　企業局→市長部局'!A:A,SQLデータ!B2747)</f>
        <v>0</v>
      </c>
      <c r="R2747">
        <f>COUNTIF('一般職員　企業局→市長部局'!A:F,SQLデータ!B2747)</f>
        <v>0</v>
      </c>
    </row>
    <row r="2748" spans="1:18" x14ac:dyDescent="0.4">
      <c r="A2748" s="1">
        <v>202650002649</v>
      </c>
      <c r="B2748" s="1">
        <v>1222511</v>
      </c>
      <c r="C2748" s="2">
        <v>46127</v>
      </c>
      <c r="D2748" t="s">
        <v>17</v>
      </c>
      <c r="E2748" t="s">
        <v>8</v>
      </c>
      <c r="G2748" t="s">
        <v>9</v>
      </c>
      <c r="L2748">
        <f t="shared" si="211"/>
        <v>0</v>
      </c>
      <c r="M2748">
        <f t="shared" si="212"/>
        <v>0</v>
      </c>
      <c r="N2748">
        <f t="shared" si="213"/>
        <v>0</v>
      </c>
      <c r="O2748">
        <f t="shared" si="215"/>
        <v>1</v>
      </c>
      <c r="P2748" t="str">
        <f t="shared" si="214"/>
        <v/>
      </c>
      <c r="Q2748">
        <f>COUNTIF('責任職　企業局→市長部局'!A:A,SQLデータ!B2748)</f>
        <v>0</v>
      </c>
      <c r="R2748">
        <f>COUNTIF('一般職員　企業局→市長部局'!A:F,SQLデータ!B2748)</f>
        <v>0</v>
      </c>
    </row>
    <row r="2749" spans="1:18" x14ac:dyDescent="0.4">
      <c r="A2749" s="1">
        <v>202650002650</v>
      </c>
      <c r="B2749" s="1">
        <v>1181093</v>
      </c>
      <c r="C2749" s="2">
        <v>46127</v>
      </c>
      <c r="D2749" t="s">
        <v>17</v>
      </c>
      <c r="E2749" t="s">
        <v>8</v>
      </c>
      <c r="G2749" t="s">
        <v>9</v>
      </c>
      <c r="L2749">
        <f t="shared" si="211"/>
        <v>0</v>
      </c>
      <c r="M2749">
        <f t="shared" si="212"/>
        <v>0</v>
      </c>
      <c r="N2749">
        <f t="shared" si="213"/>
        <v>0</v>
      </c>
      <c r="O2749">
        <f t="shared" si="215"/>
        <v>1</v>
      </c>
      <c r="P2749" t="str">
        <f t="shared" si="214"/>
        <v/>
      </c>
      <c r="Q2749">
        <f>COUNTIF('責任職　企業局→市長部局'!A:A,SQLデータ!B2749)</f>
        <v>0</v>
      </c>
      <c r="R2749">
        <f>COUNTIF('一般職員　企業局→市長部局'!A:F,SQLデータ!B2749)</f>
        <v>0</v>
      </c>
    </row>
    <row r="2750" spans="1:18" x14ac:dyDescent="0.4">
      <c r="A2750" s="1">
        <v>202650002651</v>
      </c>
      <c r="B2750" s="1">
        <v>1131192</v>
      </c>
      <c r="C2750" s="2">
        <v>46127</v>
      </c>
      <c r="D2750" t="s">
        <v>17</v>
      </c>
      <c r="E2750" t="s">
        <v>8</v>
      </c>
      <c r="G2750" t="s">
        <v>9</v>
      </c>
      <c r="L2750">
        <f t="shared" si="211"/>
        <v>0</v>
      </c>
      <c r="M2750">
        <f t="shared" si="212"/>
        <v>0</v>
      </c>
      <c r="N2750">
        <f t="shared" si="213"/>
        <v>0</v>
      </c>
      <c r="O2750">
        <f t="shared" si="215"/>
        <v>1</v>
      </c>
      <c r="P2750" t="str">
        <f t="shared" si="214"/>
        <v/>
      </c>
      <c r="Q2750">
        <f>COUNTIF('責任職　企業局→市長部局'!A:A,SQLデータ!B2750)</f>
        <v>0</v>
      </c>
      <c r="R2750">
        <f>COUNTIF('一般職員　企業局→市長部局'!A:F,SQLデータ!B2750)</f>
        <v>0</v>
      </c>
    </row>
    <row r="2751" spans="1:18" x14ac:dyDescent="0.4">
      <c r="A2751" s="1">
        <v>202650002652</v>
      </c>
      <c r="B2751" s="1">
        <v>1231160</v>
      </c>
      <c r="C2751" s="2">
        <v>46127</v>
      </c>
      <c r="D2751" t="s">
        <v>17</v>
      </c>
      <c r="E2751" t="s">
        <v>8</v>
      </c>
      <c r="G2751" t="s">
        <v>9</v>
      </c>
      <c r="L2751">
        <f t="shared" si="211"/>
        <v>0</v>
      </c>
      <c r="M2751">
        <f t="shared" si="212"/>
        <v>0</v>
      </c>
      <c r="N2751">
        <f t="shared" si="213"/>
        <v>0</v>
      </c>
      <c r="O2751">
        <f t="shared" si="215"/>
        <v>1</v>
      </c>
      <c r="P2751" t="str">
        <f t="shared" si="214"/>
        <v/>
      </c>
      <c r="Q2751">
        <f>COUNTIF('責任職　企業局→市長部局'!A:A,SQLデータ!B2751)</f>
        <v>0</v>
      </c>
      <c r="R2751">
        <f>COUNTIF('一般職員　企業局→市長部局'!A:F,SQLデータ!B2751)</f>
        <v>0</v>
      </c>
    </row>
    <row r="2752" spans="1:18" x14ac:dyDescent="0.4">
      <c r="A2752" s="1">
        <v>202650002653</v>
      </c>
      <c r="B2752" s="1">
        <v>1211202</v>
      </c>
      <c r="C2752" s="2">
        <v>46127</v>
      </c>
      <c r="D2752" t="s">
        <v>17</v>
      </c>
      <c r="E2752" t="s">
        <v>8</v>
      </c>
      <c r="G2752" t="s">
        <v>9</v>
      </c>
      <c r="L2752">
        <f t="shared" si="211"/>
        <v>0</v>
      </c>
      <c r="M2752">
        <f t="shared" si="212"/>
        <v>0</v>
      </c>
      <c r="N2752">
        <f t="shared" si="213"/>
        <v>0</v>
      </c>
      <c r="O2752">
        <f t="shared" si="215"/>
        <v>1</v>
      </c>
      <c r="P2752" t="str">
        <f t="shared" si="214"/>
        <v/>
      </c>
      <c r="Q2752">
        <f>COUNTIF('責任職　企業局→市長部局'!A:A,SQLデータ!B2752)</f>
        <v>0</v>
      </c>
      <c r="R2752">
        <f>COUNTIF('一般職員　企業局→市長部局'!A:F,SQLデータ!B2752)</f>
        <v>0</v>
      </c>
    </row>
    <row r="2753" spans="1:18" x14ac:dyDescent="0.4">
      <c r="A2753" s="1">
        <v>202650002654</v>
      </c>
      <c r="B2753" s="1">
        <v>1242073</v>
      </c>
      <c r="C2753" s="2">
        <v>46127</v>
      </c>
      <c r="D2753" t="s">
        <v>17</v>
      </c>
      <c r="E2753" t="s">
        <v>8</v>
      </c>
      <c r="G2753" t="s">
        <v>9</v>
      </c>
      <c r="L2753">
        <f t="shared" si="211"/>
        <v>0</v>
      </c>
      <c r="M2753">
        <f t="shared" si="212"/>
        <v>0</v>
      </c>
      <c r="N2753">
        <f t="shared" si="213"/>
        <v>0</v>
      </c>
      <c r="O2753">
        <f t="shared" si="215"/>
        <v>1</v>
      </c>
      <c r="P2753" t="str">
        <f t="shared" si="214"/>
        <v/>
      </c>
      <c r="Q2753">
        <f>COUNTIF('責任職　企業局→市長部局'!A:A,SQLデータ!B2753)</f>
        <v>0</v>
      </c>
      <c r="R2753">
        <f>COUNTIF('一般職員　企業局→市長部局'!A:F,SQLデータ!B2753)</f>
        <v>0</v>
      </c>
    </row>
    <row r="2754" spans="1:18" x14ac:dyDescent="0.4">
      <c r="A2754" s="1">
        <v>202650002655</v>
      </c>
      <c r="B2754" s="1">
        <v>1151054</v>
      </c>
      <c r="C2754" s="2">
        <v>46127</v>
      </c>
      <c r="D2754" t="s">
        <v>17</v>
      </c>
      <c r="E2754" t="s">
        <v>8</v>
      </c>
      <c r="G2754" t="s">
        <v>9</v>
      </c>
      <c r="L2754">
        <f t="shared" ref="L2754:L2817" si="216">IF(ISBLANK(J2754),0,1)</f>
        <v>0</v>
      </c>
      <c r="M2754">
        <f t="shared" ref="M2754:M2817" si="217">IF(AND(L2754=0,I2754&lt;&gt;""),1,0)</f>
        <v>0</v>
      </c>
      <c r="N2754">
        <f t="shared" ref="N2754:N2817" si="218">IF(AND(L2754=0,M2754=0,K2754&lt;&gt;""),1,0)</f>
        <v>0</v>
      </c>
      <c r="O2754">
        <f t="shared" si="215"/>
        <v>1</v>
      </c>
      <c r="P2754" t="str">
        <f t="shared" ref="P2754:P2817" si="219">IF(D2754&lt;&gt;"扶養","",IF(E2754&lt;&gt;"確認待ち",1,IF(OR(AND(G2754="本人の結婚",O2754=1),AND(H2754="減",OR(N2754=1,O2754=1))),1,0)))</f>
        <v/>
      </c>
      <c r="Q2754">
        <f>COUNTIF('責任職　企業局→市長部局'!A:A,SQLデータ!B2754)</f>
        <v>0</v>
      </c>
      <c r="R2754">
        <f>COUNTIF('一般職員　企業局→市長部局'!A:F,SQLデータ!B2754)</f>
        <v>0</v>
      </c>
    </row>
    <row r="2755" spans="1:18" x14ac:dyDescent="0.4">
      <c r="A2755" s="1">
        <v>202650002656</v>
      </c>
      <c r="B2755" s="1">
        <v>1071221</v>
      </c>
      <c r="C2755" s="2">
        <v>46127</v>
      </c>
      <c r="D2755" t="s">
        <v>17</v>
      </c>
      <c r="E2755" t="s">
        <v>8</v>
      </c>
      <c r="G2755" t="s">
        <v>9</v>
      </c>
      <c r="L2755">
        <f t="shared" si="216"/>
        <v>0</v>
      </c>
      <c r="M2755">
        <f t="shared" si="217"/>
        <v>0</v>
      </c>
      <c r="N2755">
        <f t="shared" si="218"/>
        <v>0</v>
      </c>
      <c r="O2755">
        <f t="shared" si="215"/>
        <v>1</v>
      </c>
      <c r="P2755" t="str">
        <f t="shared" si="219"/>
        <v/>
      </c>
      <c r="Q2755">
        <f>COUNTIF('責任職　企業局→市長部局'!A:A,SQLデータ!B2755)</f>
        <v>0</v>
      </c>
      <c r="R2755">
        <f>COUNTIF('一般職員　企業局→市長部局'!A:F,SQLデータ!B2755)</f>
        <v>0</v>
      </c>
    </row>
    <row r="2756" spans="1:18" x14ac:dyDescent="0.4">
      <c r="A2756" s="1">
        <v>202650002657</v>
      </c>
      <c r="B2756" s="1">
        <v>1171153</v>
      </c>
      <c r="C2756" s="2">
        <v>46127</v>
      </c>
      <c r="D2756" t="s">
        <v>17</v>
      </c>
      <c r="E2756" t="s">
        <v>8</v>
      </c>
      <c r="G2756" t="s">
        <v>9</v>
      </c>
      <c r="L2756">
        <f t="shared" si="216"/>
        <v>0</v>
      </c>
      <c r="M2756">
        <f t="shared" si="217"/>
        <v>0</v>
      </c>
      <c r="N2756">
        <f t="shared" si="218"/>
        <v>0</v>
      </c>
      <c r="O2756">
        <f t="shared" si="215"/>
        <v>1</v>
      </c>
      <c r="P2756" t="str">
        <f t="shared" si="219"/>
        <v/>
      </c>
      <c r="Q2756">
        <f>COUNTIF('責任職　企業局→市長部局'!A:A,SQLデータ!B2756)</f>
        <v>0</v>
      </c>
      <c r="R2756">
        <f>COUNTIF('一般職員　企業局→市長部局'!A:F,SQLデータ!B2756)</f>
        <v>0</v>
      </c>
    </row>
    <row r="2757" spans="1:18" x14ac:dyDescent="0.4">
      <c r="A2757" s="1">
        <v>202650002658</v>
      </c>
      <c r="B2757" s="1">
        <v>1071395</v>
      </c>
      <c r="C2757" s="2">
        <v>46127</v>
      </c>
      <c r="D2757" t="s">
        <v>17</v>
      </c>
      <c r="E2757" t="s">
        <v>8</v>
      </c>
      <c r="G2757" t="s">
        <v>9</v>
      </c>
      <c r="L2757">
        <f t="shared" si="216"/>
        <v>0</v>
      </c>
      <c r="M2757">
        <f t="shared" si="217"/>
        <v>0</v>
      </c>
      <c r="N2757">
        <f t="shared" si="218"/>
        <v>0</v>
      </c>
      <c r="O2757">
        <f t="shared" si="215"/>
        <v>1</v>
      </c>
      <c r="P2757" t="str">
        <f t="shared" si="219"/>
        <v/>
      </c>
      <c r="Q2757">
        <f>COUNTIF('責任職　企業局→市長部局'!A:A,SQLデータ!B2757)</f>
        <v>0</v>
      </c>
      <c r="R2757">
        <f>COUNTIF('一般職員　企業局→市長部局'!A:F,SQLデータ!B2757)</f>
        <v>0</v>
      </c>
    </row>
    <row r="2758" spans="1:18" x14ac:dyDescent="0.4">
      <c r="A2758" s="1">
        <v>202650002659</v>
      </c>
      <c r="B2758" s="1">
        <v>1231072</v>
      </c>
      <c r="C2758" s="2">
        <v>46127</v>
      </c>
      <c r="D2758" t="s">
        <v>17</v>
      </c>
      <c r="E2758" t="s">
        <v>8</v>
      </c>
      <c r="G2758" t="s">
        <v>9</v>
      </c>
      <c r="L2758">
        <f t="shared" si="216"/>
        <v>0</v>
      </c>
      <c r="M2758">
        <f t="shared" si="217"/>
        <v>0</v>
      </c>
      <c r="N2758">
        <f t="shared" si="218"/>
        <v>0</v>
      </c>
      <c r="O2758">
        <f t="shared" si="215"/>
        <v>1</v>
      </c>
      <c r="P2758" t="str">
        <f t="shared" si="219"/>
        <v/>
      </c>
      <c r="Q2758">
        <f>COUNTIF('責任職　企業局→市長部局'!A:A,SQLデータ!B2758)</f>
        <v>0</v>
      </c>
      <c r="R2758">
        <f>COUNTIF('一般職員　企業局→市長部局'!A:F,SQLデータ!B2758)</f>
        <v>0</v>
      </c>
    </row>
    <row r="2759" spans="1:18" x14ac:dyDescent="0.4">
      <c r="A2759" s="1">
        <v>202650002660</v>
      </c>
      <c r="B2759" s="1">
        <v>960219</v>
      </c>
      <c r="C2759" s="2">
        <v>46127</v>
      </c>
      <c r="D2759" t="s">
        <v>17</v>
      </c>
      <c r="E2759" t="s">
        <v>8</v>
      </c>
      <c r="G2759" t="s">
        <v>9</v>
      </c>
      <c r="L2759">
        <f t="shared" si="216"/>
        <v>0</v>
      </c>
      <c r="M2759">
        <f t="shared" si="217"/>
        <v>0</v>
      </c>
      <c r="N2759">
        <f t="shared" si="218"/>
        <v>0</v>
      </c>
      <c r="O2759">
        <f t="shared" si="215"/>
        <v>1</v>
      </c>
      <c r="P2759" t="str">
        <f t="shared" si="219"/>
        <v/>
      </c>
      <c r="Q2759">
        <f>COUNTIF('責任職　企業局→市長部局'!A:A,SQLデータ!B2759)</f>
        <v>0</v>
      </c>
      <c r="R2759">
        <f>COUNTIF('一般職員　企業局→市長部局'!A:F,SQLデータ!B2759)</f>
        <v>0</v>
      </c>
    </row>
    <row r="2760" spans="1:18" x14ac:dyDescent="0.4">
      <c r="A2760" s="1">
        <v>202650002661</v>
      </c>
      <c r="B2760" s="1">
        <v>984288</v>
      </c>
      <c r="C2760" s="2">
        <v>46127</v>
      </c>
      <c r="D2760" t="s">
        <v>17</v>
      </c>
      <c r="E2760" t="s">
        <v>8</v>
      </c>
      <c r="G2760" t="s">
        <v>9</v>
      </c>
      <c r="L2760">
        <f t="shared" si="216"/>
        <v>0</v>
      </c>
      <c r="M2760">
        <f t="shared" si="217"/>
        <v>0</v>
      </c>
      <c r="N2760">
        <f t="shared" si="218"/>
        <v>0</v>
      </c>
      <c r="O2760">
        <f t="shared" si="215"/>
        <v>1</v>
      </c>
      <c r="P2760" t="str">
        <f t="shared" si="219"/>
        <v/>
      </c>
      <c r="Q2760">
        <f>COUNTIF('責任職　企業局→市長部局'!A:A,SQLデータ!B2760)</f>
        <v>0</v>
      </c>
      <c r="R2760">
        <f>COUNTIF('一般職員　企業局→市長部局'!A:F,SQLデータ!B2760)</f>
        <v>0</v>
      </c>
    </row>
    <row r="2761" spans="1:18" x14ac:dyDescent="0.4">
      <c r="A2761" s="1">
        <v>202650002662</v>
      </c>
      <c r="B2761" s="1">
        <v>1231032</v>
      </c>
      <c r="C2761" s="2">
        <v>46127</v>
      </c>
      <c r="D2761" t="s">
        <v>17</v>
      </c>
      <c r="E2761" t="s">
        <v>8</v>
      </c>
      <c r="G2761" t="s">
        <v>9</v>
      </c>
      <c r="L2761">
        <f t="shared" si="216"/>
        <v>0</v>
      </c>
      <c r="M2761">
        <f t="shared" si="217"/>
        <v>0</v>
      </c>
      <c r="N2761">
        <f t="shared" si="218"/>
        <v>0</v>
      </c>
      <c r="O2761">
        <f t="shared" ref="O2761:O2824" si="220">IF(COUNTIF(L2761:N2761,0)=3,1,0)</f>
        <v>1</v>
      </c>
      <c r="P2761" t="str">
        <f t="shared" si="219"/>
        <v/>
      </c>
      <c r="Q2761">
        <f>COUNTIF('責任職　企業局→市長部局'!A:A,SQLデータ!B2761)</f>
        <v>0</v>
      </c>
      <c r="R2761">
        <f>COUNTIF('一般職員　企業局→市長部局'!A:F,SQLデータ!B2761)</f>
        <v>0</v>
      </c>
    </row>
    <row r="2762" spans="1:18" x14ac:dyDescent="0.4">
      <c r="A2762" s="1">
        <v>202650002664</v>
      </c>
      <c r="B2762" s="1">
        <v>950401</v>
      </c>
      <c r="C2762" s="2">
        <v>46127</v>
      </c>
      <c r="D2762" t="s">
        <v>17</v>
      </c>
      <c r="E2762" t="s">
        <v>8</v>
      </c>
      <c r="G2762" t="s">
        <v>9</v>
      </c>
      <c r="L2762">
        <f t="shared" si="216"/>
        <v>0</v>
      </c>
      <c r="M2762">
        <f t="shared" si="217"/>
        <v>0</v>
      </c>
      <c r="N2762">
        <f t="shared" si="218"/>
        <v>0</v>
      </c>
      <c r="O2762">
        <f t="shared" si="220"/>
        <v>1</v>
      </c>
      <c r="P2762" t="str">
        <f t="shared" si="219"/>
        <v/>
      </c>
      <c r="Q2762">
        <f>COUNTIF('責任職　企業局→市長部局'!A:A,SQLデータ!B2762)</f>
        <v>0</v>
      </c>
      <c r="R2762">
        <f>COUNTIF('一般職員　企業局→市長部局'!A:F,SQLデータ!B2762)</f>
        <v>0</v>
      </c>
    </row>
    <row r="2763" spans="1:18" x14ac:dyDescent="0.4">
      <c r="A2763" s="1">
        <v>202650002665</v>
      </c>
      <c r="B2763" s="1">
        <v>1231183</v>
      </c>
      <c r="C2763" s="2">
        <v>46127</v>
      </c>
      <c r="D2763" t="s">
        <v>17</v>
      </c>
      <c r="E2763" t="s">
        <v>8</v>
      </c>
      <c r="G2763" t="s">
        <v>9</v>
      </c>
      <c r="L2763">
        <f t="shared" si="216"/>
        <v>0</v>
      </c>
      <c r="M2763">
        <f t="shared" si="217"/>
        <v>0</v>
      </c>
      <c r="N2763">
        <f t="shared" si="218"/>
        <v>0</v>
      </c>
      <c r="O2763">
        <f t="shared" si="220"/>
        <v>1</v>
      </c>
      <c r="P2763" t="str">
        <f t="shared" si="219"/>
        <v/>
      </c>
      <c r="Q2763">
        <f>COUNTIF('責任職　企業局→市長部局'!A:A,SQLデータ!B2763)</f>
        <v>0</v>
      </c>
      <c r="R2763">
        <f>COUNTIF('一般職員　企業局→市長部局'!A:F,SQLデータ!B2763)</f>
        <v>0</v>
      </c>
    </row>
    <row r="2764" spans="1:18" x14ac:dyDescent="0.4">
      <c r="A2764" s="1">
        <v>202650002666</v>
      </c>
      <c r="B2764" s="1">
        <v>1231060</v>
      </c>
      <c r="C2764" s="2">
        <v>46127</v>
      </c>
      <c r="D2764" t="s">
        <v>17</v>
      </c>
      <c r="E2764" t="s">
        <v>8</v>
      </c>
      <c r="G2764" t="s">
        <v>9</v>
      </c>
      <c r="L2764">
        <f t="shared" si="216"/>
        <v>0</v>
      </c>
      <c r="M2764">
        <f t="shared" si="217"/>
        <v>0</v>
      </c>
      <c r="N2764">
        <f t="shared" si="218"/>
        <v>0</v>
      </c>
      <c r="O2764">
        <f t="shared" si="220"/>
        <v>1</v>
      </c>
      <c r="P2764" t="str">
        <f t="shared" si="219"/>
        <v/>
      </c>
      <c r="Q2764">
        <f>COUNTIF('責任職　企業局→市長部局'!A:A,SQLデータ!B2764)</f>
        <v>0</v>
      </c>
      <c r="R2764">
        <f>COUNTIF('一般職員　企業局→市長部局'!A:F,SQLデータ!B2764)</f>
        <v>0</v>
      </c>
    </row>
    <row r="2765" spans="1:18" x14ac:dyDescent="0.4">
      <c r="A2765" s="1">
        <v>202650002667</v>
      </c>
      <c r="B2765" s="1">
        <v>1161344</v>
      </c>
      <c r="C2765" s="2">
        <v>46127</v>
      </c>
      <c r="D2765" t="s">
        <v>17</v>
      </c>
      <c r="E2765" t="s">
        <v>8</v>
      </c>
      <c r="G2765" t="s">
        <v>9</v>
      </c>
      <c r="L2765">
        <f t="shared" si="216"/>
        <v>0</v>
      </c>
      <c r="M2765">
        <f t="shared" si="217"/>
        <v>0</v>
      </c>
      <c r="N2765">
        <f t="shared" si="218"/>
        <v>0</v>
      </c>
      <c r="O2765">
        <f t="shared" si="220"/>
        <v>1</v>
      </c>
      <c r="P2765" t="str">
        <f t="shared" si="219"/>
        <v/>
      </c>
      <c r="Q2765">
        <f>COUNTIF('責任職　企業局→市長部局'!A:A,SQLデータ!B2765)</f>
        <v>0</v>
      </c>
      <c r="R2765">
        <f>COUNTIF('一般職員　企業局→市長部局'!A:F,SQLデータ!B2765)</f>
        <v>0</v>
      </c>
    </row>
    <row r="2766" spans="1:18" x14ac:dyDescent="0.4">
      <c r="A2766" s="1">
        <v>202650002668</v>
      </c>
      <c r="B2766" s="1">
        <v>1161024</v>
      </c>
      <c r="C2766" s="2">
        <v>46127</v>
      </c>
      <c r="D2766" t="s">
        <v>17</v>
      </c>
      <c r="E2766" t="s">
        <v>8</v>
      </c>
      <c r="G2766" t="s">
        <v>9</v>
      </c>
      <c r="L2766">
        <f t="shared" si="216"/>
        <v>0</v>
      </c>
      <c r="M2766">
        <f t="shared" si="217"/>
        <v>0</v>
      </c>
      <c r="N2766">
        <f t="shared" si="218"/>
        <v>0</v>
      </c>
      <c r="O2766">
        <f t="shared" si="220"/>
        <v>1</v>
      </c>
      <c r="P2766" t="str">
        <f t="shared" si="219"/>
        <v/>
      </c>
      <c r="Q2766">
        <f>COUNTIF('責任職　企業局→市長部局'!A:A,SQLデータ!B2766)</f>
        <v>0</v>
      </c>
      <c r="R2766">
        <f>COUNTIF('一般職員　企業局→市長部局'!A:F,SQLデータ!B2766)</f>
        <v>0</v>
      </c>
    </row>
    <row r="2767" spans="1:18" x14ac:dyDescent="0.4">
      <c r="A2767" s="1">
        <v>202650002669</v>
      </c>
      <c r="B2767" s="1">
        <v>1131046</v>
      </c>
      <c r="C2767" s="2">
        <v>46127</v>
      </c>
      <c r="D2767" t="s">
        <v>17</v>
      </c>
      <c r="E2767" t="s">
        <v>8</v>
      </c>
      <c r="G2767" t="s">
        <v>9</v>
      </c>
      <c r="L2767">
        <f t="shared" si="216"/>
        <v>0</v>
      </c>
      <c r="M2767">
        <f t="shared" si="217"/>
        <v>0</v>
      </c>
      <c r="N2767">
        <f t="shared" si="218"/>
        <v>0</v>
      </c>
      <c r="O2767">
        <f t="shared" si="220"/>
        <v>1</v>
      </c>
      <c r="P2767" t="str">
        <f t="shared" si="219"/>
        <v/>
      </c>
      <c r="Q2767">
        <f>COUNTIF('責任職　企業局→市長部局'!A:A,SQLデータ!B2767)</f>
        <v>0</v>
      </c>
      <c r="R2767">
        <f>COUNTIF('一般職員　企業局→市長部局'!A:F,SQLデータ!B2767)</f>
        <v>0</v>
      </c>
    </row>
    <row r="2768" spans="1:18" x14ac:dyDescent="0.4">
      <c r="A2768" s="1">
        <v>202650002670</v>
      </c>
      <c r="B2768" s="1">
        <v>1142048</v>
      </c>
      <c r="C2768" s="2">
        <v>46127</v>
      </c>
      <c r="D2768" t="s">
        <v>17</v>
      </c>
      <c r="E2768" t="s">
        <v>8</v>
      </c>
      <c r="G2768" t="s">
        <v>9</v>
      </c>
      <c r="L2768">
        <f t="shared" si="216"/>
        <v>0</v>
      </c>
      <c r="M2768">
        <f t="shared" si="217"/>
        <v>0</v>
      </c>
      <c r="N2768">
        <f t="shared" si="218"/>
        <v>0</v>
      </c>
      <c r="O2768">
        <f t="shared" si="220"/>
        <v>1</v>
      </c>
      <c r="P2768" t="str">
        <f t="shared" si="219"/>
        <v/>
      </c>
      <c r="Q2768">
        <f>COUNTIF('責任職　企業局→市長部局'!A:A,SQLデータ!B2768)</f>
        <v>0</v>
      </c>
      <c r="R2768">
        <f>COUNTIF('一般職員　企業局→市長部局'!A:F,SQLデータ!B2768)</f>
        <v>0</v>
      </c>
    </row>
    <row r="2769" spans="1:18" x14ac:dyDescent="0.4">
      <c r="A2769" s="1">
        <v>202650002671</v>
      </c>
      <c r="B2769" s="1">
        <v>1121370</v>
      </c>
      <c r="C2769" s="2">
        <v>46127</v>
      </c>
      <c r="D2769" t="s">
        <v>17</v>
      </c>
      <c r="E2769" t="s">
        <v>8</v>
      </c>
      <c r="G2769" t="s">
        <v>9</v>
      </c>
      <c r="L2769">
        <f t="shared" si="216"/>
        <v>0</v>
      </c>
      <c r="M2769">
        <f t="shared" si="217"/>
        <v>0</v>
      </c>
      <c r="N2769">
        <f t="shared" si="218"/>
        <v>0</v>
      </c>
      <c r="O2769">
        <f t="shared" si="220"/>
        <v>1</v>
      </c>
      <c r="P2769" t="str">
        <f t="shared" si="219"/>
        <v/>
      </c>
      <c r="Q2769">
        <f>COUNTIF('責任職　企業局→市長部局'!A:A,SQLデータ!B2769)</f>
        <v>0</v>
      </c>
      <c r="R2769">
        <f>COUNTIF('一般職員　企業局→市長部局'!A:F,SQLデータ!B2769)</f>
        <v>0</v>
      </c>
    </row>
    <row r="2770" spans="1:18" x14ac:dyDescent="0.4">
      <c r="A2770" s="1">
        <v>202650002672</v>
      </c>
      <c r="B2770" s="1">
        <v>1231251</v>
      </c>
      <c r="C2770" s="2">
        <v>46127</v>
      </c>
      <c r="D2770" t="s">
        <v>17</v>
      </c>
      <c r="E2770" t="s">
        <v>8</v>
      </c>
      <c r="G2770" t="s">
        <v>9</v>
      </c>
      <c r="L2770">
        <f t="shared" si="216"/>
        <v>0</v>
      </c>
      <c r="M2770">
        <f t="shared" si="217"/>
        <v>0</v>
      </c>
      <c r="N2770">
        <f t="shared" si="218"/>
        <v>0</v>
      </c>
      <c r="O2770">
        <f t="shared" si="220"/>
        <v>1</v>
      </c>
      <c r="P2770" t="str">
        <f t="shared" si="219"/>
        <v/>
      </c>
      <c r="Q2770">
        <f>COUNTIF('責任職　企業局→市長部局'!A:A,SQLデータ!B2770)</f>
        <v>0</v>
      </c>
      <c r="R2770">
        <f>COUNTIF('一般職員　企業局→市長部局'!A:F,SQLデータ!B2770)</f>
        <v>0</v>
      </c>
    </row>
    <row r="2771" spans="1:18" x14ac:dyDescent="0.4">
      <c r="A2771" s="1">
        <v>202650002673</v>
      </c>
      <c r="B2771" s="1">
        <v>1221019</v>
      </c>
      <c r="C2771" s="2">
        <v>46127</v>
      </c>
      <c r="D2771" t="s">
        <v>17</v>
      </c>
      <c r="E2771" t="s">
        <v>8</v>
      </c>
      <c r="G2771" t="s">
        <v>9</v>
      </c>
      <c r="L2771">
        <f t="shared" si="216"/>
        <v>0</v>
      </c>
      <c r="M2771">
        <f t="shared" si="217"/>
        <v>0</v>
      </c>
      <c r="N2771">
        <f t="shared" si="218"/>
        <v>0</v>
      </c>
      <c r="O2771">
        <f t="shared" si="220"/>
        <v>1</v>
      </c>
      <c r="P2771" t="str">
        <f t="shared" si="219"/>
        <v/>
      </c>
      <c r="Q2771">
        <f>COUNTIF('責任職　企業局→市長部局'!A:A,SQLデータ!B2771)</f>
        <v>0</v>
      </c>
      <c r="R2771">
        <f>COUNTIF('一般職員　企業局→市長部局'!A:F,SQLデータ!B2771)</f>
        <v>0</v>
      </c>
    </row>
    <row r="2772" spans="1:18" x14ac:dyDescent="0.4">
      <c r="A2772" s="1">
        <v>202650002674</v>
      </c>
      <c r="B2772" s="1">
        <v>1212019</v>
      </c>
      <c r="C2772" s="2">
        <v>46127</v>
      </c>
      <c r="D2772" t="s">
        <v>17</v>
      </c>
      <c r="E2772" t="s">
        <v>8</v>
      </c>
      <c r="G2772" t="s">
        <v>9</v>
      </c>
      <c r="L2772">
        <f t="shared" si="216"/>
        <v>0</v>
      </c>
      <c r="M2772">
        <f t="shared" si="217"/>
        <v>0</v>
      </c>
      <c r="N2772">
        <f t="shared" si="218"/>
        <v>0</v>
      </c>
      <c r="O2772">
        <f t="shared" si="220"/>
        <v>1</v>
      </c>
      <c r="P2772" t="str">
        <f t="shared" si="219"/>
        <v/>
      </c>
      <c r="Q2772">
        <f>COUNTIF('責任職　企業局→市長部局'!A:A,SQLデータ!B2772)</f>
        <v>0</v>
      </c>
      <c r="R2772">
        <f>COUNTIF('一般職員　企業局→市長部局'!A:F,SQLデータ!B2772)</f>
        <v>0</v>
      </c>
    </row>
    <row r="2773" spans="1:18" x14ac:dyDescent="0.4">
      <c r="A2773" s="1">
        <v>202650002675</v>
      </c>
      <c r="B2773" s="1">
        <v>1212065</v>
      </c>
      <c r="C2773" s="2">
        <v>46127</v>
      </c>
      <c r="D2773" t="s">
        <v>17</v>
      </c>
      <c r="E2773" t="s">
        <v>8</v>
      </c>
      <c r="G2773" t="s">
        <v>9</v>
      </c>
      <c r="L2773">
        <f t="shared" si="216"/>
        <v>0</v>
      </c>
      <c r="M2773">
        <f t="shared" si="217"/>
        <v>0</v>
      </c>
      <c r="N2773">
        <f t="shared" si="218"/>
        <v>0</v>
      </c>
      <c r="O2773">
        <f t="shared" si="220"/>
        <v>1</v>
      </c>
      <c r="P2773" t="str">
        <f t="shared" si="219"/>
        <v/>
      </c>
      <c r="Q2773">
        <f>COUNTIF('責任職　企業局→市長部局'!A:A,SQLデータ!B2773)</f>
        <v>0</v>
      </c>
      <c r="R2773">
        <f>COUNTIF('一般職員　企業局→市長部局'!A:F,SQLデータ!B2773)</f>
        <v>0</v>
      </c>
    </row>
    <row r="2774" spans="1:18" x14ac:dyDescent="0.4">
      <c r="A2774" s="1">
        <v>202650002676</v>
      </c>
      <c r="B2774" s="1">
        <v>1201043</v>
      </c>
      <c r="C2774" s="2">
        <v>46127</v>
      </c>
      <c r="D2774" t="s">
        <v>17</v>
      </c>
      <c r="E2774" t="s">
        <v>8</v>
      </c>
      <c r="G2774" t="s">
        <v>9</v>
      </c>
      <c r="L2774">
        <f t="shared" si="216"/>
        <v>0</v>
      </c>
      <c r="M2774">
        <f t="shared" si="217"/>
        <v>0</v>
      </c>
      <c r="N2774">
        <f t="shared" si="218"/>
        <v>0</v>
      </c>
      <c r="O2774">
        <f t="shared" si="220"/>
        <v>1</v>
      </c>
      <c r="P2774" t="str">
        <f t="shared" si="219"/>
        <v/>
      </c>
      <c r="Q2774">
        <f>COUNTIF('責任職　企業局→市長部局'!A:A,SQLデータ!B2774)</f>
        <v>0</v>
      </c>
      <c r="R2774">
        <f>COUNTIF('一般職員　企業局→市長部局'!A:F,SQLデータ!B2774)</f>
        <v>0</v>
      </c>
    </row>
    <row r="2775" spans="1:18" x14ac:dyDescent="0.4">
      <c r="A2775" s="1">
        <v>202650002677</v>
      </c>
      <c r="B2775" s="1">
        <v>1222093</v>
      </c>
      <c r="C2775" s="2">
        <v>46127</v>
      </c>
      <c r="D2775" t="s">
        <v>17</v>
      </c>
      <c r="E2775" t="s">
        <v>8</v>
      </c>
      <c r="G2775" t="s">
        <v>9</v>
      </c>
      <c r="L2775">
        <f t="shared" si="216"/>
        <v>0</v>
      </c>
      <c r="M2775">
        <f t="shared" si="217"/>
        <v>0</v>
      </c>
      <c r="N2775">
        <f t="shared" si="218"/>
        <v>0</v>
      </c>
      <c r="O2775">
        <f t="shared" si="220"/>
        <v>1</v>
      </c>
      <c r="P2775" t="str">
        <f t="shared" si="219"/>
        <v/>
      </c>
      <c r="Q2775">
        <f>COUNTIF('責任職　企業局→市長部局'!A:A,SQLデータ!B2775)</f>
        <v>0</v>
      </c>
      <c r="R2775">
        <f>COUNTIF('一般職員　企業局→市長部局'!A:F,SQLデータ!B2775)</f>
        <v>0</v>
      </c>
    </row>
    <row r="2776" spans="1:18" x14ac:dyDescent="0.4">
      <c r="A2776" s="1">
        <v>202650002678</v>
      </c>
      <c r="B2776" s="1">
        <v>940416</v>
      </c>
      <c r="C2776" s="2">
        <v>46127</v>
      </c>
      <c r="D2776" t="s">
        <v>17</v>
      </c>
      <c r="E2776" t="s">
        <v>8</v>
      </c>
      <c r="G2776" t="s">
        <v>9</v>
      </c>
      <c r="L2776">
        <f t="shared" si="216"/>
        <v>0</v>
      </c>
      <c r="M2776">
        <f t="shared" si="217"/>
        <v>0</v>
      </c>
      <c r="N2776">
        <f t="shared" si="218"/>
        <v>0</v>
      </c>
      <c r="O2776">
        <f t="shared" si="220"/>
        <v>1</v>
      </c>
      <c r="P2776" t="str">
        <f t="shared" si="219"/>
        <v/>
      </c>
      <c r="Q2776">
        <f>COUNTIF('責任職　企業局→市長部局'!A:A,SQLデータ!B2776)</f>
        <v>0</v>
      </c>
      <c r="R2776">
        <f>COUNTIF('一般職員　企業局→市長部局'!A:F,SQLデータ!B2776)</f>
        <v>0</v>
      </c>
    </row>
    <row r="2777" spans="1:18" x14ac:dyDescent="0.4">
      <c r="A2777" s="1">
        <v>202650002679</v>
      </c>
      <c r="B2777" s="1">
        <v>1181123</v>
      </c>
      <c r="C2777" s="2">
        <v>46127</v>
      </c>
      <c r="D2777" t="s">
        <v>17</v>
      </c>
      <c r="E2777" t="s">
        <v>8</v>
      </c>
      <c r="G2777" t="s">
        <v>9</v>
      </c>
      <c r="L2777">
        <f t="shared" si="216"/>
        <v>0</v>
      </c>
      <c r="M2777">
        <f t="shared" si="217"/>
        <v>0</v>
      </c>
      <c r="N2777">
        <f t="shared" si="218"/>
        <v>0</v>
      </c>
      <c r="O2777">
        <f t="shared" si="220"/>
        <v>1</v>
      </c>
      <c r="P2777" t="str">
        <f t="shared" si="219"/>
        <v/>
      </c>
      <c r="Q2777">
        <f>COUNTIF('責任職　企業局→市長部局'!A:A,SQLデータ!B2777)</f>
        <v>0</v>
      </c>
      <c r="R2777">
        <f>COUNTIF('一般職員　企業局→市長部局'!A:F,SQLデータ!B2777)</f>
        <v>0</v>
      </c>
    </row>
    <row r="2778" spans="1:18" x14ac:dyDescent="0.4">
      <c r="A2778" s="1">
        <v>202650002681</v>
      </c>
      <c r="B2778" s="1">
        <v>1232104</v>
      </c>
      <c r="C2778" s="2">
        <v>46127</v>
      </c>
      <c r="D2778" t="s">
        <v>17</v>
      </c>
      <c r="E2778" t="s">
        <v>8</v>
      </c>
      <c r="G2778" t="s">
        <v>9</v>
      </c>
      <c r="L2778">
        <f t="shared" si="216"/>
        <v>0</v>
      </c>
      <c r="M2778">
        <f t="shared" si="217"/>
        <v>0</v>
      </c>
      <c r="N2778">
        <f t="shared" si="218"/>
        <v>0</v>
      </c>
      <c r="O2778">
        <f t="shared" si="220"/>
        <v>1</v>
      </c>
      <c r="P2778" t="str">
        <f t="shared" si="219"/>
        <v/>
      </c>
      <c r="Q2778">
        <f>COUNTIF('責任職　企業局→市長部局'!A:A,SQLデータ!B2778)</f>
        <v>0</v>
      </c>
      <c r="R2778">
        <f>COUNTIF('一般職員　企業局→市長部局'!A:F,SQLデータ!B2778)</f>
        <v>0</v>
      </c>
    </row>
    <row r="2779" spans="1:18" x14ac:dyDescent="0.4">
      <c r="A2779" s="1">
        <v>202650002682</v>
      </c>
      <c r="B2779" s="1">
        <v>900265</v>
      </c>
      <c r="C2779" s="2">
        <v>46127</v>
      </c>
      <c r="D2779" t="s">
        <v>17</v>
      </c>
      <c r="E2779" t="s">
        <v>8</v>
      </c>
      <c r="G2779" t="s">
        <v>9</v>
      </c>
      <c r="L2779">
        <f t="shared" si="216"/>
        <v>0</v>
      </c>
      <c r="M2779">
        <f t="shared" si="217"/>
        <v>0</v>
      </c>
      <c r="N2779">
        <f t="shared" si="218"/>
        <v>0</v>
      </c>
      <c r="O2779">
        <f t="shared" si="220"/>
        <v>1</v>
      </c>
      <c r="P2779" t="str">
        <f t="shared" si="219"/>
        <v/>
      </c>
      <c r="Q2779">
        <f>COUNTIF('責任職　企業局→市長部局'!A:A,SQLデータ!B2779)</f>
        <v>0</v>
      </c>
      <c r="R2779">
        <f>COUNTIF('一般職員　企業局→市長部局'!A:F,SQLデータ!B2779)</f>
        <v>0</v>
      </c>
    </row>
    <row r="2780" spans="1:18" x14ac:dyDescent="0.4">
      <c r="A2780" s="1">
        <v>202650002683</v>
      </c>
      <c r="B2780" s="1">
        <v>1161251</v>
      </c>
      <c r="C2780" s="2">
        <v>46127</v>
      </c>
      <c r="D2780" t="s">
        <v>17</v>
      </c>
      <c r="E2780" t="s">
        <v>8</v>
      </c>
      <c r="G2780" t="s">
        <v>9</v>
      </c>
      <c r="L2780">
        <f t="shared" si="216"/>
        <v>0</v>
      </c>
      <c r="M2780">
        <f t="shared" si="217"/>
        <v>0</v>
      </c>
      <c r="N2780">
        <f t="shared" si="218"/>
        <v>0</v>
      </c>
      <c r="O2780">
        <f t="shared" si="220"/>
        <v>1</v>
      </c>
      <c r="P2780" t="str">
        <f t="shared" si="219"/>
        <v/>
      </c>
      <c r="Q2780">
        <f>COUNTIF('責任職　企業局→市長部局'!A:A,SQLデータ!B2780)</f>
        <v>0</v>
      </c>
      <c r="R2780">
        <f>COUNTIF('一般職員　企業局→市長部局'!A:F,SQLデータ!B2780)</f>
        <v>0</v>
      </c>
    </row>
    <row r="2781" spans="1:18" x14ac:dyDescent="0.4">
      <c r="A2781" s="1">
        <v>202650002684</v>
      </c>
      <c r="B2781" s="1">
        <v>1243010</v>
      </c>
      <c r="C2781" s="2">
        <v>46127</v>
      </c>
      <c r="D2781" t="s">
        <v>17</v>
      </c>
      <c r="E2781" t="s">
        <v>8</v>
      </c>
      <c r="G2781" t="s">
        <v>9</v>
      </c>
      <c r="L2781">
        <f t="shared" si="216"/>
        <v>0</v>
      </c>
      <c r="M2781">
        <f t="shared" si="217"/>
        <v>0</v>
      </c>
      <c r="N2781">
        <f t="shared" si="218"/>
        <v>0</v>
      </c>
      <c r="O2781">
        <f t="shared" si="220"/>
        <v>1</v>
      </c>
      <c r="P2781" t="str">
        <f t="shared" si="219"/>
        <v/>
      </c>
      <c r="Q2781">
        <f>COUNTIF('責任職　企業局→市長部局'!A:A,SQLデータ!B2781)</f>
        <v>0</v>
      </c>
      <c r="R2781">
        <f>COUNTIF('一般職員　企業局→市長部局'!A:F,SQLデータ!B2781)</f>
        <v>0</v>
      </c>
    </row>
    <row r="2782" spans="1:18" x14ac:dyDescent="0.4">
      <c r="A2782" s="1">
        <v>202650002685</v>
      </c>
      <c r="B2782" s="1">
        <v>971094</v>
      </c>
      <c r="C2782" s="2">
        <v>46127</v>
      </c>
      <c r="D2782" t="s">
        <v>17</v>
      </c>
      <c r="E2782" t="s">
        <v>8</v>
      </c>
      <c r="G2782" t="s">
        <v>9</v>
      </c>
      <c r="L2782">
        <f t="shared" si="216"/>
        <v>0</v>
      </c>
      <c r="M2782">
        <f t="shared" si="217"/>
        <v>0</v>
      </c>
      <c r="N2782">
        <f t="shared" si="218"/>
        <v>0</v>
      </c>
      <c r="O2782">
        <f t="shared" si="220"/>
        <v>1</v>
      </c>
      <c r="P2782" t="str">
        <f t="shared" si="219"/>
        <v/>
      </c>
      <c r="Q2782">
        <f>COUNTIF('責任職　企業局→市長部局'!A:A,SQLデータ!B2782)</f>
        <v>0</v>
      </c>
      <c r="R2782">
        <f>COUNTIF('一般職員　企業局→市長部局'!A:F,SQLデータ!B2782)</f>
        <v>0</v>
      </c>
    </row>
    <row r="2783" spans="1:18" x14ac:dyDescent="0.4">
      <c r="A2783" s="1">
        <v>202650002686</v>
      </c>
      <c r="B2783" s="1">
        <v>1191486</v>
      </c>
      <c r="C2783" s="2">
        <v>46127</v>
      </c>
      <c r="D2783" t="s">
        <v>17</v>
      </c>
      <c r="E2783" t="s">
        <v>8</v>
      </c>
      <c r="G2783" t="s">
        <v>9</v>
      </c>
      <c r="L2783">
        <f t="shared" si="216"/>
        <v>0</v>
      </c>
      <c r="M2783">
        <f t="shared" si="217"/>
        <v>0</v>
      </c>
      <c r="N2783">
        <f t="shared" si="218"/>
        <v>0</v>
      </c>
      <c r="O2783">
        <f t="shared" si="220"/>
        <v>1</v>
      </c>
      <c r="P2783" t="str">
        <f t="shared" si="219"/>
        <v/>
      </c>
      <c r="Q2783">
        <f>COUNTIF('責任職　企業局→市長部局'!A:A,SQLデータ!B2783)</f>
        <v>0</v>
      </c>
      <c r="R2783">
        <f>COUNTIF('一般職員　企業局→市長部局'!A:F,SQLデータ!B2783)</f>
        <v>0</v>
      </c>
    </row>
    <row r="2784" spans="1:18" x14ac:dyDescent="0.4">
      <c r="A2784" s="1">
        <v>202650002687</v>
      </c>
      <c r="B2784" s="1">
        <v>1221045</v>
      </c>
      <c r="C2784" s="2">
        <v>46127</v>
      </c>
      <c r="D2784" t="s">
        <v>17</v>
      </c>
      <c r="E2784" t="s">
        <v>8</v>
      </c>
      <c r="G2784" t="s">
        <v>9</v>
      </c>
      <c r="L2784">
        <f t="shared" si="216"/>
        <v>0</v>
      </c>
      <c r="M2784">
        <f t="shared" si="217"/>
        <v>0</v>
      </c>
      <c r="N2784">
        <f t="shared" si="218"/>
        <v>0</v>
      </c>
      <c r="O2784">
        <f t="shared" si="220"/>
        <v>1</v>
      </c>
      <c r="P2784" t="str">
        <f t="shared" si="219"/>
        <v/>
      </c>
      <c r="Q2784">
        <f>COUNTIF('責任職　企業局→市長部局'!A:A,SQLデータ!B2784)</f>
        <v>0</v>
      </c>
      <c r="R2784">
        <f>COUNTIF('一般職員　企業局→市長部局'!A:F,SQLデータ!B2784)</f>
        <v>0</v>
      </c>
    </row>
    <row r="2785" spans="1:18" x14ac:dyDescent="0.4">
      <c r="A2785" s="1">
        <v>202650002688</v>
      </c>
      <c r="B2785" s="1">
        <v>1231045</v>
      </c>
      <c r="C2785" s="2">
        <v>46127</v>
      </c>
      <c r="D2785" t="s">
        <v>17</v>
      </c>
      <c r="E2785" t="s">
        <v>8</v>
      </c>
      <c r="G2785" t="s">
        <v>9</v>
      </c>
      <c r="L2785">
        <f t="shared" si="216"/>
        <v>0</v>
      </c>
      <c r="M2785">
        <f t="shared" si="217"/>
        <v>0</v>
      </c>
      <c r="N2785">
        <f t="shared" si="218"/>
        <v>0</v>
      </c>
      <c r="O2785">
        <f t="shared" si="220"/>
        <v>1</v>
      </c>
      <c r="P2785" t="str">
        <f t="shared" si="219"/>
        <v/>
      </c>
      <c r="Q2785">
        <f>COUNTIF('責任職　企業局→市長部局'!A:A,SQLデータ!B2785)</f>
        <v>0</v>
      </c>
      <c r="R2785">
        <f>COUNTIF('一般職員　企業局→市長部局'!A:F,SQLデータ!B2785)</f>
        <v>0</v>
      </c>
    </row>
    <row r="2786" spans="1:18" x14ac:dyDescent="0.4">
      <c r="A2786" s="1">
        <v>202650002689</v>
      </c>
      <c r="B2786" s="1">
        <v>1221358</v>
      </c>
      <c r="C2786" s="2">
        <v>46127</v>
      </c>
      <c r="D2786" t="s">
        <v>17</v>
      </c>
      <c r="E2786" t="s">
        <v>8</v>
      </c>
      <c r="G2786" t="s">
        <v>9</v>
      </c>
      <c r="L2786">
        <f t="shared" si="216"/>
        <v>0</v>
      </c>
      <c r="M2786">
        <f t="shared" si="217"/>
        <v>0</v>
      </c>
      <c r="N2786">
        <f t="shared" si="218"/>
        <v>0</v>
      </c>
      <c r="O2786">
        <f t="shared" si="220"/>
        <v>1</v>
      </c>
      <c r="P2786" t="str">
        <f t="shared" si="219"/>
        <v/>
      </c>
      <c r="Q2786">
        <f>COUNTIF('責任職　企業局→市長部局'!A:A,SQLデータ!B2786)</f>
        <v>0</v>
      </c>
      <c r="R2786">
        <f>COUNTIF('一般職員　企業局→市長部局'!A:F,SQLデータ!B2786)</f>
        <v>0</v>
      </c>
    </row>
    <row r="2787" spans="1:18" x14ac:dyDescent="0.4">
      <c r="A2787" s="1">
        <v>202650002690</v>
      </c>
      <c r="B2787" s="1">
        <v>1041149</v>
      </c>
      <c r="C2787" s="2">
        <v>46127</v>
      </c>
      <c r="D2787" t="s">
        <v>17</v>
      </c>
      <c r="E2787" t="s">
        <v>8</v>
      </c>
      <c r="G2787" t="s">
        <v>9</v>
      </c>
      <c r="L2787">
        <f t="shared" si="216"/>
        <v>0</v>
      </c>
      <c r="M2787">
        <f t="shared" si="217"/>
        <v>0</v>
      </c>
      <c r="N2787">
        <f t="shared" si="218"/>
        <v>0</v>
      </c>
      <c r="O2787">
        <f t="shared" si="220"/>
        <v>1</v>
      </c>
      <c r="P2787" t="str">
        <f t="shared" si="219"/>
        <v/>
      </c>
      <c r="Q2787">
        <f>COUNTIF('責任職　企業局→市長部局'!A:A,SQLデータ!B2787)</f>
        <v>0</v>
      </c>
      <c r="R2787">
        <f>COUNTIF('一般職員　企業局→市長部局'!A:F,SQLデータ!B2787)</f>
        <v>0</v>
      </c>
    </row>
    <row r="2788" spans="1:18" x14ac:dyDescent="0.4">
      <c r="A2788" s="1">
        <v>202650002691</v>
      </c>
      <c r="B2788" s="1">
        <v>1152019</v>
      </c>
      <c r="C2788" s="2">
        <v>46127</v>
      </c>
      <c r="D2788" t="s">
        <v>17</v>
      </c>
      <c r="E2788" t="s">
        <v>8</v>
      </c>
      <c r="G2788" t="s">
        <v>9</v>
      </c>
      <c r="L2788">
        <f t="shared" si="216"/>
        <v>0</v>
      </c>
      <c r="M2788">
        <f t="shared" si="217"/>
        <v>0</v>
      </c>
      <c r="N2788">
        <f t="shared" si="218"/>
        <v>0</v>
      </c>
      <c r="O2788">
        <f t="shared" si="220"/>
        <v>1</v>
      </c>
      <c r="P2788" t="str">
        <f t="shared" si="219"/>
        <v/>
      </c>
      <c r="Q2788">
        <f>COUNTIF('責任職　企業局→市長部局'!A:A,SQLデータ!B2788)</f>
        <v>0</v>
      </c>
      <c r="R2788">
        <f>COUNTIF('一般職員　企業局→市長部局'!A:F,SQLデータ!B2788)</f>
        <v>0</v>
      </c>
    </row>
    <row r="2789" spans="1:18" x14ac:dyDescent="0.4">
      <c r="A2789" s="1">
        <v>202650002692</v>
      </c>
      <c r="B2789" s="1">
        <v>1191325</v>
      </c>
      <c r="C2789" s="2">
        <v>46127</v>
      </c>
      <c r="D2789" t="s">
        <v>17</v>
      </c>
      <c r="E2789" t="s">
        <v>8</v>
      </c>
      <c r="G2789" t="s">
        <v>9</v>
      </c>
      <c r="L2789">
        <f t="shared" si="216"/>
        <v>0</v>
      </c>
      <c r="M2789">
        <f t="shared" si="217"/>
        <v>0</v>
      </c>
      <c r="N2789">
        <f t="shared" si="218"/>
        <v>0</v>
      </c>
      <c r="O2789">
        <f t="shared" si="220"/>
        <v>1</v>
      </c>
      <c r="P2789" t="str">
        <f t="shared" si="219"/>
        <v/>
      </c>
      <c r="Q2789">
        <f>COUNTIF('責任職　企業局→市長部局'!A:A,SQLデータ!B2789)</f>
        <v>0</v>
      </c>
      <c r="R2789">
        <f>COUNTIF('一般職員　企業局→市長部局'!A:F,SQLデータ!B2789)</f>
        <v>0</v>
      </c>
    </row>
    <row r="2790" spans="1:18" x14ac:dyDescent="0.4">
      <c r="A2790" s="1">
        <v>202650002693</v>
      </c>
      <c r="B2790" s="1">
        <v>930603</v>
      </c>
      <c r="C2790" s="2">
        <v>46127</v>
      </c>
      <c r="D2790" t="s">
        <v>17</v>
      </c>
      <c r="E2790" t="s">
        <v>8</v>
      </c>
      <c r="G2790" t="s">
        <v>9</v>
      </c>
      <c r="L2790">
        <f t="shared" si="216"/>
        <v>0</v>
      </c>
      <c r="M2790">
        <f t="shared" si="217"/>
        <v>0</v>
      </c>
      <c r="N2790">
        <f t="shared" si="218"/>
        <v>0</v>
      </c>
      <c r="O2790">
        <f t="shared" si="220"/>
        <v>1</v>
      </c>
      <c r="P2790" t="str">
        <f t="shared" si="219"/>
        <v/>
      </c>
      <c r="Q2790">
        <f>COUNTIF('責任職　企業局→市長部局'!A:A,SQLデータ!B2790)</f>
        <v>0</v>
      </c>
      <c r="R2790">
        <f>COUNTIF('一般職員　企業局→市長部局'!A:F,SQLデータ!B2790)</f>
        <v>0</v>
      </c>
    </row>
    <row r="2791" spans="1:18" x14ac:dyDescent="0.4">
      <c r="A2791" s="1">
        <v>202650002694</v>
      </c>
      <c r="B2791" s="1">
        <v>1231040</v>
      </c>
      <c r="C2791" s="2">
        <v>46127</v>
      </c>
      <c r="D2791" t="s">
        <v>17</v>
      </c>
      <c r="E2791" t="s">
        <v>8</v>
      </c>
      <c r="G2791" t="s">
        <v>9</v>
      </c>
      <c r="L2791">
        <f t="shared" si="216"/>
        <v>0</v>
      </c>
      <c r="M2791">
        <f t="shared" si="217"/>
        <v>0</v>
      </c>
      <c r="N2791">
        <f t="shared" si="218"/>
        <v>0</v>
      </c>
      <c r="O2791">
        <f t="shared" si="220"/>
        <v>1</v>
      </c>
      <c r="P2791" t="str">
        <f t="shared" si="219"/>
        <v/>
      </c>
      <c r="Q2791">
        <f>COUNTIF('責任職　企業局→市長部局'!A:A,SQLデータ!B2791)</f>
        <v>0</v>
      </c>
      <c r="R2791">
        <f>COUNTIF('一般職員　企業局→市長部局'!A:F,SQLデータ!B2791)</f>
        <v>0</v>
      </c>
    </row>
    <row r="2792" spans="1:18" x14ac:dyDescent="0.4">
      <c r="A2792" s="1">
        <v>202650002695</v>
      </c>
      <c r="B2792" s="1">
        <v>1221231</v>
      </c>
      <c r="C2792" s="2">
        <v>46127</v>
      </c>
      <c r="D2792" t="s">
        <v>17</v>
      </c>
      <c r="E2792" t="s">
        <v>8</v>
      </c>
      <c r="G2792" t="s">
        <v>9</v>
      </c>
      <c r="L2792">
        <f t="shared" si="216"/>
        <v>0</v>
      </c>
      <c r="M2792">
        <f t="shared" si="217"/>
        <v>0</v>
      </c>
      <c r="N2792">
        <f t="shared" si="218"/>
        <v>0</v>
      </c>
      <c r="O2792">
        <f t="shared" si="220"/>
        <v>1</v>
      </c>
      <c r="P2792" t="str">
        <f t="shared" si="219"/>
        <v/>
      </c>
      <c r="Q2792">
        <f>COUNTIF('責任職　企業局→市長部局'!A:A,SQLデータ!B2792)</f>
        <v>0</v>
      </c>
      <c r="R2792">
        <f>COUNTIF('一般職員　企業局→市長部局'!A:F,SQLデータ!B2792)</f>
        <v>0</v>
      </c>
    </row>
    <row r="2793" spans="1:18" x14ac:dyDescent="0.4">
      <c r="A2793" s="1">
        <v>202650002696</v>
      </c>
      <c r="B2793" s="1">
        <v>1231307</v>
      </c>
      <c r="C2793" s="2">
        <v>46127</v>
      </c>
      <c r="D2793" t="s">
        <v>17</v>
      </c>
      <c r="E2793" t="s">
        <v>8</v>
      </c>
      <c r="G2793" t="s">
        <v>9</v>
      </c>
      <c r="L2793">
        <f t="shared" si="216"/>
        <v>0</v>
      </c>
      <c r="M2793">
        <f t="shared" si="217"/>
        <v>0</v>
      </c>
      <c r="N2793">
        <f t="shared" si="218"/>
        <v>0</v>
      </c>
      <c r="O2793">
        <f t="shared" si="220"/>
        <v>1</v>
      </c>
      <c r="P2793" t="str">
        <f t="shared" si="219"/>
        <v/>
      </c>
      <c r="Q2793">
        <f>COUNTIF('責任職　企業局→市長部局'!A:A,SQLデータ!B2793)</f>
        <v>0</v>
      </c>
      <c r="R2793">
        <f>COUNTIF('一般職員　企業局→市長部局'!A:F,SQLデータ!B2793)</f>
        <v>0</v>
      </c>
    </row>
    <row r="2794" spans="1:18" x14ac:dyDescent="0.4">
      <c r="A2794" s="1">
        <v>202650002697</v>
      </c>
      <c r="B2794" s="1">
        <v>900444</v>
      </c>
      <c r="C2794" s="2">
        <v>46127</v>
      </c>
      <c r="D2794" t="s">
        <v>17</v>
      </c>
      <c r="E2794" t="s">
        <v>8</v>
      </c>
      <c r="G2794" t="s">
        <v>9</v>
      </c>
      <c r="L2794">
        <f t="shared" si="216"/>
        <v>0</v>
      </c>
      <c r="M2794">
        <f t="shared" si="217"/>
        <v>0</v>
      </c>
      <c r="N2794">
        <f t="shared" si="218"/>
        <v>0</v>
      </c>
      <c r="O2794">
        <f t="shared" si="220"/>
        <v>1</v>
      </c>
      <c r="P2794" t="str">
        <f t="shared" si="219"/>
        <v/>
      </c>
      <c r="Q2794">
        <f>COUNTIF('責任職　企業局→市長部局'!A:A,SQLデータ!B2794)</f>
        <v>0</v>
      </c>
      <c r="R2794">
        <f>COUNTIF('一般職員　企業局→市長部局'!A:F,SQLデータ!B2794)</f>
        <v>0</v>
      </c>
    </row>
    <row r="2795" spans="1:18" x14ac:dyDescent="0.4">
      <c r="A2795" s="1">
        <v>202650002698</v>
      </c>
      <c r="B2795" s="1">
        <v>1201433</v>
      </c>
      <c r="C2795" s="2">
        <v>46127</v>
      </c>
      <c r="D2795" t="s">
        <v>17</v>
      </c>
      <c r="E2795" t="s">
        <v>8</v>
      </c>
      <c r="G2795" t="s">
        <v>9</v>
      </c>
      <c r="L2795">
        <f t="shared" si="216"/>
        <v>0</v>
      </c>
      <c r="M2795">
        <f t="shared" si="217"/>
        <v>0</v>
      </c>
      <c r="N2795">
        <f t="shared" si="218"/>
        <v>0</v>
      </c>
      <c r="O2795">
        <f t="shared" si="220"/>
        <v>1</v>
      </c>
      <c r="P2795" t="str">
        <f t="shared" si="219"/>
        <v/>
      </c>
      <c r="Q2795">
        <f>COUNTIF('責任職　企業局→市長部局'!A:A,SQLデータ!B2795)</f>
        <v>0</v>
      </c>
      <c r="R2795">
        <f>COUNTIF('一般職員　企業局→市長部局'!A:F,SQLデータ!B2795)</f>
        <v>0</v>
      </c>
    </row>
    <row r="2796" spans="1:18" x14ac:dyDescent="0.4">
      <c r="A2796" s="1">
        <v>202650002699</v>
      </c>
      <c r="B2796" s="1">
        <v>1231126</v>
      </c>
      <c r="C2796" s="2">
        <v>46127</v>
      </c>
      <c r="D2796" t="s">
        <v>17</v>
      </c>
      <c r="E2796" t="s">
        <v>8</v>
      </c>
      <c r="G2796" t="s">
        <v>9</v>
      </c>
      <c r="L2796">
        <f t="shared" si="216"/>
        <v>0</v>
      </c>
      <c r="M2796">
        <f t="shared" si="217"/>
        <v>0</v>
      </c>
      <c r="N2796">
        <f t="shared" si="218"/>
        <v>0</v>
      </c>
      <c r="O2796">
        <f t="shared" si="220"/>
        <v>1</v>
      </c>
      <c r="P2796" t="str">
        <f t="shared" si="219"/>
        <v/>
      </c>
      <c r="Q2796">
        <f>COUNTIF('責任職　企業局→市長部局'!A:A,SQLデータ!B2796)</f>
        <v>0</v>
      </c>
      <c r="R2796">
        <f>COUNTIF('一般職員　企業局→市長部局'!A:F,SQLデータ!B2796)</f>
        <v>0</v>
      </c>
    </row>
    <row r="2797" spans="1:18" x14ac:dyDescent="0.4">
      <c r="A2797" s="1">
        <v>202650002700</v>
      </c>
      <c r="B2797" s="1">
        <v>1171083</v>
      </c>
      <c r="C2797" s="2">
        <v>46127</v>
      </c>
      <c r="D2797" t="s">
        <v>17</v>
      </c>
      <c r="E2797" t="s">
        <v>8</v>
      </c>
      <c r="G2797" t="s">
        <v>9</v>
      </c>
      <c r="L2797">
        <f t="shared" si="216"/>
        <v>0</v>
      </c>
      <c r="M2797">
        <f t="shared" si="217"/>
        <v>0</v>
      </c>
      <c r="N2797">
        <f t="shared" si="218"/>
        <v>0</v>
      </c>
      <c r="O2797">
        <f t="shared" si="220"/>
        <v>1</v>
      </c>
      <c r="P2797" t="str">
        <f t="shared" si="219"/>
        <v/>
      </c>
      <c r="Q2797">
        <f>COUNTIF('責任職　企業局→市長部局'!A:A,SQLデータ!B2797)</f>
        <v>0</v>
      </c>
      <c r="R2797">
        <f>COUNTIF('一般職員　企業局→市長部局'!A:F,SQLデータ!B2797)</f>
        <v>0</v>
      </c>
    </row>
    <row r="2798" spans="1:18" x14ac:dyDescent="0.4">
      <c r="A2798" s="1">
        <v>202650002701</v>
      </c>
      <c r="B2798" s="1">
        <v>1171081</v>
      </c>
      <c r="C2798" s="2">
        <v>46127</v>
      </c>
      <c r="D2798" t="s">
        <v>17</v>
      </c>
      <c r="E2798" t="s">
        <v>8</v>
      </c>
      <c r="G2798" t="s">
        <v>9</v>
      </c>
      <c r="L2798">
        <f t="shared" si="216"/>
        <v>0</v>
      </c>
      <c r="M2798">
        <f t="shared" si="217"/>
        <v>0</v>
      </c>
      <c r="N2798">
        <f t="shared" si="218"/>
        <v>0</v>
      </c>
      <c r="O2798">
        <f t="shared" si="220"/>
        <v>1</v>
      </c>
      <c r="P2798" t="str">
        <f t="shared" si="219"/>
        <v/>
      </c>
      <c r="Q2798">
        <f>COUNTIF('責任職　企業局→市長部局'!A:A,SQLデータ!B2798)</f>
        <v>0</v>
      </c>
      <c r="R2798">
        <f>COUNTIF('一般職員　企業局→市長部局'!A:F,SQLデータ!B2798)</f>
        <v>0</v>
      </c>
    </row>
    <row r="2799" spans="1:18" x14ac:dyDescent="0.4">
      <c r="A2799" s="1">
        <v>202650002702</v>
      </c>
      <c r="B2799" s="1">
        <v>1131475</v>
      </c>
      <c r="C2799" s="2">
        <v>46127</v>
      </c>
      <c r="D2799" t="s">
        <v>17</v>
      </c>
      <c r="E2799" t="s">
        <v>8</v>
      </c>
      <c r="G2799" t="s">
        <v>9</v>
      </c>
      <c r="L2799">
        <f t="shared" si="216"/>
        <v>0</v>
      </c>
      <c r="M2799">
        <f t="shared" si="217"/>
        <v>0</v>
      </c>
      <c r="N2799">
        <f t="shared" si="218"/>
        <v>0</v>
      </c>
      <c r="O2799">
        <f t="shared" si="220"/>
        <v>1</v>
      </c>
      <c r="P2799" t="str">
        <f t="shared" si="219"/>
        <v/>
      </c>
      <c r="Q2799">
        <f>COUNTIF('責任職　企業局→市長部局'!A:A,SQLデータ!B2799)</f>
        <v>0</v>
      </c>
      <c r="R2799">
        <f>COUNTIF('一般職員　企業局→市長部局'!A:F,SQLデータ!B2799)</f>
        <v>0</v>
      </c>
    </row>
    <row r="2800" spans="1:18" x14ac:dyDescent="0.4">
      <c r="A2800" s="1">
        <v>202650002703</v>
      </c>
      <c r="B2800" s="1">
        <v>1201002</v>
      </c>
      <c r="C2800" s="2">
        <v>46127</v>
      </c>
      <c r="D2800" t="s">
        <v>17</v>
      </c>
      <c r="E2800" t="s">
        <v>8</v>
      </c>
      <c r="G2800" t="s">
        <v>9</v>
      </c>
      <c r="L2800">
        <f t="shared" si="216"/>
        <v>0</v>
      </c>
      <c r="M2800">
        <f t="shared" si="217"/>
        <v>0</v>
      </c>
      <c r="N2800">
        <f t="shared" si="218"/>
        <v>0</v>
      </c>
      <c r="O2800">
        <f t="shared" si="220"/>
        <v>1</v>
      </c>
      <c r="P2800" t="str">
        <f t="shared" si="219"/>
        <v/>
      </c>
      <c r="Q2800">
        <f>COUNTIF('責任職　企業局→市長部局'!A:A,SQLデータ!B2800)</f>
        <v>0</v>
      </c>
      <c r="R2800">
        <f>COUNTIF('一般職員　企業局→市長部局'!A:F,SQLデータ!B2800)</f>
        <v>0</v>
      </c>
    </row>
    <row r="2801" spans="1:18" x14ac:dyDescent="0.4">
      <c r="A2801" s="1">
        <v>202650002704</v>
      </c>
      <c r="B2801" s="1">
        <v>1202321</v>
      </c>
      <c r="C2801" s="2">
        <v>46127</v>
      </c>
      <c r="D2801" t="s">
        <v>17</v>
      </c>
      <c r="E2801" t="s">
        <v>8</v>
      </c>
      <c r="G2801" t="s">
        <v>9</v>
      </c>
      <c r="L2801">
        <f t="shared" si="216"/>
        <v>0</v>
      </c>
      <c r="M2801">
        <f t="shared" si="217"/>
        <v>0</v>
      </c>
      <c r="N2801">
        <f t="shared" si="218"/>
        <v>0</v>
      </c>
      <c r="O2801">
        <f t="shared" si="220"/>
        <v>1</v>
      </c>
      <c r="P2801" t="str">
        <f t="shared" si="219"/>
        <v/>
      </c>
      <c r="Q2801">
        <f>COUNTIF('責任職　企業局→市長部局'!A:A,SQLデータ!B2801)</f>
        <v>0</v>
      </c>
      <c r="R2801">
        <f>COUNTIF('一般職員　企業局→市長部局'!A:F,SQLデータ!B2801)</f>
        <v>0</v>
      </c>
    </row>
    <row r="2802" spans="1:18" x14ac:dyDescent="0.4">
      <c r="A2802" s="1">
        <v>202650002705</v>
      </c>
      <c r="B2802" s="1">
        <v>1021150</v>
      </c>
      <c r="C2802" s="2">
        <v>46127</v>
      </c>
      <c r="D2802" t="s">
        <v>17</v>
      </c>
      <c r="E2802" t="s">
        <v>8</v>
      </c>
      <c r="G2802" t="s">
        <v>9</v>
      </c>
      <c r="L2802">
        <f t="shared" si="216"/>
        <v>0</v>
      </c>
      <c r="M2802">
        <f t="shared" si="217"/>
        <v>0</v>
      </c>
      <c r="N2802">
        <f t="shared" si="218"/>
        <v>0</v>
      </c>
      <c r="O2802">
        <f t="shared" si="220"/>
        <v>1</v>
      </c>
      <c r="P2802" t="str">
        <f t="shared" si="219"/>
        <v/>
      </c>
      <c r="Q2802">
        <f>COUNTIF('責任職　企業局→市長部局'!A:A,SQLデータ!B2802)</f>
        <v>0</v>
      </c>
      <c r="R2802">
        <f>COUNTIF('一般職員　企業局→市長部局'!A:F,SQLデータ!B2802)</f>
        <v>0</v>
      </c>
    </row>
    <row r="2803" spans="1:18" x14ac:dyDescent="0.4">
      <c r="A2803" s="1">
        <v>202650002706</v>
      </c>
      <c r="B2803" s="1">
        <v>974128</v>
      </c>
      <c r="C2803" s="2">
        <v>46127</v>
      </c>
      <c r="D2803" t="s">
        <v>17</v>
      </c>
      <c r="E2803" t="s">
        <v>8</v>
      </c>
      <c r="G2803" t="s">
        <v>9</v>
      </c>
      <c r="L2803">
        <f t="shared" si="216"/>
        <v>0</v>
      </c>
      <c r="M2803">
        <f t="shared" si="217"/>
        <v>0</v>
      </c>
      <c r="N2803">
        <f t="shared" si="218"/>
        <v>0</v>
      </c>
      <c r="O2803">
        <f t="shared" si="220"/>
        <v>1</v>
      </c>
      <c r="P2803" t="str">
        <f t="shared" si="219"/>
        <v/>
      </c>
      <c r="Q2803">
        <f>COUNTIF('責任職　企業局→市長部局'!A:A,SQLデータ!B2803)</f>
        <v>0</v>
      </c>
      <c r="R2803">
        <f>COUNTIF('一般職員　企業局→市長部局'!A:F,SQLデータ!B2803)</f>
        <v>0</v>
      </c>
    </row>
    <row r="2804" spans="1:18" x14ac:dyDescent="0.4">
      <c r="A2804" s="1">
        <v>202650002707</v>
      </c>
      <c r="B2804" s="1">
        <v>1162015</v>
      </c>
      <c r="C2804" s="2">
        <v>46127</v>
      </c>
      <c r="D2804" t="s">
        <v>17</v>
      </c>
      <c r="E2804" t="s">
        <v>8</v>
      </c>
      <c r="G2804" t="s">
        <v>9</v>
      </c>
      <c r="L2804">
        <f t="shared" si="216"/>
        <v>0</v>
      </c>
      <c r="M2804">
        <f t="shared" si="217"/>
        <v>0</v>
      </c>
      <c r="N2804">
        <f t="shared" si="218"/>
        <v>0</v>
      </c>
      <c r="O2804">
        <f t="shared" si="220"/>
        <v>1</v>
      </c>
      <c r="P2804" t="str">
        <f t="shared" si="219"/>
        <v/>
      </c>
      <c r="Q2804">
        <f>COUNTIF('責任職　企業局→市長部局'!A:A,SQLデータ!B2804)</f>
        <v>0</v>
      </c>
      <c r="R2804">
        <f>COUNTIF('一般職員　企業局→市長部局'!A:F,SQLデータ!B2804)</f>
        <v>0</v>
      </c>
    </row>
    <row r="2805" spans="1:18" x14ac:dyDescent="0.4">
      <c r="A2805" s="1">
        <v>202650002708</v>
      </c>
      <c r="B2805" s="1">
        <v>1212506</v>
      </c>
      <c r="C2805" s="2">
        <v>46127</v>
      </c>
      <c r="D2805" t="s">
        <v>17</v>
      </c>
      <c r="E2805" t="s">
        <v>8</v>
      </c>
      <c r="G2805" t="s">
        <v>9</v>
      </c>
      <c r="L2805">
        <f t="shared" si="216"/>
        <v>0</v>
      </c>
      <c r="M2805">
        <f t="shared" si="217"/>
        <v>0</v>
      </c>
      <c r="N2805">
        <f t="shared" si="218"/>
        <v>0</v>
      </c>
      <c r="O2805">
        <f t="shared" si="220"/>
        <v>1</v>
      </c>
      <c r="P2805" t="str">
        <f t="shared" si="219"/>
        <v/>
      </c>
      <c r="Q2805">
        <f>COUNTIF('責任職　企業局→市長部局'!A:A,SQLデータ!B2805)</f>
        <v>0</v>
      </c>
      <c r="R2805">
        <f>COUNTIF('一般職員　企業局→市長部局'!A:F,SQLデータ!B2805)</f>
        <v>0</v>
      </c>
    </row>
    <row r="2806" spans="1:18" x14ac:dyDescent="0.4">
      <c r="A2806" s="1">
        <v>202650002710</v>
      </c>
      <c r="B2806" s="1">
        <v>1231147</v>
      </c>
      <c r="C2806" s="2">
        <v>46127</v>
      </c>
      <c r="D2806" t="s">
        <v>17</v>
      </c>
      <c r="E2806" t="s">
        <v>8</v>
      </c>
      <c r="G2806" t="s">
        <v>9</v>
      </c>
      <c r="L2806">
        <f t="shared" si="216"/>
        <v>0</v>
      </c>
      <c r="M2806">
        <f t="shared" si="217"/>
        <v>0</v>
      </c>
      <c r="N2806">
        <f t="shared" si="218"/>
        <v>0</v>
      </c>
      <c r="O2806">
        <f t="shared" si="220"/>
        <v>1</v>
      </c>
      <c r="P2806" t="str">
        <f t="shared" si="219"/>
        <v/>
      </c>
      <c r="Q2806">
        <f>COUNTIF('責任職　企業局→市長部局'!A:A,SQLデータ!B2806)</f>
        <v>0</v>
      </c>
      <c r="R2806">
        <f>COUNTIF('一般職員　企業局→市長部局'!A:F,SQLデータ!B2806)</f>
        <v>0</v>
      </c>
    </row>
    <row r="2807" spans="1:18" x14ac:dyDescent="0.4">
      <c r="A2807" s="1">
        <v>202650002711</v>
      </c>
      <c r="B2807" s="1">
        <v>1111245</v>
      </c>
      <c r="C2807" s="2">
        <v>46127</v>
      </c>
      <c r="D2807" t="s">
        <v>17</v>
      </c>
      <c r="E2807" t="s">
        <v>8</v>
      </c>
      <c r="G2807" t="s">
        <v>9</v>
      </c>
      <c r="L2807">
        <f t="shared" si="216"/>
        <v>0</v>
      </c>
      <c r="M2807">
        <f t="shared" si="217"/>
        <v>0</v>
      </c>
      <c r="N2807">
        <f t="shared" si="218"/>
        <v>0</v>
      </c>
      <c r="O2807">
        <f t="shared" si="220"/>
        <v>1</v>
      </c>
      <c r="P2807" t="str">
        <f t="shared" si="219"/>
        <v/>
      </c>
      <c r="Q2807">
        <f>COUNTIF('責任職　企業局→市長部局'!A:A,SQLデータ!B2807)</f>
        <v>0</v>
      </c>
      <c r="R2807">
        <f>COUNTIF('一般職員　企業局→市長部局'!A:F,SQLデータ!B2807)</f>
        <v>0</v>
      </c>
    </row>
    <row r="2808" spans="1:18" x14ac:dyDescent="0.4">
      <c r="A2808" s="1">
        <v>202650002712</v>
      </c>
      <c r="B2808" s="1">
        <v>1231245</v>
      </c>
      <c r="C2808" s="2">
        <v>46127</v>
      </c>
      <c r="D2808" t="s">
        <v>17</v>
      </c>
      <c r="E2808" t="s">
        <v>8</v>
      </c>
      <c r="G2808" t="s">
        <v>9</v>
      </c>
      <c r="L2808">
        <f t="shared" si="216"/>
        <v>0</v>
      </c>
      <c r="M2808">
        <f t="shared" si="217"/>
        <v>0</v>
      </c>
      <c r="N2808">
        <f t="shared" si="218"/>
        <v>0</v>
      </c>
      <c r="O2808">
        <f t="shared" si="220"/>
        <v>1</v>
      </c>
      <c r="P2808" t="str">
        <f t="shared" si="219"/>
        <v/>
      </c>
      <c r="Q2808">
        <f>COUNTIF('責任職　企業局→市長部局'!A:A,SQLデータ!B2808)</f>
        <v>0</v>
      </c>
      <c r="R2808">
        <f>COUNTIF('一般職員　企業局→市長部局'!A:F,SQLデータ!B2808)</f>
        <v>0</v>
      </c>
    </row>
    <row r="2809" spans="1:18" x14ac:dyDescent="0.4">
      <c r="A2809" s="1">
        <v>202650002713</v>
      </c>
      <c r="B2809" s="1">
        <v>920339</v>
      </c>
      <c r="C2809" s="2">
        <v>46127</v>
      </c>
      <c r="D2809" t="s">
        <v>17</v>
      </c>
      <c r="E2809" t="s">
        <v>8</v>
      </c>
      <c r="G2809" t="s">
        <v>9</v>
      </c>
      <c r="L2809">
        <f t="shared" si="216"/>
        <v>0</v>
      </c>
      <c r="M2809">
        <f t="shared" si="217"/>
        <v>0</v>
      </c>
      <c r="N2809">
        <f t="shared" si="218"/>
        <v>0</v>
      </c>
      <c r="O2809">
        <f t="shared" si="220"/>
        <v>1</v>
      </c>
      <c r="P2809" t="str">
        <f t="shared" si="219"/>
        <v/>
      </c>
      <c r="Q2809">
        <f>COUNTIF('責任職　企業局→市長部局'!A:A,SQLデータ!B2809)</f>
        <v>0</v>
      </c>
      <c r="R2809">
        <f>COUNTIF('一般職員　企業局→市長部局'!A:F,SQLデータ!B2809)</f>
        <v>0</v>
      </c>
    </row>
    <row r="2810" spans="1:18" x14ac:dyDescent="0.4">
      <c r="A2810" s="1">
        <v>202650002714</v>
      </c>
      <c r="B2810" s="1">
        <v>1011138</v>
      </c>
      <c r="C2810" s="2">
        <v>46127</v>
      </c>
      <c r="D2810" t="s">
        <v>17</v>
      </c>
      <c r="E2810" t="s">
        <v>8</v>
      </c>
      <c r="G2810" t="s">
        <v>9</v>
      </c>
      <c r="L2810">
        <f t="shared" si="216"/>
        <v>0</v>
      </c>
      <c r="M2810">
        <f t="shared" si="217"/>
        <v>0</v>
      </c>
      <c r="N2810">
        <f t="shared" si="218"/>
        <v>0</v>
      </c>
      <c r="O2810">
        <f t="shared" si="220"/>
        <v>1</v>
      </c>
      <c r="P2810" t="str">
        <f t="shared" si="219"/>
        <v/>
      </c>
      <c r="Q2810">
        <f>COUNTIF('責任職　企業局→市長部局'!A:A,SQLデータ!B2810)</f>
        <v>0</v>
      </c>
      <c r="R2810">
        <f>COUNTIF('一般職員　企業局→市長部局'!A:F,SQLデータ!B2810)</f>
        <v>0</v>
      </c>
    </row>
    <row r="2811" spans="1:18" x14ac:dyDescent="0.4">
      <c r="A2811" s="1">
        <v>202650002715</v>
      </c>
      <c r="B2811" s="1">
        <v>1191232</v>
      </c>
      <c r="C2811" s="2">
        <v>46127</v>
      </c>
      <c r="D2811" t="s">
        <v>17</v>
      </c>
      <c r="E2811" t="s">
        <v>8</v>
      </c>
      <c r="G2811" t="s">
        <v>9</v>
      </c>
      <c r="L2811">
        <f t="shared" si="216"/>
        <v>0</v>
      </c>
      <c r="M2811">
        <f t="shared" si="217"/>
        <v>0</v>
      </c>
      <c r="N2811">
        <f t="shared" si="218"/>
        <v>0</v>
      </c>
      <c r="O2811">
        <f t="shared" si="220"/>
        <v>1</v>
      </c>
      <c r="P2811" t="str">
        <f t="shared" si="219"/>
        <v/>
      </c>
      <c r="Q2811">
        <f>COUNTIF('責任職　企業局→市長部局'!A:A,SQLデータ!B2811)</f>
        <v>0</v>
      </c>
      <c r="R2811">
        <f>COUNTIF('一般職員　企業局→市長部局'!A:F,SQLデータ!B2811)</f>
        <v>0</v>
      </c>
    </row>
    <row r="2812" spans="1:18" x14ac:dyDescent="0.4">
      <c r="A2812" s="1">
        <v>202650002716</v>
      </c>
      <c r="B2812" s="1">
        <v>1111114</v>
      </c>
      <c r="C2812" s="2">
        <v>46127</v>
      </c>
      <c r="D2812" t="s">
        <v>17</v>
      </c>
      <c r="E2812" t="s">
        <v>8</v>
      </c>
      <c r="G2812" t="s">
        <v>9</v>
      </c>
      <c r="L2812">
        <f t="shared" si="216"/>
        <v>0</v>
      </c>
      <c r="M2812">
        <f t="shared" si="217"/>
        <v>0</v>
      </c>
      <c r="N2812">
        <f t="shared" si="218"/>
        <v>0</v>
      </c>
      <c r="O2812">
        <f t="shared" si="220"/>
        <v>1</v>
      </c>
      <c r="P2812" t="str">
        <f t="shared" si="219"/>
        <v/>
      </c>
      <c r="Q2812">
        <f>COUNTIF('責任職　企業局→市長部局'!A:A,SQLデータ!B2812)</f>
        <v>0</v>
      </c>
      <c r="R2812">
        <f>COUNTIF('一般職員　企業局→市長部局'!A:F,SQLデータ!B2812)</f>
        <v>0</v>
      </c>
    </row>
    <row r="2813" spans="1:18" x14ac:dyDescent="0.4">
      <c r="A2813" s="1">
        <v>202650002717</v>
      </c>
      <c r="B2813" s="1">
        <v>1181388</v>
      </c>
      <c r="C2813" s="2">
        <v>46127</v>
      </c>
      <c r="D2813" t="s">
        <v>17</v>
      </c>
      <c r="E2813" t="s">
        <v>8</v>
      </c>
      <c r="G2813" t="s">
        <v>9</v>
      </c>
      <c r="L2813">
        <f t="shared" si="216"/>
        <v>0</v>
      </c>
      <c r="M2813">
        <f t="shared" si="217"/>
        <v>0</v>
      </c>
      <c r="N2813">
        <f t="shared" si="218"/>
        <v>0</v>
      </c>
      <c r="O2813">
        <f t="shared" si="220"/>
        <v>1</v>
      </c>
      <c r="P2813" t="str">
        <f t="shared" si="219"/>
        <v/>
      </c>
      <c r="Q2813">
        <f>COUNTIF('責任職　企業局→市長部局'!A:A,SQLデータ!B2813)</f>
        <v>0</v>
      </c>
      <c r="R2813">
        <f>COUNTIF('一般職員　企業局→市長部局'!A:F,SQLデータ!B2813)</f>
        <v>0</v>
      </c>
    </row>
    <row r="2814" spans="1:18" x14ac:dyDescent="0.4">
      <c r="A2814" s="1">
        <v>202650002718</v>
      </c>
      <c r="B2814" s="1">
        <v>1161287</v>
      </c>
      <c r="C2814" s="2">
        <v>46127</v>
      </c>
      <c r="D2814" t="s">
        <v>17</v>
      </c>
      <c r="E2814" t="s">
        <v>8</v>
      </c>
      <c r="G2814" t="s">
        <v>9</v>
      </c>
      <c r="L2814">
        <f t="shared" si="216"/>
        <v>0</v>
      </c>
      <c r="M2814">
        <f t="shared" si="217"/>
        <v>0</v>
      </c>
      <c r="N2814">
        <f t="shared" si="218"/>
        <v>0</v>
      </c>
      <c r="O2814">
        <f t="shared" si="220"/>
        <v>1</v>
      </c>
      <c r="P2814" t="str">
        <f t="shared" si="219"/>
        <v/>
      </c>
      <c r="Q2814">
        <f>COUNTIF('責任職　企業局→市長部局'!A:A,SQLデータ!B2814)</f>
        <v>0</v>
      </c>
      <c r="R2814">
        <f>COUNTIF('一般職員　企業局→市長部局'!A:F,SQLデータ!B2814)</f>
        <v>0</v>
      </c>
    </row>
    <row r="2815" spans="1:18" x14ac:dyDescent="0.4">
      <c r="A2815" s="1">
        <v>202650002719</v>
      </c>
      <c r="B2815" s="1">
        <v>1131126</v>
      </c>
      <c r="C2815" s="2">
        <v>46127</v>
      </c>
      <c r="D2815" t="s">
        <v>17</v>
      </c>
      <c r="E2815" t="s">
        <v>8</v>
      </c>
      <c r="G2815" t="s">
        <v>9</v>
      </c>
      <c r="L2815">
        <f t="shared" si="216"/>
        <v>0</v>
      </c>
      <c r="M2815">
        <f t="shared" si="217"/>
        <v>0</v>
      </c>
      <c r="N2815">
        <f t="shared" si="218"/>
        <v>0</v>
      </c>
      <c r="O2815">
        <f t="shared" si="220"/>
        <v>1</v>
      </c>
      <c r="P2815" t="str">
        <f t="shared" si="219"/>
        <v/>
      </c>
      <c r="Q2815">
        <f>COUNTIF('責任職　企業局→市長部局'!A:A,SQLデータ!B2815)</f>
        <v>0</v>
      </c>
      <c r="R2815">
        <f>COUNTIF('一般職員　企業局→市長部局'!A:F,SQLデータ!B2815)</f>
        <v>0</v>
      </c>
    </row>
    <row r="2816" spans="1:18" x14ac:dyDescent="0.4">
      <c r="A2816" s="1">
        <v>202650002720</v>
      </c>
      <c r="B2816" s="1">
        <v>1122159</v>
      </c>
      <c r="C2816" s="2">
        <v>46127</v>
      </c>
      <c r="D2816" t="s">
        <v>17</v>
      </c>
      <c r="E2816" t="s">
        <v>8</v>
      </c>
      <c r="G2816" t="s">
        <v>9</v>
      </c>
      <c r="L2816">
        <f t="shared" si="216"/>
        <v>0</v>
      </c>
      <c r="M2816">
        <f t="shared" si="217"/>
        <v>0</v>
      </c>
      <c r="N2816">
        <f t="shared" si="218"/>
        <v>0</v>
      </c>
      <c r="O2816">
        <f t="shared" si="220"/>
        <v>1</v>
      </c>
      <c r="P2816" t="str">
        <f t="shared" si="219"/>
        <v/>
      </c>
      <c r="Q2816">
        <f>COUNTIF('責任職　企業局→市長部局'!A:A,SQLデータ!B2816)</f>
        <v>0</v>
      </c>
      <c r="R2816">
        <f>COUNTIF('一般職員　企業局→市長部局'!A:F,SQLデータ!B2816)</f>
        <v>0</v>
      </c>
    </row>
    <row r="2817" spans="1:18" x14ac:dyDescent="0.4">
      <c r="A2817" s="1">
        <v>202650002721</v>
      </c>
      <c r="B2817" s="1">
        <v>1191170</v>
      </c>
      <c r="C2817" s="2">
        <v>46127</v>
      </c>
      <c r="D2817" t="s">
        <v>17</v>
      </c>
      <c r="E2817" t="s">
        <v>8</v>
      </c>
      <c r="G2817" t="s">
        <v>9</v>
      </c>
      <c r="L2817">
        <f t="shared" si="216"/>
        <v>0</v>
      </c>
      <c r="M2817">
        <f t="shared" si="217"/>
        <v>0</v>
      </c>
      <c r="N2817">
        <f t="shared" si="218"/>
        <v>0</v>
      </c>
      <c r="O2817">
        <f t="shared" si="220"/>
        <v>1</v>
      </c>
      <c r="P2817" t="str">
        <f t="shared" si="219"/>
        <v/>
      </c>
      <c r="Q2817">
        <f>COUNTIF('責任職　企業局→市長部局'!A:A,SQLデータ!B2817)</f>
        <v>0</v>
      </c>
      <c r="R2817">
        <f>COUNTIF('一般職員　企業局→市長部局'!A:F,SQLデータ!B2817)</f>
        <v>0</v>
      </c>
    </row>
    <row r="2818" spans="1:18" x14ac:dyDescent="0.4">
      <c r="A2818" s="1">
        <v>202650002722</v>
      </c>
      <c r="B2818" s="1">
        <v>1134027</v>
      </c>
      <c r="C2818" s="2">
        <v>46127</v>
      </c>
      <c r="D2818" t="s">
        <v>17</v>
      </c>
      <c r="E2818" t="s">
        <v>8</v>
      </c>
      <c r="G2818" t="s">
        <v>9</v>
      </c>
      <c r="L2818">
        <f t="shared" ref="L2818:L2881" si="221">IF(ISBLANK(J2818),0,1)</f>
        <v>0</v>
      </c>
      <c r="M2818">
        <f t="shared" ref="M2818:M2881" si="222">IF(AND(L2818=0,I2818&lt;&gt;""),1,0)</f>
        <v>0</v>
      </c>
      <c r="N2818">
        <f t="shared" ref="N2818:N2881" si="223">IF(AND(L2818=0,M2818=0,K2818&lt;&gt;""),1,0)</f>
        <v>0</v>
      </c>
      <c r="O2818">
        <f t="shared" si="220"/>
        <v>1</v>
      </c>
      <c r="P2818" t="str">
        <f t="shared" ref="P2818:P2881" si="224">IF(D2818&lt;&gt;"扶養","",IF(E2818&lt;&gt;"確認待ち",1,IF(OR(AND(G2818="本人の結婚",O2818=1),AND(H2818="減",OR(N2818=1,O2818=1))),1,0)))</f>
        <v/>
      </c>
      <c r="Q2818">
        <f>COUNTIF('責任職　企業局→市長部局'!A:A,SQLデータ!B2818)</f>
        <v>0</v>
      </c>
      <c r="R2818">
        <f>COUNTIF('一般職員　企業局→市長部局'!A:F,SQLデータ!B2818)</f>
        <v>0</v>
      </c>
    </row>
    <row r="2819" spans="1:18" x14ac:dyDescent="0.4">
      <c r="A2819" s="1">
        <v>202650002723</v>
      </c>
      <c r="B2819" s="1">
        <v>1011224</v>
      </c>
      <c r="C2819" s="2">
        <v>46127</v>
      </c>
      <c r="D2819" t="s">
        <v>17</v>
      </c>
      <c r="E2819" t="s">
        <v>8</v>
      </c>
      <c r="G2819" t="s">
        <v>9</v>
      </c>
      <c r="L2819">
        <f t="shared" si="221"/>
        <v>0</v>
      </c>
      <c r="M2819">
        <f t="shared" si="222"/>
        <v>0</v>
      </c>
      <c r="N2819">
        <f t="shared" si="223"/>
        <v>0</v>
      </c>
      <c r="O2819">
        <f t="shared" si="220"/>
        <v>1</v>
      </c>
      <c r="P2819" t="str">
        <f t="shared" si="224"/>
        <v/>
      </c>
      <c r="Q2819">
        <f>COUNTIF('責任職　企業局→市長部局'!A:A,SQLデータ!B2819)</f>
        <v>0</v>
      </c>
      <c r="R2819">
        <f>COUNTIF('一般職員　企業局→市長部局'!A:F,SQLデータ!B2819)</f>
        <v>0</v>
      </c>
    </row>
    <row r="2820" spans="1:18" x14ac:dyDescent="0.4">
      <c r="A2820" s="1">
        <v>202650002725</v>
      </c>
      <c r="B2820" s="1">
        <v>1230006</v>
      </c>
      <c r="C2820" s="2">
        <v>46127</v>
      </c>
      <c r="D2820" t="s">
        <v>17</v>
      </c>
      <c r="E2820" t="s">
        <v>8</v>
      </c>
      <c r="G2820" t="s">
        <v>9</v>
      </c>
      <c r="L2820">
        <f t="shared" si="221"/>
        <v>0</v>
      </c>
      <c r="M2820">
        <f t="shared" si="222"/>
        <v>0</v>
      </c>
      <c r="N2820">
        <f t="shared" si="223"/>
        <v>0</v>
      </c>
      <c r="O2820">
        <f t="shared" si="220"/>
        <v>1</v>
      </c>
      <c r="P2820" t="str">
        <f t="shared" si="224"/>
        <v/>
      </c>
      <c r="Q2820">
        <f>COUNTIF('責任職　企業局→市長部局'!A:A,SQLデータ!B2820)</f>
        <v>0</v>
      </c>
      <c r="R2820">
        <f>COUNTIF('一般職員　企業局→市長部局'!A:F,SQLデータ!B2820)</f>
        <v>0</v>
      </c>
    </row>
    <row r="2821" spans="1:18" x14ac:dyDescent="0.4">
      <c r="A2821" s="1">
        <v>202650002726</v>
      </c>
      <c r="B2821" s="1">
        <v>900349</v>
      </c>
      <c r="C2821" s="2">
        <v>46127</v>
      </c>
      <c r="D2821" t="s">
        <v>17</v>
      </c>
      <c r="E2821" t="s">
        <v>8</v>
      </c>
      <c r="G2821" t="s">
        <v>9</v>
      </c>
      <c r="L2821">
        <f t="shared" si="221"/>
        <v>0</v>
      </c>
      <c r="M2821">
        <f t="shared" si="222"/>
        <v>0</v>
      </c>
      <c r="N2821">
        <f t="shared" si="223"/>
        <v>0</v>
      </c>
      <c r="O2821">
        <f t="shared" si="220"/>
        <v>1</v>
      </c>
      <c r="P2821" t="str">
        <f t="shared" si="224"/>
        <v/>
      </c>
      <c r="Q2821">
        <f>COUNTIF('責任職　企業局→市長部局'!A:A,SQLデータ!B2821)</f>
        <v>0</v>
      </c>
      <c r="R2821">
        <f>COUNTIF('一般職員　企業局→市長部局'!A:F,SQLデータ!B2821)</f>
        <v>0</v>
      </c>
    </row>
    <row r="2822" spans="1:18" x14ac:dyDescent="0.4">
      <c r="A2822" s="1">
        <v>202650002727</v>
      </c>
      <c r="B2822" s="1">
        <v>1081277</v>
      </c>
      <c r="C2822" s="2">
        <v>46127</v>
      </c>
      <c r="D2822" t="s">
        <v>17</v>
      </c>
      <c r="E2822" t="s">
        <v>8</v>
      </c>
      <c r="G2822" t="s">
        <v>9</v>
      </c>
      <c r="L2822">
        <f t="shared" si="221"/>
        <v>0</v>
      </c>
      <c r="M2822">
        <f t="shared" si="222"/>
        <v>0</v>
      </c>
      <c r="N2822">
        <f t="shared" si="223"/>
        <v>0</v>
      </c>
      <c r="O2822">
        <f t="shared" si="220"/>
        <v>1</v>
      </c>
      <c r="P2822" t="str">
        <f t="shared" si="224"/>
        <v/>
      </c>
      <c r="Q2822">
        <f>COUNTIF('責任職　企業局→市長部局'!A:A,SQLデータ!B2822)</f>
        <v>0</v>
      </c>
      <c r="R2822">
        <f>COUNTIF('一般職員　企業局→市長部局'!A:F,SQLデータ!B2822)</f>
        <v>0</v>
      </c>
    </row>
    <row r="2823" spans="1:18" x14ac:dyDescent="0.4">
      <c r="A2823" s="1">
        <v>202650002728</v>
      </c>
      <c r="B2823" s="1">
        <v>1231092</v>
      </c>
      <c r="C2823" s="2">
        <v>46127</v>
      </c>
      <c r="D2823" t="s">
        <v>17</v>
      </c>
      <c r="E2823" t="s">
        <v>8</v>
      </c>
      <c r="G2823" t="s">
        <v>9</v>
      </c>
      <c r="L2823">
        <f t="shared" si="221"/>
        <v>0</v>
      </c>
      <c r="M2823">
        <f t="shared" si="222"/>
        <v>0</v>
      </c>
      <c r="N2823">
        <f t="shared" si="223"/>
        <v>0</v>
      </c>
      <c r="O2823">
        <f t="shared" si="220"/>
        <v>1</v>
      </c>
      <c r="P2823" t="str">
        <f t="shared" si="224"/>
        <v/>
      </c>
      <c r="Q2823">
        <f>COUNTIF('責任職　企業局→市長部局'!A:A,SQLデータ!B2823)</f>
        <v>0</v>
      </c>
      <c r="R2823">
        <f>COUNTIF('一般職員　企業局→市長部局'!A:F,SQLデータ!B2823)</f>
        <v>0</v>
      </c>
    </row>
    <row r="2824" spans="1:18" x14ac:dyDescent="0.4">
      <c r="A2824" s="1">
        <v>202650002729</v>
      </c>
      <c r="B2824" s="1">
        <v>1024009</v>
      </c>
      <c r="C2824" s="2">
        <v>46127</v>
      </c>
      <c r="D2824" t="s">
        <v>17</v>
      </c>
      <c r="E2824" t="s">
        <v>8</v>
      </c>
      <c r="G2824" t="s">
        <v>9</v>
      </c>
      <c r="L2824">
        <f t="shared" si="221"/>
        <v>0</v>
      </c>
      <c r="M2824">
        <f t="shared" si="222"/>
        <v>0</v>
      </c>
      <c r="N2824">
        <f t="shared" si="223"/>
        <v>0</v>
      </c>
      <c r="O2824">
        <f t="shared" si="220"/>
        <v>1</v>
      </c>
      <c r="P2824" t="str">
        <f t="shared" si="224"/>
        <v/>
      </c>
      <c r="Q2824">
        <f>COUNTIF('責任職　企業局→市長部局'!A:A,SQLデータ!B2824)</f>
        <v>0</v>
      </c>
      <c r="R2824">
        <f>COUNTIF('一般職員　企業局→市長部局'!A:F,SQLデータ!B2824)</f>
        <v>0</v>
      </c>
    </row>
    <row r="2825" spans="1:18" x14ac:dyDescent="0.4">
      <c r="A2825" s="1">
        <v>202650002730</v>
      </c>
      <c r="B2825" s="1">
        <v>1161475</v>
      </c>
      <c r="C2825" s="2">
        <v>46127</v>
      </c>
      <c r="D2825" t="s">
        <v>17</v>
      </c>
      <c r="E2825" t="s">
        <v>8</v>
      </c>
      <c r="G2825" t="s">
        <v>9</v>
      </c>
      <c r="L2825">
        <f t="shared" si="221"/>
        <v>0</v>
      </c>
      <c r="M2825">
        <f t="shared" si="222"/>
        <v>0</v>
      </c>
      <c r="N2825">
        <f t="shared" si="223"/>
        <v>0</v>
      </c>
      <c r="O2825">
        <f t="shared" ref="O2825:O2888" si="225">IF(COUNTIF(L2825:N2825,0)=3,1,0)</f>
        <v>1</v>
      </c>
      <c r="P2825" t="str">
        <f t="shared" si="224"/>
        <v/>
      </c>
      <c r="Q2825">
        <f>COUNTIF('責任職　企業局→市長部局'!A:A,SQLデータ!B2825)</f>
        <v>0</v>
      </c>
      <c r="R2825">
        <f>COUNTIF('一般職員　企業局→市長部局'!A:F,SQLデータ!B2825)</f>
        <v>0</v>
      </c>
    </row>
    <row r="2826" spans="1:18" x14ac:dyDescent="0.4">
      <c r="A2826" s="1">
        <v>202650002731</v>
      </c>
      <c r="B2826" s="1">
        <v>1191473</v>
      </c>
      <c r="C2826" s="2">
        <v>46127</v>
      </c>
      <c r="D2826" t="s">
        <v>17</v>
      </c>
      <c r="E2826" t="s">
        <v>8</v>
      </c>
      <c r="G2826" t="s">
        <v>9</v>
      </c>
      <c r="L2826">
        <f t="shared" si="221"/>
        <v>0</v>
      </c>
      <c r="M2826">
        <f t="shared" si="222"/>
        <v>0</v>
      </c>
      <c r="N2826">
        <f t="shared" si="223"/>
        <v>0</v>
      </c>
      <c r="O2826">
        <f t="shared" si="225"/>
        <v>1</v>
      </c>
      <c r="P2826" t="str">
        <f t="shared" si="224"/>
        <v/>
      </c>
      <c r="Q2826">
        <f>COUNTIF('責任職　企業局→市長部局'!A:A,SQLデータ!B2826)</f>
        <v>0</v>
      </c>
      <c r="R2826">
        <f>COUNTIF('一般職員　企業局→市長部局'!A:F,SQLデータ!B2826)</f>
        <v>0</v>
      </c>
    </row>
    <row r="2827" spans="1:18" x14ac:dyDescent="0.4">
      <c r="A2827" s="1">
        <v>202650002732</v>
      </c>
      <c r="B2827" s="1">
        <v>1231061</v>
      </c>
      <c r="C2827" s="2">
        <v>46127</v>
      </c>
      <c r="D2827" t="s">
        <v>17</v>
      </c>
      <c r="E2827" t="s">
        <v>8</v>
      </c>
      <c r="G2827" t="s">
        <v>9</v>
      </c>
      <c r="L2827">
        <f t="shared" si="221"/>
        <v>0</v>
      </c>
      <c r="M2827">
        <f t="shared" si="222"/>
        <v>0</v>
      </c>
      <c r="N2827">
        <f t="shared" si="223"/>
        <v>0</v>
      </c>
      <c r="O2827">
        <f t="shared" si="225"/>
        <v>1</v>
      </c>
      <c r="P2827" t="str">
        <f t="shared" si="224"/>
        <v/>
      </c>
      <c r="Q2827">
        <f>COUNTIF('責任職　企業局→市長部局'!A:A,SQLデータ!B2827)</f>
        <v>0</v>
      </c>
      <c r="R2827">
        <f>COUNTIF('一般職員　企業局→市長部局'!A:F,SQLデータ!B2827)</f>
        <v>0</v>
      </c>
    </row>
    <row r="2828" spans="1:18" x14ac:dyDescent="0.4">
      <c r="A2828" s="1">
        <v>202650002733</v>
      </c>
      <c r="B2828" s="1">
        <v>1231001</v>
      </c>
      <c r="C2828" s="2">
        <v>46127</v>
      </c>
      <c r="D2828" t="s">
        <v>17</v>
      </c>
      <c r="E2828" t="s">
        <v>8</v>
      </c>
      <c r="G2828" t="s">
        <v>9</v>
      </c>
      <c r="L2828">
        <f t="shared" si="221"/>
        <v>0</v>
      </c>
      <c r="M2828">
        <f t="shared" si="222"/>
        <v>0</v>
      </c>
      <c r="N2828">
        <f t="shared" si="223"/>
        <v>0</v>
      </c>
      <c r="O2828">
        <f t="shared" si="225"/>
        <v>1</v>
      </c>
      <c r="P2828" t="str">
        <f t="shared" si="224"/>
        <v/>
      </c>
      <c r="Q2828">
        <f>COUNTIF('責任職　企業局→市長部局'!A:A,SQLデータ!B2828)</f>
        <v>0</v>
      </c>
      <c r="R2828">
        <f>COUNTIF('一般職員　企業局→市長部局'!A:F,SQLデータ!B2828)</f>
        <v>0</v>
      </c>
    </row>
    <row r="2829" spans="1:18" x14ac:dyDescent="0.4">
      <c r="A2829" s="1">
        <v>202650002734</v>
      </c>
      <c r="B2829" s="1">
        <v>1211167</v>
      </c>
      <c r="C2829" s="2">
        <v>46127</v>
      </c>
      <c r="D2829" t="s">
        <v>17</v>
      </c>
      <c r="E2829" t="s">
        <v>8</v>
      </c>
      <c r="G2829" t="s">
        <v>9</v>
      </c>
      <c r="L2829">
        <f t="shared" si="221"/>
        <v>0</v>
      </c>
      <c r="M2829">
        <f t="shared" si="222"/>
        <v>0</v>
      </c>
      <c r="N2829">
        <f t="shared" si="223"/>
        <v>0</v>
      </c>
      <c r="O2829">
        <f t="shared" si="225"/>
        <v>1</v>
      </c>
      <c r="P2829" t="str">
        <f t="shared" si="224"/>
        <v/>
      </c>
      <c r="Q2829">
        <f>COUNTIF('責任職　企業局→市長部局'!A:A,SQLデータ!B2829)</f>
        <v>0</v>
      </c>
      <c r="R2829">
        <f>COUNTIF('一般職員　企業局→市長部局'!A:F,SQLデータ!B2829)</f>
        <v>0</v>
      </c>
    </row>
    <row r="2830" spans="1:18" x14ac:dyDescent="0.4">
      <c r="A2830" s="1">
        <v>202650002735</v>
      </c>
      <c r="B2830" s="1">
        <v>940222</v>
      </c>
      <c r="C2830" s="2">
        <v>46127</v>
      </c>
      <c r="D2830" t="s">
        <v>17</v>
      </c>
      <c r="E2830" t="s">
        <v>8</v>
      </c>
      <c r="G2830" t="s">
        <v>9</v>
      </c>
      <c r="L2830">
        <f t="shared" si="221"/>
        <v>0</v>
      </c>
      <c r="M2830">
        <f t="shared" si="222"/>
        <v>0</v>
      </c>
      <c r="N2830">
        <f t="shared" si="223"/>
        <v>0</v>
      </c>
      <c r="O2830">
        <f t="shared" si="225"/>
        <v>1</v>
      </c>
      <c r="P2830" t="str">
        <f t="shared" si="224"/>
        <v/>
      </c>
      <c r="Q2830">
        <f>COUNTIF('責任職　企業局→市長部局'!A:A,SQLデータ!B2830)</f>
        <v>0</v>
      </c>
      <c r="R2830">
        <f>COUNTIF('一般職員　企業局→市長部局'!A:F,SQLデータ!B2830)</f>
        <v>0</v>
      </c>
    </row>
    <row r="2831" spans="1:18" x14ac:dyDescent="0.4">
      <c r="A2831" s="1">
        <v>202650002736</v>
      </c>
      <c r="B2831" s="1">
        <v>1092512</v>
      </c>
      <c r="C2831" s="2">
        <v>46127</v>
      </c>
      <c r="D2831" t="s">
        <v>17</v>
      </c>
      <c r="E2831" t="s">
        <v>8</v>
      </c>
      <c r="G2831" t="s">
        <v>9</v>
      </c>
      <c r="L2831">
        <f t="shared" si="221"/>
        <v>0</v>
      </c>
      <c r="M2831">
        <f t="shared" si="222"/>
        <v>0</v>
      </c>
      <c r="N2831">
        <f t="shared" si="223"/>
        <v>0</v>
      </c>
      <c r="O2831">
        <f t="shared" si="225"/>
        <v>1</v>
      </c>
      <c r="P2831" t="str">
        <f t="shared" si="224"/>
        <v/>
      </c>
      <c r="Q2831">
        <f>COUNTIF('責任職　企業局→市長部局'!A:A,SQLデータ!B2831)</f>
        <v>0</v>
      </c>
      <c r="R2831">
        <f>COUNTIF('一般職員　企業局→市長部局'!A:F,SQLデータ!B2831)</f>
        <v>0</v>
      </c>
    </row>
    <row r="2832" spans="1:18" x14ac:dyDescent="0.4">
      <c r="A2832" s="1">
        <v>202650002737</v>
      </c>
      <c r="B2832" s="1">
        <v>1231165</v>
      </c>
      <c r="C2832" s="2">
        <v>46127</v>
      </c>
      <c r="D2832" t="s">
        <v>17</v>
      </c>
      <c r="E2832" t="s">
        <v>8</v>
      </c>
      <c r="G2832" t="s">
        <v>9</v>
      </c>
      <c r="L2832">
        <f t="shared" si="221"/>
        <v>0</v>
      </c>
      <c r="M2832">
        <f t="shared" si="222"/>
        <v>0</v>
      </c>
      <c r="N2832">
        <f t="shared" si="223"/>
        <v>0</v>
      </c>
      <c r="O2832">
        <f t="shared" si="225"/>
        <v>1</v>
      </c>
      <c r="P2832" t="str">
        <f t="shared" si="224"/>
        <v/>
      </c>
      <c r="Q2832">
        <f>COUNTIF('責任職　企業局→市長部局'!A:A,SQLデータ!B2832)</f>
        <v>0</v>
      </c>
      <c r="R2832">
        <f>COUNTIF('一般職員　企業局→市長部局'!A:F,SQLデータ!B2832)</f>
        <v>0</v>
      </c>
    </row>
    <row r="2833" spans="1:18" x14ac:dyDescent="0.4">
      <c r="A2833" s="1">
        <v>202650002738</v>
      </c>
      <c r="B2833" s="1">
        <v>1041239</v>
      </c>
      <c r="C2833" s="2">
        <v>46127</v>
      </c>
      <c r="D2833" t="s">
        <v>17</v>
      </c>
      <c r="E2833" t="s">
        <v>8</v>
      </c>
      <c r="G2833" t="s">
        <v>9</v>
      </c>
      <c r="L2833">
        <f t="shared" si="221"/>
        <v>0</v>
      </c>
      <c r="M2833">
        <f t="shared" si="222"/>
        <v>0</v>
      </c>
      <c r="N2833">
        <f t="shared" si="223"/>
        <v>0</v>
      </c>
      <c r="O2833">
        <f t="shared" si="225"/>
        <v>1</v>
      </c>
      <c r="P2833" t="str">
        <f t="shared" si="224"/>
        <v/>
      </c>
      <c r="Q2833">
        <f>COUNTIF('責任職　企業局→市長部局'!A:A,SQLデータ!B2833)</f>
        <v>0</v>
      </c>
      <c r="R2833">
        <f>COUNTIF('一般職員　企業局→市長部局'!A:F,SQLデータ!B2833)</f>
        <v>0</v>
      </c>
    </row>
    <row r="2834" spans="1:18" x14ac:dyDescent="0.4">
      <c r="A2834" s="1">
        <v>202650002739</v>
      </c>
      <c r="B2834" s="1">
        <v>1222039</v>
      </c>
      <c r="C2834" s="2">
        <v>46127</v>
      </c>
      <c r="D2834" t="s">
        <v>17</v>
      </c>
      <c r="E2834" t="s">
        <v>8</v>
      </c>
      <c r="G2834" t="s">
        <v>9</v>
      </c>
      <c r="L2834">
        <f t="shared" si="221"/>
        <v>0</v>
      </c>
      <c r="M2834">
        <f t="shared" si="222"/>
        <v>0</v>
      </c>
      <c r="N2834">
        <f t="shared" si="223"/>
        <v>0</v>
      </c>
      <c r="O2834">
        <f t="shared" si="225"/>
        <v>1</v>
      </c>
      <c r="P2834" t="str">
        <f t="shared" si="224"/>
        <v/>
      </c>
      <c r="Q2834">
        <f>COUNTIF('責任職　企業局→市長部局'!A:A,SQLデータ!B2834)</f>
        <v>0</v>
      </c>
      <c r="R2834">
        <f>COUNTIF('一般職員　企業局→市長部局'!A:F,SQLデータ!B2834)</f>
        <v>0</v>
      </c>
    </row>
    <row r="2835" spans="1:18" x14ac:dyDescent="0.4">
      <c r="A2835" s="1">
        <v>202650002740</v>
      </c>
      <c r="B2835" s="1">
        <v>1221178</v>
      </c>
      <c r="C2835" s="2">
        <v>46127</v>
      </c>
      <c r="D2835" t="s">
        <v>17</v>
      </c>
      <c r="E2835" t="s">
        <v>8</v>
      </c>
      <c r="G2835" t="s">
        <v>9</v>
      </c>
      <c r="L2835">
        <f t="shared" si="221"/>
        <v>0</v>
      </c>
      <c r="M2835">
        <f t="shared" si="222"/>
        <v>0</v>
      </c>
      <c r="N2835">
        <f t="shared" si="223"/>
        <v>0</v>
      </c>
      <c r="O2835">
        <f t="shared" si="225"/>
        <v>1</v>
      </c>
      <c r="P2835" t="str">
        <f t="shared" si="224"/>
        <v/>
      </c>
      <c r="Q2835">
        <f>COUNTIF('責任職　企業局→市長部局'!A:A,SQLデータ!B2835)</f>
        <v>0</v>
      </c>
      <c r="R2835">
        <f>COUNTIF('一般職員　企業局→市長部局'!A:F,SQLデータ!B2835)</f>
        <v>0</v>
      </c>
    </row>
    <row r="2836" spans="1:18" x14ac:dyDescent="0.4">
      <c r="A2836" s="1">
        <v>202650002741</v>
      </c>
      <c r="B2836" s="1">
        <v>1131257</v>
      </c>
      <c r="C2836" s="2">
        <v>46127</v>
      </c>
      <c r="D2836" t="s">
        <v>17</v>
      </c>
      <c r="E2836" t="s">
        <v>8</v>
      </c>
      <c r="G2836" t="s">
        <v>9</v>
      </c>
      <c r="L2836">
        <f t="shared" si="221"/>
        <v>0</v>
      </c>
      <c r="M2836">
        <f t="shared" si="222"/>
        <v>0</v>
      </c>
      <c r="N2836">
        <f t="shared" si="223"/>
        <v>0</v>
      </c>
      <c r="O2836">
        <f t="shared" si="225"/>
        <v>1</v>
      </c>
      <c r="P2836" t="str">
        <f t="shared" si="224"/>
        <v/>
      </c>
      <c r="Q2836">
        <f>COUNTIF('責任職　企業局→市長部局'!A:A,SQLデータ!B2836)</f>
        <v>0</v>
      </c>
      <c r="R2836">
        <f>COUNTIF('一般職員　企業局→市長部局'!A:F,SQLデータ!B2836)</f>
        <v>0</v>
      </c>
    </row>
    <row r="2837" spans="1:18" x14ac:dyDescent="0.4">
      <c r="A2837" s="1">
        <v>202650002742</v>
      </c>
      <c r="B2837" s="1">
        <v>1202117</v>
      </c>
      <c r="C2837" s="2">
        <v>46128</v>
      </c>
      <c r="D2837" t="s">
        <v>17</v>
      </c>
      <c r="E2837" t="s">
        <v>8</v>
      </c>
      <c r="G2837" t="s">
        <v>9</v>
      </c>
      <c r="L2837">
        <f t="shared" si="221"/>
        <v>0</v>
      </c>
      <c r="M2837">
        <f t="shared" si="222"/>
        <v>0</v>
      </c>
      <c r="N2837">
        <f t="shared" si="223"/>
        <v>0</v>
      </c>
      <c r="O2837">
        <f t="shared" si="225"/>
        <v>1</v>
      </c>
      <c r="P2837" t="str">
        <f t="shared" si="224"/>
        <v/>
      </c>
      <c r="Q2837">
        <f>COUNTIF('責任職　企業局→市長部局'!A:A,SQLデータ!B2837)</f>
        <v>0</v>
      </c>
      <c r="R2837">
        <f>COUNTIF('一般職員　企業局→市長部局'!A:F,SQLデータ!B2837)</f>
        <v>0</v>
      </c>
    </row>
    <row r="2838" spans="1:18" x14ac:dyDescent="0.4">
      <c r="A2838" s="1">
        <v>202650002743</v>
      </c>
      <c r="B2838" s="1">
        <v>890295</v>
      </c>
      <c r="C2838" s="2">
        <v>46127</v>
      </c>
      <c r="D2838" t="s">
        <v>17</v>
      </c>
      <c r="E2838" t="s">
        <v>8</v>
      </c>
      <c r="G2838" t="s">
        <v>9</v>
      </c>
      <c r="L2838">
        <f t="shared" si="221"/>
        <v>0</v>
      </c>
      <c r="M2838">
        <f t="shared" si="222"/>
        <v>0</v>
      </c>
      <c r="N2838">
        <f t="shared" si="223"/>
        <v>0</v>
      </c>
      <c r="O2838">
        <f t="shared" si="225"/>
        <v>1</v>
      </c>
      <c r="P2838" t="str">
        <f t="shared" si="224"/>
        <v/>
      </c>
      <c r="Q2838">
        <f>COUNTIF('責任職　企業局→市長部局'!A:A,SQLデータ!B2838)</f>
        <v>0</v>
      </c>
      <c r="R2838">
        <f>COUNTIF('一般職員　企業局→市長部局'!A:F,SQLデータ!B2838)</f>
        <v>0</v>
      </c>
    </row>
    <row r="2839" spans="1:18" x14ac:dyDescent="0.4">
      <c r="A2839" s="1">
        <v>202650002744</v>
      </c>
      <c r="B2839" s="1">
        <v>950226</v>
      </c>
      <c r="C2839" s="2">
        <v>46127</v>
      </c>
      <c r="D2839" t="s">
        <v>17</v>
      </c>
      <c r="E2839" t="s">
        <v>8</v>
      </c>
      <c r="G2839" t="s">
        <v>9</v>
      </c>
      <c r="L2839">
        <f t="shared" si="221"/>
        <v>0</v>
      </c>
      <c r="M2839">
        <f t="shared" si="222"/>
        <v>0</v>
      </c>
      <c r="N2839">
        <f t="shared" si="223"/>
        <v>0</v>
      </c>
      <c r="O2839">
        <f t="shared" si="225"/>
        <v>1</v>
      </c>
      <c r="P2839" t="str">
        <f t="shared" si="224"/>
        <v/>
      </c>
      <c r="Q2839">
        <f>COUNTIF('責任職　企業局→市長部局'!A:A,SQLデータ!B2839)</f>
        <v>0</v>
      </c>
      <c r="R2839">
        <f>COUNTIF('一般職員　企業局→市長部局'!A:F,SQLデータ!B2839)</f>
        <v>0</v>
      </c>
    </row>
    <row r="2840" spans="1:18" x14ac:dyDescent="0.4">
      <c r="A2840" s="1">
        <v>202650002746</v>
      </c>
      <c r="B2840" s="1">
        <v>910242</v>
      </c>
      <c r="C2840" s="2">
        <v>46127</v>
      </c>
      <c r="D2840" t="s">
        <v>17</v>
      </c>
      <c r="E2840" t="s">
        <v>8</v>
      </c>
      <c r="G2840" t="s">
        <v>9</v>
      </c>
      <c r="L2840">
        <f t="shared" si="221"/>
        <v>0</v>
      </c>
      <c r="M2840">
        <f t="shared" si="222"/>
        <v>0</v>
      </c>
      <c r="N2840">
        <f t="shared" si="223"/>
        <v>0</v>
      </c>
      <c r="O2840">
        <f t="shared" si="225"/>
        <v>1</v>
      </c>
      <c r="P2840" t="str">
        <f t="shared" si="224"/>
        <v/>
      </c>
      <c r="Q2840">
        <f>COUNTIF('責任職　企業局→市長部局'!A:A,SQLデータ!B2840)</f>
        <v>0</v>
      </c>
      <c r="R2840">
        <f>COUNTIF('一般職員　企業局→市長部局'!A:F,SQLデータ!B2840)</f>
        <v>0</v>
      </c>
    </row>
    <row r="2841" spans="1:18" x14ac:dyDescent="0.4">
      <c r="A2841" s="1">
        <v>202650002747</v>
      </c>
      <c r="B2841" s="1">
        <v>1002035</v>
      </c>
      <c r="C2841" s="2">
        <v>46127</v>
      </c>
      <c r="D2841" t="s">
        <v>17</v>
      </c>
      <c r="E2841" t="s">
        <v>8</v>
      </c>
      <c r="G2841" t="s">
        <v>9</v>
      </c>
      <c r="L2841">
        <f t="shared" si="221"/>
        <v>0</v>
      </c>
      <c r="M2841">
        <f t="shared" si="222"/>
        <v>0</v>
      </c>
      <c r="N2841">
        <f t="shared" si="223"/>
        <v>0</v>
      </c>
      <c r="O2841">
        <f t="shared" si="225"/>
        <v>1</v>
      </c>
      <c r="P2841" t="str">
        <f t="shared" si="224"/>
        <v/>
      </c>
      <c r="Q2841">
        <f>COUNTIF('責任職　企業局→市長部局'!A:A,SQLデータ!B2841)</f>
        <v>0</v>
      </c>
      <c r="R2841">
        <f>COUNTIF('一般職員　企業局→市長部局'!A:F,SQLデータ!B2841)</f>
        <v>0</v>
      </c>
    </row>
    <row r="2842" spans="1:18" x14ac:dyDescent="0.4">
      <c r="A2842" s="1">
        <v>202650002748</v>
      </c>
      <c r="B2842" s="1">
        <v>1201335</v>
      </c>
      <c r="C2842" s="2">
        <v>46127</v>
      </c>
      <c r="D2842" t="s">
        <v>17</v>
      </c>
      <c r="E2842" t="s">
        <v>8</v>
      </c>
      <c r="G2842" t="s">
        <v>9</v>
      </c>
      <c r="L2842">
        <f t="shared" si="221"/>
        <v>0</v>
      </c>
      <c r="M2842">
        <f t="shared" si="222"/>
        <v>0</v>
      </c>
      <c r="N2842">
        <f t="shared" si="223"/>
        <v>0</v>
      </c>
      <c r="O2842">
        <f t="shared" si="225"/>
        <v>1</v>
      </c>
      <c r="P2842" t="str">
        <f t="shared" si="224"/>
        <v/>
      </c>
      <c r="Q2842">
        <f>COUNTIF('責任職　企業局→市長部局'!A:A,SQLデータ!B2842)</f>
        <v>0</v>
      </c>
      <c r="R2842">
        <f>COUNTIF('一般職員　企業局→市長部局'!A:F,SQLデータ!B2842)</f>
        <v>0</v>
      </c>
    </row>
    <row r="2843" spans="1:18" x14ac:dyDescent="0.4">
      <c r="A2843" s="1">
        <v>202650002749</v>
      </c>
      <c r="B2843" s="1">
        <v>1191248</v>
      </c>
      <c r="C2843" s="2">
        <v>46127</v>
      </c>
      <c r="D2843" t="s">
        <v>17</v>
      </c>
      <c r="E2843" t="s">
        <v>8</v>
      </c>
      <c r="G2843" t="s">
        <v>9</v>
      </c>
      <c r="L2843">
        <f t="shared" si="221"/>
        <v>0</v>
      </c>
      <c r="M2843">
        <f t="shared" si="222"/>
        <v>0</v>
      </c>
      <c r="N2843">
        <f t="shared" si="223"/>
        <v>0</v>
      </c>
      <c r="O2843">
        <f t="shared" si="225"/>
        <v>1</v>
      </c>
      <c r="P2843" t="str">
        <f t="shared" si="224"/>
        <v/>
      </c>
      <c r="Q2843">
        <f>COUNTIF('責任職　企業局→市長部局'!A:A,SQLデータ!B2843)</f>
        <v>0</v>
      </c>
      <c r="R2843">
        <f>COUNTIF('一般職員　企業局→市長部局'!A:F,SQLデータ!B2843)</f>
        <v>0</v>
      </c>
    </row>
    <row r="2844" spans="1:18" x14ac:dyDescent="0.4">
      <c r="A2844" s="1">
        <v>202650002750</v>
      </c>
      <c r="B2844" s="1">
        <v>1171432</v>
      </c>
      <c r="C2844" s="2">
        <v>46127</v>
      </c>
      <c r="D2844" t="s">
        <v>17</v>
      </c>
      <c r="E2844" t="s">
        <v>8</v>
      </c>
      <c r="G2844" t="s">
        <v>9</v>
      </c>
      <c r="L2844">
        <f t="shared" si="221"/>
        <v>0</v>
      </c>
      <c r="M2844">
        <f t="shared" si="222"/>
        <v>0</v>
      </c>
      <c r="N2844">
        <f t="shared" si="223"/>
        <v>0</v>
      </c>
      <c r="O2844">
        <f t="shared" si="225"/>
        <v>1</v>
      </c>
      <c r="P2844" t="str">
        <f t="shared" si="224"/>
        <v/>
      </c>
      <c r="Q2844">
        <f>COUNTIF('責任職　企業局→市長部局'!A:A,SQLデータ!B2844)</f>
        <v>0</v>
      </c>
      <c r="R2844">
        <f>COUNTIF('一般職員　企業局→市長部局'!A:F,SQLデータ!B2844)</f>
        <v>0</v>
      </c>
    </row>
    <row r="2845" spans="1:18" x14ac:dyDescent="0.4">
      <c r="A2845" s="1">
        <v>202650002751</v>
      </c>
      <c r="B2845" s="1">
        <v>890419</v>
      </c>
      <c r="C2845" s="2">
        <v>46127</v>
      </c>
      <c r="D2845" t="s">
        <v>17</v>
      </c>
      <c r="E2845" t="s">
        <v>8</v>
      </c>
      <c r="G2845" t="s">
        <v>9</v>
      </c>
      <c r="L2845">
        <f t="shared" si="221"/>
        <v>0</v>
      </c>
      <c r="M2845">
        <f t="shared" si="222"/>
        <v>0</v>
      </c>
      <c r="N2845">
        <f t="shared" si="223"/>
        <v>0</v>
      </c>
      <c r="O2845">
        <f t="shared" si="225"/>
        <v>1</v>
      </c>
      <c r="P2845" t="str">
        <f t="shared" si="224"/>
        <v/>
      </c>
      <c r="Q2845">
        <f>COUNTIF('責任職　企業局→市長部局'!A:A,SQLデータ!B2845)</f>
        <v>0</v>
      </c>
      <c r="R2845">
        <f>COUNTIF('一般職員　企業局→市長部局'!A:F,SQLデータ!B2845)</f>
        <v>0</v>
      </c>
    </row>
    <row r="2846" spans="1:18" x14ac:dyDescent="0.4">
      <c r="A2846" s="1">
        <v>202650002752</v>
      </c>
      <c r="B2846" s="1">
        <v>910330</v>
      </c>
      <c r="C2846" s="2">
        <v>46127</v>
      </c>
      <c r="D2846" t="s">
        <v>17</v>
      </c>
      <c r="E2846" t="s">
        <v>8</v>
      </c>
      <c r="G2846" t="s">
        <v>9</v>
      </c>
      <c r="L2846">
        <f t="shared" si="221"/>
        <v>0</v>
      </c>
      <c r="M2846">
        <f t="shared" si="222"/>
        <v>0</v>
      </c>
      <c r="N2846">
        <f t="shared" si="223"/>
        <v>0</v>
      </c>
      <c r="O2846">
        <f t="shared" si="225"/>
        <v>1</v>
      </c>
      <c r="P2846" t="str">
        <f t="shared" si="224"/>
        <v/>
      </c>
      <c r="Q2846">
        <f>COUNTIF('責任職　企業局→市長部局'!A:A,SQLデータ!B2846)</f>
        <v>0</v>
      </c>
      <c r="R2846">
        <f>COUNTIF('一般職員　企業局→市長部局'!A:F,SQLデータ!B2846)</f>
        <v>0</v>
      </c>
    </row>
    <row r="2847" spans="1:18" x14ac:dyDescent="0.4">
      <c r="A2847" s="1">
        <v>202650002753</v>
      </c>
      <c r="B2847" s="1">
        <v>1231148</v>
      </c>
      <c r="C2847" s="2">
        <v>46127</v>
      </c>
      <c r="D2847" t="s">
        <v>17</v>
      </c>
      <c r="E2847" t="s">
        <v>8</v>
      </c>
      <c r="G2847" t="s">
        <v>9</v>
      </c>
      <c r="L2847">
        <f t="shared" si="221"/>
        <v>0</v>
      </c>
      <c r="M2847">
        <f t="shared" si="222"/>
        <v>0</v>
      </c>
      <c r="N2847">
        <f t="shared" si="223"/>
        <v>0</v>
      </c>
      <c r="O2847">
        <f t="shared" si="225"/>
        <v>1</v>
      </c>
      <c r="P2847" t="str">
        <f t="shared" si="224"/>
        <v/>
      </c>
      <c r="Q2847">
        <f>COUNTIF('責任職　企業局→市長部局'!A:A,SQLデータ!B2847)</f>
        <v>0</v>
      </c>
      <c r="R2847">
        <f>COUNTIF('一般職員　企業局→市長部局'!A:F,SQLデータ!B2847)</f>
        <v>0</v>
      </c>
    </row>
    <row r="2848" spans="1:18" x14ac:dyDescent="0.4">
      <c r="A2848" s="1">
        <v>202650002754</v>
      </c>
      <c r="B2848" s="1">
        <v>1221168</v>
      </c>
      <c r="C2848" s="2">
        <v>46127</v>
      </c>
      <c r="D2848" t="s">
        <v>17</v>
      </c>
      <c r="E2848" t="s">
        <v>8</v>
      </c>
      <c r="G2848" t="s">
        <v>9</v>
      </c>
      <c r="L2848">
        <f t="shared" si="221"/>
        <v>0</v>
      </c>
      <c r="M2848">
        <f t="shared" si="222"/>
        <v>0</v>
      </c>
      <c r="N2848">
        <f t="shared" si="223"/>
        <v>0</v>
      </c>
      <c r="O2848">
        <f t="shared" si="225"/>
        <v>1</v>
      </c>
      <c r="P2848" t="str">
        <f t="shared" si="224"/>
        <v/>
      </c>
      <c r="Q2848">
        <f>COUNTIF('責任職　企業局→市長部局'!A:A,SQLデータ!B2848)</f>
        <v>0</v>
      </c>
      <c r="R2848">
        <f>COUNTIF('一般職員　企業局→市長部局'!A:F,SQLデータ!B2848)</f>
        <v>0</v>
      </c>
    </row>
    <row r="2849" spans="1:18" x14ac:dyDescent="0.4">
      <c r="A2849" s="1">
        <v>202650002755</v>
      </c>
      <c r="B2849" s="1">
        <v>1231241</v>
      </c>
      <c r="C2849" s="2">
        <v>46127</v>
      </c>
      <c r="D2849" t="s">
        <v>17</v>
      </c>
      <c r="E2849" t="s">
        <v>8</v>
      </c>
      <c r="G2849" t="s">
        <v>9</v>
      </c>
      <c r="L2849">
        <f t="shared" si="221"/>
        <v>0</v>
      </c>
      <c r="M2849">
        <f t="shared" si="222"/>
        <v>0</v>
      </c>
      <c r="N2849">
        <f t="shared" si="223"/>
        <v>0</v>
      </c>
      <c r="O2849">
        <f t="shared" si="225"/>
        <v>1</v>
      </c>
      <c r="P2849" t="str">
        <f t="shared" si="224"/>
        <v/>
      </c>
      <c r="Q2849">
        <f>COUNTIF('責任職　企業局→市長部局'!A:A,SQLデータ!B2849)</f>
        <v>0</v>
      </c>
      <c r="R2849">
        <f>COUNTIF('一般職員　企業局→市長部局'!A:F,SQLデータ!B2849)</f>
        <v>0</v>
      </c>
    </row>
    <row r="2850" spans="1:18" x14ac:dyDescent="0.4">
      <c r="A2850" s="1">
        <v>202650002756</v>
      </c>
      <c r="B2850" s="1">
        <v>950148</v>
      </c>
      <c r="C2850" s="2">
        <v>46127</v>
      </c>
      <c r="D2850" t="s">
        <v>17</v>
      </c>
      <c r="E2850" t="s">
        <v>8</v>
      </c>
      <c r="G2850" t="s">
        <v>9</v>
      </c>
      <c r="L2850">
        <f t="shared" si="221"/>
        <v>0</v>
      </c>
      <c r="M2850">
        <f t="shared" si="222"/>
        <v>0</v>
      </c>
      <c r="N2850">
        <f t="shared" si="223"/>
        <v>0</v>
      </c>
      <c r="O2850">
        <f t="shared" si="225"/>
        <v>1</v>
      </c>
      <c r="P2850" t="str">
        <f t="shared" si="224"/>
        <v/>
      </c>
      <c r="Q2850">
        <f>COUNTIF('責任職　企業局→市長部局'!A:A,SQLデータ!B2850)</f>
        <v>0</v>
      </c>
      <c r="R2850">
        <f>COUNTIF('一般職員　企業局→市長部局'!A:F,SQLデータ!B2850)</f>
        <v>0</v>
      </c>
    </row>
    <row r="2851" spans="1:18" x14ac:dyDescent="0.4">
      <c r="A2851" s="1">
        <v>202650002757</v>
      </c>
      <c r="B2851" s="1">
        <v>930608</v>
      </c>
      <c r="C2851" s="2">
        <v>46127</v>
      </c>
      <c r="D2851" t="s">
        <v>17</v>
      </c>
      <c r="E2851" t="s">
        <v>8</v>
      </c>
      <c r="G2851" t="s">
        <v>9</v>
      </c>
      <c r="L2851">
        <f t="shared" si="221"/>
        <v>0</v>
      </c>
      <c r="M2851">
        <f t="shared" si="222"/>
        <v>0</v>
      </c>
      <c r="N2851">
        <f t="shared" si="223"/>
        <v>0</v>
      </c>
      <c r="O2851">
        <f t="shared" si="225"/>
        <v>1</v>
      </c>
      <c r="P2851" t="str">
        <f t="shared" si="224"/>
        <v/>
      </c>
      <c r="Q2851">
        <f>COUNTIF('責任職　企業局→市長部局'!A:A,SQLデータ!B2851)</f>
        <v>0</v>
      </c>
      <c r="R2851">
        <f>COUNTIF('一般職員　企業局→市長部局'!A:F,SQLデータ!B2851)</f>
        <v>0</v>
      </c>
    </row>
    <row r="2852" spans="1:18" x14ac:dyDescent="0.4">
      <c r="A2852" s="1">
        <v>202650002758</v>
      </c>
      <c r="B2852" s="1">
        <v>1102003</v>
      </c>
      <c r="C2852" s="2">
        <v>46127</v>
      </c>
      <c r="D2852" t="s">
        <v>17</v>
      </c>
      <c r="E2852" t="s">
        <v>8</v>
      </c>
      <c r="G2852" t="s">
        <v>9</v>
      </c>
      <c r="L2852">
        <f t="shared" si="221"/>
        <v>0</v>
      </c>
      <c r="M2852">
        <f t="shared" si="222"/>
        <v>0</v>
      </c>
      <c r="N2852">
        <f t="shared" si="223"/>
        <v>0</v>
      </c>
      <c r="O2852">
        <f t="shared" si="225"/>
        <v>1</v>
      </c>
      <c r="P2852" t="str">
        <f t="shared" si="224"/>
        <v/>
      </c>
      <c r="Q2852">
        <f>COUNTIF('責任職　企業局→市長部局'!A:A,SQLデータ!B2852)</f>
        <v>0</v>
      </c>
      <c r="R2852">
        <f>COUNTIF('一般職員　企業局→市長部局'!A:F,SQLデータ!B2852)</f>
        <v>0</v>
      </c>
    </row>
    <row r="2853" spans="1:18" x14ac:dyDescent="0.4">
      <c r="A2853" s="1">
        <v>202650002759</v>
      </c>
      <c r="B2853" s="1">
        <v>910329</v>
      </c>
      <c r="C2853" s="2">
        <v>46127</v>
      </c>
      <c r="D2853" t="s">
        <v>17</v>
      </c>
      <c r="E2853" t="s">
        <v>8</v>
      </c>
      <c r="G2853" t="s">
        <v>9</v>
      </c>
      <c r="L2853">
        <f t="shared" si="221"/>
        <v>0</v>
      </c>
      <c r="M2853">
        <f t="shared" si="222"/>
        <v>0</v>
      </c>
      <c r="N2853">
        <f t="shared" si="223"/>
        <v>0</v>
      </c>
      <c r="O2853">
        <f t="shared" si="225"/>
        <v>1</v>
      </c>
      <c r="P2853" t="str">
        <f t="shared" si="224"/>
        <v/>
      </c>
      <c r="Q2853">
        <f>COUNTIF('責任職　企業局→市長部局'!A:A,SQLデータ!B2853)</f>
        <v>0</v>
      </c>
      <c r="R2853">
        <f>COUNTIF('一般職員　企業局→市長部局'!A:F,SQLデータ!B2853)</f>
        <v>0</v>
      </c>
    </row>
    <row r="2854" spans="1:18" x14ac:dyDescent="0.4">
      <c r="A2854" s="1">
        <v>202650002760</v>
      </c>
      <c r="B2854" s="1">
        <v>1172179</v>
      </c>
      <c r="C2854" s="2">
        <v>46127</v>
      </c>
      <c r="D2854" t="s">
        <v>17</v>
      </c>
      <c r="E2854" t="s">
        <v>8</v>
      </c>
      <c r="G2854" t="s">
        <v>9</v>
      </c>
      <c r="L2854">
        <f t="shared" si="221"/>
        <v>0</v>
      </c>
      <c r="M2854">
        <f t="shared" si="222"/>
        <v>0</v>
      </c>
      <c r="N2854">
        <f t="shared" si="223"/>
        <v>0</v>
      </c>
      <c r="O2854">
        <f t="shared" si="225"/>
        <v>1</v>
      </c>
      <c r="P2854" t="str">
        <f t="shared" si="224"/>
        <v/>
      </c>
      <c r="Q2854">
        <f>COUNTIF('責任職　企業局→市長部局'!A:A,SQLデータ!B2854)</f>
        <v>0</v>
      </c>
      <c r="R2854">
        <f>COUNTIF('一般職員　企業局→市長部局'!A:F,SQLデータ!B2854)</f>
        <v>0</v>
      </c>
    </row>
    <row r="2855" spans="1:18" x14ac:dyDescent="0.4">
      <c r="A2855" s="1">
        <v>202650002761</v>
      </c>
      <c r="B2855" s="1">
        <v>1221157</v>
      </c>
      <c r="C2855" s="2">
        <v>46127</v>
      </c>
      <c r="D2855" t="s">
        <v>17</v>
      </c>
      <c r="E2855" t="s">
        <v>8</v>
      </c>
      <c r="G2855" t="s">
        <v>9</v>
      </c>
      <c r="L2855">
        <f t="shared" si="221"/>
        <v>0</v>
      </c>
      <c r="M2855">
        <f t="shared" si="222"/>
        <v>0</v>
      </c>
      <c r="N2855">
        <f t="shared" si="223"/>
        <v>0</v>
      </c>
      <c r="O2855">
        <f t="shared" si="225"/>
        <v>1</v>
      </c>
      <c r="P2855" t="str">
        <f t="shared" si="224"/>
        <v/>
      </c>
      <c r="Q2855">
        <f>COUNTIF('責任職　企業局→市長部局'!A:A,SQLデータ!B2855)</f>
        <v>0</v>
      </c>
      <c r="R2855">
        <f>COUNTIF('一般職員　企業局→市長部局'!A:F,SQLデータ!B2855)</f>
        <v>0</v>
      </c>
    </row>
    <row r="2856" spans="1:18" x14ac:dyDescent="0.4">
      <c r="A2856" s="1">
        <v>202650002762</v>
      </c>
      <c r="B2856" s="1">
        <v>1203022</v>
      </c>
      <c r="C2856" s="2">
        <v>46127</v>
      </c>
      <c r="D2856" t="s">
        <v>17</v>
      </c>
      <c r="E2856" t="s">
        <v>8</v>
      </c>
      <c r="G2856" t="s">
        <v>9</v>
      </c>
      <c r="L2856">
        <f t="shared" si="221"/>
        <v>0</v>
      </c>
      <c r="M2856">
        <f t="shared" si="222"/>
        <v>0</v>
      </c>
      <c r="N2856">
        <f t="shared" si="223"/>
        <v>0</v>
      </c>
      <c r="O2856">
        <f t="shared" si="225"/>
        <v>1</v>
      </c>
      <c r="P2856" t="str">
        <f t="shared" si="224"/>
        <v/>
      </c>
      <c r="Q2856">
        <f>COUNTIF('責任職　企業局→市長部局'!A:A,SQLデータ!B2856)</f>
        <v>0</v>
      </c>
      <c r="R2856">
        <f>COUNTIF('一般職員　企業局→市長部局'!A:F,SQLデータ!B2856)</f>
        <v>0</v>
      </c>
    </row>
    <row r="2857" spans="1:18" x14ac:dyDescent="0.4">
      <c r="A2857" s="1">
        <v>202650002763</v>
      </c>
      <c r="B2857" s="1">
        <v>1161188</v>
      </c>
      <c r="C2857" s="2">
        <v>46127</v>
      </c>
      <c r="D2857" t="s">
        <v>17</v>
      </c>
      <c r="E2857" t="s">
        <v>8</v>
      </c>
      <c r="G2857" t="s">
        <v>9</v>
      </c>
      <c r="L2857">
        <f t="shared" si="221"/>
        <v>0</v>
      </c>
      <c r="M2857">
        <f t="shared" si="222"/>
        <v>0</v>
      </c>
      <c r="N2857">
        <f t="shared" si="223"/>
        <v>0</v>
      </c>
      <c r="O2857">
        <f t="shared" si="225"/>
        <v>1</v>
      </c>
      <c r="P2857" t="str">
        <f t="shared" si="224"/>
        <v/>
      </c>
      <c r="Q2857">
        <f>COUNTIF('責任職　企業局→市長部局'!A:A,SQLデータ!B2857)</f>
        <v>0</v>
      </c>
      <c r="R2857">
        <f>COUNTIF('一般職員　企業局→市長部局'!A:F,SQLデータ!B2857)</f>
        <v>0</v>
      </c>
    </row>
    <row r="2858" spans="1:18" x14ac:dyDescent="0.4">
      <c r="A2858" s="1">
        <v>202650002764</v>
      </c>
      <c r="B2858" s="1">
        <v>1101193</v>
      </c>
      <c r="C2858" s="2">
        <v>46127</v>
      </c>
      <c r="D2858" t="s">
        <v>17</v>
      </c>
      <c r="E2858" t="s">
        <v>8</v>
      </c>
      <c r="G2858" t="s">
        <v>9</v>
      </c>
      <c r="L2858">
        <f t="shared" si="221"/>
        <v>0</v>
      </c>
      <c r="M2858">
        <f t="shared" si="222"/>
        <v>0</v>
      </c>
      <c r="N2858">
        <f t="shared" si="223"/>
        <v>0</v>
      </c>
      <c r="O2858">
        <f t="shared" si="225"/>
        <v>1</v>
      </c>
      <c r="P2858" t="str">
        <f t="shared" si="224"/>
        <v/>
      </c>
      <c r="Q2858">
        <f>COUNTIF('責任職　企業局→市長部局'!A:A,SQLデータ!B2858)</f>
        <v>0</v>
      </c>
      <c r="R2858">
        <f>COUNTIF('一般職員　企業局→市長部局'!A:F,SQLデータ!B2858)</f>
        <v>0</v>
      </c>
    </row>
    <row r="2859" spans="1:18" x14ac:dyDescent="0.4">
      <c r="A2859" s="1">
        <v>202650002765</v>
      </c>
      <c r="B2859" s="1">
        <v>1232075</v>
      </c>
      <c r="C2859" s="2">
        <v>46127</v>
      </c>
      <c r="D2859" t="s">
        <v>17</v>
      </c>
      <c r="E2859" t="s">
        <v>8</v>
      </c>
      <c r="G2859" t="s">
        <v>9</v>
      </c>
      <c r="L2859">
        <f t="shared" si="221"/>
        <v>0</v>
      </c>
      <c r="M2859">
        <f t="shared" si="222"/>
        <v>0</v>
      </c>
      <c r="N2859">
        <f t="shared" si="223"/>
        <v>0</v>
      </c>
      <c r="O2859">
        <f t="shared" si="225"/>
        <v>1</v>
      </c>
      <c r="P2859" t="str">
        <f t="shared" si="224"/>
        <v/>
      </c>
      <c r="Q2859">
        <f>COUNTIF('責任職　企業局→市長部局'!A:A,SQLデータ!B2859)</f>
        <v>0</v>
      </c>
      <c r="R2859">
        <f>COUNTIF('一般職員　企業局→市長部局'!A:F,SQLデータ!B2859)</f>
        <v>0</v>
      </c>
    </row>
    <row r="2860" spans="1:18" x14ac:dyDescent="0.4">
      <c r="A2860" s="1">
        <v>202650002766</v>
      </c>
      <c r="B2860" s="1">
        <v>1212511</v>
      </c>
      <c r="C2860" s="2">
        <v>46127</v>
      </c>
      <c r="D2860" t="s">
        <v>17</v>
      </c>
      <c r="E2860" t="s">
        <v>8</v>
      </c>
      <c r="G2860" t="s">
        <v>9</v>
      </c>
      <c r="L2860">
        <f t="shared" si="221"/>
        <v>0</v>
      </c>
      <c r="M2860">
        <f t="shared" si="222"/>
        <v>0</v>
      </c>
      <c r="N2860">
        <f t="shared" si="223"/>
        <v>0</v>
      </c>
      <c r="O2860">
        <f t="shared" si="225"/>
        <v>1</v>
      </c>
      <c r="P2860" t="str">
        <f t="shared" si="224"/>
        <v/>
      </c>
      <c r="Q2860">
        <f>COUNTIF('責任職　企業局→市長部局'!A:A,SQLデータ!B2860)</f>
        <v>0</v>
      </c>
      <c r="R2860">
        <f>COUNTIF('一般職員　企業局→市長部局'!A:F,SQLデータ!B2860)</f>
        <v>0</v>
      </c>
    </row>
    <row r="2861" spans="1:18" x14ac:dyDescent="0.4">
      <c r="A2861" s="1">
        <v>202650002767</v>
      </c>
      <c r="B2861" s="1">
        <v>1201216</v>
      </c>
      <c r="C2861" s="2">
        <v>46127</v>
      </c>
      <c r="D2861" t="s">
        <v>17</v>
      </c>
      <c r="E2861" t="s">
        <v>8</v>
      </c>
      <c r="G2861" t="s">
        <v>9</v>
      </c>
      <c r="L2861">
        <f t="shared" si="221"/>
        <v>0</v>
      </c>
      <c r="M2861">
        <f t="shared" si="222"/>
        <v>0</v>
      </c>
      <c r="N2861">
        <f t="shared" si="223"/>
        <v>0</v>
      </c>
      <c r="O2861">
        <f t="shared" si="225"/>
        <v>1</v>
      </c>
      <c r="P2861" t="str">
        <f t="shared" si="224"/>
        <v/>
      </c>
      <c r="Q2861">
        <f>COUNTIF('責任職　企業局→市長部局'!A:A,SQLデータ!B2861)</f>
        <v>0</v>
      </c>
      <c r="R2861">
        <f>COUNTIF('一般職員　企業局→市長部局'!A:F,SQLデータ!B2861)</f>
        <v>0</v>
      </c>
    </row>
    <row r="2862" spans="1:18" x14ac:dyDescent="0.4">
      <c r="A2862" s="1">
        <v>202650002768</v>
      </c>
      <c r="B2862" s="1">
        <v>1171204</v>
      </c>
      <c r="C2862" s="2">
        <v>46127</v>
      </c>
      <c r="D2862" t="s">
        <v>17</v>
      </c>
      <c r="E2862" t="s">
        <v>8</v>
      </c>
      <c r="G2862" t="s">
        <v>9</v>
      </c>
      <c r="L2862">
        <f t="shared" si="221"/>
        <v>0</v>
      </c>
      <c r="M2862">
        <f t="shared" si="222"/>
        <v>0</v>
      </c>
      <c r="N2862">
        <f t="shared" si="223"/>
        <v>0</v>
      </c>
      <c r="O2862">
        <f t="shared" si="225"/>
        <v>1</v>
      </c>
      <c r="P2862" t="str">
        <f t="shared" si="224"/>
        <v/>
      </c>
      <c r="Q2862">
        <f>COUNTIF('責任職　企業局→市長部局'!A:A,SQLデータ!B2862)</f>
        <v>0</v>
      </c>
      <c r="R2862">
        <f>COUNTIF('一般職員　企業局→市長部局'!A:F,SQLデータ!B2862)</f>
        <v>0</v>
      </c>
    </row>
    <row r="2863" spans="1:18" x14ac:dyDescent="0.4">
      <c r="A2863" s="1">
        <v>202650002769</v>
      </c>
      <c r="B2863" s="1">
        <v>1191357</v>
      </c>
      <c r="C2863" s="2">
        <v>46127</v>
      </c>
      <c r="D2863" t="s">
        <v>17</v>
      </c>
      <c r="E2863" t="s">
        <v>8</v>
      </c>
      <c r="G2863" t="s">
        <v>9</v>
      </c>
      <c r="L2863">
        <f t="shared" si="221"/>
        <v>0</v>
      </c>
      <c r="M2863">
        <f t="shared" si="222"/>
        <v>0</v>
      </c>
      <c r="N2863">
        <f t="shared" si="223"/>
        <v>0</v>
      </c>
      <c r="O2863">
        <f t="shared" si="225"/>
        <v>1</v>
      </c>
      <c r="P2863" t="str">
        <f t="shared" si="224"/>
        <v/>
      </c>
      <c r="Q2863">
        <f>COUNTIF('責任職　企業局→市長部局'!A:A,SQLデータ!B2863)</f>
        <v>0</v>
      </c>
      <c r="R2863">
        <f>COUNTIF('一般職員　企業局→市長部局'!A:F,SQLデータ!B2863)</f>
        <v>0</v>
      </c>
    </row>
    <row r="2864" spans="1:18" x14ac:dyDescent="0.4">
      <c r="A2864" s="1">
        <v>202650002770</v>
      </c>
      <c r="B2864" s="1">
        <v>1221260</v>
      </c>
      <c r="C2864" s="2">
        <v>46127</v>
      </c>
      <c r="D2864" t="s">
        <v>17</v>
      </c>
      <c r="E2864" t="s">
        <v>8</v>
      </c>
      <c r="G2864" t="s">
        <v>9</v>
      </c>
      <c r="L2864">
        <f t="shared" si="221"/>
        <v>0</v>
      </c>
      <c r="M2864">
        <f t="shared" si="222"/>
        <v>0</v>
      </c>
      <c r="N2864">
        <f t="shared" si="223"/>
        <v>0</v>
      </c>
      <c r="O2864">
        <f t="shared" si="225"/>
        <v>1</v>
      </c>
      <c r="P2864" t="str">
        <f t="shared" si="224"/>
        <v/>
      </c>
      <c r="Q2864">
        <f>COUNTIF('責任職　企業局→市長部局'!A:A,SQLデータ!B2864)</f>
        <v>0</v>
      </c>
      <c r="R2864">
        <f>COUNTIF('一般職員　企業局→市長部局'!A:F,SQLデータ!B2864)</f>
        <v>0</v>
      </c>
    </row>
    <row r="2865" spans="1:18" x14ac:dyDescent="0.4">
      <c r="A2865" s="1">
        <v>202650002771</v>
      </c>
      <c r="B2865" s="1">
        <v>1201082</v>
      </c>
      <c r="C2865" s="2">
        <v>46127</v>
      </c>
      <c r="D2865" t="s">
        <v>17</v>
      </c>
      <c r="E2865" t="s">
        <v>8</v>
      </c>
      <c r="G2865" t="s">
        <v>9</v>
      </c>
      <c r="L2865">
        <f t="shared" si="221"/>
        <v>0</v>
      </c>
      <c r="M2865">
        <f t="shared" si="222"/>
        <v>0</v>
      </c>
      <c r="N2865">
        <f t="shared" si="223"/>
        <v>0</v>
      </c>
      <c r="O2865">
        <f t="shared" si="225"/>
        <v>1</v>
      </c>
      <c r="P2865" t="str">
        <f t="shared" si="224"/>
        <v/>
      </c>
      <c r="Q2865">
        <f>COUNTIF('責任職　企業局→市長部局'!A:A,SQLデータ!B2865)</f>
        <v>0</v>
      </c>
      <c r="R2865">
        <f>COUNTIF('一般職員　企業局→市長部局'!A:F,SQLデータ!B2865)</f>
        <v>0</v>
      </c>
    </row>
    <row r="2866" spans="1:18" x14ac:dyDescent="0.4">
      <c r="A2866" s="1">
        <v>202650002772</v>
      </c>
      <c r="B2866" s="1">
        <v>1221074</v>
      </c>
      <c r="C2866" s="2">
        <v>46127</v>
      </c>
      <c r="D2866" t="s">
        <v>17</v>
      </c>
      <c r="E2866" t="s">
        <v>8</v>
      </c>
      <c r="G2866" t="s">
        <v>9</v>
      </c>
      <c r="L2866">
        <f t="shared" si="221"/>
        <v>0</v>
      </c>
      <c r="M2866">
        <f t="shared" si="222"/>
        <v>0</v>
      </c>
      <c r="N2866">
        <f t="shared" si="223"/>
        <v>0</v>
      </c>
      <c r="O2866">
        <f t="shared" si="225"/>
        <v>1</v>
      </c>
      <c r="P2866" t="str">
        <f t="shared" si="224"/>
        <v/>
      </c>
      <c r="Q2866">
        <f>COUNTIF('責任職　企業局→市長部局'!A:A,SQLデータ!B2866)</f>
        <v>0</v>
      </c>
      <c r="R2866">
        <f>COUNTIF('一般職員　企業局→市長部局'!A:F,SQLデータ!B2866)</f>
        <v>0</v>
      </c>
    </row>
    <row r="2867" spans="1:18" x14ac:dyDescent="0.4">
      <c r="A2867" s="1">
        <v>202650002773</v>
      </c>
      <c r="B2867" s="1">
        <v>1101117</v>
      </c>
      <c r="C2867" s="2">
        <v>46127</v>
      </c>
      <c r="D2867" t="s">
        <v>17</v>
      </c>
      <c r="E2867" t="s">
        <v>8</v>
      </c>
      <c r="G2867" t="s">
        <v>9</v>
      </c>
      <c r="L2867">
        <f t="shared" si="221"/>
        <v>0</v>
      </c>
      <c r="M2867">
        <f t="shared" si="222"/>
        <v>0</v>
      </c>
      <c r="N2867">
        <f t="shared" si="223"/>
        <v>0</v>
      </c>
      <c r="O2867">
        <f t="shared" si="225"/>
        <v>1</v>
      </c>
      <c r="P2867" t="str">
        <f t="shared" si="224"/>
        <v/>
      </c>
      <c r="Q2867">
        <f>COUNTIF('責任職　企業局→市長部局'!A:A,SQLデータ!B2867)</f>
        <v>0</v>
      </c>
      <c r="R2867">
        <f>COUNTIF('一般職員　企業局→市長部局'!A:F,SQLデータ!B2867)</f>
        <v>0</v>
      </c>
    </row>
    <row r="2868" spans="1:18" x14ac:dyDescent="0.4">
      <c r="A2868" s="1">
        <v>202650002774</v>
      </c>
      <c r="B2868" s="1">
        <v>1201119</v>
      </c>
      <c r="C2868" s="2">
        <v>46127</v>
      </c>
      <c r="D2868" t="s">
        <v>17</v>
      </c>
      <c r="E2868" t="s">
        <v>8</v>
      </c>
      <c r="G2868" t="s">
        <v>9</v>
      </c>
      <c r="L2868">
        <f t="shared" si="221"/>
        <v>0</v>
      </c>
      <c r="M2868">
        <f t="shared" si="222"/>
        <v>0</v>
      </c>
      <c r="N2868">
        <f t="shared" si="223"/>
        <v>0</v>
      </c>
      <c r="O2868">
        <f t="shared" si="225"/>
        <v>1</v>
      </c>
      <c r="P2868" t="str">
        <f t="shared" si="224"/>
        <v/>
      </c>
      <c r="Q2868">
        <f>COUNTIF('責任職　企業局→市長部局'!A:A,SQLデータ!B2868)</f>
        <v>0</v>
      </c>
      <c r="R2868">
        <f>COUNTIF('一般職員　企業局→市長部局'!A:F,SQLデータ!B2868)</f>
        <v>0</v>
      </c>
    </row>
    <row r="2869" spans="1:18" x14ac:dyDescent="0.4">
      <c r="A2869" s="1">
        <v>202650002775</v>
      </c>
      <c r="B2869" s="1">
        <v>1191007</v>
      </c>
      <c r="C2869" s="2">
        <v>46127</v>
      </c>
      <c r="D2869" t="s">
        <v>17</v>
      </c>
      <c r="E2869" t="s">
        <v>8</v>
      </c>
      <c r="G2869" t="s">
        <v>9</v>
      </c>
      <c r="L2869">
        <f t="shared" si="221"/>
        <v>0</v>
      </c>
      <c r="M2869">
        <f t="shared" si="222"/>
        <v>0</v>
      </c>
      <c r="N2869">
        <f t="shared" si="223"/>
        <v>0</v>
      </c>
      <c r="O2869">
        <f t="shared" si="225"/>
        <v>1</v>
      </c>
      <c r="P2869" t="str">
        <f t="shared" si="224"/>
        <v/>
      </c>
      <c r="Q2869">
        <f>COUNTIF('責任職　企業局→市長部局'!A:A,SQLデータ!B2869)</f>
        <v>0</v>
      </c>
      <c r="R2869">
        <f>COUNTIF('一般職員　企業局→市長部局'!A:F,SQLデータ!B2869)</f>
        <v>0</v>
      </c>
    </row>
    <row r="2870" spans="1:18" x14ac:dyDescent="0.4">
      <c r="A2870" s="1">
        <v>202650002777</v>
      </c>
      <c r="B2870" s="1">
        <v>1171356</v>
      </c>
      <c r="C2870" s="2">
        <v>46127</v>
      </c>
      <c r="D2870" t="s">
        <v>17</v>
      </c>
      <c r="E2870" t="s">
        <v>8</v>
      </c>
      <c r="G2870" t="s">
        <v>9</v>
      </c>
      <c r="L2870">
        <f t="shared" si="221"/>
        <v>0</v>
      </c>
      <c r="M2870">
        <f t="shared" si="222"/>
        <v>0</v>
      </c>
      <c r="N2870">
        <f t="shared" si="223"/>
        <v>0</v>
      </c>
      <c r="O2870">
        <f t="shared" si="225"/>
        <v>1</v>
      </c>
      <c r="P2870" t="str">
        <f t="shared" si="224"/>
        <v/>
      </c>
      <c r="Q2870">
        <f>COUNTIF('責任職　企業局→市長部局'!A:A,SQLデータ!B2870)</f>
        <v>0</v>
      </c>
      <c r="R2870">
        <f>COUNTIF('一般職員　企業局→市長部局'!A:F,SQLデータ!B2870)</f>
        <v>0</v>
      </c>
    </row>
    <row r="2871" spans="1:18" x14ac:dyDescent="0.4">
      <c r="A2871" s="1">
        <v>202650002778</v>
      </c>
      <c r="B2871" s="1">
        <v>1161511</v>
      </c>
      <c r="C2871" s="2">
        <v>46127</v>
      </c>
      <c r="D2871" t="s">
        <v>17</v>
      </c>
      <c r="E2871" t="s">
        <v>8</v>
      </c>
      <c r="G2871" t="s">
        <v>9</v>
      </c>
      <c r="L2871">
        <f t="shared" si="221"/>
        <v>0</v>
      </c>
      <c r="M2871">
        <f t="shared" si="222"/>
        <v>0</v>
      </c>
      <c r="N2871">
        <f t="shared" si="223"/>
        <v>0</v>
      </c>
      <c r="O2871">
        <f t="shared" si="225"/>
        <v>1</v>
      </c>
      <c r="P2871" t="str">
        <f t="shared" si="224"/>
        <v/>
      </c>
      <c r="Q2871">
        <f>COUNTIF('責任職　企業局→市長部局'!A:A,SQLデータ!B2871)</f>
        <v>0</v>
      </c>
      <c r="R2871">
        <f>COUNTIF('一般職員　企業局→市長部局'!A:F,SQLデータ!B2871)</f>
        <v>0</v>
      </c>
    </row>
    <row r="2872" spans="1:18" x14ac:dyDescent="0.4">
      <c r="A2872" s="1">
        <v>202650002779</v>
      </c>
      <c r="B2872" s="1">
        <v>1211282</v>
      </c>
      <c r="C2872" s="2">
        <v>46127</v>
      </c>
      <c r="D2872" t="s">
        <v>17</v>
      </c>
      <c r="E2872" t="s">
        <v>8</v>
      </c>
      <c r="G2872" t="s">
        <v>9</v>
      </c>
      <c r="L2872">
        <f t="shared" si="221"/>
        <v>0</v>
      </c>
      <c r="M2872">
        <f t="shared" si="222"/>
        <v>0</v>
      </c>
      <c r="N2872">
        <f t="shared" si="223"/>
        <v>0</v>
      </c>
      <c r="O2872">
        <f t="shared" si="225"/>
        <v>1</v>
      </c>
      <c r="P2872" t="str">
        <f t="shared" si="224"/>
        <v/>
      </c>
      <c r="Q2872">
        <f>COUNTIF('責任職　企業局→市長部局'!A:A,SQLデータ!B2872)</f>
        <v>0</v>
      </c>
      <c r="R2872">
        <f>COUNTIF('一般職員　企業局→市長部局'!A:F,SQLデータ!B2872)</f>
        <v>0</v>
      </c>
    </row>
    <row r="2873" spans="1:18" x14ac:dyDescent="0.4">
      <c r="A2873" s="1">
        <v>202650002780</v>
      </c>
      <c r="B2873" s="1">
        <v>1221250</v>
      </c>
      <c r="C2873" s="2">
        <v>46127</v>
      </c>
      <c r="D2873" t="s">
        <v>17</v>
      </c>
      <c r="E2873" t="s">
        <v>8</v>
      </c>
      <c r="G2873" t="s">
        <v>9</v>
      </c>
      <c r="L2873">
        <f t="shared" si="221"/>
        <v>0</v>
      </c>
      <c r="M2873">
        <f t="shared" si="222"/>
        <v>0</v>
      </c>
      <c r="N2873">
        <f t="shared" si="223"/>
        <v>0</v>
      </c>
      <c r="O2873">
        <f t="shared" si="225"/>
        <v>1</v>
      </c>
      <c r="P2873" t="str">
        <f t="shared" si="224"/>
        <v/>
      </c>
      <c r="Q2873">
        <f>COUNTIF('責任職　企業局→市長部局'!A:A,SQLデータ!B2873)</f>
        <v>0</v>
      </c>
      <c r="R2873">
        <f>COUNTIF('一般職員　企業局→市長部局'!A:F,SQLデータ!B2873)</f>
        <v>0</v>
      </c>
    </row>
    <row r="2874" spans="1:18" x14ac:dyDescent="0.4">
      <c r="A2874" s="1">
        <v>202650002781</v>
      </c>
      <c r="B2874" s="1">
        <v>1221032</v>
      </c>
      <c r="C2874" s="2">
        <v>46127</v>
      </c>
      <c r="D2874" t="s">
        <v>17</v>
      </c>
      <c r="E2874" t="s">
        <v>8</v>
      </c>
      <c r="G2874" t="s">
        <v>9</v>
      </c>
      <c r="L2874">
        <f t="shared" si="221"/>
        <v>0</v>
      </c>
      <c r="M2874">
        <f t="shared" si="222"/>
        <v>0</v>
      </c>
      <c r="N2874">
        <f t="shared" si="223"/>
        <v>0</v>
      </c>
      <c r="O2874">
        <f t="shared" si="225"/>
        <v>1</v>
      </c>
      <c r="P2874" t="str">
        <f t="shared" si="224"/>
        <v/>
      </c>
      <c r="Q2874">
        <f>COUNTIF('責任職　企業局→市長部局'!A:A,SQLデータ!B2874)</f>
        <v>0</v>
      </c>
      <c r="R2874">
        <f>COUNTIF('一般職員　企業局→市長部局'!A:F,SQLデータ!B2874)</f>
        <v>0</v>
      </c>
    </row>
    <row r="2875" spans="1:18" x14ac:dyDescent="0.4">
      <c r="A2875" s="1">
        <v>202650002782</v>
      </c>
      <c r="B2875" s="1">
        <v>1121312</v>
      </c>
      <c r="C2875" s="2">
        <v>46127</v>
      </c>
      <c r="D2875" t="s">
        <v>17</v>
      </c>
      <c r="E2875" t="s">
        <v>8</v>
      </c>
      <c r="G2875" t="s">
        <v>9</v>
      </c>
      <c r="L2875">
        <f t="shared" si="221"/>
        <v>0</v>
      </c>
      <c r="M2875">
        <f t="shared" si="222"/>
        <v>0</v>
      </c>
      <c r="N2875">
        <f t="shared" si="223"/>
        <v>0</v>
      </c>
      <c r="O2875">
        <f t="shared" si="225"/>
        <v>1</v>
      </c>
      <c r="P2875" t="str">
        <f t="shared" si="224"/>
        <v/>
      </c>
      <c r="Q2875">
        <f>COUNTIF('責任職　企業局→市長部局'!A:A,SQLデータ!B2875)</f>
        <v>0</v>
      </c>
      <c r="R2875">
        <f>COUNTIF('一般職員　企業局→市長部局'!A:F,SQLデータ!B2875)</f>
        <v>0</v>
      </c>
    </row>
    <row r="2876" spans="1:18" x14ac:dyDescent="0.4">
      <c r="A2876" s="1">
        <v>202650002783</v>
      </c>
      <c r="B2876" s="1">
        <v>1223030</v>
      </c>
      <c r="C2876" s="2">
        <v>46127</v>
      </c>
      <c r="D2876" t="s">
        <v>17</v>
      </c>
      <c r="E2876" t="s">
        <v>8</v>
      </c>
      <c r="G2876" t="s">
        <v>9</v>
      </c>
      <c r="L2876">
        <f t="shared" si="221"/>
        <v>0</v>
      </c>
      <c r="M2876">
        <f t="shared" si="222"/>
        <v>0</v>
      </c>
      <c r="N2876">
        <f t="shared" si="223"/>
        <v>0</v>
      </c>
      <c r="O2876">
        <f t="shared" si="225"/>
        <v>1</v>
      </c>
      <c r="P2876" t="str">
        <f t="shared" si="224"/>
        <v/>
      </c>
      <c r="Q2876">
        <f>COUNTIF('責任職　企業局→市長部局'!A:A,SQLデータ!B2876)</f>
        <v>0</v>
      </c>
      <c r="R2876">
        <f>COUNTIF('一般職員　企業局→市長部局'!A:F,SQLデータ!B2876)</f>
        <v>0</v>
      </c>
    </row>
    <row r="2877" spans="1:18" x14ac:dyDescent="0.4">
      <c r="A2877" s="1">
        <v>202650002784</v>
      </c>
      <c r="B2877" s="1">
        <v>1222314</v>
      </c>
      <c r="C2877" s="2">
        <v>46127</v>
      </c>
      <c r="D2877" t="s">
        <v>17</v>
      </c>
      <c r="E2877" t="s">
        <v>8</v>
      </c>
      <c r="G2877" t="s">
        <v>9</v>
      </c>
      <c r="L2877">
        <f t="shared" si="221"/>
        <v>0</v>
      </c>
      <c r="M2877">
        <f t="shared" si="222"/>
        <v>0</v>
      </c>
      <c r="N2877">
        <f t="shared" si="223"/>
        <v>0</v>
      </c>
      <c r="O2877">
        <f t="shared" si="225"/>
        <v>1</v>
      </c>
      <c r="P2877" t="str">
        <f t="shared" si="224"/>
        <v/>
      </c>
      <c r="Q2877">
        <f>COUNTIF('責任職　企業局→市長部局'!A:A,SQLデータ!B2877)</f>
        <v>0</v>
      </c>
      <c r="R2877">
        <f>COUNTIF('一般職員　企業局→市長部局'!A:F,SQLデータ!B2877)</f>
        <v>0</v>
      </c>
    </row>
    <row r="2878" spans="1:18" x14ac:dyDescent="0.4">
      <c r="A2878" s="1">
        <v>202650002785</v>
      </c>
      <c r="B2878" s="1">
        <v>1131088</v>
      </c>
      <c r="C2878" s="2">
        <v>46127</v>
      </c>
      <c r="D2878" t="s">
        <v>17</v>
      </c>
      <c r="E2878" t="s">
        <v>8</v>
      </c>
      <c r="G2878" t="s">
        <v>9</v>
      </c>
      <c r="L2878">
        <f t="shared" si="221"/>
        <v>0</v>
      </c>
      <c r="M2878">
        <f t="shared" si="222"/>
        <v>0</v>
      </c>
      <c r="N2878">
        <f t="shared" si="223"/>
        <v>0</v>
      </c>
      <c r="O2878">
        <f t="shared" si="225"/>
        <v>1</v>
      </c>
      <c r="P2878" t="str">
        <f t="shared" si="224"/>
        <v/>
      </c>
      <c r="Q2878">
        <f>COUNTIF('責任職　企業局→市長部局'!A:A,SQLデータ!B2878)</f>
        <v>0</v>
      </c>
      <c r="R2878">
        <f>COUNTIF('一般職員　企業局→市長部局'!A:F,SQLデータ!B2878)</f>
        <v>0</v>
      </c>
    </row>
    <row r="2879" spans="1:18" x14ac:dyDescent="0.4">
      <c r="A2879" s="1">
        <v>202650002786</v>
      </c>
      <c r="B2879" s="1">
        <v>1121203</v>
      </c>
      <c r="C2879" s="2">
        <v>46127</v>
      </c>
      <c r="D2879" t="s">
        <v>17</v>
      </c>
      <c r="E2879" t="s">
        <v>8</v>
      </c>
      <c r="G2879" t="s">
        <v>9</v>
      </c>
      <c r="L2879">
        <f t="shared" si="221"/>
        <v>0</v>
      </c>
      <c r="M2879">
        <f t="shared" si="222"/>
        <v>0</v>
      </c>
      <c r="N2879">
        <f t="shared" si="223"/>
        <v>0</v>
      </c>
      <c r="O2879">
        <f t="shared" si="225"/>
        <v>1</v>
      </c>
      <c r="P2879" t="str">
        <f t="shared" si="224"/>
        <v/>
      </c>
      <c r="Q2879">
        <f>COUNTIF('責任職　企業局→市長部局'!A:A,SQLデータ!B2879)</f>
        <v>0</v>
      </c>
      <c r="R2879">
        <f>COUNTIF('一般職員　企業局→市長部局'!A:F,SQLデータ!B2879)</f>
        <v>0</v>
      </c>
    </row>
    <row r="2880" spans="1:18" x14ac:dyDescent="0.4">
      <c r="A2880" s="1">
        <v>202650002787</v>
      </c>
      <c r="B2880" s="1">
        <v>1231163</v>
      </c>
      <c r="C2880" s="2">
        <v>46127</v>
      </c>
      <c r="D2880" t="s">
        <v>17</v>
      </c>
      <c r="E2880" t="s">
        <v>8</v>
      </c>
      <c r="G2880" t="s">
        <v>9</v>
      </c>
      <c r="L2880">
        <f t="shared" si="221"/>
        <v>0</v>
      </c>
      <c r="M2880">
        <f t="shared" si="222"/>
        <v>0</v>
      </c>
      <c r="N2880">
        <f t="shared" si="223"/>
        <v>0</v>
      </c>
      <c r="O2880">
        <f t="shared" si="225"/>
        <v>1</v>
      </c>
      <c r="P2880" t="str">
        <f t="shared" si="224"/>
        <v/>
      </c>
      <c r="Q2880">
        <f>COUNTIF('責任職　企業局→市長部局'!A:A,SQLデータ!B2880)</f>
        <v>0</v>
      </c>
      <c r="R2880">
        <f>COUNTIF('一般職員　企業局→市長部局'!A:F,SQLデータ!B2880)</f>
        <v>0</v>
      </c>
    </row>
    <row r="2881" spans="1:18" x14ac:dyDescent="0.4">
      <c r="A2881" s="1">
        <v>202650002788</v>
      </c>
      <c r="B2881" s="1">
        <v>1221076</v>
      </c>
      <c r="C2881" s="2">
        <v>46127</v>
      </c>
      <c r="D2881" t="s">
        <v>17</v>
      </c>
      <c r="E2881" t="s">
        <v>8</v>
      </c>
      <c r="G2881" t="s">
        <v>9</v>
      </c>
      <c r="L2881">
        <f t="shared" si="221"/>
        <v>0</v>
      </c>
      <c r="M2881">
        <f t="shared" si="222"/>
        <v>0</v>
      </c>
      <c r="N2881">
        <f t="shared" si="223"/>
        <v>0</v>
      </c>
      <c r="O2881">
        <f t="shared" si="225"/>
        <v>1</v>
      </c>
      <c r="P2881" t="str">
        <f t="shared" si="224"/>
        <v/>
      </c>
      <c r="Q2881">
        <f>COUNTIF('責任職　企業局→市長部局'!A:A,SQLデータ!B2881)</f>
        <v>0</v>
      </c>
      <c r="R2881">
        <f>COUNTIF('一般職員　企業局→市長部局'!A:F,SQLデータ!B2881)</f>
        <v>0</v>
      </c>
    </row>
    <row r="2882" spans="1:18" x14ac:dyDescent="0.4">
      <c r="A2882" s="1">
        <v>202650002789</v>
      </c>
      <c r="B2882" s="1">
        <v>1181145</v>
      </c>
      <c r="C2882" s="2">
        <v>46127</v>
      </c>
      <c r="D2882" t="s">
        <v>17</v>
      </c>
      <c r="E2882" t="s">
        <v>8</v>
      </c>
      <c r="G2882" t="s">
        <v>9</v>
      </c>
      <c r="L2882">
        <f t="shared" ref="L2882:L2945" si="226">IF(ISBLANK(J2882),0,1)</f>
        <v>0</v>
      </c>
      <c r="M2882">
        <f t="shared" ref="M2882:M2945" si="227">IF(AND(L2882=0,I2882&lt;&gt;""),1,0)</f>
        <v>0</v>
      </c>
      <c r="N2882">
        <f t="shared" ref="N2882:N2945" si="228">IF(AND(L2882=0,M2882=0,K2882&lt;&gt;""),1,0)</f>
        <v>0</v>
      </c>
      <c r="O2882">
        <f t="shared" si="225"/>
        <v>1</v>
      </c>
      <c r="P2882" t="str">
        <f t="shared" ref="P2882:P2945" si="229">IF(D2882&lt;&gt;"扶養","",IF(E2882&lt;&gt;"確認待ち",1,IF(OR(AND(G2882="本人の結婚",O2882=1),AND(H2882="減",OR(N2882=1,O2882=1))),1,0)))</f>
        <v/>
      </c>
      <c r="Q2882">
        <f>COUNTIF('責任職　企業局→市長部局'!A:A,SQLデータ!B2882)</f>
        <v>0</v>
      </c>
      <c r="R2882">
        <f>COUNTIF('一般職員　企業局→市長部局'!A:F,SQLデータ!B2882)</f>
        <v>0</v>
      </c>
    </row>
    <row r="2883" spans="1:18" x14ac:dyDescent="0.4">
      <c r="A2883" s="1">
        <v>202650002790</v>
      </c>
      <c r="B2883" s="1">
        <v>1191190</v>
      </c>
      <c r="C2883" s="2">
        <v>46127</v>
      </c>
      <c r="D2883" t="s">
        <v>17</v>
      </c>
      <c r="E2883" t="s">
        <v>8</v>
      </c>
      <c r="G2883" t="s">
        <v>9</v>
      </c>
      <c r="L2883">
        <f t="shared" si="226"/>
        <v>0</v>
      </c>
      <c r="M2883">
        <f t="shared" si="227"/>
        <v>0</v>
      </c>
      <c r="N2883">
        <f t="shared" si="228"/>
        <v>0</v>
      </c>
      <c r="O2883">
        <f t="shared" si="225"/>
        <v>1</v>
      </c>
      <c r="P2883" t="str">
        <f t="shared" si="229"/>
        <v/>
      </c>
      <c r="Q2883">
        <f>COUNTIF('責任職　企業局→市長部局'!A:A,SQLデータ!B2883)</f>
        <v>0</v>
      </c>
      <c r="R2883">
        <f>COUNTIF('一般職員　企業局→市長部局'!A:F,SQLデータ!B2883)</f>
        <v>0</v>
      </c>
    </row>
    <row r="2884" spans="1:18" x14ac:dyDescent="0.4">
      <c r="A2884" s="1">
        <v>202650002791</v>
      </c>
      <c r="B2884" s="1">
        <v>1111312</v>
      </c>
      <c r="C2884" s="2">
        <v>46127</v>
      </c>
      <c r="D2884" t="s">
        <v>17</v>
      </c>
      <c r="E2884" t="s">
        <v>8</v>
      </c>
      <c r="G2884" t="s">
        <v>9</v>
      </c>
      <c r="L2884">
        <f t="shared" si="226"/>
        <v>0</v>
      </c>
      <c r="M2884">
        <f t="shared" si="227"/>
        <v>0</v>
      </c>
      <c r="N2884">
        <f t="shared" si="228"/>
        <v>0</v>
      </c>
      <c r="O2884">
        <f t="shared" si="225"/>
        <v>1</v>
      </c>
      <c r="P2884" t="str">
        <f t="shared" si="229"/>
        <v/>
      </c>
      <c r="Q2884">
        <f>COUNTIF('責任職　企業局→市長部局'!A:A,SQLデータ!B2884)</f>
        <v>0</v>
      </c>
      <c r="R2884">
        <f>COUNTIF('一般職員　企業局→市長部局'!A:F,SQLデータ!B2884)</f>
        <v>0</v>
      </c>
    </row>
    <row r="2885" spans="1:18" x14ac:dyDescent="0.4">
      <c r="A2885" s="1">
        <v>202650002793</v>
      </c>
      <c r="B2885" s="1">
        <v>920614</v>
      </c>
      <c r="C2885" s="2">
        <v>46127</v>
      </c>
      <c r="D2885" t="s">
        <v>17</v>
      </c>
      <c r="E2885" t="s">
        <v>8</v>
      </c>
      <c r="G2885" t="s">
        <v>9</v>
      </c>
      <c r="L2885">
        <f t="shared" si="226"/>
        <v>0</v>
      </c>
      <c r="M2885">
        <f t="shared" si="227"/>
        <v>0</v>
      </c>
      <c r="N2885">
        <f t="shared" si="228"/>
        <v>0</v>
      </c>
      <c r="O2885">
        <f t="shared" si="225"/>
        <v>1</v>
      </c>
      <c r="P2885" t="str">
        <f t="shared" si="229"/>
        <v/>
      </c>
      <c r="Q2885">
        <f>COUNTIF('責任職　企業局→市長部局'!A:A,SQLデータ!B2885)</f>
        <v>0</v>
      </c>
      <c r="R2885">
        <f>COUNTIF('一般職員　企業局→市長部局'!A:F,SQLデータ!B2885)</f>
        <v>0</v>
      </c>
    </row>
    <row r="2886" spans="1:18" x14ac:dyDescent="0.4">
      <c r="A2886" s="1">
        <v>202650002794</v>
      </c>
      <c r="B2886" s="1">
        <v>1221423</v>
      </c>
      <c r="C2886" s="2">
        <v>46127</v>
      </c>
      <c r="D2886" t="s">
        <v>17</v>
      </c>
      <c r="E2886" t="s">
        <v>8</v>
      </c>
      <c r="G2886" t="s">
        <v>9</v>
      </c>
      <c r="L2886">
        <f t="shared" si="226"/>
        <v>0</v>
      </c>
      <c r="M2886">
        <f t="shared" si="227"/>
        <v>0</v>
      </c>
      <c r="N2886">
        <f t="shared" si="228"/>
        <v>0</v>
      </c>
      <c r="O2886">
        <f t="shared" si="225"/>
        <v>1</v>
      </c>
      <c r="P2886" t="str">
        <f t="shared" si="229"/>
        <v/>
      </c>
      <c r="Q2886">
        <f>COUNTIF('責任職　企業局→市長部局'!A:A,SQLデータ!B2886)</f>
        <v>0</v>
      </c>
      <c r="R2886">
        <f>COUNTIF('一般職員　企業局→市長部局'!A:F,SQLデータ!B2886)</f>
        <v>0</v>
      </c>
    </row>
    <row r="2887" spans="1:18" x14ac:dyDescent="0.4">
      <c r="A2887" s="1">
        <v>202650002795</v>
      </c>
      <c r="B2887" s="1">
        <v>1131147</v>
      </c>
      <c r="C2887" s="2">
        <v>46127</v>
      </c>
      <c r="D2887" t="s">
        <v>17</v>
      </c>
      <c r="E2887" t="s">
        <v>8</v>
      </c>
      <c r="G2887" t="s">
        <v>9</v>
      </c>
      <c r="L2887">
        <f t="shared" si="226"/>
        <v>0</v>
      </c>
      <c r="M2887">
        <f t="shared" si="227"/>
        <v>0</v>
      </c>
      <c r="N2887">
        <f t="shared" si="228"/>
        <v>0</v>
      </c>
      <c r="O2887">
        <f t="shared" si="225"/>
        <v>1</v>
      </c>
      <c r="P2887" t="str">
        <f t="shared" si="229"/>
        <v/>
      </c>
      <c r="Q2887">
        <f>COUNTIF('責任職　企業局→市長部局'!A:A,SQLデータ!B2887)</f>
        <v>0</v>
      </c>
      <c r="R2887">
        <f>COUNTIF('一般職員　企業局→市長部局'!A:F,SQLデータ!B2887)</f>
        <v>0</v>
      </c>
    </row>
    <row r="2888" spans="1:18" x14ac:dyDescent="0.4">
      <c r="A2888" s="1">
        <v>202650002796</v>
      </c>
      <c r="B2888" s="1">
        <v>1223015</v>
      </c>
      <c r="C2888" s="2">
        <v>46127</v>
      </c>
      <c r="D2888" t="s">
        <v>17</v>
      </c>
      <c r="E2888" t="s">
        <v>8</v>
      </c>
      <c r="G2888" t="s">
        <v>9</v>
      </c>
      <c r="L2888">
        <f t="shared" si="226"/>
        <v>0</v>
      </c>
      <c r="M2888">
        <f t="shared" si="227"/>
        <v>0</v>
      </c>
      <c r="N2888">
        <f t="shared" si="228"/>
        <v>0</v>
      </c>
      <c r="O2888">
        <f t="shared" si="225"/>
        <v>1</v>
      </c>
      <c r="P2888" t="str">
        <f t="shared" si="229"/>
        <v/>
      </c>
      <c r="Q2888">
        <f>COUNTIF('責任職　企業局→市長部局'!A:A,SQLデータ!B2888)</f>
        <v>0</v>
      </c>
      <c r="R2888">
        <f>COUNTIF('一般職員　企業局→市長部局'!A:F,SQLデータ!B2888)</f>
        <v>0</v>
      </c>
    </row>
    <row r="2889" spans="1:18" x14ac:dyDescent="0.4">
      <c r="A2889" s="1">
        <v>202650002797</v>
      </c>
      <c r="B2889" s="1">
        <v>910554</v>
      </c>
      <c r="C2889" s="2">
        <v>46127</v>
      </c>
      <c r="D2889" t="s">
        <v>17</v>
      </c>
      <c r="E2889" t="s">
        <v>8</v>
      </c>
      <c r="G2889" t="s">
        <v>9</v>
      </c>
      <c r="L2889">
        <f t="shared" si="226"/>
        <v>0</v>
      </c>
      <c r="M2889">
        <f t="shared" si="227"/>
        <v>0</v>
      </c>
      <c r="N2889">
        <f t="shared" si="228"/>
        <v>0</v>
      </c>
      <c r="O2889">
        <f t="shared" ref="O2889:O2944" si="230">IF(COUNTIF(L2889:N2889,0)=3,1,0)</f>
        <v>1</v>
      </c>
      <c r="P2889" t="str">
        <f t="shared" si="229"/>
        <v/>
      </c>
      <c r="Q2889">
        <f>COUNTIF('責任職　企業局→市長部局'!A:A,SQLデータ!B2889)</f>
        <v>0</v>
      </c>
      <c r="R2889">
        <f>COUNTIF('一般職員　企業局→市長部局'!A:F,SQLデータ!B2889)</f>
        <v>0</v>
      </c>
    </row>
    <row r="2890" spans="1:18" x14ac:dyDescent="0.4">
      <c r="A2890" s="1">
        <v>202650002798</v>
      </c>
      <c r="B2890" s="1">
        <v>1201219</v>
      </c>
      <c r="C2890" s="2">
        <v>46127</v>
      </c>
      <c r="D2890" t="s">
        <v>17</v>
      </c>
      <c r="E2890" t="s">
        <v>8</v>
      </c>
      <c r="G2890" t="s">
        <v>9</v>
      </c>
      <c r="L2890">
        <f t="shared" si="226"/>
        <v>0</v>
      </c>
      <c r="M2890">
        <f t="shared" si="227"/>
        <v>0</v>
      </c>
      <c r="N2890">
        <f t="shared" si="228"/>
        <v>0</v>
      </c>
      <c r="O2890">
        <f t="shared" si="230"/>
        <v>1</v>
      </c>
      <c r="P2890" t="str">
        <f t="shared" si="229"/>
        <v/>
      </c>
      <c r="Q2890">
        <f>COUNTIF('責任職　企業局→市長部局'!A:A,SQLデータ!B2890)</f>
        <v>0</v>
      </c>
      <c r="R2890">
        <f>COUNTIF('一般職員　企業局→市長部局'!A:F,SQLデータ!B2890)</f>
        <v>0</v>
      </c>
    </row>
    <row r="2891" spans="1:18" x14ac:dyDescent="0.4">
      <c r="A2891" s="1">
        <v>202650002799</v>
      </c>
      <c r="B2891" s="1">
        <v>1221191</v>
      </c>
      <c r="C2891" s="2">
        <v>46127</v>
      </c>
      <c r="D2891" t="s">
        <v>17</v>
      </c>
      <c r="E2891" t="s">
        <v>8</v>
      </c>
      <c r="G2891" t="s">
        <v>9</v>
      </c>
      <c r="L2891">
        <f t="shared" si="226"/>
        <v>0</v>
      </c>
      <c r="M2891">
        <f t="shared" si="227"/>
        <v>0</v>
      </c>
      <c r="N2891">
        <f t="shared" si="228"/>
        <v>0</v>
      </c>
      <c r="O2891">
        <f t="shared" si="230"/>
        <v>1</v>
      </c>
      <c r="P2891" t="str">
        <f t="shared" si="229"/>
        <v/>
      </c>
      <c r="Q2891">
        <f>COUNTIF('責任職　企業局→市長部局'!A:A,SQLデータ!B2891)</f>
        <v>0</v>
      </c>
      <c r="R2891">
        <f>COUNTIF('一般職員　企業局→市長部局'!A:F,SQLデータ!B2891)</f>
        <v>0</v>
      </c>
    </row>
    <row r="2892" spans="1:18" x14ac:dyDescent="0.4">
      <c r="A2892" s="1">
        <v>202650002800</v>
      </c>
      <c r="B2892" s="1">
        <v>1081390</v>
      </c>
      <c r="C2892" s="2">
        <v>46127</v>
      </c>
      <c r="D2892" t="s">
        <v>17</v>
      </c>
      <c r="E2892" t="s">
        <v>8</v>
      </c>
      <c r="G2892" t="s">
        <v>9</v>
      </c>
      <c r="L2892">
        <f t="shared" si="226"/>
        <v>0</v>
      </c>
      <c r="M2892">
        <f t="shared" si="227"/>
        <v>0</v>
      </c>
      <c r="N2892">
        <f t="shared" si="228"/>
        <v>0</v>
      </c>
      <c r="O2892">
        <f t="shared" si="230"/>
        <v>1</v>
      </c>
      <c r="P2892" t="str">
        <f t="shared" si="229"/>
        <v/>
      </c>
      <c r="Q2892">
        <f>COUNTIF('責任職　企業局→市長部局'!A:A,SQLデータ!B2892)</f>
        <v>0</v>
      </c>
      <c r="R2892">
        <f>COUNTIF('一般職員　企業局→市長部局'!A:F,SQLデータ!B2892)</f>
        <v>0</v>
      </c>
    </row>
    <row r="2893" spans="1:18" x14ac:dyDescent="0.4">
      <c r="A2893" s="1">
        <v>202650002801</v>
      </c>
      <c r="B2893" s="1">
        <v>1071378</v>
      </c>
      <c r="C2893" s="2">
        <v>46127</v>
      </c>
      <c r="D2893" t="s">
        <v>17</v>
      </c>
      <c r="E2893" t="s">
        <v>8</v>
      </c>
      <c r="G2893" t="s">
        <v>9</v>
      </c>
      <c r="L2893">
        <f t="shared" si="226"/>
        <v>0</v>
      </c>
      <c r="M2893">
        <f t="shared" si="227"/>
        <v>0</v>
      </c>
      <c r="N2893">
        <f t="shared" si="228"/>
        <v>0</v>
      </c>
      <c r="O2893">
        <f t="shared" si="230"/>
        <v>1</v>
      </c>
      <c r="P2893" t="str">
        <f t="shared" si="229"/>
        <v/>
      </c>
      <c r="Q2893">
        <f>COUNTIF('責任職　企業局→市長部局'!A:A,SQLデータ!B2893)</f>
        <v>0</v>
      </c>
      <c r="R2893">
        <f>COUNTIF('一般職員　企業局→市長部局'!A:F,SQLデータ!B2893)</f>
        <v>0</v>
      </c>
    </row>
    <row r="2894" spans="1:18" x14ac:dyDescent="0.4">
      <c r="A2894" s="1">
        <v>202650002802</v>
      </c>
      <c r="B2894" s="1">
        <v>1191425</v>
      </c>
      <c r="C2894" s="2">
        <v>46127</v>
      </c>
      <c r="D2894" t="s">
        <v>17</v>
      </c>
      <c r="E2894" t="s">
        <v>8</v>
      </c>
      <c r="G2894" t="s">
        <v>9</v>
      </c>
      <c r="L2894">
        <f t="shared" si="226"/>
        <v>0</v>
      </c>
      <c r="M2894">
        <f t="shared" si="227"/>
        <v>0</v>
      </c>
      <c r="N2894">
        <f t="shared" si="228"/>
        <v>0</v>
      </c>
      <c r="O2894">
        <f t="shared" si="230"/>
        <v>1</v>
      </c>
      <c r="P2894" t="str">
        <f t="shared" si="229"/>
        <v/>
      </c>
      <c r="Q2894">
        <f>COUNTIF('責任職　企業局→市長部局'!A:A,SQLデータ!B2894)</f>
        <v>0</v>
      </c>
      <c r="R2894">
        <f>COUNTIF('一般職員　企業局→市長部局'!A:F,SQLデータ!B2894)</f>
        <v>0</v>
      </c>
    </row>
    <row r="2895" spans="1:18" x14ac:dyDescent="0.4">
      <c r="A2895" s="1">
        <v>202650002803</v>
      </c>
      <c r="B2895" s="1">
        <v>972012</v>
      </c>
      <c r="C2895" s="2">
        <v>46127</v>
      </c>
      <c r="D2895" t="s">
        <v>17</v>
      </c>
      <c r="E2895" t="s">
        <v>8</v>
      </c>
      <c r="G2895" t="s">
        <v>9</v>
      </c>
      <c r="L2895">
        <f t="shared" si="226"/>
        <v>0</v>
      </c>
      <c r="M2895">
        <f t="shared" si="227"/>
        <v>0</v>
      </c>
      <c r="N2895">
        <f t="shared" si="228"/>
        <v>0</v>
      </c>
      <c r="O2895">
        <f t="shared" si="230"/>
        <v>1</v>
      </c>
      <c r="P2895" t="str">
        <f t="shared" si="229"/>
        <v/>
      </c>
      <c r="Q2895">
        <f>COUNTIF('責任職　企業局→市長部局'!A:A,SQLデータ!B2895)</f>
        <v>0</v>
      </c>
      <c r="R2895">
        <f>COUNTIF('一般職員　企業局→市長部局'!A:F,SQLデータ!B2895)</f>
        <v>0</v>
      </c>
    </row>
    <row r="2896" spans="1:18" x14ac:dyDescent="0.4">
      <c r="A2896" s="1">
        <v>202650002804</v>
      </c>
      <c r="B2896" s="1">
        <v>1181281</v>
      </c>
      <c r="C2896" s="2">
        <v>46127</v>
      </c>
      <c r="D2896" t="s">
        <v>17</v>
      </c>
      <c r="E2896" t="s">
        <v>8</v>
      </c>
      <c r="G2896" t="s">
        <v>9</v>
      </c>
      <c r="L2896">
        <f t="shared" si="226"/>
        <v>0</v>
      </c>
      <c r="M2896">
        <f t="shared" si="227"/>
        <v>0</v>
      </c>
      <c r="N2896">
        <f t="shared" si="228"/>
        <v>0</v>
      </c>
      <c r="O2896">
        <f t="shared" si="230"/>
        <v>1</v>
      </c>
      <c r="P2896" t="str">
        <f t="shared" si="229"/>
        <v/>
      </c>
      <c r="Q2896">
        <f>COUNTIF('責任職　企業局→市長部局'!A:A,SQLデータ!B2896)</f>
        <v>0</v>
      </c>
      <c r="R2896">
        <f>COUNTIF('一般職員　企業局→市長部局'!A:F,SQLデータ!B2896)</f>
        <v>0</v>
      </c>
    </row>
    <row r="2897" spans="1:18" x14ac:dyDescent="0.4">
      <c r="A2897" s="1">
        <v>202650002805</v>
      </c>
      <c r="B2897" s="1">
        <v>1121153</v>
      </c>
      <c r="C2897" s="2">
        <v>46127</v>
      </c>
      <c r="D2897" t="s">
        <v>17</v>
      </c>
      <c r="E2897" t="s">
        <v>8</v>
      </c>
      <c r="G2897" t="s">
        <v>9</v>
      </c>
      <c r="L2897">
        <f t="shared" si="226"/>
        <v>0</v>
      </c>
      <c r="M2897">
        <f t="shared" si="227"/>
        <v>0</v>
      </c>
      <c r="N2897">
        <f t="shared" si="228"/>
        <v>0</v>
      </c>
      <c r="O2897">
        <f t="shared" si="230"/>
        <v>1</v>
      </c>
      <c r="P2897" t="str">
        <f t="shared" si="229"/>
        <v/>
      </c>
      <c r="Q2897">
        <f>COUNTIF('責任職　企業局→市長部局'!A:A,SQLデータ!B2897)</f>
        <v>0</v>
      </c>
      <c r="R2897">
        <f>COUNTIF('一般職員　企業局→市長部局'!A:F,SQLデータ!B2897)</f>
        <v>0</v>
      </c>
    </row>
    <row r="2898" spans="1:18" x14ac:dyDescent="0.4">
      <c r="A2898" s="1">
        <v>202650002806</v>
      </c>
      <c r="B2898" s="1">
        <v>1221014</v>
      </c>
      <c r="C2898" s="2">
        <v>46127</v>
      </c>
      <c r="D2898" t="s">
        <v>17</v>
      </c>
      <c r="E2898" t="s">
        <v>8</v>
      </c>
      <c r="G2898" t="s">
        <v>9</v>
      </c>
      <c r="L2898">
        <f t="shared" si="226"/>
        <v>0</v>
      </c>
      <c r="M2898">
        <f t="shared" si="227"/>
        <v>0</v>
      </c>
      <c r="N2898">
        <f t="shared" si="228"/>
        <v>0</v>
      </c>
      <c r="O2898">
        <f t="shared" si="230"/>
        <v>1</v>
      </c>
      <c r="P2898" t="str">
        <f t="shared" si="229"/>
        <v/>
      </c>
      <c r="Q2898">
        <f>COUNTIF('責任職　企業局→市長部局'!A:A,SQLデータ!B2898)</f>
        <v>0</v>
      </c>
      <c r="R2898">
        <f>COUNTIF('一般職員　企業局→市長部局'!A:F,SQLデータ!B2898)</f>
        <v>0</v>
      </c>
    </row>
    <row r="2899" spans="1:18" x14ac:dyDescent="0.4">
      <c r="A2899" s="1">
        <v>202650002807</v>
      </c>
      <c r="B2899" s="1">
        <v>1221141</v>
      </c>
      <c r="C2899" s="2">
        <v>46128</v>
      </c>
      <c r="D2899" t="s">
        <v>17</v>
      </c>
      <c r="E2899" t="s">
        <v>8</v>
      </c>
      <c r="G2899" t="s">
        <v>9</v>
      </c>
      <c r="L2899">
        <f t="shared" si="226"/>
        <v>0</v>
      </c>
      <c r="M2899">
        <f t="shared" si="227"/>
        <v>0</v>
      </c>
      <c r="N2899">
        <f t="shared" si="228"/>
        <v>0</v>
      </c>
      <c r="O2899">
        <f t="shared" si="230"/>
        <v>1</v>
      </c>
      <c r="P2899" t="str">
        <f t="shared" si="229"/>
        <v/>
      </c>
      <c r="Q2899">
        <f>COUNTIF('責任職　企業局→市長部局'!A:A,SQLデータ!B2899)</f>
        <v>0</v>
      </c>
      <c r="R2899">
        <f>COUNTIF('一般職員　企業局→市長部局'!A:F,SQLデータ!B2899)</f>
        <v>0</v>
      </c>
    </row>
    <row r="2900" spans="1:18" x14ac:dyDescent="0.4">
      <c r="A2900" s="1">
        <v>202650002809</v>
      </c>
      <c r="B2900" s="1">
        <v>1201213</v>
      </c>
      <c r="C2900" s="2">
        <v>46127</v>
      </c>
      <c r="D2900" t="s">
        <v>17</v>
      </c>
      <c r="E2900" t="s">
        <v>8</v>
      </c>
      <c r="G2900" t="s">
        <v>9</v>
      </c>
      <c r="L2900">
        <f t="shared" si="226"/>
        <v>0</v>
      </c>
      <c r="M2900">
        <f t="shared" si="227"/>
        <v>0</v>
      </c>
      <c r="N2900">
        <f t="shared" si="228"/>
        <v>0</v>
      </c>
      <c r="O2900">
        <f t="shared" si="230"/>
        <v>1</v>
      </c>
      <c r="P2900" t="str">
        <f t="shared" si="229"/>
        <v/>
      </c>
      <c r="Q2900">
        <f>COUNTIF('責任職　企業局→市長部局'!A:A,SQLデータ!B2900)</f>
        <v>0</v>
      </c>
      <c r="R2900">
        <f>COUNTIF('一般職員　企業局→市長部局'!A:F,SQLデータ!B2900)</f>
        <v>0</v>
      </c>
    </row>
    <row r="2901" spans="1:18" x14ac:dyDescent="0.4">
      <c r="A2901" s="1">
        <v>202650002810</v>
      </c>
      <c r="B2901" s="1">
        <v>1071087</v>
      </c>
      <c r="C2901" s="2">
        <v>46127</v>
      </c>
      <c r="D2901" t="s">
        <v>17</v>
      </c>
      <c r="E2901" t="s">
        <v>8</v>
      </c>
      <c r="G2901" t="s">
        <v>9</v>
      </c>
      <c r="L2901">
        <f t="shared" si="226"/>
        <v>0</v>
      </c>
      <c r="M2901">
        <f t="shared" si="227"/>
        <v>0</v>
      </c>
      <c r="N2901">
        <f t="shared" si="228"/>
        <v>0</v>
      </c>
      <c r="O2901">
        <f t="shared" si="230"/>
        <v>1</v>
      </c>
      <c r="P2901" t="str">
        <f t="shared" si="229"/>
        <v/>
      </c>
      <c r="Q2901">
        <f>COUNTIF('責任職　企業局→市長部局'!A:A,SQLデータ!B2901)</f>
        <v>0</v>
      </c>
      <c r="R2901">
        <f>COUNTIF('一般職員　企業局→市長部局'!A:F,SQLデータ!B2901)</f>
        <v>0</v>
      </c>
    </row>
    <row r="2902" spans="1:18" x14ac:dyDescent="0.4">
      <c r="A2902" s="1">
        <v>202650002811</v>
      </c>
      <c r="B2902" s="1">
        <v>1151060</v>
      </c>
      <c r="C2902" s="2">
        <v>46127</v>
      </c>
      <c r="D2902" t="s">
        <v>17</v>
      </c>
      <c r="E2902" t="s">
        <v>8</v>
      </c>
      <c r="G2902" t="s">
        <v>9</v>
      </c>
      <c r="L2902">
        <f t="shared" si="226"/>
        <v>0</v>
      </c>
      <c r="M2902">
        <f t="shared" si="227"/>
        <v>0</v>
      </c>
      <c r="N2902">
        <f t="shared" si="228"/>
        <v>0</v>
      </c>
      <c r="O2902">
        <f t="shared" si="230"/>
        <v>1</v>
      </c>
      <c r="P2902" t="str">
        <f t="shared" si="229"/>
        <v/>
      </c>
      <c r="Q2902">
        <f>COUNTIF('責任職　企業局→市長部局'!A:A,SQLデータ!B2902)</f>
        <v>0</v>
      </c>
      <c r="R2902">
        <f>COUNTIF('一般職員　企業局→市長部局'!A:F,SQLデータ!B2902)</f>
        <v>0</v>
      </c>
    </row>
    <row r="2903" spans="1:18" x14ac:dyDescent="0.4">
      <c r="A2903" s="1">
        <v>202650002812</v>
      </c>
      <c r="B2903" s="1">
        <v>1171141</v>
      </c>
      <c r="C2903" s="2">
        <v>46127</v>
      </c>
      <c r="D2903" t="s">
        <v>17</v>
      </c>
      <c r="E2903" t="s">
        <v>8</v>
      </c>
      <c r="G2903" t="s">
        <v>9</v>
      </c>
      <c r="L2903">
        <f t="shared" si="226"/>
        <v>0</v>
      </c>
      <c r="M2903">
        <f t="shared" si="227"/>
        <v>0</v>
      </c>
      <c r="N2903">
        <f t="shared" si="228"/>
        <v>0</v>
      </c>
      <c r="O2903">
        <f t="shared" si="230"/>
        <v>1</v>
      </c>
      <c r="P2903" t="str">
        <f t="shared" si="229"/>
        <v/>
      </c>
      <c r="Q2903">
        <f>COUNTIF('責任職　企業局→市長部局'!A:A,SQLデータ!B2903)</f>
        <v>0</v>
      </c>
      <c r="R2903">
        <f>COUNTIF('一般職員　企業局→市長部局'!A:F,SQLデータ!B2903)</f>
        <v>0</v>
      </c>
    </row>
    <row r="2904" spans="1:18" x14ac:dyDescent="0.4">
      <c r="A2904" s="1">
        <v>202650002813</v>
      </c>
      <c r="B2904" s="1">
        <v>1261174</v>
      </c>
      <c r="C2904" s="2">
        <v>46127</v>
      </c>
      <c r="D2904" t="s">
        <v>17</v>
      </c>
      <c r="E2904" t="s">
        <v>8</v>
      </c>
      <c r="G2904" t="s">
        <v>9</v>
      </c>
      <c r="L2904">
        <f t="shared" si="226"/>
        <v>0</v>
      </c>
      <c r="M2904">
        <f t="shared" si="227"/>
        <v>0</v>
      </c>
      <c r="N2904">
        <f t="shared" si="228"/>
        <v>0</v>
      </c>
      <c r="O2904">
        <f t="shared" si="230"/>
        <v>1</v>
      </c>
      <c r="P2904" t="str">
        <f t="shared" si="229"/>
        <v/>
      </c>
      <c r="Q2904">
        <f>COUNTIF('責任職　企業局→市長部局'!A:A,SQLデータ!B2904)</f>
        <v>0</v>
      </c>
      <c r="R2904">
        <f>COUNTIF('一般職員　企業局→市長部局'!A:F,SQLデータ!B2904)</f>
        <v>0</v>
      </c>
    </row>
    <row r="2905" spans="1:18" x14ac:dyDescent="0.4">
      <c r="A2905" s="1">
        <v>202650002814</v>
      </c>
      <c r="B2905" s="1">
        <v>880332</v>
      </c>
      <c r="C2905" s="2">
        <v>46127</v>
      </c>
      <c r="D2905" t="s">
        <v>17</v>
      </c>
      <c r="E2905" t="s">
        <v>8</v>
      </c>
      <c r="G2905" t="s">
        <v>9</v>
      </c>
      <c r="L2905">
        <f t="shared" si="226"/>
        <v>0</v>
      </c>
      <c r="M2905">
        <f t="shared" si="227"/>
        <v>0</v>
      </c>
      <c r="N2905">
        <f t="shared" si="228"/>
        <v>0</v>
      </c>
      <c r="O2905">
        <f t="shared" si="230"/>
        <v>1</v>
      </c>
      <c r="P2905" t="str">
        <f t="shared" si="229"/>
        <v/>
      </c>
      <c r="Q2905">
        <f>COUNTIF('責任職　企業局→市長部局'!A:A,SQLデータ!B2905)</f>
        <v>0</v>
      </c>
      <c r="R2905">
        <f>COUNTIF('一般職員　企業局→市長部局'!A:F,SQLデータ!B2905)</f>
        <v>0</v>
      </c>
    </row>
    <row r="2906" spans="1:18" x14ac:dyDescent="0.4">
      <c r="A2906" s="1">
        <v>202650002815</v>
      </c>
      <c r="B2906" s="1">
        <v>910383</v>
      </c>
      <c r="C2906" s="2">
        <v>46127</v>
      </c>
      <c r="D2906" t="s">
        <v>17</v>
      </c>
      <c r="E2906" t="s">
        <v>8</v>
      </c>
      <c r="G2906" t="s">
        <v>9</v>
      </c>
      <c r="L2906">
        <f t="shared" si="226"/>
        <v>0</v>
      </c>
      <c r="M2906">
        <f t="shared" si="227"/>
        <v>0</v>
      </c>
      <c r="N2906">
        <f t="shared" si="228"/>
        <v>0</v>
      </c>
      <c r="O2906">
        <f t="shared" si="230"/>
        <v>1</v>
      </c>
      <c r="P2906" t="str">
        <f t="shared" si="229"/>
        <v/>
      </c>
      <c r="Q2906">
        <f>COUNTIF('責任職　企業局→市長部局'!A:A,SQLデータ!B2906)</f>
        <v>0</v>
      </c>
      <c r="R2906">
        <f>COUNTIF('一般職員　企業局→市長部局'!A:F,SQLデータ!B2906)</f>
        <v>0</v>
      </c>
    </row>
    <row r="2907" spans="1:18" x14ac:dyDescent="0.4">
      <c r="A2907" s="1">
        <v>202650002816</v>
      </c>
      <c r="B2907" s="1">
        <v>1011044</v>
      </c>
      <c r="C2907" s="2">
        <v>46127</v>
      </c>
      <c r="D2907" t="s">
        <v>17</v>
      </c>
      <c r="E2907" t="s">
        <v>8</v>
      </c>
      <c r="G2907" t="s">
        <v>9</v>
      </c>
      <c r="L2907">
        <f t="shared" si="226"/>
        <v>0</v>
      </c>
      <c r="M2907">
        <f t="shared" si="227"/>
        <v>0</v>
      </c>
      <c r="N2907">
        <f t="shared" si="228"/>
        <v>0</v>
      </c>
      <c r="O2907">
        <f t="shared" si="230"/>
        <v>1</v>
      </c>
      <c r="P2907" t="str">
        <f t="shared" si="229"/>
        <v/>
      </c>
      <c r="Q2907">
        <f>COUNTIF('責任職　企業局→市長部局'!A:A,SQLデータ!B2907)</f>
        <v>0</v>
      </c>
      <c r="R2907">
        <f>COUNTIF('一般職員　企業局→市長部局'!A:F,SQLデータ!B2907)</f>
        <v>0</v>
      </c>
    </row>
    <row r="2908" spans="1:18" x14ac:dyDescent="0.4">
      <c r="A2908" s="1">
        <v>202650002818</v>
      </c>
      <c r="B2908" s="1">
        <v>1152502</v>
      </c>
      <c r="C2908" s="2">
        <v>46127</v>
      </c>
      <c r="D2908" t="s">
        <v>17</v>
      </c>
      <c r="E2908" t="s">
        <v>8</v>
      </c>
      <c r="G2908" t="s">
        <v>9</v>
      </c>
      <c r="L2908">
        <f t="shared" si="226"/>
        <v>0</v>
      </c>
      <c r="M2908">
        <f t="shared" si="227"/>
        <v>0</v>
      </c>
      <c r="N2908">
        <f t="shared" si="228"/>
        <v>0</v>
      </c>
      <c r="O2908">
        <f t="shared" si="230"/>
        <v>1</v>
      </c>
      <c r="P2908" t="str">
        <f t="shared" si="229"/>
        <v/>
      </c>
      <c r="Q2908">
        <f>COUNTIF('責任職　企業局→市長部局'!A:A,SQLデータ!B2908)</f>
        <v>0</v>
      </c>
      <c r="R2908">
        <f>COUNTIF('一般職員　企業局→市長部局'!A:F,SQLデータ!B2908)</f>
        <v>0</v>
      </c>
    </row>
    <row r="2909" spans="1:18" x14ac:dyDescent="0.4">
      <c r="A2909" s="1">
        <v>202650002819</v>
      </c>
      <c r="B2909" s="1">
        <v>1221102</v>
      </c>
      <c r="C2909" s="2">
        <v>46127</v>
      </c>
      <c r="D2909" t="s">
        <v>17</v>
      </c>
      <c r="E2909" t="s">
        <v>8</v>
      </c>
      <c r="G2909" t="s">
        <v>9</v>
      </c>
      <c r="L2909">
        <f t="shared" si="226"/>
        <v>0</v>
      </c>
      <c r="M2909">
        <f t="shared" si="227"/>
        <v>0</v>
      </c>
      <c r="N2909">
        <f t="shared" si="228"/>
        <v>0</v>
      </c>
      <c r="O2909">
        <f t="shared" si="230"/>
        <v>1</v>
      </c>
      <c r="P2909" t="str">
        <f t="shared" si="229"/>
        <v/>
      </c>
      <c r="Q2909">
        <f>COUNTIF('責任職　企業局→市長部局'!A:A,SQLデータ!B2909)</f>
        <v>0</v>
      </c>
      <c r="R2909">
        <f>COUNTIF('一般職員　企業局→市長部局'!A:F,SQLデータ!B2909)</f>
        <v>0</v>
      </c>
    </row>
    <row r="2910" spans="1:18" x14ac:dyDescent="0.4">
      <c r="A2910" s="1">
        <v>202650002820</v>
      </c>
      <c r="B2910" s="1">
        <v>1071379</v>
      </c>
      <c r="C2910" s="2">
        <v>46127</v>
      </c>
      <c r="D2910" t="s">
        <v>17</v>
      </c>
      <c r="E2910" t="s">
        <v>8</v>
      </c>
      <c r="G2910" t="s">
        <v>9</v>
      </c>
      <c r="L2910">
        <f t="shared" si="226"/>
        <v>0</v>
      </c>
      <c r="M2910">
        <f t="shared" si="227"/>
        <v>0</v>
      </c>
      <c r="N2910">
        <f t="shared" si="228"/>
        <v>0</v>
      </c>
      <c r="O2910">
        <f t="shared" si="230"/>
        <v>1</v>
      </c>
      <c r="P2910" t="str">
        <f t="shared" si="229"/>
        <v/>
      </c>
      <c r="Q2910">
        <f>COUNTIF('責任職　企業局→市長部局'!A:A,SQLデータ!B2910)</f>
        <v>0</v>
      </c>
      <c r="R2910">
        <f>COUNTIF('一般職員　企業局→市長部局'!A:F,SQLデータ!B2910)</f>
        <v>0</v>
      </c>
    </row>
    <row r="2911" spans="1:18" x14ac:dyDescent="0.4">
      <c r="A2911" s="1">
        <v>202650002821</v>
      </c>
      <c r="B2911" s="1">
        <v>930592</v>
      </c>
      <c r="C2911" s="2">
        <v>46127</v>
      </c>
      <c r="D2911" t="s">
        <v>17</v>
      </c>
      <c r="E2911" t="s">
        <v>8</v>
      </c>
      <c r="G2911" t="s">
        <v>9</v>
      </c>
      <c r="L2911">
        <f t="shared" si="226"/>
        <v>0</v>
      </c>
      <c r="M2911">
        <f t="shared" si="227"/>
        <v>0</v>
      </c>
      <c r="N2911">
        <f t="shared" si="228"/>
        <v>0</v>
      </c>
      <c r="O2911">
        <f t="shared" si="230"/>
        <v>1</v>
      </c>
      <c r="P2911" t="str">
        <f t="shared" si="229"/>
        <v/>
      </c>
      <c r="Q2911">
        <f>COUNTIF('責任職　企業局→市長部局'!A:A,SQLデータ!B2911)</f>
        <v>0</v>
      </c>
      <c r="R2911">
        <f>COUNTIF('一般職員　企業局→市長部局'!A:F,SQLデータ!B2911)</f>
        <v>0</v>
      </c>
    </row>
    <row r="2912" spans="1:18" x14ac:dyDescent="0.4">
      <c r="A2912" s="1">
        <v>202650002822</v>
      </c>
      <c r="B2912" s="1">
        <v>1152234</v>
      </c>
      <c r="C2912" s="2">
        <v>46127</v>
      </c>
      <c r="D2912" t="s">
        <v>17</v>
      </c>
      <c r="E2912" t="s">
        <v>8</v>
      </c>
      <c r="G2912" t="s">
        <v>9</v>
      </c>
      <c r="L2912">
        <f t="shared" si="226"/>
        <v>0</v>
      </c>
      <c r="M2912">
        <f t="shared" si="227"/>
        <v>0</v>
      </c>
      <c r="N2912">
        <f t="shared" si="228"/>
        <v>0</v>
      </c>
      <c r="O2912">
        <f t="shared" si="230"/>
        <v>1</v>
      </c>
      <c r="P2912" t="str">
        <f t="shared" si="229"/>
        <v/>
      </c>
      <c r="Q2912">
        <f>COUNTIF('責任職　企業局→市長部局'!A:A,SQLデータ!B2912)</f>
        <v>0</v>
      </c>
      <c r="R2912">
        <f>COUNTIF('一般職員　企業局→市長部局'!A:F,SQLデータ!B2912)</f>
        <v>0</v>
      </c>
    </row>
    <row r="2913" spans="1:18" x14ac:dyDescent="0.4">
      <c r="A2913" s="1">
        <v>202650002823</v>
      </c>
      <c r="B2913" s="1">
        <v>1112515</v>
      </c>
      <c r="C2913" s="2">
        <v>46127</v>
      </c>
      <c r="D2913" t="s">
        <v>17</v>
      </c>
      <c r="E2913" t="s">
        <v>8</v>
      </c>
      <c r="G2913" t="s">
        <v>9</v>
      </c>
      <c r="L2913">
        <f t="shared" si="226"/>
        <v>0</v>
      </c>
      <c r="M2913">
        <f t="shared" si="227"/>
        <v>0</v>
      </c>
      <c r="N2913">
        <f t="shared" si="228"/>
        <v>0</v>
      </c>
      <c r="O2913">
        <f t="shared" si="230"/>
        <v>1</v>
      </c>
      <c r="P2913" t="str">
        <f t="shared" si="229"/>
        <v/>
      </c>
      <c r="Q2913">
        <f>COUNTIF('責任職　企業局→市長部局'!A:A,SQLデータ!B2913)</f>
        <v>0</v>
      </c>
      <c r="R2913">
        <f>COUNTIF('一般職員　企業局→市長部局'!A:F,SQLデータ!B2913)</f>
        <v>0</v>
      </c>
    </row>
    <row r="2914" spans="1:18" x14ac:dyDescent="0.4">
      <c r="A2914" s="1">
        <v>202650002824</v>
      </c>
      <c r="B2914" s="1">
        <v>1181032</v>
      </c>
      <c r="C2914" s="2">
        <v>46127</v>
      </c>
      <c r="D2914" t="s">
        <v>17</v>
      </c>
      <c r="E2914" t="s">
        <v>8</v>
      </c>
      <c r="G2914" t="s">
        <v>9</v>
      </c>
      <c r="L2914">
        <f t="shared" si="226"/>
        <v>0</v>
      </c>
      <c r="M2914">
        <f t="shared" si="227"/>
        <v>0</v>
      </c>
      <c r="N2914">
        <f t="shared" si="228"/>
        <v>0</v>
      </c>
      <c r="O2914">
        <f t="shared" si="230"/>
        <v>1</v>
      </c>
      <c r="P2914" t="str">
        <f t="shared" si="229"/>
        <v/>
      </c>
      <c r="Q2914">
        <f>COUNTIF('責任職　企業局→市長部局'!A:A,SQLデータ!B2914)</f>
        <v>0</v>
      </c>
      <c r="R2914">
        <f>COUNTIF('一般職員　企業局→市長部局'!A:F,SQLデータ!B2914)</f>
        <v>0</v>
      </c>
    </row>
    <row r="2915" spans="1:18" x14ac:dyDescent="0.4">
      <c r="A2915" s="1">
        <v>202650002825</v>
      </c>
      <c r="B2915" s="1">
        <v>1222312</v>
      </c>
      <c r="C2915" s="2">
        <v>46127</v>
      </c>
      <c r="D2915" t="s">
        <v>17</v>
      </c>
      <c r="E2915" t="s">
        <v>8</v>
      </c>
      <c r="G2915" t="s">
        <v>9</v>
      </c>
      <c r="L2915">
        <f t="shared" si="226"/>
        <v>0</v>
      </c>
      <c r="M2915">
        <f t="shared" si="227"/>
        <v>0</v>
      </c>
      <c r="N2915">
        <f t="shared" si="228"/>
        <v>0</v>
      </c>
      <c r="O2915">
        <f t="shared" si="230"/>
        <v>1</v>
      </c>
      <c r="P2915" t="str">
        <f t="shared" si="229"/>
        <v/>
      </c>
      <c r="Q2915">
        <f>COUNTIF('責任職　企業局→市長部局'!A:A,SQLデータ!B2915)</f>
        <v>0</v>
      </c>
      <c r="R2915">
        <f>COUNTIF('一般職員　企業局→市長部局'!A:F,SQLデータ!B2915)</f>
        <v>0</v>
      </c>
    </row>
    <row r="2916" spans="1:18" x14ac:dyDescent="0.4">
      <c r="A2916" s="1">
        <v>202650002827</v>
      </c>
      <c r="B2916" s="1">
        <v>880238</v>
      </c>
      <c r="C2916" s="2">
        <v>46127</v>
      </c>
      <c r="D2916" t="s">
        <v>17</v>
      </c>
      <c r="E2916" t="s">
        <v>8</v>
      </c>
      <c r="G2916" t="s">
        <v>9</v>
      </c>
      <c r="L2916">
        <f t="shared" si="226"/>
        <v>0</v>
      </c>
      <c r="M2916">
        <f t="shared" si="227"/>
        <v>0</v>
      </c>
      <c r="N2916">
        <f t="shared" si="228"/>
        <v>0</v>
      </c>
      <c r="O2916">
        <f t="shared" si="230"/>
        <v>1</v>
      </c>
      <c r="P2916" t="str">
        <f t="shared" si="229"/>
        <v/>
      </c>
      <c r="Q2916">
        <f>COUNTIF('責任職　企業局→市長部局'!A:A,SQLデータ!B2916)</f>
        <v>0</v>
      </c>
      <c r="R2916">
        <f>COUNTIF('一般職員　企業局→市長部局'!A:F,SQLデータ!B2916)</f>
        <v>0</v>
      </c>
    </row>
    <row r="2917" spans="1:18" x14ac:dyDescent="0.4">
      <c r="A2917" s="1">
        <v>202650002828</v>
      </c>
      <c r="B2917" s="1">
        <v>1191289</v>
      </c>
      <c r="C2917" s="2">
        <v>46127</v>
      </c>
      <c r="D2917" t="s">
        <v>17</v>
      </c>
      <c r="E2917" t="s">
        <v>8</v>
      </c>
      <c r="G2917" t="s">
        <v>9</v>
      </c>
      <c r="L2917">
        <f t="shared" si="226"/>
        <v>0</v>
      </c>
      <c r="M2917">
        <f t="shared" si="227"/>
        <v>0</v>
      </c>
      <c r="N2917">
        <f t="shared" si="228"/>
        <v>0</v>
      </c>
      <c r="O2917">
        <f t="shared" si="230"/>
        <v>1</v>
      </c>
      <c r="P2917" t="str">
        <f t="shared" si="229"/>
        <v/>
      </c>
      <c r="Q2917">
        <f>COUNTIF('責任職　企業局→市長部局'!A:A,SQLデータ!B2917)</f>
        <v>0</v>
      </c>
      <c r="R2917">
        <f>COUNTIF('一般職員　企業局→市長部局'!A:F,SQLデータ!B2917)</f>
        <v>0</v>
      </c>
    </row>
    <row r="2918" spans="1:18" x14ac:dyDescent="0.4">
      <c r="A2918" s="1">
        <v>202650002829</v>
      </c>
      <c r="B2918" s="1">
        <v>1034099</v>
      </c>
      <c r="C2918" s="2">
        <v>46127</v>
      </c>
      <c r="D2918" t="s">
        <v>17</v>
      </c>
      <c r="E2918" t="s">
        <v>8</v>
      </c>
      <c r="G2918" t="s">
        <v>9</v>
      </c>
      <c r="L2918">
        <f t="shared" si="226"/>
        <v>0</v>
      </c>
      <c r="M2918">
        <f t="shared" si="227"/>
        <v>0</v>
      </c>
      <c r="N2918">
        <f t="shared" si="228"/>
        <v>0</v>
      </c>
      <c r="O2918">
        <f t="shared" si="230"/>
        <v>1</v>
      </c>
      <c r="P2918" t="str">
        <f t="shared" si="229"/>
        <v/>
      </c>
      <c r="Q2918">
        <f>COUNTIF('責任職　企業局→市長部局'!A:A,SQLデータ!B2918)</f>
        <v>0</v>
      </c>
      <c r="R2918">
        <f>COUNTIF('一般職員　企業局→市長部局'!A:F,SQLデータ!B2918)</f>
        <v>0</v>
      </c>
    </row>
    <row r="2919" spans="1:18" x14ac:dyDescent="0.4">
      <c r="A2919" s="1">
        <v>202650002830</v>
      </c>
      <c r="B2919" s="1">
        <v>1041218</v>
      </c>
      <c r="C2919" s="2">
        <v>46127</v>
      </c>
      <c r="D2919" t="s">
        <v>17</v>
      </c>
      <c r="E2919" t="s">
        <v>8</v>
      </c>
      <c r="G2919" t="s">
        <v>9</v>
      </c>
      <c r="L2919">
        <f t="shared" si="226"/>
        <v>0</v>
      </c>
      <c r="M2919">
        <f t="shared" si="227"/>
        <v>0</v>
      </c>
      <c r="N2919">
        <f t="shared" si="228"/>
        <v>0</v>
      </c>
      <c r="O2919">
        <f t="shared" si="230"/>
        <v>1</v>
      </c>
      <c r="P2919" t="str">
        <f t="shared" si="229"/>
        <v/>
      </c>
      <c r="Q2919">
        <f>COUNTIF('責任職　企業局→市長部局'!A:A,SQLデータ!B2919)</f>
        <v>0</v>
      </c>
      <c r="R2919">
        <f>COUNTIF('一般職員　企業局→市長部局'!A:F,SQLデータ!B2919)</f>
        <v>0</v>
      </c>
    </row>
    <row r="2920" spans="1:18" x14ac:dyDescent="0.4">
      <c r="A2920" s="1">
        <v>202650002831</v>
      </c>
      <c r="B2920" s="1">
        <v>1031224</v>
      </c>
      <c r="C2920" s="2">
        <v>46127</v>
      </c>
      <c r="D2920" t="s">
        <v>17</v>
      </c>
      <c r="E2920" t="s">
        <v>8</v>
      </c>
      <c r="G2920" t="s">
        <v>9</v>
      </c>
      <c r="L2920">
        <f t="shared" si="226"/>
        <v>0</v>
      </c>
      <c r="M2920">
        <f t="shared" si="227"/>
        <v>0</v>
      </c>
      <c r="N2920">
        <f t="shared" si="228"/>
        <v>0</v>
      </c>
      <c r="O2920">
        <f t="shared" si="230"/>
        <v>1</v>
      </c>
      <c r="P2920" t="str">
        <f t="shared" si="229"/>
        <v/>
      </c>
      <c r="Q2920">
        <f>COUNTIF('責任職　企業局→市長部局'!A:A,SQLデータ!B2920)</f>
        <v>0</v>
      </c>
      <c r="R2920">
        <f>COUNTIF('一般職員　企業局→市長部局'!A:F,SQLデータ!B2920)</f>
        <v>0</v>
      </c>
    </row>
    <row r="2921" spans="1:18" x14ac:dyDescent="0.4">
      <c r="A2921" s="1">
        <v>202650002832</v>
      </c>
      <c r="B2921" s="1">
        <v>1041001</v>
      </c>
      <c r="C2921" s="2">
        <v>46127</v>
      </c>
      <c r="D2921" t="s">
        <v>17</v>
      </c>
      <c r="E2921" t="s">
        <v>8</v>
      </c>
      <c r="G2921" t="s">
        <v>9</v>
      </c>
      <c r="L2921">
        <f t="shared" si="226"/>
        <v>0</v>
      </c>
      <c r="M2921">
        <f t="shared" si="227"/>
        <v>0</v>
      </c>
      <c r="N2921">
        <f t="shared" si="228"/>
        <v>0</v>
      </c>
      <c r="O2921">
        <f t="shared" si="230"/>
        <v>1</v>
      </c>
      <c r="P2921" t="str">
        <f t="shared" si="229"/>
        <v/>
      </c>
      <c r="Q2921">
        <f>COUNTIF('責任職　企業局→市長部局'!A:A,SQLデータ!B2921)</f>
        <v>0</v>
      </c>
      <c r="R2921">
        <f>COUNTIF('一般職員　企業局→市長部局'!A:F,SQLデータ!B2921)</f>
        <v>0</v>
      </c>
    </row>
    <row r="2922" spans="1:18" x14ac:dyDescent="0.4">
      <c r="A2922" s="1">
        <v>202650002833</v>
      </c>
      <c r="B2922" s="1">
        <v>890336</v>
      </c>
      <c r="C2922" s="2">
        <v>46127</v>
      </c>
      <c r="D2922" t="s">
        <v>17</v>
      </c>
      <c r="E2922" t="s">
        <v>8</v>
      </c>
      <c r="G2922" t="s">
        <v>9</v>
      </c>
      <c r="L2922">
        <f t="shared" si="226"/>
        <v>0</v>
      </c>
      <c r="M2922">
        <f t="shared" si="227"/>
        <v>0</v>
      </c>
      <c r="N2922">
        <f t="shared" si="228"/>
        <v>0</v>
      </c>
      <c r="O2922">
        <f t="shared" si="230"/>
        <v>1</v>
      </c>
      <c r="P2922" t="str">
        <f t="shared" si="229"/>
        <v/>
      </c>
      <c r="Q2922">
        <f>COUNTIF('責任職　企業局→市長部局'!A:A,SQLデータ!B2922)</f>
        <v>0</v>
      </c>
      <c r="R2922">
        <f>COUNTIF('一般職員　企業局→市長部局'!A:F,SQLデータ!B2922)</f>
        <v>0</v>
      </c>
    </row>
    <row r="2923" spans="1:18" x14ac:dyDescent="0.4">
      <c r="A2923" s="1">
        <v>202650002834</v>
      </c>
      <c r="B2923" s="1">
        <v>1151116</v>
      </c>
      <c r="C2923" s="2">
        <v>46127</v>
      </c>
      <c r="D2923" t="s">
        <v>17</v>
      </c>
      <c r="E2923" t="s">
        <v>8</v>
      </c>
      <c r="G2923" t="s">
        <v>9</v>
      </c>
      <c r="L2923">
        <f t="shared" si="226"/>
        <v>0</v>
      </c>
      <c r="M2923">
        <f t="shared" si="227"/>
        <v>0</v>
      </c>
      <c r="N2923">
        <f t="shared" si="228"/>
        <v>0</v>
      </c>
      <c r="O2923">
        <f t="shared" si="230"/>
        <v>1</v>
      </c>
      <c r="P2923" t="str">
        <f t="shared" si="229"/>
        <v/>
      </c>
      <c r="Q2923">
        <f>COUNTIF('責任職　企業局→市長部局'!A:A,SQLデータ!B2923)</f>
        <v>0</v>
      </c>
      <c r="R2923">
        <f>COUNTIF('一般職員　企業局→市長部局'!A:F,SQLデータ!B2923)</f>
        <v>0</v>
      </c>
    </row>
    <row r="2924" spans="1:18" x14ac:dyDescent="0.4">
      <c r="A2924" s="1">
        <v>202650002835</v>
      </c>
      <c r="B2924" s="1">
        <v>1163030</v>
      </c>
      <c r="C2924" s="2">
        <v>46127</v>
      </c>
      <c r="D2924" t="s">
        <v>17</v>
      </c>
      <c r="E2924" t="s">
        <v>8</v>
      </c>
      <c r="G2924" t="s">
        <v>9</v>
      </c>
      <c r="L2924">
        <f t="shared" si="226"/>
        <v>0</v>
      </c>
      <c r="M2924">
        <f t="shared" si="227"/>
        <v>0</v>
      </c>
      <c r="N2924">
        <f t="shared" si="228"/>
        <v>0</v>
      </c>
      <c r="O2924">
        <f t="shared" si="230"/>
        <v>1</v>
      </c>
      <c r="P2924" t="str">
        <f t="shared" si="229"/>
        <v/>
      </c>
      <c r="Q2924">
        <f>COUNTIF('責任職　企業局→市長部局'!A:A,SQLデータ!B2924)</f>
        <v>0</v>
      </c>
      <c r="R2924">
        <f>COUNTIF('一般職員　企業局→市長部局'!A:F,SQLデータ!B2924)</f>
        <v>0</v>
      </c>
    </row>
    <row r="2925" spans="1:18" x14ac:dyDescent="0.4">
      <c r="A2925" s="1">
        <v>202650002836</v>
      </c>
      <c r="B2925" s="1">
        <v>1181004</v>
      </c>
      <c r="C2925" s="2">
        <v>46127</v>
      </c>
      <c r="D2925" t="s">
        <v>17</v>
      </c>
      <c r="E2925" t="s">
        <v>8</v>
      </c>
      <c r="G2925" t="s">
        <v>9</v>
      </c>
      <c r="L2925">
        <f t="shared" si="226"/>
        <v>0</v>
      </c>
      <c r="M2925">
        <f t="shared" si="227"/>
        <v>0</v>
      </c>
      <c r="N2925">
        <f t="shared" si="228"/>
        <v>0</v>
      </c>
      <c r="O2925">
        <f t="shared" si="230"/>
        <v>1</v>
      </c>
      <c r="P2925" t="str">
        <f t="shared" si="229"/>
        <v/>
      </c>
      <c r="Q2925">
        <f>COUNTIF('責任職　企業局→市長部局'!A:A,SQLデータ!B2925)</f>
        <v>0</v>
      </c>
      <c r="R2925">
        <f>COUNTIF('一般職員　企業局→市長部局'!A:F,SQLデータ!B2925)</f>
        <v>0</v>
      </c>
    </row>
    <row r="2926" spans="1:18" x14ac:dyDescent="0.4">
      <c r="A2926" s="1">
        <v>202650002837</v>
      </c>
      <c r="B2926" s="1">
        <v>1232055</v>
      </c>
      <c r="C2926" s="2">
        <v>46127</v>
      </c>
      <c r="D2926" t="s">
        <v>17</v>
      </c>
      <c r="E2926" t="s">
        <v>8</v>
      </c>
      <c r="G2926" t="s">
        <v>9</v>
      </c>
      <c r="L2926">
        <f t="shared" si="226"/>
        <v>0</v>
      </c>
      <c r="M2926">
        <f t="shared" si="227"/>
        <v>0</v>
      </c>
      <c r="N2926">
        <f t="shared" si="228"/>
        <v>0</v>
      </c>
      <c r="O2926">
        <f t="shared" si="230"/>
        <v>1</v>
      </c>
      <c r="P2926" t="str">
        <f t="shared" si="229"/>
        <v/>
      </c>
      <c r="Q2926">
        <f>COUNTIF('責任職　企業局→市長部局'!A:A,SQLデータ!B2926)</f>
        <v>0</v>
      </c>
      <c r="R2926">
        <f>COUNTIF('一般職員　企業局→市長部局'!A:F,SQLデータ!B2926)</f>
        <v>0</v>
      </c>
    </row>
    <row r="2927" spans="1:18" x14ac:dyDescent="0.4">
      <c r="A2927" s="1">
        <v>202650002838</v>
      </c>
      <c r="B2927" s="1">
        <v>1181305</v>
      </c>
      <c r="C2927" s="2">
        <v>46127</v>
      </c>
      <c r="D2927" t="s">
        <v>17</v>
      </c>
      <c r="E2927" t="s">
        <v>8</v>
      </c>
      <c r="G2927" t="s">
        <v>9</v>
      </c>
      <c r="L2927">
        <f t="shared" si="226"/>
        <v>0</v>
      </c>
      <c r="M2927">
        <f t="shared" si="227"/>
        <v>0</v>
      </c>
      <c r="N2927">
        <f t="shared" si="228"/>
        <v>0</v>
      </c>
      <c r="O2927">
        <f t="shared" si="230"/>
        <v>1</v>
      </c>
      <c r="P2927" t="str">
        <f t="shared" si="229"/>
        <v/>
      </c>
      <c r="Q2927">
        <f>COUNTIF('責任職　企業局→市長部局'!A:A,SQLデータ!B2927)</f>
        <v>0</v>
      </c>
      <c r="R2927">
        <f>COUNTIF('一般職員　企業局→市長部局'!A:F,SQLデータ!B2927)</f>
        <v>0</v>
      </c>
    </row>
    <row r="2928" spans="1:18" x14ac:dyDescent="0.4">
      <c r="A2928" s="1">
        <v>202650002839</v>
      </c>
      <c r="B2928" s="1">
        <v>1018136</v>
      </c>
      <c r="C2928" s="2">
        <v>46127</v>
      </c>
      <c r="D2928" t="s">
        <v>17</v>
      </c>
      <c r="E2928" t="s">
        <v>8</v>
      </c>
      <c r="G2928" t="s">
        <v>9</v>
      </c>
      <c r="L2928">
        <f t="shared" si="226"/>
        <v>0</v>
      </c>
      <c r="M2928">
        <f t="shared" si="227"/>
        <v>0</v>
      </c>
      <c r="N2928">
        <f t="shared" si="228"/>
        <v>0</v>
      </c>
      <c r="O2928">
        <f t="shared" si="230"/>
        <v>1</v>
      </c>
      <c r="P2928" t="str">
        <f t="shared" si="229"/>
        <v/>
      </c>
      <c r="Q2928">
        <f>COUNTIF('責任職　企業局→市長部局'!A:A,SQLデータ!B2928)</f>
        <v>0</v>
      </c>
      <c r="R2928">
        <f>COUNTIF('一般職員　企業局→市長部局'!A:F,SQLデータ!B2928)</f>
        <v>0</v>
      </c>
    </row>
    <row r="2929" spans="1:18" x14ac:dyDescent="0.4">
      <c r="A2929" s="1">
        <v>202650002840</v>
      </c>
      <c r="B2929" s="1">
        <v>1221253</v>
      </c>
      <c r="C2929" s="2">
        <v>46127</v>
      </c>
      <c r="D2929" t="s">
        <v>17</v>
      </c>
      <c r="E2929" t="s">
        <v>8</v>
      </c>
      <c r="G2929" t="s">
        <v>9</v>
      </c>
      <c r="L2929">
        <f t="shared" si="226"/>
        <v>0</v>
      </c>
      <c r="M2929">
        <f t="shared" si="227"/>
        <v>0</v>
      </c>
      <c r="N2929">
        <f t="shared" si="228"/>
        <v>0</v>
      </c>
      <c r="O2929">
        <f t="shared" si="230"/>
        <v>1</v>
      </c>
      <c r="P2929" t="str">
        <f t="shared" si="229"/>
        <v/>
      </c>
      <c r="Q2929">
        <f>COUNTIF('責任職　企業局→市長部局'!A:A,SQLデータ!B2929)</f>
        <v>0</v>
      </c>
      <c r="R2929">
        <f>COUNTIF('一般職員　企業局→市長部局'!A:F,SQLデータ!B2929)</f>
        <v>0</v>
      </c>
    </row>
    <row r="2930" spans="1:18" x14ac:dyDescent="0.4">
      <c r="A2930" s="1">
        <v>202650002841</v>
      </c>
      <c r="B2930" s="1">
        <v>1231019</v>
      </c>
      <c r="C2930" s="2">
        <v>46127</v>
      </c>
      <c r="D2930" t="s">
        <v>17</v>
      </c>
      <c r="E2930" t="s">
        <v>8</v>
      </c>
      <c r="G2930" t="s">
        <v>9</v>
      </c>
      <c r="L2930">
        <f t="shared" si="226"/>
        <v>0</v>
      </c>
      <c r="M2930">
        <f t="shared" si="227"/>
        <v>0</v>
      </c>
      <c r="N2930">
        <f t="shared" si="228"/>
        <v>0</v>
      </c>
      <c r="O2930">
        <f t="shared" si="230"/>
        <v>1</v>
      </c>
      <c r="P2930" t="str">
        <f t="shared" si="229"/>
        <v/>
      </c>
      <c r="Q2930">
        <f>COUNTIF('責任職　企業局→市長部局'!A:A,SQLデータ!B2930)</f>
        <v>0</v>
      </c>
      <c r="R2930">
        <f>COUNTIF('一般職員　企業局→市長部局'!A:F,SQLデータ!B2930)</f>
        <v>0</v>
      </c>
    </row>
    <row r="2931" spans="1:18" x14ac:dyDescent="0.4">
      <c r="A2931" s="1">
        <v>202650002843</v>
      </c>
      <c r="B2931" s="1">
        <v>1221263</v>
      </c>
      <c r="C2931" s="2">
        <v>46127</v>
      </c>
      <c r="D2931" t="s">
        <v>17</v>
      </c>
      <c r="E2931" t="s">
        <v>8</v>
      </c>
      <c r="G2931" t="s">
        <v>9</v>
      </c>
      <c r="L2931">
        <f t="shared" si="226"/>
        <v>0</v>
      </c>
      <c r="M2931">
        <f t="shared" si="227"/>
        <v>0</v>
      </c>
      <c r="N2931">
        <f t="shared" si="228"/>
        <v>0</v>
      </c>
      <c r="O2931">
        <f t="shared" si="230"/>
        <v>1</v>
      </c>
      <c r="P2931" t="str">
        <f t="shared" si="229"/>
        <v/>
      </c>
      <c r="Q2931">
        <f>COUNTIF('責任職　企業局→市長部局'!A:A,SQLデータ!B2931)</f>
        <v>0</v>
      </c>
      <c r="R2931">
        <f>COUNTIF('一般職員　企業局→市長部局'!A:F,SQLデータ!B2931)</f>
        <v>0</v>
      </c>
    </row>
    <row r="2932" spans="1:18" x14ac:dyDescent="0.4">
      <c r="A2932" s="1">
        <v>202650002844</v>
      </c>
      <c r="B2932" s="1">
        <v>1171567</v>
      </c>
      <c r="C2932" s="2">
        <v>46127</v>
      </c>
      <c r="D2932" t="s">
        <v>17</v>
      </c>
      <c r="E2932" t="s">
        <v>8</v>
      </c>
      <c r="G2932" t="s">
        <v>9</v>
      </c>
      <c r="L2932">
        <f t="shared" si="226"/>
        <v>0</v>
      </c>
      <c r="M2932">
        <f t="shared" si="227"/>
        <v>0</v>
      </c>
      <c r="N2932">
        <f t="shared" si="228"/>
        <v>0</v>
      </c>
      <c r="O2932">
        <f t="shared" si="230"/>
        <v>1</v>
      </c>
      <c r="P2932" t="str">
        <f t="shared" si="229"/>
        <v/>
      </c>
      <c r="Q2932">
        <f>COUNTIF('責任職　企業局→市長部局'!A:A,SQLデータ!B2932)</f>
        <v>0</v>
      </c>
      <c r="R2932">
        <f>COUNTIF('一般職員　企業局→市長部局'!A:F,SQLデータ!B2932)</f>
        <v>0</v>
      </c>
    </row>
    <row r="2933" spans="1:18" x14ac:dyDescent="0.4">
      <c r="A2933" s="1">
        <v>202650002845</v>
      </c>
      <c r="B2933" s="1">
        <v>1171152</v>
      </c>
      <c r="C2933" s="2">
        <v>46127</v>
      </c>
      <c r="D2933" t="s">
        <v>17</v>
      </c>
      <c r="E2933" t="s">
        <v>8</v>
      </c>
      <c r="G2933" t="s">
        <v>9</v>
      </c>
      <c r="L2933">
        <f t="shared" si="226"/>
        <v>0</v>
      </c>
      <c r="M2933">
        <f t="shared" si="227"/>
        <v>0</v>
      </c>
      <c r="N2933">
        <f t="shared" si="228"/>
        <v>0</v>
      </c>
      <c r="O2933">
        <f t="shared" si="230"/>
        <v>1</v>
      </c>
      <c r="P2933" t="str">
        <f t="shared" si="229"/>
        <v/>
      </c>
      <c r="Q2933">
        <f>COUNTIF('責任職　企業局→市長部局'!A:A,SQLデータ!B2933)</f>
        <v>0</v>
      </c>
      <c r="R2933">
        <f>COUNTIF('一般職員　企業局→市長部局'!A:F,SQLデータ!B2933)</f>
        <v>0</v>
      </c>
    </row>
    <row r="2934" spans="1:18" x14ac:dyDescent="0.4">
      <c r="A2934" s="1">
        <v>202650002847</v>
      </c>
      <c r="B2934" s="1">
        <v>910474</v>
      </c>
      <c r="C2934" s="2">
        <v>46127</v>
      </c>
      <c r="D2934" t="s">
        <v>17</v>
      </c>
      <c r="E2934" t="s">
        <v>8</v>
      </c>
      <c r="G2934" t="s">
        <v>9</v>
      </c>
      <c r="L2934">
        <f t="shared" si="226"/>
        <v>0</v>
      </c>
      <c r="M2934">
        <f t="shared" si="227"/>
        <v>0</v>
      </c>
      <c r="N2934">
        <f t="shared" si="228"/>
        <v>0</v>
      </c>
      <c r="O2934">
        <f t="shared" si="230"/>
        <v>1</v>
      </c>
      <c r="P2934" t="str">
        <f t="shared" si="229"/>
        <v/>
      </c>
      <c r="Q2934">
        <f>COUNTIF('責任職　企業局→市長部局'!A:A,SQLデータ!B2934)</f>
        <v>0</v>
      </c>
      <c r="R2934">
        <f>COUNTIF('一般職員　企業局→市長部局'!A:F,SQLデータ!B2934)</f>
        <v>0</v>
      </c>
    </row>
    <row r="2935" spans="1:18" x14ac:dyDescent="0.4">
      <c r="A2935" s="1">
        <v>202650002848</v>
      </c>
      <c r="B2935" s="1">
        <v>1111077</v>
      </c>
      <c r="C2935" s="2">
        <v>46127</v>
      </c>
      <c r="D2935" t="s">
        <v>17</v>
      </c>
      <c r="E2935" t="s">
        <v>8</v>
      </c>
      <c r="G2935" t="s">
        <v>9</v>
      </c>
      <c r="L2935">
        <f t="shared" si="226"/>
        <v>0</v>
      </c>
      <c r="M2935">
        <f t="shared" si="227"/>
        <v>0</v>
      </c>
      <c r="N2935">
        <f t="shared" si="228"/>
        <v>0</v>
      </c>
      <c r="O2935">
        <f t="shared" si="230"/>
        <v>1</v>
      </c>
      <c r="P2935" t="str">
        <f t="shared" si="229"/>
        <v/>
      </c>
      <c r="Q2935">
        <f>COUNTIF('責任職　企業局→市長部局'!A:A,SQLデータ!B2935)</f>
        <v>0</v>
      </c>
      <c r="R2935">
        <f>COUNTIF('一般職員　企業局→市長部局'!A:F,SQLデータ!B2935)</f>
        <v>0</v>
      </c>
    </row>
    <row r="2936" spans="1:18" x14ac:dyDescent="0.4">
      <c r="A2936" s="1">
        <v>202650002849</v>
      </c>
      <c r="B2936" s="1">
        <v>1061006</v>
      </c>
      <c r="C2936" s="2">
        <v>46127</v>
      </c>
      <c r="D2936" t="s">
        <v>17</v>
      </c>
      <c r="E2936" t="s">
        <v>8</v>
      </c>
      <c r="G2936" t="s">
        <v>9</v>
      </c>
      <c r="L2936">
        <f t="shared" si="226"/>
        <v>0</v>
      </c>
      <c r="M2936">
        <f t="shared" si="227"/>
        <v>0</v>
      </c>
      <c r="N2936">
        <f t="shared" si="228"/>
        <v>0</v>
      </c>
      <c r="O2936">
        <f t="shared" si="230"/>
        <v>1</v>
      </c>
      <c r="P2936" t="str">
        <f t="shared" si="229"/>
        <v/>
      </c>
      <c r="Q2936">
        <f>COUNTIF('責任職　企業局→市長部局'!A:A,SQLデータ!B2936)</f>
        <v>0</v>
      </c>
      <c r="R2936">
        <f>COUNTIF('一般職員　企業局→市長部局'!A:F,SQLデータ!B2936)</f>
        <v>0</v>
      </c>
    </row>
    <row r="2937" spans="1:18" x14ac:dyDescent="0.4">
      <c r="A2937" s="1">
        <v>202650002850</v>
      </c>
      <c r="B2937" s="1">
        <v>1161460</v>
      </c>
      <c r="C2937" s="2">
        <v>46128</v>
      </c>
      <c r="D2937" t="s">
        <v>17</v>
      </c>
      <c r="E2937" t="s">
        <v>8</v>
      </c>
      <c r="G2937" t="s">
        <v>9</v>
      </c>
      <c r="L2937">
        <f t="shared" si="226"/>
        <v>0</v>
      </c>
      <c r="M2937">
        <f t="shared" si="227"/>
        <v>0</v>
      </c>
      <c r="N2937">
        <f t="shared" si="228"/>
        <v>0</v>
      </c>
      <c r="O2937">
        <f t="shared" si="230"/>
        <v>1</v>
      </c>
      <c r="P2937" t="str">
        <f t="shared" si="229"/>
        <v/>
      </c>
      <c r="Q2937">
        <f>COUNTIF('責任職　企業局→市長部局'!A:A,SQLデータ!B2937)</f>
        <v>0</v>
      </c>
      <c r="R2937">
        <f>COUNTIF('一般職員　企業局→市長部局'!A:F,SQLデータ!B2937)</f>
        <v>0</v>
      </c>
    </row>
    <row r="2938" spans="1:18" x14ac:dyDescent="0.4">
      <c r="A2938" s="1">
        <v>202650002851</v>
      </c>
      <c r="B2938" s="1">
        <v>1191156</v>
      </c>
      <c r="C2938" s="2">
        <v>46127</v>
      </c>
      <c r="D2938" t="s">
        <v>17</v>
      </c>
      <c r="E2938" t="s">
        <v>8</v>
      </c>
      <c r="G2938" t="s">
        <v>9</v>
      </c>
      <c r="L2938">
        <f t="shared" si="226"/>
        <v>0</v>
      </c>
      <c r="M2938">
        <f t="shared" si="227"/>
        <v>0</v>
      </c>
      <c r="N2938">
        <f t="shared" si="228"/>
        <v>0</v>
      </c>
      <c r="O2938">
        <f t="shared" si="230"/>
        <v>1</v>
      </c>
      <c r="P2938" t="str">
        <f t="shared" si="229"/>
        <v/>
      </c>
      <c r="Q2938">
        <f>COUNTIF('責任職　企業局→市長部局'!A:A,SQLデータ!B2938)</f>
        <v>0</v>
      </c>
      <c r="R2938">
        <f>COUNTIF('一般職員　企業局→市長部局'!A:F,SQLデータ!B2938)</f>
        <v>0</v>
      </c>
    </row>
    <row r="2939" spans="1:18" x14ac:dyDescent="0.4">
      <c r="A2939" s="1">
        <v>202650002852</v>
      </c>
      <c r="B2939" s="1">
        <v>1182310</v>
      </c>
      <c r="C2939" s="2">
        <v>46127</v>
      </c>
      <c r="D2939" t="s">
        <v>17</v>
      </c>
      <c r="E2939" t="s">
        <v>8</v>
      </c>
      <c r="G2939" t="s">
        <v>9</v>
      </c>
      <c r="L2939">
        <f t="shared" si="226"/>
        <v>0</v>
      </c>
      <c r="M2939">
        <f t="shared" si="227"/>
        <v>0</v>
      </c>
      <c r="N2939">
        <f t="shared" si="228"/>
        <v>0</v>
      </c>
      <c r="O2939">
        <f t="shared" si="230"/>
        <v>1</v>
      </c>
      <c r="P2939" t="str">
        <f t="shared" si="229"/>
        <v/>
      </c>
      <c r="Q2939">
        <f>COUNTIF('責任職　企業局→市長部局'!A:A,SQLデータ!B2939)</f>
        <v>0</v>
      </c>
      <c r="R2939">
        <f>COUNTIF('一般職員　企業局→市長部局'!A:F,SQLデータ!B2939)</f>
        <v>0</v>
      </c>
    </row>
    <row r="2940" spans="1:18" x14ac:dyDescent="0.4">
      <c r="A2940" s="1">
        <v>202650002853</v>
      </c>
      <c r="B2940" s="1">
        <v>1051140</v>
      </c>
      <c r="C2940" s="2">
        <v>46127</v>
      </c>
      <c r="D2940" t="s">
        <v>17</v>
      </c>
      <c r="E2940" t="s">
        <v>8</v>
      </c>
      <c r="G2940" t="s">
        <v>9</v>
      </c>
      <c r="L2940">
        <f t="shared" si="226"/>
        <v>0</v>
      </c>
      <c r="M2940">
        <f t="shared" si="227"/>
        <v>0</v>
      </c>
      <c r="N2940">
        <f t="shared" si="228"/>
        <v>0</v>
      </c>
      <c r="O2940">
        <f t="shared" si="230"/>
        <v>1</v>
      </c>
      <c r="P2940" t="str">
        <f t="shared" si="229"/>
        <v/>
      </c>
      <c r="Q2940">
        <f>COUNTIF('責任職　企業局→市長部局'!A:A,SQLデータ!B2940)</f>
        <v>0</v>
      </c>
      <c r="R2940">
        <f>COUNTIF('一般職員　企業局→市長部局'!A:F,SQLデータ!B2940)</f>
        <v>0</v>
      </c>
    </row>
    <row r="2941" spans="1:18" x14ac:dyDescent="0.4">
      <c r="A2941" s="1">
        <v>202650002854</v>
      </c>
      <c r="B2941" s="1">
        <v>1091099</v>
      </c>
      <c r="C2941" s="2">
        <v>46127</v>
      </c>
      <c r="D2941" t="s">
        <v>17</v>
      </c>
      <c r="E2941" t="s">
        <v>8</v>
      </c>
      <c r="G2941" t="s">
        <v>9</v>
      </c>
      <c r="L2941">
        <f t="shared" si="226"/>
        <v>0</v>
      </c>
      <c r="M2941">
        <f t="shared" si="227"/>
        <v>0</v>
      </c>
      <c r="N2941">
        <f t="shared" si="228"/>
        <v>0</v>
      </c>
      <c r="O2941">
        <f t="shared" si="230"/>
        <v>1</v>
      </c>
      <c r="P2941" t="str">
        <f t="shared" si="229"/>
        <v/>
      </c>
      <c r="Q2941">
        <f>COUNTIF('責任職　企業局→市長部局'!A:A,SQLデータ!B2941)</f>
        <v>0</v>
      </c>
      <c r="R2941">
        <f>COUNTIF('一般職員　企業局→市長部局'!A:F,SQLデータ!B2941)</f>
        <v>0</v>
      </c>
    </row>
    <row r="2942" spans="1:18" x14ac:dyDescent="0.4">
      <c r="A2942" s="1">
        <v>202650002855</v>
      </c>
      <c r="B2942" s="1">
        <v>981045</v>
      </c>
      <c r="C2942" s="2">
        <v>46127</v>
      </c>
      <c r="D2942" t="s">
        <v>17</v>
      </c>
      <c r="E2942" t="s">
        <v>8</v>
      </c>
      <c r="G2942" t="s">
        <v>9</v>
      </c>
      <c r="L2942">
        <f t="shared" si="226"/>
        <v>0</v>
      </c>
      <c r="M2942">
        <f t="shared" si="227"/>
        <v>0</v>
      </c>
      <c r="N2942">
        <f t="shared" si="228"/>
        <v>0</v>
      </c>
      <c r="O2942">
        <f t="shared" si="230"/>
        <v>1</v>
      </c>
      <c r="P2942" t="str">
        <f t="shared" si="229"/>
        <v/>
      </c>
      <c r="Q2942">
        <f>COUNTIF('責任職　企業局→市長部局'!A:A,SQLデータ!B2942)</f>
        <v>0</v>
      </c>
      <c r="R2942">
        <f>COUNTIF('一般職員　企業局→市長部局'!A:F,SQLデータ!B2942)</f>
        <v>0</v>
      </c>
    </row>
    <row r="2943" spans="1:18" x14ac:dyDescent="0.4">
      <c r="A2943" s="1">
        <v>202650002856</v>
      </c>
      <c r="B2943" s="1">
        <v>1181179</v>
      </c>
      <c r="C2943" s="2">
        <v>46127</v>
      </c>
      <c r="D2943" t="s">
        <v>17</v>
      </c>
      <c r="E2943" t="s">
        <v>8</v>
      </c>
      <c r="G2943" t="s">
        <v>9</v>
      </c>
      <c r="L2943">
        <f t="shared" si="226"/>
        <v>0</v>
      </c>
      <c r="M2943">
        <f t="shared" si="227"/>
        <v>0</v>
      </c>
      <c r="N2943">
        <f t="shared" si="228"/>
        <v>0</v>
      </c>
      <c r="O2943">
        <f t="shared" si="230"/>
        <v>1</v>
      </c>
      <c r="P2943" t="str">
        <f t="shared" si="229"/>
        <v/>
      </c>
      <c r="Q2943">
        <f>COUNTIF('責任職　企業局→市長部局'!A:A,SQLデータ!B2943)</f>
        <v>0</v>
      </c>
      <c r="R2943">
        <f>COUNTIF('一般職員　企業局→市長部局'!A:F,SQLデータ!B2943)</f>
        <v>0</v>
      </c>
    </row>
    <row r="2944" spans="1:18" x14ac:dyDescent="0.4">
      <c r="A2944" s="1">
        <v>202650002857</v>
      </c>
      <c r="B2944" s="1">
        <v>1021146</v>
      </c>
      <c r="C2944" s="2">
        <v>46127</v>
      </c>
      <c r="D2944" t="s">
        <v>17</v>
      </c>
      <c r="E2944" t="s">
        <v>8</v>
      </c>
      <c r="G2944" t="s">
        <v>9</v>
      </c>
      <c r="L2944">
        <f t="shared" si="226"/>
        <v>0</v>
      </c>
      <c r="M2944">
        <f t="shared" si="227"/>
        <v>0</v>
      </c>
      <c r="N2944">
        <f t="shared" si="228"/>
        <v>0</v>
      </c>
      <c r="O2944">
        <f t="shared" si="230"/>
        <v>1</v>
      </c>
      <c r="P2944" t="str">
        <f t="shared" si="229"/>
        <v/>
      </c>
      <c r="Q2944">
        <f>COUNTIF('責任職　企業局→市長部局'!A:A,SQLデータ!B2944)</f>
        <v>0</v>
      </c>
      <c r="R2944">
        <f>COUNTIF('一般職員　企業局→市長部局'!A:F,SQLデータ!B2944)</f>
        <v>0</v>
      </c>
    </row>
    <row r="2945" spans="1:18" x14ac:dyDescent="0.4">
      <c r="A2945" s="1">
        <v>202650002858</v>
      </c>
      <c r="B2945" s="1">
        <v>1141004</v>
      </c>
      <c r="C2945" s="2">
        <v>46127</v>
      </c>
      <c r="D2945" t="s">
        <v>17</v>
      </c>
      <c r="E2945" t="s">
        <v>8</v>
      </c>
      <c r="G2945" t="s">
        <v>9</v>
      </c>
      <c r="L2945">
        <f t="shared" si="226"/>
        <v>0</v>
      </c>
      <c r="M2945">
        <f t="shared" si="227"/>
        <v>0</v>
      </c>
      <c r="N2945">
        <f t="shared" si="228"/>
        <v>0</v>
      </c>
      <c r="O2945">
        <f t="shared" ref="O2945:O2957" si="231">IF(COUNTIF(L2945:N2945,0)=3,1,0)</f>
        <v>1</v>
      </c>
      <c r="P2945" t="str">
        <f t="shared" si="229"/>
        <v/>
      </c>
      <c r="Q2945">
        <f>COUNTIF('責任職　企業局→市長部局'!A:A,SQLデータ!B2945)</f>
        <v>0</v>
      </c>
      <c r="R2945">
        <f>COUNTIF('一般職員　企業局→市長部局'!A:F,SQLデータ!B2945)</f>
        <v>0</v>
      </c>
    </row>
    <row r="2946" spans="1:18" x14ac:dyDescent="0.4">
      <c r="A2946" s="1">
        <v>202650002859</v>
      </c>
      <c r="B2946" s="1">
        <v>1182322</v>
      </c>
      <c r="C2946" s="2">
        <v>46127</v>
      </c>
      <c r="D2946" t="s">
        <v>17</v>
      </c>
      <c r="E2946" t="s">
        <v>8</v>
      </c>
      <c r="G2946" t="s">
        <v>9</v>
      </c>
      <c r="L2946">
        <f t="shared" ref="L2946:L3009" si="232">IF(ISBLANK(J2946),0,1)</f>
        <v>0</v>
      </c>
      <c r="M2946">
        <f t="shared" ref="M2946:M3009" si="233">IF(AND(L2946=0,I2946&lt;&gt;""),1,0)</f>
        <v>0</v>
      </c>
      <c r="N2946">
        <f t="shared" ref="N2946:N3009" si="234">IF(AND(L2946=0,M2946=0,K2946&lt;&gt;""),1,0)</f>
        <v>0</v>
      </c>
      <c r="O2946">
        <f t="shared" si="231"/>
        <v>1</v>
      </c>
      <c r="P2946" t="str">
        <f t="shared" ref="P2946:P3009" si="235">IF(D2946&lt;&gt;"扶養","",IF(E2946&lt;&gt;"確認待ち",1,IF(OR(AND(G2946="本人の結婚",O2946=1),AND(H2946="減",OR(N2946=1,O2946=1))),1,0)))</f>
        <v/>
      </c>
      <c r="Q2946">
        <f>COUNTIF('責任職　企業局→市長部局'!A:A,SQLデータ!B2946)</f>
        <v>0</v>
      </c>
      <c r="R2946">
        <f>COUNTIF('一般職員　企業局→市長部局'!A:F,SQLデータ!B2946)</f>
        <v>0</v>
      </c>
    </row>
    <row r="2947" spans="1:18" x14ac:dyDescent="0.4">
      <c r="A2947" s="1">
        <v>202650002860</v>
      </c>
      <c r="B2947" s="1">
        <v>1231010</v>
      </c>
      <c r="C2947" s="2">
        <v>46127</v>
      </c>
      <c r="D2947" t="s">
        <v>17</v>
      </c>
      <c r="E2947" t="s">
        <v>8</v>
      </c>
      <c r="G2947" t="s">
        <v>9</v>
      </c>
      <c r="L2947">
        <f t="shared" si="232"/>
        <v>0</v>
      </c>
      <c r="M2947">
        <f t="shared" si="233"/>
        <v>0</v>
      </c>
      <c r="N2947">
        <f t="shared" si="234"/>
        <v>0</v>
      </c>
      <c r="O2947">
        <f t="shared" si="231"/>
        <v>1</v>
      </c>
      <c r="P2947" t="str">
        <f t="shared" si="235"/>
        <v/>
      </c>
      <c r="Q2947">
        <f>COUNTIF('責任職　企業局→市長部局'!A:A,SQLデータ!B2947)</f>
        <v>0</v>
      </c>
      <c r="R2947">
        <f>COUNTIF('一般職員　企業局→市長部局'!A:F,SQLデータ!B2947)</f>
        <v>0</v>
      </c>
    </row>
    <row r="2948" spans="1:18" x14ac:dyDescent="0.4">
      <c r="A2948" s="1">
        <v>202650002862</v>
      </c>
      <c r="B2948" s="1">
        <v>1231276</v>
      </c>
      <c r="C2948" s="2">
        <v>46127</v>
      </c>
      <c r="D2948" t="s">
        <v>17</v>
      </c>
      <c r="E2948" t="s">
        <v>8</v>
      </c>
      <c r="G2948" t="s">
        <v>9</v>
      </c>
      <c r="L2948">
        <f t="shared" si="232"/>
        <v>0</v>
      </c>
      <c r="M2948">
        <f t="shared" si="233"/>
        <v>0</v>
      </c>
      <c r="N2948">
        <f t="shared" si="234"/>
        <v>0</v>
      </c>
      <c r="O2948">
        <f t="shared" si="231"/>
        <v>1</v>
      </c>
      <c r="P2948" t="str">
        <f t="shared" si="235"/>
        <v/>
      </c>
      <c r="Q2948">
        <f>COUNTIF('責任職　企業局→市長部局'!A:A,SQLデータ!B2948)</f>
        <v>0</v>
      </c>
      <c r="R2948">
        <f>COUNTIF('一般職員　企業局→市長部局'!A:F,SQLデータ!B2948)</f>
        <v>0</v>
      </c>
    </row>
    <row r="2949" spans="1:18" x14ac:dyDescent="0.4">
      <c r="A2949" s="1">
        <v>202650002863</v>
      </c>
      <c r="B2949" s="1">
        <v>1113040</v>
      </c>
      <c r="C2949" s="2">
        <v>46127</v>
      </c>
      <c r="D2949" t="s">
        <v>17</v>
      </c>
      <c r="E2949" t="s">
        <v>8</v>
      </c>
      <c r="G2949" t="s">
        <v>9</v>
      </c>
      <c r="L2949">
        <f t="shared" si="232"/>
        <v>0</v>
      </c>
      <c r="M2949">
        <f t="shared" si="233"/>
        <v>0</v>
      </c>
      <c r="N2949">
        <f t="shared" si="234"/>
        <v>0</v>
      </c>
      <c r="O2949">
        <f t="shared" si="231"/>
        <v>1</v>
      </c>
      <c r="P2949" t="str">
        <f t="shared" si="235"/>
        <v/>
      </c>
      <c r="Q2949">
        <f>COUNTIF('責任職　企業局→市長部局'!A:A,SQLデータ!B2949)</f>
        <v>0</v>
      </c>
      <c r="R2949">
        <f>COUNTIF('一般職員　企業局→市長部局'!A:F,SQLデータ!B2949)</f>
        <v>0</v>
      </c>
    </row>
    <row r="2950" spans="1:18" x14ac:dyDescent="0.4">
      <c r="A2950" s="1">
        <v>202650002864</v>
      </c>
      <c r="B2950" s="1">
        <v>1091374</v>
      </c>
      <c r="C2950" s="2">
        <v>46127</v>
      </c>
      <c r="D2950" t="s">
        <v>17</v>
      </c>
      <c r="E2950" t="s">
        <v>8</v>
      </c>
      <c r="G2950" t="s">
        <v>9</v>
      </c>
      <c r="L2950">
        <f t="shared" si="232"/>
        <v>0</v>
      </c>
      <c r="M2950">
        <f t="shared" si="233"/>
        <v>0</v>
      </c>
      <c r="N2950">
        <f t="shared" si="234"/>
        <v>0</v>
      </c>
      <c r="O2950">
        <f t="shared" si="231"/>
        <v>1</v>
      </c>
      <c r="P2950" t="str">
        <f t="shared" si="235"/>
        <v/>
      </c>
      <c r="Q2950">
        <f>COUNTIF('責任職　企業局→市長部局'!A:A,SQLデータ!B2950)</f>
        <v>0</v>
      </c>
      <c r="R2950">
        <f>COUNTIF('一般職員　企業局→市長部局'!A:F,SQLデータ!B2950)</f>
        <v>0</v>
      </c>
    </row>
    <row r="2951" spans="1:18" x14ac:dyDescent="0.4">
      <c r="A2951" s="1">
        <v>202650002865</v>
      </c>
      <c r="B2951" s="1">
        <v>1221526</v>
      </c>
      <c r="C2951" s="2">
        <v>46127</v>
      </c>
      <c r="D2951" t="s">
        <v>17</v>
      </c>
      <c r="E2951" t="s">
        <v>8</v>
      </c>
      <c r="G2951" t="s">
        <v>9</v>
      </c>
      <c r="L2951">
        <f t="shared" si="232"/>
        <v>0</v>
      </c>
      <c r="M2951">
        <f t="shared" si="233"/>
        <v>0</v>
      </c>
      <c r="N2951">
        <f t="shared" si="234"/>
        <v>0</v>
      </c>
      <c r="O2951">
        <f t="shared" si="231"/>
        <v>1</v>
      </c>
      <c r="P2951" t="str">
        <f t="shared" si="235"/>
        <v/>
      </c>
      <c r="Q2951">
        <f>COUNTIF('責任職　企業局→市長部局'!A:A,SQLデータ!B2951)</f>
        <v>0</v>
      </c>
      <c r="R2951">
        <f>COUNTIF('一般職員　企業局→市長部局'!A:F,SQLデータ!B2951)</f>
        <v>0</v>
      </c>
    </row>
    <row r="2952" spans="1:18" x14ac:dyDescent="0.4">
      <c r="A2952" s="1">
        <v>202650002866</v>
      </c>
      <c r="B2952" s="1">
        <v>1082076</v>
      </c>
      <c r="C2952" s="2">
        <v>46127</v>
      </c>
      <c r="D2952" t="s">
        <v>17</v>
      </c>
      <c r="E2952" t="s">
        <v>8</v>
      </c>
      <c r="G2952" t="s">
        <v>9</v>
      </c>
      <c r="L2952">
        <f t="shared" si="232"/>
        <v>0</v>
      </c>
      <c r="M2952">
        <f t="shared" si="233"/>
        <v>0</v>
      </c>
      <c r="N2952">
        <f t="shared" si="234"/>
        <v>0</v>
      </c>
      <c r="O2952">
        <f t="shared" si="231"/>
        <v>1</v>
      </c>
      <c r="P2952" t="str">
        <f t="shared" si="235"/>
        <v/>
      </c>
      <c r="Q2952">
        <f>COUNTIF('責任職　企業局→市長部局'!A:A,SQLデータ!B2952)</f>
        <v>0</v>
      </c>
      <c r="R2952">
        <f>COUNTIF('一般職員　企業局→市長部局'!A:F,SQLデータ!B2952)</f>
        <v>0</v>
      </c>
    </row>
    <row r="2953" spans="1:18" x14ac:dyDescent="0.4">
      <c r="A2953" s="1">
        <v>202650002867</v>
      </c>
      <c r="B2953" s="1">
        <v>930662</v>
      </c>
      <c r="C2953" s="2">
        <v>46127</v>
      </c>
      <c r="D2953" t="s">
        <v>17</v>
      </c>
      <c r="E2953" t="s">
        <v>8</v>
      </c>
      <c r="G2953" t="s">
        <v>9</v>
      </c>
      <c r="L2953">
        <f t="shared" si="232"/>
        <v>0</v>
      </c>
      <c r="M2953">
        <f t="shared" si="233"/>
        <v>0</v>
      </c>
      <c r="N2953">
        <f t="shared" si="234"/>
        <v>0</v>
      </c>
      <c r="O2953">
        <f t="shared" si="231"/>
        <v>1</v>
      </c>
      <c r="P2953" t="str">
        <f t="shared" si="235"/>
        <v/>
      </c>
      <c r="Q2953">
        <f>COUNTIF('責任職　企業局→市長部局'!A:A,SQLデータ!B2953)</f>
        <v>0</v>
      </c>
      <c r="R2953">
        <f>COUNTIF('一般職員　企業局→市長部局'!A:F,SQLデータ!B2953)</f>
        <v>0</v>
      </c>
    </row>
    <row r="2954" spans="1:18" x14ac:dyDescent="0.4">
      <c r="A2954" s="1">
        <v>202650002868</v>
      </c>
      <c r="B2954" s="1">
        <v>1166051</v>
      </c>
      <c r="C2954" s="2">
        <v>46128</v>
      </c>
      <c r="D2954" t="s">
        <v>17</v>
      </c>
      <c r="E2954" t="s">
        <v>8</v>
      </c>
      <c r="G2954" t="s">
        <v>9</v>
      </c>
      <c r="L2954">
        <f t="shared" si="232"/>
        <v>0</v>
      </c>
      <c r="M2954">
        <f t="shared" si="233"/>
        <v>0</v>
      </c>
      <c r="N2954">
        <f t="shared" si="234"/>
        <v>0</v>
      </c>
      <c r="O2954">
        <f t="shared" si="231"/>
        <v>1</v>
      </c>
      <c r="P2954" t="str">
        <f t="shared" si="235"/>
        <v/>
      </c>
      <c r="Q2954">
        <f>COUNTIF('責任職　企業局→市長部局'!A:A,SQLデータ!B2954)</f>
        <v>0</v>
      </c>
      <c r="R2954">
        <f>COUNTIF('一般職員　企業局→市長部局'!A:F,SQLデータ!B2954)</f>
        <v>0</v>
      </c>
    </row>
    <row r="2955" spans="1:18" x14ac:dyDescent="0.4">
      <c r="A2955" s="1">
        <v>202650002870</v>
      </c>
      <c r="B2955" s="1">
        <v>1131068</v>
      </c>
      <c r="C2955" s="2">
        <v>46127</v>
      </c>
      <c r="D2955" t="s">
        <v>17</v>
      </c>
      <c r="E2955" t="s">
        <v>8</v>
      </c>
      <c r="G2955" t="s">
        <v>9</v>
      </c>
      <c r="L2955">
        <f t="shared" si="232"/>
        <v>0</v>
      </c>
      <c r="M2955">
        <f t="shared" si="233"/>
        <v>0</v>
      </c>
      <c r="N2955">
        <f t="shared" si="234"/>
        <v>0</v>
      </c>
      <c r="O2955">
        <f t="shared" si="231"/>
        <v>1</v>
      </c>
      <c r="P2955" t="str">
        <f t="shared" si="235"/>
        <v/>
      </c>
      <c r="Q2955">
        <f>COUNTIF('責任職　企業局→市長部局'!A:A,SQLデータ!B2955)</f>
        <v>0</v>
      </c>
      <c r="R2955">
        <f>COUNTIF('一般職員　企業局→市長部局'!A:F,SQLデータ!B2955)</f>
        <v>0</v>
      </c>
    </row>
    <row r="2956" spans="1:18" x14ac:dyDescent="0.4">
      <c r="A2956" s="1">
        <v>202650002871</v>
      </c>
      <c r="B2956" s="1">
        <v>1231014</v>
      </c>
      <c r="C2956" s="2">
        <v>46127</v>
      </c>
      <c r="D2956" t="s">
        <v>17</v>
      </c>
      <c r="E2956" t="s">
        <v>8</v>
      </c>
      <c r="G2956" t="s">
        <v>9</v>
      </c>
      <c r="L2956">
        <f t="shared" si="232"/>
        <v>0</v>
      </c>
      <c r="M2956">
        <f t="shared" si="233"/>
        <v>0</v>
      </c>
      <c r="N2956">
        <f t="shared" si="234"/>
        <v>0</v>
      </c>
      <c r="O2956">
        <f t="shared" si="231"/>
        <v>1</v>
      </c>
      <c r="P2956" t="str">
        <f t="shared" si="235"/>
        <v/>
      </c>
      <c r="Q2956">
        <f>COUNTIF('責任職　企業局→市長部局'!A:A,SQLデータ!B2956)</f>
        <v>0</v>
      </c>
      <c r="R2956">
        <f>COUNTIF('一般職員　企業局→市長部局'!A:F,SQLデータ!B2956)</f>
        <v>0</v>
      </c>
    </row>
    <row r="2957" spans="1:18" x14ac:dyDescent="0.4">
      <c r="A2957" s="1">
        <v>202650002872</v>
      </c>
      <c r="B2957" s="1">
        <v>1171342</v>
      </c>
      <c r="C2957" s="2">
        <v>46127</v>
      </c>
      <c r="D2957" t="s">
        <v>17</v>
      </c>
      <c r="E2957" t="s">
        <v>8</v>
      </c>
      <c r="G2957" t="s">
        <v>9</v>
      </c>
      <c r="L2957">
        <f t="shared" si="232"/>
        <v>0</v>
      </c>
      <c r="M2957">
        <f t="shared" si="233"/>
        <v>0</v>
      </c>
      <c r="N2957">
        <f t="shared" si="234"/>
        <v>0</v>
      </c>
      <c r="O2957">
        <f t="shared" si="231"/>
        <v>1</v>
      </c>
      <c r="P2957" t="str">
        <f t="shared" si="235"/>
        <v/>
      </c>
      <c r="Q2957">
        <f>COUNTIF('責任職　企業局→市長部局'!A:A,SQLデータ!B2957)</f>
        <v>0</v>
      </c>
      <c r="R2957">
        <f>COUNTIF('一般職員　企業局→市長部局'!A:F,SQLデータ!B2957)</f>
        <v>0</v>
      </c>
    </row>
    <row r="2958" spans="1:18" x14ac:dyDescent="0.4">
      <c r="A2958" s="1">
        <v>202650002873</v>
      </c>
      <c r="B2958" s="1">
        <v>992012</v>
      </c>
      <c r="C2958" s="2">
        <v>46127</v>
      </c>
      <c r="D2958" t="s">
        <v>17</v>
      </c>
      <c r="E2958" t="s">
        <v>8</v>
      </c>
      <c r="G2958" t="s">
        <v>9</v>
      </c>
      <c r="L2958">
        <f t="shared" si="232"/>
        <v>0</v>
      </c>
      <c r="M2958">
        <f t="shared" si="233"/>
        <v>0</v>
      </c>
      <c r="N2958">
        <f t="shared" si="234"/>
        <v>0</v>
      </c>
      <c r="O2958">
        <f t="shared" ref="O2958:O2981" si="236">IF(COUNTIF(L2958:N2958,0)=3,1,0)</f>
        <v>1</v>
      </c>
      <c r="P2958" t="str">
        <f t="shared" si="235"/>
        <v/>
      </c>
      <c r="Q2958">
        <f>COUNTIF('責任職　企業局→市長部局'!A:A,SQLデータ!B2958)</f>
        <v>0</v>
      </c>
      <c r="R2958">
        <f>COUNTIF('一般職員　企業局→市長部局'!A:F,SQLデータ!B2958)</f>
        <v>0</v>
      </c>
    </row>
    <row r="2959" spans="1:18" x14ac:dyDescent="0.4">
      <c r="A2959" s="1">
        <v>202650002874</v>
      </c>
      <c r="B2959" s="1">
        <v>1221524</v>
      </c>
      <c r="C2959" s="2">
        <v>46128</v>
      </c>
      <c r="D2959" t="s">
        <v>17</v>
      </c>
      <c r="E2959" t="s">
        <v>8</v>
      </c>
      <c r="G2959" t="s">
        <v>9</v>
      </c>
      <c r="L2959">
        <f t="shared" si="232"/>
        <v>0</v>
      </c>
      <c r="M2959">
        <f t="shared" si="233"/>
        <v>0</v>
      </c>
      <c r="N2959">
        <f t="shared" si="234"/>
        <v>0</v>
      </c>
      <c r="O2959">
        <f t="shared" si="236"/>
        <v>1</v>
      </c>
      <c r="P2959" t="str">
        <f t="shared" si="235"/>
        <v/>
      </c>
      <c r="Q2959">
        <f>COUNTIF('責任職　企業局→市長部局'!A:A,SQLデータ!B2959)</f>
        <v>0</v>
      </c>
      <c r="R2959">
        <f>COUNTIF('一般職員　企業局→市長部局'!A:F,SQLデータ!B2959)</f>
        <v>0</v>
      </c>
    </row>
    <row r="2960" spans="1:18" x14ac:dyDescent="0.4">
      <c r="A2960" s="1">
        <v>202650002875</v>
      </c>
      <c r="B2960" s="1">
        <v>1221055</v>
      </c>
      <c r="C2960" s="2">
        <v>46127</v>
      </c>
      <c r="D2960" t="s">
        <v>17</v>
      </c>
      <c r="E2960" t="s">
        <v>8</v>
      </c>
      <c r="G2960" t="s">
        <v>9</v>
      </c>
      <c r="L2960">
        <f t="shared" si="232"/>
        <v>0</v>
      </c>
      <c r="M2960">
        <f t="shared" si="233"/>
        <v>0</v>
      </c>
      <c r="N2960">
        <f t="shared" si="234"/>
        <v>0</v>
      </c>
      <c r="O2960">
        <f t="shared" si="236"/>
        <v>1</v>
      </c>
      <c r="P2960" t="str">
        <f t="shared" si="235"/>
        <v/>
      </c>
      <c r="Q2960">
        <f>COUNTIF('責任職　企業局→市長部局'!A:A,SQLデータ!B2960)</f>
        <v>0</v>
      </c>
      <c r="R2960">
        <f>COUNTIF('一般職員　企業局→市長部局'!A:F,SQLデータ!B2960)</f>
        <v>0</v>
      </c>
    </row>
    <row r="2961" spans="1:18" x14ac:dyDescent="0.4">
      <c r="A2961" s="1">
        <v>202650002876</v>
      </c>
      <c r="B2961" s="1">
        <v>1161028</v>
      </c>
      <c r="C2961" s="2">
        <v>46127</v>
      </c>
      <c r="D2961" t="s">
        <v>17</v>
      </c>
      <c r="E2961" t="s">
        <v>8</v>
      </c>
      <c r="G2961" t="s">
        <v>9</v>
      </c>
      <c r="L2961">
        <f t="shared" si="232"/>
        <v>0</v>
      </c>
      <c r="M2961">
        <f t="shared" si="233"/>
        <v>0</v>
      </c>
      <c r="N2961">
        <f t="shared" si="234"/>
        <v>0</v>
      </c>
      <c r="O2961">
        <f t="shared" si="236"/>
        <v>1</v>
      </c>
      <c r="P2961" t="str">
        <f t="shared" si="235"/>
        <v/>
      </c>
      <c r="Q2961">
        <f>COUNTIF('責任職　企業局→市長部局'!A:A,SQLデータ!B2961)</f>
        <v>0</v>
      </c>
      <c r="R2961">
        <f>COUNTIF('一般職員　企業局→市長部局'!A:F,SQLデータ!B2961)</f>
        <v>0</v>
      </c>
    </row>
    <row r="2962" spans="1:18" x14ac:dyDescent="0.4">
      <c r="A2962" s="1">
        <v>202650002877</v>
      </c>
      <c r="B2962" s="1">
        <v>960571</v>
      </c>
      <c r="C2962" s="2">
        <v>46127</v>
      </c>
      <c r="D2962" t="s">
        <v>17</v>
      </c>
      <c r="E2962" t="s">
        <v>8</v>
      </c>
      <c r="G2962" t="s">
        <v>9</v>
      </c>
      <c r="L2962">
        <f t="shared" si="232"/>
        <v>0</v>
      </c>
      <c r="M2962">
        <f t="shared" si="233"/>
        <v>0</v>
      </c>
      <c r="N2962">
        <f t="shared" si="234"/>
        <v>0</v>
      </c>
      <c r="O2962">
        <f t="shared" si="236"/>
        <v>1</v>
      </c>
      <c r="P2962" t="str">
        <f t="shared" si="235"/>
        <v/>
      </c>
      <c r="Q2962">
        <f>COUNTIF('責任職　企業局→市長部局'!A:A,SQLデータ!B2962)</f>
        <v>0</v>
      </c>
      <c r="R2962">
        <f>COUNTIF('一般職員　企業局→市長部局'!A:F,SQLデータ!B2962)</f>
        <v>0</v>
      </c>
    </row>
    <row r="2963" spans="1:18" x14ac:dyDescent="0.4">
      <c r="A2963" s="1">
        <v>202650002878</v>
      </c>
      <c r="B2963" s="1">
        <v>950441</v>
      </c>
      <c r="C2963" s="2">
        <v>46127</v>
      </c>
      <c r="D2963" t="s">
        <v>17</v>
      </c>
      <c r="E2963" t="s">
        <v>8</v>
      </c>
      <c r="G2963" t="s">
        <v>9</v>
      </c>
      <c r="L2963">
        <f t="shared" si="232"/>
        <v>0</v>
      </c>
      <c r="M2963">
        <f t="shared" si="233"/>
        <v>0</v>
      </c>
      <c r="N2963">
        <f t="shared" si="234"/>
        <v>0</v>
      </c>
      <c r="O2963">
        <f t="shared" si="236"/>
        <v>1</v>
      </c>
      <c r="P2963" t="str">
        <f t="shared" si="235"/>
        <v/>
      </c>
      <c r="Q2963">
        <f>COUNTIF('責任職　企業局→市長部局'!A:A,SQLデータ!B2963)</f>
        <v>0</v>
      </c>
      <c r="R2963">
        <f>COUNTIF('一般職員　企業局→市長部局'!A:F,SQLデータ!B2963)</f>
        <v>0</v>
      </c>
    </row>
    <row r="2964" spans="1:18" x14ac:dyDescent="0.4">
      <c r="A2964" s="1">
        <v>202650002879</v>
      </c>
      <c r="B2964" s="1">
        <v>1221082</v>
      </c>
      <c r="C2964" s="2">
        <v>46127</v>
      </c>
      <c r="D2964" t="s">
        <v>17</v>
      </c>
      <c r="E2964" t="s">
        <v>8</v>
      </c>
      <c r="G2964" t="s">
        <v>9</v>
      </c>
      <c r="L2964">
        <f t="shared" si="232"/>
        <v>0</v>
      </c>
      <c r="M2964">
        <f t="shared" si="233"/>
        <v>0</v>
      </c>
      <c r="N2964">
        <f t="shared" si="234"/>
        <v>0</v>
      </c>
      <c r="O2964">
        <f t="shared" si="236"/>
        <v>1</v>
      </c>
      <c r="P2964" t="str">
        <f t="shared" si="235"/>
        <v/>
      </c>
      <c r="Q2964">
        <f>COUNTIF('責任職　企業局→市長部局'!A:A,SQLデータ!B2964)</f>
        <v>0</v>
      </c>
      <c r="R2964">
        <f>COUNTIF('一般職員　企業局→市長部局'!A:F,SQLデータ!B2964)</f>
        <v>0</v>
      </c>
    </row>
    <row r="2965" spans="1:18" x14ac:dyDescent="0.4">
      <c r="A2965" s="1">
        <v>202650002880</v>
      </c>
      <c r="B2965" s="1">
        <v>930397</v>
      </c>
      <c r="C2965" s="2">
        <v>46127</v>
      </c>
      <c r="D2965" t="s">
        <v>17</v>
      </c>
      <c r="E2965" t="s">
        <v>8</v>
      </c>
      <c r="G2965" t="s">
        <v>9</v>
      </c>
      <c r="L2965">
        <f t="shared" si="232"/>
        <v>0</v>
      </c>
      <c r="M2965">
        <f t="shared" si="233"/>
        <v>0</v>
      </c>
      <c r="N2965">
        <f t="shared" si="234"/>
        <v>0</v>
      </c>
      <c r="O2965">
        <f t="shared" si="236"/>
        <v>1</v>
      </c>
      <c r="P2965" t="str">
        <f t="shared" si="235"/>
        <v/>
      </c>
      <c r="Q2965">
        <f>COUNTIF('責任職　企業局→市長部局'!A:A,SQLデータ!B2965)</f>
        <v>0</v>
      </c>
      <c r="R2965">
        <f>COUNTIF('一般職員　企業局→市長部局'!A:F,SQLデータ!B2965)</f>
        <v>0</v>
      </c>
    </row>
    <row r="2966" spans="1:18" x14ac:dyDescent="0.4">
      <c r="A2966" s="1">
        <v>202650002883</v>
      </c>
      <c r="B2966" s="1">
        <v>1221193</v>
      </c>
      <c r="C2966" s="2">
        <v>46127</v>
      </c>
      <c r="D2966" t="s">
        <v>17</v>
      </c>
      <c r="E2966" t="s">
        <v>8</v>
      </c>
      <c r="G2966" t="s">
        <v>9</v>
      </c>
      <c r="L2966">
        <f t="shared" si="232"/>
        <v>0</v>
      </c>
      <c r="M2966">
        <f t="shared" si="233"/>
        <v>0</v>
      </c>
      <c r="N2966">
        <f t="shared" si="234"/>
        <v>0</v>
      </c>
      <c r="O2966">
        <f t="shared" si="236"/>
        <v>1</v>
      </c>
      <c r="P2966" t="str">
        <f t="shared" si="235"/>
        <v/>
      </c>
      <c r="Q2966">
        <f>COUNTIF('責任職　企業局→市長部局'!A:A,SQLデータ!B2966)</f>
        <v>0</v>
      </c>
      <c r="R2966">
        <f>COUNTIF('一般職員　企業局→市長部局'!A:F,SQLデータ!B2966)</f>
        <v>0</v>
      </c>
    </row>
    <row r="2967" spans="1:18" x14ac:dyDescent="0.4">
      <c r="A2967" s="1">
        <v>202650002884</v>
      </c>
      <c r="B2967" s="1">
        <v>1143012</v>
      </c>
      <c r="C2967" s="2">
        <v>46127</v>
      </c>
      <c r="D2967" t="s">
        <v>17</v>
      </c>
      <c r="E2967" t="s">
        <v>8</v>
      </c>
      <c r="G2967" t="s">
        <v>9</v>
      </c>
      <c r="L2967">
        <f t="shared" si="232"/>
        <v>0</v>
      </c>
      <c r="M2967">
        <f t="shared" si="233"/>
        <v>0</v>
      </c>
      <c r="N2967">
        <f t="shared" si="234"/>
        <v>0</v>
      </c>
      <c r="O2967">
        <f t="shared" si="236"/>
        <v>1</v>
      </c>
      <c r="P2967" t="str">
        <f t="shared" si="235"/>
        <v/>
      </c>
      <c r="Q2967">
        <f>COUNTIF('責任職　企業局→市長部局'!A:A,SQLデータ!B2967)</f>
        <v>0</v>
      </c>
      <c r="R2967">
        <f>COUNTIF('一般職員　企業局→市長部局'!A:F,SQLデータ!B2967)</f>
        <v>0</v>
      </c>
    </row>
    <row r="2968" spans="1:18" x14ac:dyDescent="0.4">
      <c r="A2968" s="1">
        <v>202650002885</v>
      </c>
      <c r="B2968" s="1">
        <v>991222</v>
      </c>
      <c r="C2968" s="2">
        <v>46128</v>
      </c>
      <c r="D2968" t="s">
        <v>17</v>
      </c>
      <c r="E2968" t="s">
        <v>8</v>
      </c>
      <c r="G2968" t="s">
        <v>9</v>
      </c>
      <c r="L2968">
        <f t="shared" si="232"/>
        <v>0</v>
      </c>
      <c r="M2968">
        <f t="shared" si="233"/>
        <v>0</v>
      </c>
      <c r="N2968">
        <f t="shared" si="234"/>
        <v>0</v>
      </c>
      <c r="O2968">
        <f t="shared" si="236"/>
        <v>1</v>
      </c>
      <c r="P2968" t="str">
        <f t="shared" si="235"/>
        <v/>
      </c>
      <c r="Q2968">
        <f>COUNTIF('責任職　企業局→市長部局'!A:A,SQLデータ!B2968)</f>
        <v>0</v>
      </c>
      <c r="R2968">
        <f>COUNTIF('一般職員　企業局→市長部局'!A:F,SQLデータ!B2968)</f>
        <v>0</v>
      </c>
    </row>
    <row r="2969" spans="1:18" x14ac:dyDescent="0.4">
      <c r="A2969" s="1">
        <v>202650002886</v>
      </c>
      <c r="B2969" s="1">
        <v>1181397</v>
      </c>
      <c r="C2969" s="2">
        <v>46127</v>
      </c>
      <c r="D2969" t="s">
        <v>17</v>
      </c>
      <c r="E2969" t="s">
        <v>8</v>
      </c>
      <c r="G2969" t="s">
        <v>9</v>
      </c>
      <c r="L2969">
        <f t="shared" si="232"/>
        <v>0</v>
      </c>
      <c r="M2969">
        <f t="shared" si="233"/>
        <v>0</v>
      </c>
      <c r="N2969">
        <f t="shared" si="234"/>
        <v>0</v>
      </c>
      <c r="O2969">
        <f t="shared" si="236"/>
        <v>1</v>
      </c>
      <c r="P2969" t="str">
        <f t="shared" si="235"/>
        <v/>
      </c>
      <c r="Q2969">
        <f>COUNTIF('責任職　企業局→市長部局'!A:A,SQLデータ!B2969)</f>
        <v>0</v>
      </c>
      <c r="R2969">
        <f>COUNTIF('一般職員　企業局→市長部局'!A:F,SQLデータ!B2969)</f>
        <v>0</v>
      </c>
    </row>
    <row r="2970" spans="1:18" x14ac:dyDescent="0.4">
      <c r="A2970" s="1">
        <v>202650002887</v>
      </c>
      <c r="B2970" s="1">
        <v>1102151</v>
      </c>
      <c r="C2970" s="2">
        <v>46127</v>
      </c>
      <c r="D2970" t="s">
        <v>17</v>
      </c>
      <c r="E2970" t="s">
        <v>8</v>
      </c>
      <c r="G2970" t="s">
        <v>9</v>
      </c>
      <c r="L2970">
        <f t="shared" si="232"/>
        <v>0</v>
      </c>
      <c r="M2970">
        <f t="shared" si="233"/>
        <v>0</v>
      </c>
      <c r="N2970">
        <f t="shared" si="234"/>
        <v>0</v>
      </c>
      <c r="O2970">
        <f t="shared" si="236"/>
        <v>1</v>
      </c>
      <c r="P2970" t="str">
        <f t="shared" si="235"/>
        <v/>
      </c>
      <c r="Q2970">
        <f>COUNTIF('責任職　企業局→市長部局'!A:A,SQLデータ!B2970)</f>
        <v>0</v>
      </c>
      <c r="R2970">
        <f>COUNTIF('一般職員　企業局→市長部局'!A:F,SQLデータ!B2970)</f>
        <v>0</v>
      </c>
    </row>
    <row r="2971" spans="1:18" x14ac:dyDescent="0.4">
      <c r="A2971" s="1">
        <v>202650002888</v>
      </c>
      <c r="B2971" s="1">
        <v>1201510</v>
      </c>
      <c r="C2971" s="2">
        <v>46127</v>
      </c>
      <c r="D2971" t="s">
        <v>17</v>
      </c>
      <c r="E2971" t="s">
        <v>8</v>
      </c>
      <c r="G2971" t="s">
        <v>9</v>
      </c>
      <c r="L2971">
        <f t="shared" si="232"/>
        <v>0</v>
      </c>
      <c r="M2971">
        <f t="shared" si="233"/>
        <v>0</v>
      </c>
      <c r="N2971">
        <f t="shared" si="234"/>
        <v>0</v>
      </c>
      <c r="O2971">
        <f t="shared" si="236"/>
        <v>1</v>
      </c>
      <c r="P2971" t="str">
        <f t="shared" si="235"/>
        <v/>
      </c>
      <c r="Q2971">
        <f>COUNTIF('責任職　企業局→市長部局'!A:A,SQLデータ!B2971)</f>
        <v>0</v>
      </c>
      <c r="R2971">
        <f>COUNTIF('一般職員　企業局→市長部局'!A:F,SQLデータ!B2971)</f>
        <v>0</v>
      </c>
    </row>
    <row r="2972" spans="1:18" x14ac:dyDescent="0.4">
      <c r="A2972" s="1">
        <v>202650002889</v>
      </c>
      <c r="B2972" s="1">
        <v>1221263</v>
      </c>
      <c r="C2972" s="2">
        <v>46127</v>
      </c>
      <c r="D2972" t="s">
        <v>17</v>
      </c>
      <c r="E2972" t="s">
        <v>8</v>
      </c>
      <c r="G2972" t="s">
        <v>9</v>
      </c>
      <c r="L2972">
        <f t="shared" si="232"/>
        <v>0</v>
      </c>
      <c r="M2972">
        <f t="shared" si="233"/>
        <v>0</v>
      </c>
      <c r="N2972">
        <f t="shared" si="234"/>
        <v>0</v>
      </c>
      <c r="O2972">
        <f t="shared" si="236"/>
        <v>1</v>
      </c>
      <c r="P2972" t="str">
        <f t="shared" si="235"/>
        <v/>
      </c>
      <c r="Q2972">
        <f>COUNTIF('責任職　企業局→市長部局'!A:A,SQLデータ!B2972)</f>
        <v>0</v>
      </c>
      <c r="R2972">
        <f>COUNTIF('一般職員　企業局→市長部局'!A:F,SQLデータ!B2972)</f>
        <v>0</v>
      </c>
    </row>
    <row r="2973" spans="1:18" x14ac:dyDescent="0.4">
      <c r="A2973" s="1">
        <v>202650002890</v>
      </c>
      <c r="B2973" s="1">
        <v>1151024</v>
      </c>
      <c r="C2973" s="2">
        <v>46127</v>
      </c>
      <c r="D2973" t="s">
        <v>17</v>
      </c>
      <c r="E2973" t="s">
        <v>8</v>
      </c>
      <c r="G2973" t="s">
        <v>9</v>
      </c>
      <c r="L2973">
        <f t="shared" si="232"/>
        <v>0</v>
      </c>
      <c r="M2973">
        <f t="shared" si="233"/>
        <v>0</v>
      </c>
      <c r="N2973">
        <f t="shared" si="234"/>
        <v>0</v>
      </c>
      <c r="O2973">
        <f t="shared" si="236"/>
        <v>1</v>
      </c>
      <c r="P2973" t="str">
        <f t="shared" si="235"/>
        <v/>
      </c>
      <c r="Q2973">
        <f>COUNTIF('責任職　企業局→市長部局'!A:A,SQLデータ!B2973)</f>
        <v>0</v>
      </c>
      <c r="R2973">
        <f>COUNTIF('一般職員　企業局→市長部局'!A:F,SQLデータ!B2973)</f>
        <v>0</v>
      </c>
    </row>
    <row r="2974" spans="1:18" x14ac:dyDescent="0.4">
      <c r="A2974" s="1">
        <v>202650002891</v>
      </c>
      <c r="B2974" s="1">
        <v>1191365</v>
      </c>
      <c r="C2974" s="2">
        <v>46127</v>
      </c>
      <c r="D2974" t="s">
        <v>17</v>
      </c>
      <c r="E2974" t="s">
        <v>8</v>
      </c>
      <c r="G2974" t="s">
        <v>9</v>
      </c>
      <c r="L2974">
        <f t="shared" si="232"/>
        <v>0</v>
      </c>
      <c r="M2974">
        <f t="shared" si="233"/>
        <v>0</v>
      </c>
      <c r="N2974">
        <f t="shared" si="234"/>
        <v>0</v>
      </c>
      <c r="O2974">
        <f t="shared" si="236"/>
        <v>1</v>
      </c>
      <c r="P2974" t="str">
        <f t="shared" si="235"/>
        <v/>
      </c>
      <c r="Q2974">
        <f>COUNTIF('責任職　企業局→市長部局'!A:A,SQLデータ!B2974)</f>
        <v>0</v>
      </c>
      <c r="R2974">
        <f>COUNTIF('一般職員　企業局→市長部局'!A:F,SQLデータ!B2974)</f>
        <v>0</v>
      </c>
    </row>
    <row r="2975" spans="1:18" x14ac:dyDescent="0.4">
      <c r="A2975" s="1">
        <v>202650002892</v>
      </c>
      <c r="B2975" s="1">
        <v>1201050</v>
      </c>
      <c r="C2975" s="2">
        <v>46127</v>
      </c>
      <c r="D2975" t="s">
        <v>17</v>
      </c>
      <c r="E2975" t="s">
        <v>8</v>
      </c>
      <c r="G2975" t="s">
        <v>9</v>
      </c>
      <c r="L2975">
        <f t="shared" si="232"/>
        <v>0</v>
      </c>
      <c r="M2975">
        <f t="shared" si="233"/>
        <v>0</v>
      </c>
      <c r="N2975">
        <f t="shared" si="234"/>
        <v>0</v>
      </c>
      <c r="O2975">
        <f t="shared" si="236"/>
        <v>1</v>
      </c>
      <c r="P2975" t="str">
        <f t="shared" si="235"/>
        <v/>
      </c>
      <c r="Q2975">
        <f>COUNTIF('責任職　企業局→市長部局'!A:A,SQLデータ!B2975)</f>
        <v>0</v>
      </c>
      <c r="R2975">
        <f>COUNTIF('一般職員　企業局→市長部局'!A:F,SQLデータ!B2975)</f>
        <v>0</v>
      </c>
    </row>
    <row r="2976" spans="1:18" x14ac:dyDescent="0.4">
      <c r="A2976" s="1">
        <v>202650002893</v>
      </c>
      <c r="B2976" s="1">
        <v>1172185</v>
      </c>
      <c r="C2976" s="2">
        <v>46127</v>
      </c>
      <c r="D2976" t="s">
        <v>17</v>
      </c>
      <c r="E2976" t="s">
        <v>8</v>
      </c>
      <c r="G2976" t="s">
        <v>9</v>
      </c>
      <c r="L2976">
        <f t="shared" si="232"/>
        <v>0</v>
      </c>
      <c r="M2976">
        <f t="shared" si="233"/>
        <v>0</v>
      </c>
      <c r="N2976">
        <f t="shared" si="234"/>
        <v>0</v>
      </c>
      <c r="O2976">
        <f t="shared" si="236"/>
        <v>1</v>
      </c>
      <c r="P2976" t="str">
        <f t="shared" si="235"/>
        <v/>
      </c>
      <c r="Q2976">
        <f>COUNTIF('責任職　企業局→市長部局'!A:A,SQLデータ!B2976)</f>
        <v>0</v>
      </c>
      <c r="R2976">
        <f>COUNTIF('一般職員　企業局→市長部局'!A:F,SQLデータ!B2976)</f>
        <v>0</v>
      </c>
    </row>
    <row r="2977" spans="1:18" x14ac:dyDescent="0.4">
      <c r="A2977" s="1">
        <v>202650002894</v>
      </c>
      <c r="B2977" s="1">
        <v>1171018</v>
      </c>
      <c r="C2977" s="2">
        <v>46127</v>
      </c>
      <c r="D2977" t="s">
        <v>17</v>
      </c>
      <c r="E2977" t="s">
        <v>8</v>
      </c>
      <c r="G2977" t="s">
        <v>9</v>
      </c>
      <c r="L2977">
        <f t="shared" si="232"/>
        <v>0</v>
      </c>
      <c r="M2977">
        <f t="shared" si="233"/>
        <v>0</v>
      </c>
      <c r="N2977">
        <f t="shared" si="234"/>
        <v>0</v>
      </c>
      <c r="O2977">
        <f t="shared" si="236"/>
        <v>1</v>
      </c>
      <c r="P2977" t="str">
        <f t="shared" si="235"/>
        <v/>
      </c>
      <c r="Q2977">
        <f>COUNTIF('責任職　企業局→市長部局'!A:A,SQLデータ!B2977)</f>
        <v>0</v>
      </c>
      <c r="R2977">
        <f>COUNTIF('一般職員　企業局→市長部局'!A:F,SQLデータ!B2977)</f>
        <v>0</v>
      </c>
    </row>
    <row r="2978" spans="1:18" x14ac:dyDescent="0.4">
      <c r="A2978" s="1">
        <v>202650002895</v>
      </c>
      <c r="B2978" s="1">
        <v>1231020</v>
      </c>
      <c r="C2978" s="2">
        <v>46127</v>
      </c>
      <c r="D2978" t="s">
        <v>17</v>
      </c>
      <c r="E2978" t="s">
        <v>8</v>
      </c>
      <c r="G2978" t="s">
        <v>9</v>
      </c>
      <c r="L2978">
        <f t="shared" si="232"/>
        <v>0</v>
      </c>
      <c r="M2978">
        <f t="shared" si="233"/>
        <v>0</v>
      </c>
      <c r="N2978">
        <f t="shared" si="234"/>
        <v>0</v>
      </c>
      <c r="O2978">
        <f t="shared" si="236"/>
        <v>1</v>
      </c>
      <c r="P2978" t="str">
        <f t="shared" si="235"/>
        <v/>
      </c>
      <c r="Q2978">
        <f>COUNTIF('責任職　企業局→市長部局'!A:A,SQLデータ!B2978)</f>
        <v>0</v>
      </c>
      <c r="R2978">
        <f>COUNTIF('一般職員　企業局→市長部局'!A:F,SQLデータ!B2978)</f>
        <v>0</v>
      </c>
    </row>
    <row r="2979" spans="1:18" x14ac:dyDescent="0.4">
      <c r="A2979" s="1">
        <v>202650002896</v>
      </c>
      <c r="B2979" s="1">
        <v>920505</v>
      </c>
      <c r="C2979" s="2">
        <v>46127</v>
      </c>
      <c r="D2979" t="s">
        <v>17</v>
      </c>
      <c r="E2979" t="s">
        <v>8</v>
      </c>
      <c r="G2979" t="s">
        <v>9</v>
      </c>
      <c r="L2979">
        <f t="shared" si="232"/>
        <v>0</v>
      </c>
      <c r="M2979">
        <f t="shared" si="233"/>
        <v>0</v>
      </c>
      <c r="N2979">
        <f t="shared" si="234"/>
        <v>0</v>
      </c>
      <c r="O2979">
        <f t="shared" si="236"/>
        <v>1</v>
      </c>
      <c r="P2979" t="str">
        <f t="shared" si="235"/>
        <v/>
      </c>
      <c r="Q2979">
        <f>COUNTIF('責任職　企業局→市長部局'!A:A,SQLデータ!B2979)</f>
        <v>0</v>
      </c>
      <c r="R2979">
        <f>COUNTIF('一般職員　企業局→市長部局'!A:F,SQLデータ!B2979)</f>
        <v>0</v>
      </c>
    </row>
    <row r="2980" spans="1:18" x14ac:dyDescent="0.4">
      <c r="A2980" s="1">
        <v>202650002897</v>
      </c>
      <c r="B2980" s="1">
        <v>1111085</v>
      </c>
      <c r="C2980" s="2">
        <v>46127</v>
      </c>
      <c r="D2980" t="s">
        <v>17</v>
      </c>
      <c r="E2980" t="s">
        <v>8</v>
      </c>
      <c r="G2980" t="s">
        <v>9</v>
      </c>
      <c r="L2980">
        <f t="shared" si="232"/>
        <v>0</v>
      </c>
      <c r="M2980">
        <f t="shared" si="233"/>
        <v>0</v>
      </c>
      <c r="N2980">
        <f t="shared" si="234"/>
        <v>0</v>
      </c>
      <c r="O2980">
        <f t="shared" si="236"/>
        <v>1</v>
      </c>
      <c r="P2980" t="str">
        <f t="shared" si="235"/>
        <v/>
      </c>
      <c r="Q2980">
        <f>COUNTIF('責任職　企業局→市長部局'!A:A,SQLデータ!B2980)</f>
        <v>0</v>
      </c>
      <c r="R2980">
        <f>COUNTIF('一般職員　企業局→市長部局'!A:F,SQLデータ!B2980)</f>
        <v>0</v>
      </c>
    </row>
    <row r="2981" spans="1:18" x14ac:dyDescent="0.4">
      <c r="A2981" s="1">
        <v>202650002898</v>
      </c>
      <c r="B2981" s="1">
        <v>1201075</v>
      </c>
      <c r="C2981" s="2">
        <v>46127</v>
      </c>
      <c r="D2981" t="s">
        <v>17</v>
      </c>
      <c r="E2981" t="s">
        <v>8</v>
      </c>
      <c r="G2981" t="s">
        <v>9</v>
      </c>
      <c r="L2981">
        <f t="shared" si="232"/>
        <v>0</v>
      </c>
      <c r="M2981">
        <f t="shared" si="233"/>
        <v>0</v>
      </c>
      <c r="N2981">
        <f t="shared" si="234"/>
        <v>0</v>
      </c>
      <c r="O2981">
        <f t="shared" si="236"/>
        <v>1</v>
      </c>
      <c r="P2981" t="str">
        <f t="shared" si="235"/>
        <v/>
      </c>
      <c r="Q2981">
        <f>COUNTIF('責任職　企業局→市長部局'!A:A,SQLデータ!B2981)</f>
        <v>0</v>
      </c>
      <c r="R2981">
        <f>COUNTIF('一般職員　企業局→市長部局'!A:F,SQLデータ!B2981)</f>
        <v>0</v>
      </c>
    </row>
    <row r="2982" spans="1:18" x14ac:dyDescent="0.4">
      <c r="A2982" s="1">
        <v>202650002900</v>
      </c>
      <c r="B2982" s="1">
        <v>1031233</v>
      </c>
      <c r="C2982" s="2">
        <v>46127</v>
      </c>
      <c r="D2982" t="s">
        <v>17</v>
      </c>
      <c r="E2982" t="s">
        <v>8</v>
      </c>
      <c r="G2982" t="s">
        <v>9</v>
      </c>
      <c r="L2982">
        <f t="shared" si="232"/>
        <v>0</v>
      </c>
      <c r="M2982">
        <f t="shared" si="233"/>
        <v>0</v>
      </c>
      <c r="N2982">
        <f t="shared" si="234"/>
        <v>0</v>
      </c>
      <c r="O2982">
        <f t="shared" ref="O2982:O3041" si="237">IF(COUNTIF(L2982:N2982,0)=3,1,0)</f>
        <v>1</v>
      </c>
      <c r="P2982" t="str">
        <f t="shared" si="235"/>
        <v/>
      </c>
      <c r="Q2982">
        <f>COUNTIF('責任職　企業局→市長部局'!A:A,SQLデータ!B2982)</f>
        <v>0</v>
      </c>
      <c r="R2982">
        <f>COUNTIF('一般職員　企業局→市長部局'!A:F,SQLデータ!B2982)</f>
        <v>0</v>
      </c>
    </row>
    <row r="2983" spans="1:18" x14ac:dyDescent="0.4">
      <c r="A2983" s="1">
        <v>202650002901</v>
      </c>
      <c r="B2983" s="1">
        <v>1241066</v>
      </c>
      <c r="C2983" s="2">
        <v>46127</v>
      </c>
      <c r="D2983" t="s">
        <v>17</v>
      </c>
      <c r="E2983" t="s">
        <v>8</v>
      </c>
      <c r="G2983" t="s">
        <v>9</v>
      </c>
      <c r="L2983">
        <f t="shared" si="232"/>
        <v>0</v>
      </c>
      <c r="M2983">
        <f t="shared" si="233"/>
        <v>0</v>
      </c>
      <c r="N2983">
        <f t="shared" si="234"/>
        <v>0</v>
      </c>
      <c r="O2983">
        <f t="shared" si="237"/>
        <v>1</v>
      </c>
      <c r="P2983" t="str">
        <f t="shared" si="235"/>
        <v/>
      </c>
      <c r="Q2983">
        <f>COUNTIF('責任職　企業局→市長部局'!A:A,SQLデータ!B2983)</f>
        <v>0</v>
      </c>
      <c r="R2983">
        <f>COUNTIF('一般職員　企業局→市長部局'!A:F,SQLデータ!B2983)</f>
        <v>0</v>
      </c>
    </row>
    <row r="2984" spans="1:18" x14ac:dyDescent="0.4">
      <c r="A2984" s="1">
        <v>202650002902</v>
      </c>
      <c r="B2984" s="1">
        <v>880263</v>
      </c>
      <c r="C2984" s="2">
        <v>46127</v>
      </c>
      <c r="D2984" t="s">
        <v>17</v>
      </c>
      <c r="E2984" t="s">
        <v>8</v>
      </c>
      <c r="G2984" t="s">
        <v>9</v>
      </c>
      <c r="L2984">
        <f t="shared" si="232"/>
        <v>0</v>
      </c>
      <c r="M2984">
        <f t="shared" si="233"/>
        <v>0</v>
      </c>
      <c r="N2984">
        <f t="shared" si="234"/>
        <v>0</v>
      </c>
      <c r="O2984">
        <f t="shared" si="237"/>
        <v>1</v>
      </c>
      <c r="P2984" t="str">
        <f t="shared" si="235"/>
        <v/>
      </c>
      <c r="Q2984">
        <f>COUNTIF('責任職　企業局→市長部局'!A:A,SQLデータ!B2984)</f>
        <v>0</v>
      </c>
      <c r="R2984">
        <f>COUNTIF('一般職員　企業局→市長部局'!A:F,SQLデータ!B2984)</f>
        <v>0</v>
      </c>
    </row>
    <row r="2985" spans="1:18" x14ac:dyDescent="0.4">
      <c r="A2985" s="1">
        <v>202650002903</v>
      </c>
      <c r="B2985" s="1">
        <v>1161081</v>
      </c>
      <c r="C2985" s="2">
        <v>46127</v>
      </c>
      <c r="D2985" t="s">
        <v>17</v>
      </c>
      <c r="E2985" t="s">
        <v>8</v>
      </c>
      <c r="G2985" t="s">
        <v>9</v>
      </c>
      <c r="L2985">
        <f t="shared" si="232"/>
        <v>0</v>
      </c>
      <c r="M2985">
        <f t="shared" si="233"/>
        <v>0</v>
      </c>
      <c r="N2985">
        <f t="shared" si="234"/>
        <v>0</v>
      </c>
      <c r="O2985">
        <f t="shared" si="237"/>
        <v>1</v>
      </c>
      <c r="P2985" t="str">
        <f t="shared" si="235"/>
        <v/>
      </c>
      <c r="Q2985">
        <f>COUNTIF('責任職　企業局→市長部局'!A:A,SQLデータ!B2985)</f>
        <v>0</v>
      </c>
      <c r="R2985">
        <f>COUNTIF('一般職員　企業局→市長部局'!A:F,SQLデータ!B2985)</f>
        <v>0</v>
      </c>
    </row>
    <row r="2986" spans="1:18" x14ac:dyDescent="0.4">
      <c r="A2986" s="1">
        <v>202650002904</v>
      </c>
      <c r="B2986" s="1">
        <v>1201333</v>
      </c>
      <c r="C2986" s="2">
        <v>46127</v>
      </c>
      <c r="D2986" t="s">
        <v>17</v>
      </c>
      <c r="E2986" t="s">
        <v>8</v>
      </c>
      <c r="G2986" t="s">
        <v>9</v>
      </c>
      <c r="L2986">
        <f t="shared" si="232"/>
        <v>0</v>
      </c>
      <c r="M2986">
        <f t="shared" si="233"/>
        <v>0</v>
      </c>
      <c r="N2986">
        <f t="shared" si="234"/>
        <v>0</v>
      </c>
      <c r="O2986">
        <f t="shared" si="237"/>
        <v>1</v>
      </c>
      <c r="P2986" t="str">
        <f t="shared" si="235"/>
        <v/>
      </c>
      <c r="Q2986">
        <f>COUNTIF('責任職　企業局→市長部局'!A:A,SQLデータ!B2986)</f>
        <v>0</v>
      </c>
      <c r="R2986">
        <f>COUNTIF('一般職員　企業局→市長部局'!A:F,SQLデータ!B2986)</f>
        <v>0</v>
      </c>
    </row>
    <row r="2987" spans="1:18" x14ac:dyDescent="0.4">
      <c r="A2987" s="1">
        <v>202650002905</v>
      </c>
      <c r="B2987" s="1">
        <v>1231379</v>
      </c>
      <c r="C2987" s="2">
        <v>46127</v>
      </c>
      <c r="D2987" t="s">
        <v>17</v>
      </c>
      <c r="E2987" t="s">
        <v>8</v>
      </c>
      <c r="G2987" t="s">
        <v>9</v>
      </c>
      <c r="L2987">
        <f t="shared" si="232"/>
        <v>0</v>
      </c>
      <c r="M2987">
        <f t="shared" si="233"/>
        <v>0</v>
      </c>
      <c r="N2987">
        <f t="shared" si="234"/>
        <v>0</v>
      </c>
      <c r="O2987">
        <f t="shared" si="237"/>
        <v>1</v>
      </c>
      <c r="P2987" t="str">
        <f t="shared" si="235"/>
        <v/>
      </c>
      <c r="Q2987">
        <f>COUNTIF('責任職　企業局→市長部局'!A:A,SQLデータ!B2987)</f>
        <v>0</v>
      </c>
      <c r="R2987">
        <f>COUNTIF('一般職員　企業局→市長部局'!A:F,SQLデータ!B2987)</f>
        <v>0</v>
      </c>
    </row>
    <row r="2988" spans="1:18" x14ac:dyDescent="0.4">
      <c r="A2988" s="1">
        <v>202650002906</v>
      </c>
      <c r="B2988" s="1">
        <v>1211433</v>
      </c>
      <c r="C2988" s="2">
        <v>46127</v>
      </c>
      <c r="D2988" t="s">
        <v>17</v>
      </c>
      <c r="E2988" t="s">
        <v>8</v>
      </c>
      <c r="G2988" t="s">
        <v>9</v>
      </c>
      <c r="L2988">
        <f t="shared" si="232"/>
        <v>0</v>
      </c>
      <c r="M2988">
        <f t="shared" si="233"/>
        <v>0</v>
      </c>
      <c r="N2988">
        <f t="shared" si="234"/>
        <v>0</v>
      </c>
      <c r="O2988">
        <f t="shared" si="237"/>
        <v>1</v>
      </c>
      <c r="P2988" t="str">
        <f t="shared" si="235"/>
        <v/>
      </c>
      <c r="Q2988">
        <f>COUNTIF('責任職　企業局→市長部局'!A:A,SQLデータ!B2988)</f>
        <v>0</v>
      </c>
      <c r="R2988">
        <f>COUNTIF('一般職員　企業局→市長部局'!A:F,SQLデータ!B2988)</f>
        <v>0</v>
      </c>
    </row>
    <row r="2989" spans="1:18" x14ac:dyDescent="0.4">
      <c r="A2989" s="1">
        <v>202650002907</v>
      </c>
      <c r="B2989" s="1">
        <v>930481</v>
      </c>
      <c r="C2989" s="2">
        <v>46127</v>
      </c>
      <c r="D2989" t="s">
        <v>17</v>
      </c>
      <c r="E2989" t="s">
        <v>8</v>
      </c>
      <c r="G2989" t="s">
        <v>9</v>
      </c>
      <c r="L2989">
        <f t="shared" si="232"/>
        <v>0</v>
      </c>
      <c r="M2989">
        <f t="shared" si="233"/>
        <v>0</v>
      </c>
      <c r="N2989">
        <f t="shared" si="234"/>
        <v>0</v>
      </c>
      <c r="O2989">
        <f t="shared" si="237"/>
        <v>1</v>
      </c>
      <c r="P2989" t="str">
        <f t="shared" si="235"/>
        <v/>
      </c>
      <c r="Q2989">
        <f>COUNTIF('責任職　企業局→市長部局'!A:A,SQLデータ!B2989)</f>
        <v>0</v>
      </c>
      <c r="R2989">
        <f>COUNTIF('一般職員　企業局→市長部局'!A:F,SQLデータ!B2989)</f>
        <v>0</v>
      </c>
    </row>
    <row r="2990" spans="1:18" x14ac:dyDescent="0.4">
      <c r="A2990" s="1">
        <v>202650002908</v>
      </c>
      <c r="B2990" s="1">
        <v>1191370</v>
      </c>
      <c r="C2990" s="2">
        <v>46127</v>
      </c>
      <c r="D2990" t="s">
        <v>17</v>
      </c>
      <c r="E2990" t="s">
        <v>8</v>
      </c>
      <c r="G2990" t="s">
        <v>9</v>
      </c>
      <c r="L2990">
        <f t="shared" si="232"/>
        <v>0</v>
      </c>
      <c r="M2990">
        <f t="shared" si="233"/>
        <v>0</v>
      </c>
      <c r="N2990">
        <f t="shared" si="234"/>
        <v>0</v>
      </c>
      <c r="O2990">
        <f t="shared" si="237"/>
        <v>1</v>
      </c>
      <c r="P2990" t="str">
        <f t="shared" si="235"/>
        <v/>
      </c>
      <c r="Q2990">
        <f>COUNTIF('責任職　企業局→市長部局'!A:A,SQLデータ!B2990)</f>
        <v>0</v>
      </c>
      <c r="R2990">
        <f>COUNTIF('一般職員　企業局→市長部局'!A:F,SQLデータ!B2990)</f>
        <v>0</v>
      </c>
    </row>
    <row r="2991" spans="1:18" x14ac:dyDescent="0.4">
      <c r="A2991" s="1">
        <v>202650002909</v>
      </c>
      <c r="B2991" s="1">
        <v>1192042</v>
      </c>
      <c r="C2991" s="2">
        <v>46127</v>
      </c>
      <c r="D2991" t="s">
        <v>17</v>
      </c>
      <c r="E2991" t="s">
        <v>8</v>
      </c>
      <c r="G2991" t="s">
        <v>9</v>
      </c>
      <c r="L2991">
        <f t="shared" si="232"/>
        <v>0</v>
      </c>
      <c r="M2991">
        <f t="shared" si="233"/>
        <v>0</v>
      </c>
      <c r="N2991">
        <f t="shared" si="234"/>
        <v>0</v>
      </c>
      <c r="O2991">
        <f t="shared" si="237"/>
        <v>1</v>
      </c>
      <c r="P2991" t="str">
        <f t="shared" si="235"/>
        <v/>
      </c>
      <c r="Q2991">
        <f>COUNTIF('責任職　企業局→市長部局'!A:A,SQLデータ!B2991)</f>
        <v>0</v>
      </c>
      <c r="R2991">
        <f>COUNTIF('一般職員　企業局→市長部局'!A:F,SQLデータ!B2991)</f>
        <v>0</v>
      </c>
    </row>
    <row r="2992" spans="1:18" x14ac:dyDescent="0.4">
      <c r="A2992" s="1">
        <v>202650002910</v>
      </c>
      <c r="B2992" s="1">
        <v>1231285</v>
      </c>
      <c r="C2992" s="2">
        <v>46127</v>
      </c>
      <c r="D2992" t="s">
        <v>17</v>
      </c>
      <c r="E2992" t="s">
        <v>8</v>
      </c>
      <c r="G2992" t="s">
        <v>9</v>
      </c>
      <c r="L2992">
        <f t="shared" si="232"/>
        <v>0</v>
      </c>
      <c r="M2992">
        <f t="shared" si="233"/>
        <v>0</v>
      </c>
      <c r="N2992">
        <f t="shared" si="234"/>
        <v>0</v>
      </c>
      <c r="O2992">
        <f t="shared" si="237"/>
        <v>1</v>
      </c>
      <c r="P2992" t="str">
        <f t="shared" si="235"/>
        <v/>
      </c>
      <c r="Q2992">
        <f>COUNTIF('責任職　企業局→市長部局'!A:A,SQLデータ!B2992)</f>
        <v>0</v>
      </c>
      <c r="R2992">
        <f>COUNTIF('一般職員　企業局→市長部局'!A:F,SQLデータ!B2992)</f>
        <v>0</v>
      </c>
    </row>
    <row r="2993" spans="1:18" x14ac:dyDescent="0.4">
      <c r="A2993" s="1">
        <v>202650002911</v>
      </c>
      <c r="B2993" s="1">
        <v>1141202</v>
      </c>
      <c r="C2993" s="2">
        <v>46127</v>
      </c>
      <c r="D2993" t="s">
        <v>17</v>
      </c>
      <c r="E2993" t="s">
        <v>8</v>
      </c>
      <c r="G2993" t="s">
        <v>9</v>
      </c>
      <c r="L2993">
        <f t="shared" si="232"/>
        <v>0</v>
      </c>
      <c r="M2993">
        <f t="shared" si="233"/>
        <v>0</v>
      </c>
      <c r="N2993">
        <f t="shared" si="234"/>
        <v>0</v>
      </c>
      <c r="O2993">
        <f t="shared" si="237"/>
        <v>1</v>
      </c>
      <c r="P2993" t="str">
        <f t="shared" si="235"/>
        <v/>
      </c>
      <c r="Q2993">
        <f>COUNTIF('責任職　企業局→市長部局'!A:A,SQLデータ!B2993)</f>
        <v>0</v>
      </c>
      <c r="R2993">
        <f>COUNTIF('一般職員　企業局→市長部局'!A:F,SQLデータ!B2993)</f>
        <v>0</v>
      </c>
    </row>
    <row r="2994" spans="1:18" x14ac:dyDescent="0.4">
      <c r="A2994" s="1">
        <v>202650002912</v>
      </c>
      <c r="B2994" s="1">
        <v>1072062</v>
      </c>
      <c r="C2994" s="2">
        <v>46127</v>
      </c>
      <c r="D2994" t="s">
        <v>17</v>
      </c>
      <c r="E2994" t="s">
        <v>8</v>
      </c>
      <c r="G2994" t="s">
        <v>9</v>
      </c>
      <c r="L2994">
        <f t="shared" si="232"/>
        <v>0</v>
      </c>
      <c r="M2994">
        <f t="shared" si="233"/>
        <v>0</v>
      </c>
      <c r="N2994">
        <f t="shared" si="234"/>
        <v>0</v>
      </c>
      <c r="O2994">
        <f t="shared" si="237"/>
        <v>1</v>
      </c>
      <c r="P2994" t="str">
        <f t="shared" si="235"/>
        <v/>
      </c>
      <c r="Q2994">
        <f>COUNTIF('責任職　企業局→市長部局'!A:A,SQLデータ!B2994)</f>
        <v>0</v>
      </c>
      <c r="R2994">
        <f>COUNTIF('一般職員　企業局→市長部局'!A:F,SQLデータ!B2994)</f>
        <v>0</v>
      </c>
    </row>
    <row r="2995" spans="1:18" x14ac:dyDescent="0.4">
      <c r="A2995" s="1">
        <v>202650002913</v>
      </c>
      <c r="B2995" s="1">
        <v>1221225</v>
      </c>
      <c r="C2995" s="2">
        <v>46127</v>
      </c>
      <c r="D2995" t="s">
        <v>17</v>
      </c>
      <c r="E2995" t="s">
        <v>8</v>
      </c>
      <c r="G2995" t="s">
        <v>9</v>
      </c>
      <c r="L2995">
        <f t="shared" si="232"/>
        <v>0</v>
      </c>
      <c r="M2995">
        <f t="shared" si="233"/>
        <v>0</v>
      </c>
      <c r="N2995">
        <f t="shared" si="234"/>
        <v>0</v>
      </c>
      <c r="O2995">
        <f t="shared" si="237"/>
        <v>1</v>
      </c>
      <c r="P2995" t="str">
        <f t="shared" si="235"/>
        <v/>
      </c>
      <c r="Q2995">
        <f>COUNTIF('責任職　企業局→市長部局'!A:A,SQLデータ!B2995)</f>
        <v>0</v>
      </c>
      <c r="R2995">
        <f>COUNTIF('一般職員　企業局→市長部局'!A:F,SQLデータ!B2995)</f>
        <v>0</v>
      </c>
    </row>
    <row r="2996" spans="1:18" x14ac:dyDescent="0.4">
      <c r="A2996" s="1">
        <v>202650002914</v>
      </c>
      <c r="B2996" s="1">
        <v>1200006</v>
      </c>
      <c r="C2996" s="2">
        <v>46127</v>
      </c>
      <c r="D2996" t="s">
        <v>17</v>
      </c>
      <c r="E2996" t="s">
        <v>8</v>
      </c>
      <c r="G2996" t="s">
        <v>9</v>
      </c>
      <c r="L2996">
        <f t="shared" si="232"/>
        <v>0</v>
      </c>
      <c r="M2996">
        <f t="shared" si="233"/>
        <v>0</v>
      </c>
      <c r="N2996">
        <f t="shared" si="234"/>
        <v>0</v>
      </c>
      <c r="O2996">
        <f t="shared" si="237"/>
        <v>1</v>
      </c>
      <c r="P2996" t="str">
        <f t="shared" si="235"/>
        <v/>
      </c>
      <c r="Q2996">
        <f>COUNTIF('責任職　企業局→市長部局'!A:A,SQLデータ!B2996)</f>
        <v>0</v>
      </c>
      <c r="R2996">
        <f>COUNTIF('一般職員　企業局→市長部局'!A:F,SQLデータ!B2996)</f>
        <v>0</v>
      </c>
    </row>
    <row r="2997" spans="1:18" x14ac:dyDescent="0.4">
      <c r="A2997" s="1">
        <v>202650002915</v>
      </c>
      <c r="B2997" s="1">
        <v>930567</v>
      </c>
      <c r="C2997" s="2">
        <v>46127</v>
      </c>
      <c r="D2997" t="s">
        <v>17</v>
      </c>
      <c r="E2997" t="s">
        <v>8</v>
      </c>
      <c r="G2997" t="s">
        <v>9</v>
      </c>
      <c r="L2997">
        <f t="shared" si="232"/>
        <v>0</v>
      </c>
      <c r="M2997">
        <f t="shared" si="233"/>
        <v>0</v>
      </c>
      <c r="N2997">
        <f t="shared" si="234"/>
        <v>0</v>
      </c>
      <c r="O2997">
        <f t="shared" si="237"/>
        <v>1</v>
      </c>
      <c r="P2997" t="str">
        <f t="shared" si="235"/>
        <v/>
      </c>
      <c r="Q2997">
        <f>COUNTIF('責任職　企業局→市長部局'!A:A,SQLデータ!B2997)</f>
        <v>0</v>
      </c>
      <c r="R2997">
        <f>COUNTIF('一般職員　企業局→市長部局'!A:F,SQLデータ!B2997)</f>
        <v>0</v>
      </c>
    </row>
    <row r="2998" spans="1:18" x14ac:dyDescent="0.4">
      <c r="A2998" s="1">
        <v>202650002916</v>
      </c>
      <c r="B2998" s="1">
        <v>1171003</v>
      </c>
      <c r="C2998" s="2">
        <v>46127</v>
      </c>
      <c r="D2998" t="s">
        <v>17</v>
      </c>
      <c r="E2998" t="s">
        <v>8</v>
      </c>
      <c r="G2998" t="s">
        <v>9</v>
      </c>
      <c r="L2998">
        <f t="shared" si="232"/>
        <v>0</v>
      </c>
      <c r="M2998">
        <f t="shared" si="233"/>
        <v>0</v>
      </c>
      <c r="N2998">
        <f t="shared" si="234"/>
        <v>0</v>
      </c>
      <c r="O2998">
        <f t="shared" si="237"/>
        <v>1</v>
      </c>
      <c r="P2998" t="str">
        <f t="shared" si="235"/>
        <v/>
      </c>
      <c r="Q2998">
        <f>COUNTIF('責任職　企業局→市長部局'!A:A,SQLデータ!B2998)</f>
        <v>0</v>
      </c>
      <c r="R2998">
        <f>COUNTIF('一般職員　企業局→市長部局'!A:F,SQLデータ!B2998)</f>
        <v>0</v>
      </c>
    </row>
    <row r="2999" spans="1:18" x14ac:dyDescent="0.4">
      <c r="A2999" s="1">
        <v>202650002917</v>
      </c>
      <c r="B2999" s="1">
        <v>1242134</v>
      </c>
      <c r="C2999" s="2">
        <v>46127</v>
      </c>
      <c r="D2999" t="s">
        <v>17</v>
      </c>
      <c r="E2999" t="s">
        <v>8</v>
      </c>
      <c r="G2999" t="s">
        <v>9</v>
      </c>
      <c r="L2999">
        <f t="shared" si="232"/>
        <v>0</v>
      </c>
      <c r="M2999">
        <f t="shared" si="233"/>
        <v>0</v>
      </c>
      <c r="N2999">
        <f t="shared" si="234"/>
        <v>0</v>
      </c>
      <c r="O2999">
        <f t="shared" si="237"/>
        <v>1</v>
      </c>
      <c r="P2999" t="str">
        <f t="shared" si="235"/>
        <v/>
      </c>
      <c r="Q2999">
        <f>COUNTIF('責任職　企業局→市長部局'!A:A,SQLデータ!B2999)</f>
        <v>0</v>
      </c>
      <c r="R2999">
        <f>COUNTIF('一般職員　企業局→市長部局'!A:F,SQLデータ!B2999)</f>
        <v>0</v>
      </c>
    </row>
    <row r="3000" spans="1:18" x14ac:dyDescent="0.4">
      <c r="A3000" s="1">
        <v>202650002918</v>
      </c>
      <c r="B3000" s="1">
        <v>1171129</v>
      </c>
      <c r="C3000" s="2">
        <v>46127</v>
      </c>
      <c r="D3000" t="s">
        <v>17</v>
      </c>
      <c r="E3000" t="s">
        <v>8</v>
      </c>
      <c r="G3000" t="s">
        <v>9</v>
      </c>
      <c r="L3000">
        <f t="shared" si="232"/>
        <v>0</v>
      </c>
      <c r="M3000">
        <f t="shared" si="233"/>
        <v>0</v>
      </c>
      <c r="N3000">
        <f t="shared" si="234"/>
        <v>0</v>
      </c>
      <c r="O3000">
        <f t="shared" si="237"/>
        <v>1</v>
      </c>
      <c r="P3000" t="str">
        <f t="shared" si="235"/>
        <v/>
      </c>
      <c r="Q3000">
        <f>COUNTIF('責任職　企業局→市長部局'!A:A,SQLデータ!B3000)</f>
        <v>0</v>
      </c>
      <c r="R3000">
        <f>COUNTIF('一般職員　企業局→市長部局'!A:F,SQLデータ!B3000)</f>
        <v>0</v>
      </c>
    </row>
    <row r="3001" spans="1:18" x14ac:dyDescent="0.4">
      <c r="A3001" s="1">
        <v>202650002919</v>
      </c>
      <c r="B3001" s="1">
        <v>1231223</v>
      </c>
      <c r="C3001" s="2">
        <v>46127</v>
      </c>
      <c r="D3001" t="s">
        <v>17</v>
      </c>
      <c r="E3001" t="s">
        <v>8</v>
      </c>
      <c r="G3001" t="s">
        <v>9</v>
      </c>
      <c r="L3001">
        <f t="shared" si="232"/>
        <v>0</v>
      </c>
      <c r="M3001">
        <f t="shared" si="233"/>
        <v>0</v>
      </c>
      <c r="N3001">
        <f t="shared" si="234"/>
        <v>0</v>
      </c>
      <c r="O3001">
        <f t="shared" si="237"/>
        <v>1</v>
      </c>
      <c r="P3001" t="str">
        <f t="shared" si="235"/>
        <v/>
      </c>
      <c r="Q3001">
        <f>COUNTIF('責任職　企業局→市長部局'!A:A,SQLデータ!B3001)</f>
        <v>0</v>
      </c>
      <c r="R3001">
        <f>COUNTIF('一般職員　企業局→市長部局'!A:F,SQLデータ!B3001)</f>
        <v>0</v>
      </c>
    </row>
    <row r="3002" spans="1:18" x14ac:dyDescent="0.4">
      <c r="A3002" s="1">
        <v>202650002920</v>
      </c>
      <c r="B3002" s="1">
        <v>1171061</v>
      </c>
      <c r="C3002" s="2">
        <v>46127</v>
      </c>
      <c r="D3002" t="s">
        <v>17</v>
      </c>
      <c r="E3002" t="s">
        <v>8</v>
      </c>
      <c r="G3002" t="s">
        <v>9</v>
      </c>
      <c r="L3002">
        <f t="shared" si="232"/>
        <v>0</v>
      </c>
      <c r="M3002">
        <f t="shared" si="233"/>
        <v>0</v>
      </c>
      <c r="N3002">
        <f t="shared" si="234"/>
        <v>0</v>
      </c>
      <c r="O3002">
        <f t="shared" si="237"/>
        <v>1</v>
      </c>
      <c r="P3002" t="str">
        <f t="shared" si="235"/>
        <v/>
      </c>
      <c r="Q3002">
        <f>COUNTIF('責任職　企業局→市長部局'!A:A,SQLデータ!B3002)</f>
        <v>0</v>
      </c>
      <c r="R3002">
        <f>COUNTIF('一般職員　企業局→市長部局'!A:F,SQLデータ!B3002)</f>
        <v>0</v>
      </c>
    </row>
    <row r="3003" spans="1:18" x14ac:dyDescent="0.4">
      <c r="A3003" s="1">
        <v>202650002921</v>
      </c>
      <c r="B3003" s="1">
        <v>1191335</v>
      </c>
      <c r="C3003" s="2">
        <v>46127</v>
      </c>
      <c r="D3003" t="s">
        <v>17</v>
      </c>
      <c r="E3003" t="s">
        <v>8</v>
      </c>
      <c r="G3003" t="s">
        <v>9</v>
      </c>
      <c r="L3003">
        <f t="shared" si="232"/>
        <v>0</v>
      </c>
      <c r="M3003">
        <f t="shared" si="233"/>
        <v>0</v>
      </c>
      <c r="N3003">
        <f t="shared" si="234"/>
        <v>0</v>
      </c>
      <c r="O3003">
        <f t="shared" si="237"/>
        <v>1</v>
      </c>
      <c r="P3003" t="str">
        <f t="shared" si="235"/>
        <v/>
      </c>
      <c r="Q3003">
        <f>COUNTIF('責任職　企業局→市長部局'!A:A,SQLデータ!B3003)</f>
        <v>0</v>
      </c>
      <c r="R3003">
        <f>COUNTIF('一般職員　企業局→市長部局'!A:F,SQLデータ!B3003)</f>
        <v>0</v>
      </c>
    </row>
    <row r="3004" spans="1:18" x14ac:dyDescent="0.4">
      <c r="A3004" s="1">
        <v>202650002922</v>
      </c>
      <c r="B3004" s="1">
        <v>1201012</v>
      </c>
      <c r="C3004" s="2">
        <v>46127</v>
      </c>
      <c r="D3004" t="s">
        <v>17</v>
      </c>
      <c r="E3004" t="s">
        <v>8</v>
      </c>
      <c r="G3004" t="s">
        <v>9</v>
      </c>
      <c r="L3004">
        <f t="shared" si="232"/>
        <v>0</v>
      </c>
      <c r="M3004">
        <f t="shared" si="233"/>
        <v>0</v>
      </c>
      <c r="N3004">
        <f t="shared" si="234"/>
        <v>0</v>
      </c>
      <c r="O3004">
        <f t="shared" si="237"/>
        <v>1</v>
      </c>
      <c r="P3004" t="str">
        <f t="shared" si="235"/>
        <v/>
      </c>
      <c r="Q3004">
        <f>COUNTIF('責任職　企業局→市長部局'!A:A,SQLデータ!B3004)</f>
        <v>0</v>
      </c>
      <c r="R3004">
        <f>COUNTIF('一般職員　企業局→市長部局'!A:F,SQLデータ!B3004)</f>
        <v>0</v>
      </c>
    </row>
    <row r="3005" spans="1:18" x14ac:dyDescent="0.4">
      <c r="A3005" s="1">
        <v>202650002924</v>
      </c>
      <c r="B3005" s="1">
        <v>1103017</v>
      </c>
      <c r="C3005" s="2">
        <v>46127</v>
      </c>
      <c r="D3005" t="s">
        <v>17</v>
      </c>
      <c r="E3005" t="s">
        <v>8</v>
      </c>
      <c r="G3005" t="s">
        <v>9</v>
      </c>
      <c r="L3005">
        <f t="shared" si="232"/>
        <v>0</v>
      </c>
      <c r="M3005">
        <f t="shared" si="233"/>
        <v>0</v>
      </c>
      <c r="N3005">
        <f t="shared" si="234"/>
        <v>0</v>
      </c>
      <c r="O3005">
        <f t="shared" si="237"/>
        <v>1</v>
      </c>
      <c r="P3005" t="str">
        <f t="shared" si="235"/>
        <v/>
      </c>
      <c r="Q3005">
        <f>COUNTIF('責任職　企業局→市長部局'!A:A,SQLデータ!B3005)</f>
        <v>0</v>
      </c>
      <c r="R3005">
        <f>COUNTIF('一般職員　企業局→市長部局'!A:F,SQLデータ!B3005)</f>
        <v>0</v>
      </c>
    </row>
    <row r="3006" spans="1:18" x14ac:dyDescent="0.4">
      <c r="A3006" s="1">
        <v>202650002925</v>
      </c>
      <c r="B3006" s="1">
        <v>1181360</v>
      </c>
      <c r="C3006" s="2">
        <v>46127</v>
      </c>
      <c r="D3006" t="s">
        <v>17</v>
      </c>
      <c r="E3006" t="s">
        <v>8</v>
      </c>
      <c r="G3006" t="s">
        <v>9</v>
      </c>
      <c r="L3006">
        <f t="shared" si="232"/>
        <v>0</v>
      </c>
      <c r="M3006">
        <f t="shared" si="233"/>
        <v>0</v>
      </c>
      <c r="N3006">
        <f t="shared" si="234"/>
        <v>0</v>
      </c>
      <c r="O3006">
        <f t="shared" si="237"/>
        <v>1</v>
      </c>
      <c r="P3006" t="str">
        <f t="shared" si="235"/>
        <v/>
      </c>
      <c r="Q3006">
        <f>COUNTIF('責任職　企業局→市長部局'!A:A,SQLデータ!B3006)</f>
        <v>0</v>
      </c>
      <c r="R3006">
        <f>COUNTIF('一般職員　企業局→市長部局'!A:F,SQLデータ!B3006)</f>
        <v>0</v>
      </c>
    </row>
    <row r="3007" spans="1:18" x14ac:dyDescent="0.4">
      <c r="A3007" s="1">
        <v>202650002926</v>
      </c>
      <c r="B3007" s="1">
        <v>1222035</v>
      </c>
      <c r="C3007" s="2">
        <v>46127</v>
      </c>
      <c r="D3007" t="s">
        <v>17</v>
      </c>
      <c r="E3007" t="s">
        <v>8</v>
      </c>
      <c r="G3007" t="s">
        <v>9</v>
      </c>
      <c r="L3007">
        <f t="shared" si="232"/>
        <v>0</v>
      </c>
      <c r="M3007">
        <f t="shared" si="233"/>
        <v>0</v>
      </c>
      <c r="N3007">
        <f t="shared" si="234"/>
        <v>0</v>
      </c>
      <c r="O3007">
        <f t="shared" si="237"/>
        <v>1</v>
      </c>
      <c r="P3007" t="str">
        <f t="shared" si="235"/>
        <v/>
      </c>
      <c r="Q3007">
        <f>COUNTIF('責任職　企業局→市長部局'!A:A,SQLデータ!B3007)</f>
        <v>0</v>
      </c>
      <c r="R3007">
        <f>COUNTIF('一般職員　企業局→市長部局'!A:F,SQLデータ!B3007)</f>
        <v>0</v>
      </c>
    </row>
    <row r="3008" spans="1:18" x14ac:dyDescent="0.4">
      <c r="A3008" s="1">
        <v>202650002927</v>
      </c>
      <c r="B3008" s="1">
        <v>930444</v>
      </c>
      <c r="C3008" s="2">
        <v>46127</v>
      </c>
      <c r="D3008" t="s">
        <v>17</v>
      </c>
      <c r="E3008" t="s">
        <v>8</v>
      </c>
      <c r="G3008" t="s">
        <v>9</v>
      </c>
      <c r="L3008">
        <f t="shared" si="232"/>
        <v>0</v>
      </c>
      <c r="M3008">
        <f t="shared" si="233"/>
        <v>0</v>
      </c>
      <c r="N3008">
        <f t="shared" si="234"/>
        <v>0</v>
      </c>
      <c r="O3008">
        <f t="shared" si="237"/>
        <v>1</v>
      </c>
      <c r="P3008" t="str">
        <f t="shared" si="235"/>
        <v/>
      </c>
      <c r="Q3008">
        <f>COUNTIF('責任職　企業局→市長部局'!A:A,SQLデータ!B3008)</f>
        <v>0</v>
      </c>
      <c r="R3008">
        <f>COUNTIF('一般職員　企業局→市長部局'!A:F,SQLデータ!B3008)</f>
        <v>0</v>
      </c>
    </row>
    <row r="3009" spans="1:18" x14ac:dyDescent="0.4">
      <c r="A3009" s="1">
        <v>202650002928</v>
      </c>
      <c r="B3009" s="1">
        <v>1122081</v>
      </c>
      <c r="C3009" s="2">
        <v>46127</v>
      </c>
      <c r="D3009" t="s">
        <v>17</v>
      </c>
      <c r="E3009" t="s">
        <v>8</v>
      </c>
      <c r="G3009" t="s">
        <v>9</v>
      </c>
      <c r="L3009">
        <f t="shared" si="232"/>
        <v>0</v>
      </c>
      <c r="M3009">
        <f t="shared" si="233"/>
        <v>0</v>
      </c>
      <c r="N3009">
        <f t="shared" si="234"/>
        <v>0</v>
      </c>
      <c r="O3009">
        <f t="shared" si="237"/>
        <v>1</v>
      </c>
      <c r="P3009" t="str">
        <f t="shared" si="235"/>
        <v/>
      </c>
      <c r="Q3009">
        <f>COUNTIF('責任職　企業局→市長部局'!A:A,SQLデータ!B3009)</f>
        <v>0</v>
      </c>
      <c r="R3009">
        <f>COUNTIF('一般職員　企業局→市長部局'!A:F,SQLデータ!B3009)</f>
        <v>0</v>
      </c>
    </row>
    <row r="3010" spans="1:18" x14ac:dyDescent="0.4">
      <c r="A3010" s="1">
        <v>202650002929</v>
      </c>
      <c r="B3010" s="1">
        <v>1031283</v>
      </c>
      <c r="C3010" s="2">
        <v>46127</v>
      </c>
      <c r="D3010" t="s">
        <v>17</v>
      </c>
      <c r="E3010" t="s">
        <v>8</v>
      </c>
      <c r="G3010" t="s">
        <v>9</v>
      </c>
      <c r="L3010">
        <f t="shared" ref="L3010:L3041" si="238">IF(ISBLANK(J3010),0,1)</f>
        <v>0</v>
      </c>
      <c r="M3010">
        <f t="shared" ref="M3010:M3041" si="239">IF(AND(L3010=0,I3010&lt;&gt;""),1,0)</f>
        <v>0</v>
      </c>
      <c r="N3010">
        <f t="shared" ref="N3010:N3041" si="240">IF(AND(L3010=0,M3010=0,K3010&lt;&gt;""),1,0)</f>
        <v>0</v>
      </c>
      <c r="O3010">
        <f t="shared" si="237"/>
        <v>1</v>
      </c>
      <c r="P3010" t="str">
        <f t="shared" ref="P3010:P3041" si="241">IF(D3010&lt;&gt;"扶養","",IF(E3010&lt;&gt;"確認待ち",1,IF(OR(AND(G3010="本人の結婚",O3010=1),AND(H3010="減",OR(N3010=1,O3010=1))),1,0)))</f>
        <v/>
      </c>
      <c r="Q3010">
        <f>COUNTIF('責任職　企業局→市長部局'!A:A,SQLデータ!B3010)</f>
        <v>0</v>
      </c>
      <c r="R3010">
        <f>COUNTIF('一般職員　企業局→市長部局'!A:F,SQLデータ!B3010)</f>
        <v>0</v>
      </c>
    </row>
    <row r="3011" spans="1:18" x14ac:dyDescent="0.4">
      <c r="A3011" s="1">
        <v>202650002930</v>
      </c>
      <c r="B3011" s="1">
        <v>1081400</v>
      </c>
      <c r="C3011" s="2">
        <v>46127</v>
      </c>
      <c r="D3011" t="s">
        <v>17</v>
      </c>
      <c r="E3011" t="s">
        <v>8</v>
      </c>
      <c r="G3011" t="s">
        <v>9</v>
      </c>
      <c r="L3011">
        <f t="shared" si="238"/>
        <v>0</v>
      </c>
      <c r="M3011">
        <f t="shared" si="239"/>
        <v>0</v>
      </c>
      <c r="N3011">
        <f t="shared" si="240"/>
        <v>0</v>
      </c>
      <c r="O3011">
        <f t="shared" si="237"/>
        <v>1</v>
      </c>
      <c r="P3011" t="str">
        <f t="shared" si="241"/>
        <v/>
      </c>
      <c r="Q3011">
        <f>COUNTIF('責任職　企業局→市長部局'!A:A,SQLデータ!B3011)</f>
        <v>0</v>
      </c>
      <c r="R3011">
        <f>COUNTIF('一般職員　企業局→市長部局'!A:F,SQLデータ!B3011)</f>
        <v>0</v>
      </c>
    </row>
    <row r="3012" spans="1:18" x14ac:dyDescent="0.4">
      <c r="A3012" s="1">
        <v>202650002931</v>
      </c>
      <c r="B3012" s="1">
        <v>1231113</v>
      </c>
      <c r="C3012" s="2">
        <v>46127</v>
      </c>
      <c r="D3012" t="s">
        <v>17</v>
      </c>
      <c r="E3012" t="s">
        <v>8</v>
      </c>
      <c r="G3012" t="s">
        <v>9</v>
      </c>
      <c r="L3012">
        <f t="shared" si="238"/>
        <v>0</v>
      </c>
      <c r="M3012">
        <f t="shared" si="239"/>
        <v>0</v>
      </c>
      <c r="N3012">
        <f t="shared" si="240"/>
        <v>0</v>
      </c>
      <c r="O3012">
        <f t="shared" si="237"/>
        <v>1</v>
      </c>
      <c r="P3012" t="str">
        <f t="shared" si="241"/>
        <v/>
      </c>
      <c r="Q3012">
        <f>COUNTIF('責任職　企業局→市長部局'!A:A,SQLデータ!B3012)</f>
        <v>0</v>
      </c>
      <c r="R3012">
        <f>COUNTIF('一般職員　企業局→市長部局'!A:F,SQLデータ!B3012)</f>
        <v>0</v>
      </c>
    </row>
    <row r="3013" spans="1:18" x14ac:dyDescent="0.4">
      <c r="A3013" s="1">
        <v>202650002932</v>
      </c>
      <c r="B3013" s="1">
        <v>1221438</v>
      </c>
      <c r="C3013" s="2">
        <v>46127</v>
      </c>
      <c r="D3013" t="s">
        <v>17</v>
      </c>
      <c r="E3013" t="s">
        <v>8</v>
      </c>
      <c r="G3013" t="s">
        <v>9</v>
      </c>
      <c r="L3013">
        <f t="shared" si="238"/>
        <v>0</v>
      </c>
      <c r="M3013">
        <f t="shared" si="239"/>
        <v>0</v>
      </c>
      <c r="N3013">
        <f t="shared" si="240"/>
        <v>0</v>
      </c>
      <c r="O3013">
        <f t="shared" si="237"/>
        <v>1</v>
      </c>
      <c r="P3013" t="str">
        <f t="shared" si="241"/>
        <v/>
      </c>
      <c r="Q3013">
        <f>COUNTIF('責任職　企業局→市長部局'!A:A,SQLデータ!B3013)</f>
        <v>0</v>
      </c>
      <c r="R3013">
        <f>COUNTIF('一般職員　企業局→市長部局'!A:F,SQLデータ!B3013)</f>
        <v>0</v>
      </c>
    </row>
    <row r="3014" spans="1:18" x14ac:dyDescent="0.4">
      <c r="A3014" s="1">
        <v>202650002933</v>
      </c>
      <c r="B3014" s="1">
        <v>1231199</v>
      </c>
      <c r="C3014" s="2">
        <v>46127</v>
      </c>
      <c r="D3014" t="s">
        <v>17</v>
      </c>
      <c r="E3014" t="s">
        <v>8</v>
      </c>
      <c r="G3014" t="s">
        <v>9</v>
      </c>
      <c r="L3014">
        <f t="shared" si="238"/>
        <v>0</v>
      </c>
      <c r="M3014">
        <f t="shared" si="239"/>
        <v>0</v>
      </c>
      <c r="N3014">
        <f t="shared" si="240"/>
        <v>0</v>
      </c>
      <c r="O3014">
        <f t="shared" si="237"/>
        <v>1</v>
      </c>
      <c r="P3014" t="str">
        <f t="shared" si="241"/>
        <v/>
      </c>
      <c r="Q3014">
        <f>COUNTIF('責任職　企業局→市長部局'!A:A,SQLデータ!B3014)</f>
        <v>0</v>
      </c>
      <c r="R3014">
        <f>COUNTIF('一般職員　企業局→市長部局'!A:F,SQLデータ!B3014)</f>
        <v>0</v>
      </c>
    </row>
    <row r="3015" spans="1:18" x14ac:dyDescent="0.4">
      <c r="A3015" s="1">
        <v>202650002934</v>
      </c>
      <c r="B3015" s="1">
        <v>1061150</v>
      </c>
      <c r="C3015" s="2">
        <v>46127</v>
      </c>
      <c r="D3015" t="s">
        <v>17</v>
      </c>
      <c r="E3015" t="s">
        <v>8</v>
      </c>
      <c r="G3015" t="s">
        <v>9</v>
      </c>
      <c r="L3015">
        <f t="shared" si="238"/>
        <v>0</v>
      </c>
      <c r="M3015">
        <f t="shared" si="239"/>
        <v>0</v>
      </c>
      <c r="N3015">
        <f t="shared" si="240"/>
        <v>0</v>
      </c>
      <c r="O3015">
        <f t="shared" si="237"/>
        <v>1</v>
      </c>
      <c r="P3015" t="str">
        <f t="shared" si="241"/>
        <v/>
      </c>
      <c r="Q3015">
        <f>COUNTIF('責任職　企業局→市長部局'!A:A,SQLデータ!B3015)</f>
        <v>0</v>
      </c>
      <c r="R3015">
        <f>COUNTIF('一般職員　企業局→市長部局'!A:F,SQLデータ!B3015)</f>
        <v>0</v>
      </c>
    </row>
    <row r="3016" spans="1:18" x14ac:dyDescent="0.4">
      <c r="A3016" s="1">
        <v>202650002935</v>
      </c>
      <c r="B3016" s="1">
        <v>1113025</v>
      </c>
      <c r="C3016" s="2">
        <v>46127</v>
      </c>
      <c r="D3016" t="s">
        <v>17</v>
      </c>
      <c r="E3016" t="s">
        <v>8</v>
      </c>
      <c r="G3016" t="s">
        <v>9</v>
      </c>
      <c r="L3016">
        <f t="shared" si="238"/>
        <v>0</v>
      </c>
      <c r="M3016">
        <f t="shared" si="239"/>
        <v>0</v>
      </c>
      <c r="N3016">
        <f t="shared" si="240"/>
        <v>0</v>
      </c>
      <c r="O3016">
        <f t="shared" si="237"/>
        <v>1</v>
      </c>
      <c r="P3016" t="str">
        <f t="shared" si="241"/>
        <v/>
      </c>
      <c r="Q3016">
        <f>COUNTIF('責任職　企業局→市長部局'!A:A,SQLデータ!B3016)</f>
        <v>0</v>
      </c>
      <c r="R3016">
        <f>COUNTIF('一般職員　企業局→市長部局'!A:F,SQLデータ!B3016)</f>
        <v>0</v>
      </c>
    </row>
    <row r="3017" spans="1:18" x14ac:dyDescent="0.4">
      <c r="A3017" s="1">
        <v>202650002936</v>
      </c>
      <c r="B3017" s="1">
        <v>1151497</v>
      </c>
      <c r="C3017" s="2">
        <v>46127</v>
      </c>
      <c r="D3017" t="s">
        <v>17</v>
      </c>
      <c r="E3017" t="s">
        <v>8</v>
      </c>
      <c r="G3017" t="s">
        <v>9</v>
      </c>
      <c r="L3017">
        <f t="shared" si="238"/>
        <v>0</v>
      </c>
      <c r="M3017">
        <f t="shared" si="239"/>
        <v>0</v>
      </c>
      <c r="N3017">
        <f t="shared" si="240"/>
        <v>0</v>
      </c>
      <c r="O3017">
        <f t="shared" si="237"/>
        <v>1</v>
      </c>
      <c r="P3017" t="str">
        <f t="shared" si="241"/>
        <v/>
      </c>
      <c r="Q3017">
        <f>COUNTIF('責任職　企業局→市長部局'!A:A,SQLデータ!B3017)</f>
        <v>0</v>
      </c>
      <c r="R3017">
        <f>COUNTIF('一般職員　企業局→市長部局'!A:F,SQLデータ!B3017)</f>
        <v>0</v>
      </c>
    </row>
    <row r="3018" spans="1:18" x14ac:dyDescent="0.4">
      <c r="A3018" s="1">
        <v>202650002937</v>
      </c>
      <c r="B3018" s="1">
        <v>1092066</v>
      </c>
      <c r="C3018" s="2">
        <v>46127</v>
      </c>
      <c r="D3018" t="s">
        <v>17</v>
      </c>
      <c r="E3018" t="s">
        <v>8</v>
      </c>
      <c r="G3018" t="s">
        <v>9</v>
      </c>
      <c r="L3018">
        <f t="shared" si="238"/>
        <v>0</v>
      </c>
      <c r="M3018">
        <f t="shared" si="239"/>
        <v>0</v>
      </c>
      <c r="N3018">
        <f t="shared" si="240"/>
        <v>0</v>
      </c>
      <c r="O3018">
        <f t="shared" si="237"/>
        <v>1</v>
      </c>
      <c r="P3018" t="str">
        <f t="shared" si="241"/>
        <v/>
      </c>
      <c r="Q3018">
        <f>COUNTIF('責任職　企業局→市長部局'!A:A,SQLデータ!B3018)</f>
        <v>0</v>
      </c>
      <c r="R3018">
        <f>COUNTIF('一般職員　企業局→市長部局'!A:F,SQLデータ!B3018)</f>
        <v>0</v>
      </c>
    </row>
    <row r="3019" spans="1:18" x14ac:dyDescent="0.4">
      <c r="A3019" s="1">
        <v>202650002938</v>
      </c>
      <c r="B3019" s="1">
        <v>1103002</v>
      </c>
      <c r="C3019" s="2">
        <v>46127</v>
      </c>
      <c r="D3019" t="s">
        <v>17</v>
      </c>
      <c r="E3019" t="s">
        <v>8</v>
      </c>
      <c r="G3019" t="s">
        <v>9</v>
      </c>
      <c r="L3019">
        <f t="shared" si="238"/>
        <v>0</v>
      </c>
      <c r="M3019">
        <f t="shared" si="239"/>
        <v>0</v>
      </c>
      <c r="N3019">
        <f t="shared" si="240"/>
        <v>0</v>
      </c>
      <c r="O3019">
        <f t="shared" si="237"/>
        <v>1</v>
      </c>
      <c r="P3019" t="str">
        <f t="shared" si="241"/>
        <v/>
      </c>
      <c r="Q3019">
        <f>COUNTIF('責任職　企業局→市長部局'!A:A,SQLデータ!B3019)</f>
        <v>0</v>
      </c>
      <c r="R3019">
        <f>COUNTIF('一般職員　企業局→市長部局'!A:F,SQLデータ!B3019)</f>
        <v>0</v>
      </c>
    </row>
    <row r="3020" spans="1:18" x14ac:dyDescent="0.4">
      <c r="A3020" s="1">
        <v>202650002939</v>
      </c>
      <c r="B3020" s="1">
        <v>1014056</v>
      </c>
      <c r="C3020" s="2">
        <v>46127</v>
      </c>
      <c r="D3020" t="s">
        <v>17</v>
      </c>
      <c r="E3020" t="s">
        <v>8</v>
      </c>
      <c r="G3020" t="s">
        <v>9</v>
      </c>
      <c r="L3020">
        <f t="shared" si="238"/>
        <v>0</v>
      </c>
      <c r="M3020">
        <f t="shared" si="239"/>
        <v>0</v>
      </c>
      <c r="N3020">
        <f t="shared" si="240"/>
        <v>0</v>
      </c>
      <c r="O3020">
        <f t="shared" si="237"/>
        <v>1</v>
      </c>
      <c r="P3020" t="str">
        <f t="shared" si="241"/>
        <v/>
      </c>
      <c r="Q3020">
        <f>COUNTIF('責任職　企業局→市長部局'!A:A,SQLデータ!B3020)</f>
        <v>0</v>
      </c>
      <c r="R3020">
        <f>COUNTIF('一般職員　企業局→市長部局'!A:F,SQLデータ!B3020)</f>
        <v>0</v>
      </c>
    </row>
    <row r="3021" spans="1:18" x14ac:dyDescent="0.4">
      <c r="A3021" s="1">
        <v>202650002940</v>
      </c>
      <c r="B3021" s="1">
        <v>1011148</v>
      </c>
      <c r="C3021" s="2">
        <v>46127</v>
      </c>
      <c r="D3021" t="s">
        <v>17</v>
      </c>
      <c r="E3021" t="s">
        <v>8</v>
      </c>
      <c r="G3021" t="s">
        <v>9</v>
      </c>
      <c r="L3021">
        <f t="shared" si="238"/>
        <v>0</v>
      </c>
      <c r="M3021">
        <f t="shared" si="239"/>
        <v>0</v>
      </c>
      <c r="N3021">
        <f t="shared" si="240"/>
        <v>0</v>
      </c>
      <c r="O3021">
        <f t="shared" si="237"/>
        <v>1</v>
      </c>
      <c r="P3021" t="str">
        <f t="shared" si="241"/>
        <v/>
      </c>
      <c r="Q3021">
        <f>COUNTIF('責任職　企業局→市長部局'!A:A,SQLデータ!B3021)</f>
        <v>0</v>
      </c>
      <c r="R3021">
        <f>COUNTIF('一般職員　企業局→市長部局'!A:F,SQLデータ!B3021)</f>
        <v>0</v>
      </c>
    </row>
    <row r="3022" spans="1:18" x14ac:dyDescent="0.4">
      <c r="A3022" s="1">
        <v>202650002941</v>
      </c>
      <c r="B3022" s="1">
        <v>1112109</v>
      </c>
      <c r="C3022" s="2">
        <v>46127</v>
      </c>
      <c r="D3022" t="s">
        <v>17</v>
      </c>
      <c r="E3022" t="s">
        <v>8</v>
      </c>
      <c r="G3022" t="s">
        <v>9</v>
      </c>
      <c r="L3022">
        <f t="shared" si="238"/>
        <v>0</v>
      </c>
      <c r="M3022">
        <f t="shared" si="239"/>
        <v>0</v>
      </c>
      <c r="N3022">
        <f t="shared" si="240"/>
        <v>0</v>
      </c>
      <c r="O3022">
        <f t="shared" si="237"/>
        <v>1</v>
      </c>
      <c r="P3022" t="str">
        <f t="shared" si="241"/>
        <v/>
      </c>
      <c r="Q3022">
        <f>COUNTIF('責任職　企業局→市長部局'!A:A,SQLデータ!B3022)</f>
        <v>0</v>
      </c>
      <c r="R3022">
        <f>COUNTIF('一般職員　企業局→市長部局'!A:F,SQLデータ!B3022)</f>
        <v>0</v>
      </c>
    </row>
    <row r="3023" spans="1:18" x14ac:dyDescent="0.4">
      <c r="A3023" s="1">
        <v>202650002942</v>
      </c>
      <c r="B3023" s="1">
        <v>930247</v>
      </c>
      <c r="C3023" s="2">
        <v>46127</v>
      </c>
      <c r="D3023" t="s">
        <v>17</v>
      </c>
      <c r="E3023" t="s">
        <v>8</v>
      </c>
      <c r="G3023" t="s">
        <v>9</v>
      </c>
      <c r="L3023">
        <f t="shared" si="238"/>
        <v>0</v>
      </c>
      <c r="M3023">
        <f t="shared" si="239"/>
        <v>0</v>
      </c>
      <c r="N3023">
        <f t="shared" si="240"/>
        <v>0</v>
      </c>
      <c r="O3023">
        <f t="shared" si="237"/>
        <v>1</v>
      </c>
      <c r="P3023" t="str">
        <f t="shared" si="241"/>
        <v/>
      </c>
      <c r="Q3023">
        <f>COUNTIF('責任職　企業局→市長部局'!A:A,SQLデータ!B3023)</f>
        <v>0</v>
      </c>
      <c r="R3023">
        <f>COUNTIF('一般職員　企業局→市長部局'!A:F,SQLデータ!B3023)</f>
        <v>0</v>
      </c>
    </row>
    <row r="3024" spans="1:18" x14ac:dyDescent="0.4">
      <c r="A3024" s="1">
        <v>202650002943</v>
      </c>
      <c r="B3024" s="1">
        <v>1131330</v>
      </c>
      <c r="C3024" s="2">
        <v>46127</v>
      </c>
      <c r="D3024" t="s">
        <v>17</v>
      </c>
      <c r="E3024" t="s">
        <v>8</v>
      </c>
      <c r="G3024" t="s">
        <v>9</v>
      </c>
      <c r="L3024">
        <f t="shared" si="238"/>
        <v>0</v>
      </c>
      <c r="M3024">
        <f t="shared" si="239"/>
        <v>0</v>
      </c>
      <c r="N3024">
        <f t="shared" si="240"/>
        <v>0</v>
      </c>
      <c r="O3024">
        <f t="shared" si="237"/>
        <v>1</v>
      </c>
      <c r="P3024" t="str">
        <f t="shared" si="241"/>
        <v/>
      </c>
      <c r="Q3024">
        <f>COUNTIF('責任職　企業局→市長部局'!A:A,SQLデータ!B3024)</f>
        <v>0</v>
      </c>
      <c r="R3024">
        <f>COUNTIF('一般職員　企業局→市長部局'!A:F,SQLデータ!B3024)</f>
        <v>0</v>
      </c>
    </row>
    <row r="3025" spans="1:18" x14ac:dyDescent="0.4">
      <c r="A3025" s="1">
        <v>202650002944</v>
      </c>
      <c r="B3025" s="1">
        <v>1142026</v>
      </c>
      <c r="C3025" s="2">
        <v>46127</v>
      </c>
      <c r="D3025" t="s">
        <v>17</v>
      </c>
      <c r="E3025" t="s">
        <v>8</v>
      </c>
      <c r="G3025" t="s">
        <v>9</v>
      </c>
      <c r="L3025">
        <f t="shared" si="238"/>
        <v>0</v>
      </c>
      <c r="M3025">
        <f t="shared" si="239"/>
        <v>0</v>
      </c>
      <c r="N3025">
        <f t="shared" si="240"/>
        <v>0</v>
      </c>
      <c r="O3025">
        <f t="shared" si="237"/>
        <v>1</v>
      </c>
      <c r="P3025" t="str">
        <f t="shared" si="241"/>
        <v/>
      </c>
      <c r="Q3025">
        <f>COUNTIF('責任職　企業局→市長部局'!A:A,SQLデータ!B3025)</f>
        <v>0</v>
      </c>
      <c r="R3025">
        <f>COUNTIF('一般職員　企業局→市長部局'!A:F,SQLデータ!B3025)</f>
        <v>0</v>
      </c>
    </row>
    <row r="3026" spans="1:18" x14ac:dyDescent="0.4">
      <c r="A3026" s="1">
        <v>202650002945</v>
      </c>
      <c r="B3026" s="1">
        <v>1201389</v>
      </c>
      <c r="C3026" s="2">
        <v>46127</v>
      </c>
      <c r="D3026" t="s">
        <v>17</v>
      </c>
      <c r="E3026" t="s">
        <v>8</v>
      </c>
      <c r="G3026" t="s">
        <v>9</v>
      </c>
      <c r="L3026">
        <f t="shared" si="238"/>
        <v>0</v>
      </c>
      <c r="M3026">
        <f t="shared" si="239"/>
        <v>0</v>
      </c>
      <c r="N3026">
        <f t="shared" si="240"/>
        <v>0</v>
      </c>
      <c r="O3026">
        <f t="shared" si="237"/>
        <v>1</v>
      </c>
      <c r="P3026" t="str">
        <f t="shared" si="241"/>
        <v/>
      </c>
      <c r="Q3026">
        <f>COUNTIF('責任職　企業局→市長部局'!A:A,SQLデータ!B3026)</f>
        <v>0</v>
      </c>
      <c r="R3026">
        <f>COUNTIF('一般職員　企業局→市長部局'!A:F,SQLデータ!B3026)</f>
        <v>0</v>
      </c>
    </row>
    <row r="3027" spans="1:18" x14ac:dyDescent="0.4">
      <c r="A3027" s="1">
        <v>202650002946</v>
      </c>
      <c r="B3027" s="1">
        <v>1082083</v>
      </c>
      <c r="C3027" s="2">
        <v>46127</v>
      </c>
      <c r="D3027" t="s">
        <v>17</v>
      </c>
      <c r="E3027" t="s">
        <v>8</v>
      </c>
      <c r="G3027" t="s">
        <v>9</v>
      </c>
      <c r="L3027">
        <f t="shared" si="238"/>
        <v>0</v>
      </c>
      <c r="M3027">
        <f t="shared" si="239"/>
        <v>0</v>
      </c>
      <c r="N3027">
        <f t="shared" si="240"/>
        <v>0</v>
      </c>
      <c r="O3027">
        <f t="shared" si="237"/>
        <v>1</v>
      </c>
      <c r="P3027" t="str">
        <f t="shared" si="241"/>
        <v/>
      </c>
      <c r="Q3027">
        <f>COUNTIF('責任職　企業局→市長部局'!A:A,SQLデータ!B3027)</f>
        <v>0</v>
      </c>
      <c r="R3027">
        <f>COUNTIF('一般職員　企業局→市長部局'!A:F,SQLデータ!B3027)</f>
        <v>0</v>
      </c>
    </row>
    <row r="3028" spans="1:18" x14ac:dyDescent="0.4">
      <c r="A3028" s="1">
        <v>202650002947</v>
      </c>
      <c r="B3028" s="1">
        <v>1021125</v>
      </c>
      <c r="C3028" s="2">
        <v>46127</v>
      </c>
      <c r="D3028" t="s">
        <v>17</v>
      </c>
      <c r="E3028" t="s">
        <v>8</v>
      </c>
      <c r="G3028" t="s">
        <v>9</v>
      </c>
      <c r="L3028">
        <f t="shared" si="238"/>
        <v>0</v>
      </c>
      <c r="M3028">
        <f t="shared" si="239"/>
        <v>0</v>
      </c>
      <c r="N3028">
        <f t="shared" si="240"/>
        <v>0</v>
      </c>
      <c r="O3028">
        <f t="shared" si="237"/>
        <v>1</v>
      </c>
      <c r="P3028" t="str">
        <f t="shared" si="241"/>
        <v/>
      </c>
      <c r="Q3028">
        <f>COUNTIF('責任職　企業局→市長部局'!A:A,SQLデータ!B3028)</f>
        <v>0</v>
      </c>
      <c r="R3028">
        <f>COUNTIF('一般職員　企業局→市長部局'!A:F,SQLデータ!B3028)</f>
        <v>0</v>
      </c>
    </row>
    <row r="3029" spans="1:18" x14ac:dyDescent="0.4">
      <c r="A3029" s="1">
        <v>202650002948</v>
      </c>
      <c r="B3029" s="1">
        <v>1171280</v>
      </c>
      <c r="C3029" s="2">
        <v>46127</v>
      </c>
      <c r="D3029" t="s">
        <v>17</v>
      </c>
      <c r="E3029" t="s">
        <v>8</v>
      </c>
      <c r="G3029" t="s">
        <v>9</v>
      </c>
      <c r="L3029">
        <f t="shared" si="238"/>
        <v>0</v>
      </c>
      <c r="M3029">
        <f t="shared" si="239"/>
        <v>0</v>
      </c>
      <c r="N3029">
        <f t="shared" si="240"/>
        <v>0</v>
      </c>
      <c r="O3029">
        <f t="shared" si="237"/>
        <v>1</v>
      </c>
      <c r="P3029" t="str">
        <f t="shared" si="241"/>
        <v/>
      </c>
      <c r="Q3029">
        <f>COUNTIF('責任職　企業局→市長部局'!A:A,SQLデータ!B3029)</f>
        <v>0</v>
      </c>
      <c r="R3029">
        <f>COUNTIF('一般職員　企業局→市長部局'!A:F,SQLデータ!B3029)</f>
        <v>0</v>
      </c>
    </row>
    <row r="3030" spans="1:18" x14ac:dyDescent="0.4">
      <c r="A3030" s="1">
        <v>202650002949</v>
      </c>
      <c r="B3030" s="1">
        <v>1071248</v>
      </c>
      <c r="C3030" s="2">
        <v>46127</v>
      </c>
      <c r="D3030" t="s">
        <v>17</v>
      </c>
      <c r="E3030" t="s">
        <v>8</v>
      </c>
      <c r="G3030" t="s">
        <v>9</v>
      </c>
      <c r="L3030">
        <f t="shared" si="238"/>
        <v>0</v>
      </c>
      <c r="M3030">
        <f t="shared" si="239"/>
        <v>0</v>
      </c>
      <c r="N3030">
        <f t="shared" si="240"/>
        <v>0</v>
      </c>
      <c r="O3030">
        <f t="shared" si="237"/>
        <v>1</v>
      </c>
      <c r="P3030" t="str">
        <f t="shared" si="241"/>
        <v/>
      </c>
      <c r="Q3030">
        <f>COUNTIF('責任職　企業局→市長部局'!A:A,SQLデータ!B3030)</f>
        <v>0</v>
      </c>
      <c r="R3030">
        <f>COUNTIF('一般職員　企業局→市長部局'!A:F,SQLデータ!B3030)</f>
        <v>0</v>
      </c>
    </row>
    <row r="3031" spans="1:18" x14ac:dyDescent="0.4">
      <c r="A3031" s="1">
        <v>202650002950</v>
      </c>
      <c r="B3031" s="1">
        <v>1161043</v>
      </c>
      <c r="C3031" s="2">
        <v>46127</v>
      </c>
      <c r="D3031" t="s">
        <v>17</v>
      </c>
      <c r="E3031" t="s">
        <v>8</v>
      </c>
      <c r="G3031" t="s">
        <v>9</v>
      </c>
      <c r="L3031">
        <f t="shared" si="238"/>
        <v>0</v>
      </c>
      <c r="M3031">
        <f t="shared" si="239"/>
        <v>0</v>
      </c>
      <c r="N3031">
        <f t="shared" si="240"/>
        <v>0</v>
      </c>
      <c r="O3031">
        <f t="shared" si="237"/>
        <v>1</v>
      </c>
      <c r="P3031" t="str">
        <f t="shared" si="241"/>
        <v/>
      </c>
      <c r="Q3031">
        <f>COUNTIF('責任職　企業局→市長部局'!A:A,SQLデータ!B3031)</f>
        <v>0</v>
      </c>
      <c r="R3031">
        <f>COUNTIF('一般職員　企業局→市長部局'!A:F,SQLデータ!B3031)</f>
        <v>0</v>
      </c>
    </row>
    <row r="3032" spans="1:18" x14ac:dyDescent="0.4">
      <c r="A3032" s="1">
        <v>202650002951</v>
      </c>
      <c r="B3032" s="1">
        <v>1221321</v>
      </c>
      <c r="C3032" s="2">
        <v>46127</v>
      </c>
      <c r="D3032" t="s">
        <v>17</v>
      </c>
      <c r="E3032" t="s">
        <v>8</v>
      </c>
      <c r="G3032" t="s">
        <v>9</v>
      </c>
      <c r="L3032">
        <f t="shared" si="238"/>
        <v>0</v>
      </c>
      <c r="M3032">
        <f t="shared" si="239"/>
        <v>0</v>
      </c>
      <c r="N3032">
        <f t="shared" si="240"/>
        <v>0</v>
      </c>
      <c r="O3032">
        <f t="shared" si="237"/>
        <v>1</v>
      </c>
      <c r="P3032" t="str">
        <f t="shared" si="241"/>
        <v/>
      </c>
      <c r="Q3032">
        <f>COUNTIF('責任職　企業局→市長部局'!A:A,SQLデータ!B3032)</f>
        <v>0</v>
      </c>
      <c r="R3032">
        <f>COUNTIF('一般職員　企業局→市長部局'!A:F,SQLデータ!B3032)</f>
        <v>0</v>
      </c>
    </row>
    <row r="3033" spans="1:18" x14ac:dyDescent="0.4">
      <c r="A3033" s="1">
        <v>202650002952</v>
      </c>
      <c r="B3033" s="1">
        <v>1121165</v>
      </c>
      <c r="C3033" s="2">
        <v>46127</v>
      </c>
      <c r="D3033" t="s">
        <v>17</v>
      </c>
      <c r="E3033" t="s">
        <v>8</v>
      </c>
      <c r="G3033" t="s">
        <v>9</v>
      </c>
      <c r="L3033">
        <f t="shared" si="238"/>
        <v>0</v>
      </c>
      <c r="M3033">
        <f t="shared" si="239"/>
        <v>0</v>
      </c>
      <c r="N3033">
        <f t="shared" si="240"/>
        <v>0</v>
      </c>
      <c r="O3033">
        <f t="shared" si="237"/>
        <v>1</v>
      </c>
      <c r="P3033" t="str">
        <f t="shared" si="241"/>
        <v/>
      </c>
      <c r="Q3033">
        <f>COUNTIF('責任職　企業局→市長部局'!A:A,SQLデータ!B3033)</f>
        <v>0</v>
      </c>
      <c r="R3033">
        <f>COUNTIF('一般職員　企業局→市長部局'!A:F,SQLデータ!B3033)</f>
        <v>0</v>
      </c>
    </row>
    <row r="3034" spans="1:18" x14ac:dyDescent="0.4">
      <c r="A3034" s="1">
        <v>202650002953</v>
      </c>
      <c r="B3034" s="1">
        <v>1131233</v>
      </c>
      <c r="C3034" s="2">
        <v>46127</v>
      </c>
      <c r="D3034" t="s">
        <v>17</v>
      </c>
      <c r="E3034" t="s">
        <v>8</v>
      </c>
      <c r="G3034" t="s">
        <v>9</v>
      </c>
      <c r="L3034">
        <f t="shared" si="238"/>
        <v>0</v>
      </c>
      <c r="M3034">
        <f t="shared" si="239"/>
        <v>0</v>
      </c>
      <c r="N3034">
        <f t="shared" si="240"/>
        <v>0</v>
      </c>
      <c r="O3034">
        <f t="shared" si="237"/>
        <v>1</v>
      </c>
      <c r="P3034" t="str">
        <f t="shared" si="241"/>
        <v/>
      </c>
      <c r="Q3034">
        <f>COUNTIF('責任職　企業局→市長部局'!A:A,SQLデータ!B3034)</f>
        <v>0</v>
      </c>
      <c r="R3034">
        <f>COUNTIF('一般職員　企業局→市長部局'!A:F,SQLデータ!B3034)</f>
        <v>0</v>
      </c>
    </row>
    <row r="3035" spans="1:18" x14ac:dyDescent="0.4">
      <c r="A3035" s="1">
        <v>202650002954</v>
      </c>
      <c r="B3035" s="1">
        <v>1101200</v>
      </c>
      <c r="C3035" s="2">
        <v>46127</v>
      </c>
      <c r="D3035" t="s">
        <v>17</v>
      </c>
      <c r="E3035" t="s">
        <v>8</v>
      </c>
      <c r="G3035" t="s">
        <v>9</v>
      </c>
      <c r="L3035">
        <f t="shared" si="238"/>
        <v>0</v>
      </c>
      <c r="M3035">
        <f t="shared" si="239"/>
        <v>0</v>
      </c>
      <c r="N3035">
        <f t="shared" si="240"/>
        <v>0</v>
      </c>
      <c r="O3035">
        <f t="shared" si="237"/>
        <v>1</v>
      </c>
      <c r="P3035" t="str">
        <f t="shared" si="241"/>
        <v/>
      </c>
      <c r="Q3035">
        <f>COUNTIF('責任職　企業局→市長部局'!A:A,SQLデータ!B3035)</f>
        <v>0</v>
      </c>
      <c r="R3035">
        <f>COUNTIF('一般職員　企業局→市長部局'!A:F,SQLデータ!B3035)</f>
        <v>0</v>
      </c>
    </row>
    <row r="3036" spans="1:18" x14ac:dyDescent="0.4">
      <c r="A3036" s="1">
        <v>202650002955</v>
      </c>
      <c r="B3036" s="1">
        <v>1212512</v>
      </c>
      <c r="C3036" s="2">
        <v>46127</v>
      </c>
      <c r="D3036" t="s">
        <v>17</v>
      </c>
      <c r="E3036" t="s">
        <v>8</v>
      </c>
      <c r="G3036" t="s">
        <v>9</v>
      </c>
      <c r="L3036">
        <f t="shared" si="238"/>
        <v>0</v>
      </c>
      <c r="M3036">
        <f t="shared" si="239"/>
        <v>0</v>
      </c>
      <c r="N3036">
        <f t="shared" si="240"/>
        <v>0</v>
      </c>
      <c r="O3036">
        <f t="shared" si="237"/>
        <v>1</v>
      </c>
      <c r="P3036" t="str">
        <f t="shared" si="241"/>
        <v/>
      </c>
      <c r="Q3036">
        <f>COUNTIF('責任職　企業局→市長部局'!A:A,SQLデータ!B3036)</f>
        <v>0</v>
      </c>
      <c r="R3036">
        <f>COUNTIF('一般職員　企業局→市長部局'!A:F,SQLデータ!B3036)</f>
        <v>0</v>
      </c>
    </row>
    <row r="3037" spans="1:18" x14ac:dyDescent="0.4">
      <c r="A3037" s="1">
        <v>202650002956</v>
      </c>
      <c r="B3037" s="1">
        <v>1221227</v>
      </c>
      <c r="C3037" s="2">
        <v>46127</v>
      </c>
      <c r="D3037" t="s">
        <v>17</v>
      </c>
      <c r="E3037" t="s">
        <v>8</v>
      </c>
      <c r="G3037" t="s">
        <v>9</v>
      </c>
      <c r="L3037">
        <f t="shared" si="238"/>
        <v>0</v>
      </c>
      <c r="M3037">
        <f t="shared" si="239"/>
        <v>0</v>
      </c>
      <c r="N3037">
        <f t="shared" si="240"/>
        <v>0</v>
      </c>
      <c r="O3037">
        <f t="shared" si="237"/>
        <v>1</v>
      </c>
      <c r="P3037" t="str">
        <f t="shared" si="241"/>
        <v/>
      </c>
      <c r="Q3037">
        <f>COUNTIF('責任職　企業局→市長部局'!A:A,SQLデータ!B3037)</f>
        <v>0</v>
      </c>
      <c r="R3037">
        <f>COUNTIF('一般職員　企業局→市長部局'!A:F,SQLデータ!B3037)</f>
        <v>0</v>
      </c>
    </row>
    <row r="3038" spans="1:18" x14ac:dyDescent="0.4">
      <c r="A3038" s="1">
        <v>202650002957</v>
      </c>
      <c r="B3038" s="1">
        <v>1231070</v>
      </c>
      <c r="C3038" s="2">
        <v>46127</v>
      </c>
      <c r="D3038" t="s">
        <v>17</v>
      </c>
      <c r="E3038" t="s">
        <v>8</v>
      </c>
      <c r="G3038" t="s">
        <v>9</v>
      </c>
      <c r="L3038">
        <f t="shared" si="238"/>
        <v>0</v>
      </c>
      <c r="M3038">
        <f t="shared" si="239"/>
        <v>0</v>
      </c>
      <c r="N3038">
        <f t="shared" si="240"/>
        <v>0</v>
      </c>
      <c r="O3038">
        <f t="shared" si="237"/>
        <v>1</v>
      </c>
      <c r="P3038" t="str">
        <f t="shared" si="241"/>
        <v/>
      </c>
      <c r="Q3038">
        <f>COUNTIF('責任職　企業局→市長部局'!A:A,SQLデータ!B3038)</f>
        <v>0</v>
      </c>
      <c r="R3038">
        <f>COUNTIF('一般職員　企業局→市長部局'!A:F,SQLデータ!B3038)</f>
        <v>0</v>
      </c>
    </row>
    <row r="3039" spans="1:18" x14ac:dyDescent="0.4">
      <c r="A3039" s="1">
        <v>202650002958</v>
      </c>
      <c r="B3039" s="1">
        <v>1191105</v>
      </c>
      <c r="C3039" s="2">
        <v>46127</v>
      </c>
      <c r="D3039" t="s">
        <v>17</v>
      </c>
      <c r="E3039" t="s">
        <v>8</v>
      </c>
      <c r="G3039" t="s">
        <v>9</v>
      </c>
      <c r="L3039">
        <f t="shared" si="238"/>
        <v>0</v>
      </c>
      <c r="M3039">
        <f t="shared" si="239"/>
        <v>0</v>
      </c>
      <c r="N3039">
        <f t="shared" si="240"/>
        <v>0</v>
      </c>
      <c r="O3039">
        <f t="shared" si="237"/>
        <v>1</v>
      </c>
      <c r="P3039" t="str">
        <f t="shared" si="241"/>
        <v/>
      </c>
      <c r="Q3039">
        <f>COUNTIF('責任職　企業局→市長部局'!A:A,SQLデータ!B3039)</f>
        <v>0</v>
      </c>
      <c r="R3039">
        <f>COUNTIF('一般職員　企業局→市長部局'!A:F,SQLデータ!B3039)</f>
        <v>0</v>
      </c>
    </row>
    <row r="3040" spans="1:18" x14ac:dyDescent="0.4">
      <c r="A3040" s="1">
        <v>202650002959</v>
      </c>
      <c r="B3040" s="1">
        <v>1202124</v>
      </c>
      <c r="C3040" s="2">
        <v>46127</v>
      </c>
      <c r="D3040" t="s">
        <v>17</v>
      </c>
      <c r="E3040" t="s">
        <v>8</v>
      </c>
      <c r="G3040" t="s">
        <v>9</v>
      </c>
      <c r="L3040">
        <f t="shared" si="238"/>
        <v>0</v>
      </c>
      <c r="M3040">
        <f t="shared" si="239"/>
        <v>0</v>
      </c>
      <c r="N3040">
        <f t="shared" si="240"/>
        <v>0</v>
      </c>
      <c r="O3040">
        <f t="shared" si="237"/>
        <v>1</v>
      </c>
      <c r="P3040" t="str">
        <f t="shared" si="241"/>
        <v/>
      </c>
      <c r="Q3040">
        <f>COUNTIF('責任職　企業局→市長部局'!A:A,SQLデータ!B3040)</f>
        <v>0</v>
      </c>
      <c r="R3040">
        <f>COUNTIF('一般職員　企業局→市長部局'!A:F,SQLデータ!B3040)</f>
        <v>0</v>
      </c>
    </row>
    <row r="3041" spans="1:18" x14ac:dyDescent="0.4">
      <c r="A3041" s="1">
        <v>202650002960</v>
      </c>
      <c r="B3041" s="1">
        <v>1071365</v>
      </c>
      <c r="C3041" s="2">
        <v>46127</v>
      </c>
      <c r="D3041" t="s">
        <v>17</v>
      </c>
      <c r="E3041" t="s">
        <v>8</v>
      </c>
      <c r="G3041" t="s">
        <v>9</v>
      </c>
      <c r="L3041">
        <f t="shared" si="238"/>
        <v>0</v>
      </c>
      <c r="M3041">
        <f t="shared" si="239"/>
        <v>0</v>
      </c>
      <c r="N3041">
        <f t="shared" si="240"/>
        <v>0</v>
      </c>
      <c r="O3041">
        <f t="shared" si="237"/>
        <v>1</v>
      </c>
      <c r="P3041" t="str">
        <f t="shared" si="241"/>
        <v/>
      </c>
      <c r="Q3041">
        <f>COUNTIF('責任職　企業局→市長部局'!A:A,SQLデータ!B3041)</f>
        <v>0</v>
      </c>
      <c r="R3041">
        <f>COUNTIF('一般職員　企業局→市長部局'!A:F,SQLデータ!B3041)</f>
        <v>0</v>
      </c>
    </row>
    <row r="3042" spans="1:18" x14ac:dyDescent="0.4">
      <c r="A3042" s="1">
        <v>202650002961</v>
      </c>
      <c r="B3042" s="1">
        <v>1226050</v>
      </c>
      <c r="C3042" s="2">
        <v>46127</v>
      </c>
      <c r="D3042" t="s">
        <v>17</v>
      </c>
      <c r="E3042" t="s">
        <v>8</v>
      </c>
      <c r="G3042" t="s">
        <v>9</v>
      </c>
      <c r="L3042">
        <f t="shared" ref="L3042:L3105" si="242">IF(ISBLANK(J3042),0,1)</f>
        <v>0</v>
      </c>
      <c r="M3042">
        <f t="shared" ref="M3042:M3105" si="243">IF(AND(L3042=0,I3042&lt;&gt;""),1,0)</f>
        <v>0</v>
      </c>
      <c r="N3042">
        <f t="shared" ref="N3042:N3105" si="244">IF(AND(L3042=0,M3042=0,K3042&lt;&gt;""),1,0)</f>
        <v>0</v>
      </c>
      <c r="O3042">
        <f t="shared" ref="O3042:O3105" si="245">IF(COUNTIF(L3042:N3042,0)=3,1,0)</f>
        <v>1</v>
      </c>
      <c r="P3042" t="str">
        <f t="shared" ref="P3042:P3105" si="246">IF(D3042&lt;&gt;"扶養","",IF(E3042&lt;&gt;"確認待ち",1,IF(OR(AND(G3042="本人の結婚",O3042=1),AND(H3042="減",OR(N3042=1,O3042=1))),1,0)))</f>
        <v/>
      </c>
      <c r="Q3042">
        <f>COUNTIF('責任職　企業局→市長部局'!A:A,SQLデータ!B3042)</f>
        <v>0</v>
      </c>
      <c r="R3042">
        <f>COUNTIF('一般職員　企業局→市長部局'!A:F,SQLデータ!B3042)</f>
        <v>0</v>
      </c>
    </row>
    <row r="3043" spans="1:18" x14ac:dyDescent="0.4">
      <c r="A3043" s="1">
        <v>202650002962</v>
      </c>
      <c r="B3043" s="1">
        <v>1031232</v>
      </c>
      <c r="C3043" s="2">
        <v>46127</v>
      </c>
      <c r="D3043" t="s">
        <v>17</v>
      </c>
      <c r="E3043" t="s">
        <v>8</v>
      </c>
      <c r="G3043" t="s">
        <v>9</v>
      </c>
      <c r="L3043">
        <f t="shared" si="242"/>
        <v>0</v>
      </c>
      <c r="M3043">
        <f t="shared" si="243"/>
        <v>0</v>
      </c>
      <c r="N3043">
        <f t="shared" si="244"/>
        <v>0</v>
      </c>
      <c r="O3043">
        <f t="shared" si="245"/>
        <v>1</v>
      </c>
      <c r="P3043" t="str">
        <f t="shared" si="246"/>
        <v/>
      </c>
      <c r="Q3043">
        <f>COUNTIF('責任職　企業局→市長部局'!A:A,SQLデータ!B3043)</f>
        <v>0</v>
      </c>
      <c r="R3043">
        <f>COUNTIF('一般職員　企業局→市長部局'!A:F,SQLデータ!B3043)</f>
        <v>0</v>
      </c>
    </row>
    <row r="3044" spans="1:18" x14ac:dyDescent="0.4">
      <c r="A3044" s="1">
        <v>202650002963</v>
      </c>
      <c r="B3044" s="1">
        <v>1231193</v>
      </c>
      <c r="C3044" s="2">
        <v>46127</v>
      </c>
      <c r="D3044" t="s">
        <v>17</v>
      </c>
      <c r="E3044" t="s">
        <v>8</v>
      </c>
      <c r="G3044" t="s">
        <v>9</v>
      </c>
      <c r="L3044">
        <f t="shared" si="242"/>
        <v>0</v>
      </c>
      <c r="M3044">
        <f t="shared" si="243"/>
        <v>0</v>
      </c>
      <c r="N3044">
        <f t="shared" si="244"/>
        <v>0</v>
      </c>
      <c r="O3044">
        <f t="shared" si="245"/>
        <v>1</v>
      </c>
      <c r="P3044" t="str">
        <f t="shared" si="246"/>
        <v/>
      </c>
      <c r="Q3044">
        <f>COUNTIF('責任職　企業局→市長部局'!A:A,SQLデータ!B3044)</f>
        <v>0</v>
      </c>
      <c r="R3044">
        <f>COUNTIF('一般職員　企業局→市長部局'!A:F,SQLデータ!B3044)</f>
        <v>0</v>
      </c>
    </row>
    <row r="3045" spans="1:18" x14ac:dyDescent="0.4">
      <c r="A3045" s="1">
        <v>202650002964</v>
      </c>
      <c r="B3045" s="1">
        <v>1061155</v>
      </c>
      <c r="C3045" s="2">
        <v>46127</v>
      </c>
      <c r="D3045" t="s">
        <v>17</v>
      </c>
      <c r="E3045" t="s">
        <v>8</v>
      </c>
      <c r="G3045" t="s">
        <v>9</v>
      </c>
      <c r="L3045">
        <f t="shared" si="242"/>
        <v>0</v>
      </c>
      <c r="M3045">
        <f t="shared" si="243"/>
        <v>0</v>
      </c>
      <c r="N3045">
        <f t="shared" si="244"/>
        <v>0</v>
      </c>
      <c r="O3045">
        <f t="shared" si="245"/>
        <v>1</v>
      </c>
      <c r="P3045" t="str">
        <f t="shared" si="246"/>
        <v/>
      </c>
      <c r="Q3045">
        <f>COUNTIF('責任職　企業局→市長部局'!A:A,SQLデータ!B3045)</f>
        <v>0</v>
      </c>
      <c r="R3045">
        <f>COUNTIF('一般職員　企業局→市長部局'!A:F,SQLデータ!B3045)</f>
        <v>0</v>
      </c>
    </row>
    <row r="3046" spans="1:18" x14ac:dyDescent="0.4">
      <c r="A3046" s="1">
        <v>202650002965</v>
      </c>
      <c r="B3046" s="1">
        <v>1210011</v>
      </c>
      <c r="C3046" s="2">
        <v>46127</v>
      </c>
      <c r="D3046" t="s">
        <v>17</v>
      </c>
      <c r="E3046" t="s">
        <v>8</v>
      </c>
      <c r="G3046" t="s">
        <v>9</v>
      </c>
      <c r="L3046">
        <f t="shared" si="242"/>
        <v>0</v>
      </c>
      <c r="M3046">
        <f t="shared" si="243"/>
        <v>0</v>
      </c>
      <c r="N3046">
        <f t="shared" si="244"/>
        <v>0</v>
      </c>
      <c r="O3046">
        <f t="shared" si="245"/>
        <v>1</v>
      </c>
      <c r="P3046" t="str">
        <f t="shared" si="246"/>
        <v/>
      </c>
      <c r="Q3046">
        <f>COUNTIF('責任職　企業局→市長部局'!A:A,SQLデータ!B3046)</f>
        <v>0</v>
      </c>
      <c r="R3046">
        <f>COUNTIF('一般職員　企業局→市長部局'!A:F,SQLデータ!B3046)</f>
        <v>0</v>
      </c>
    </row>
    <row r="3047" spans="1:18" x14ac:dyDescent="0.4">
      <c r="A3047" s="1">
        <v>202650002966</v>
      </c>
      <c r="B3047" s="1">
        <v>1061008</v>
      </c>
      <c r="C3047" s="2">
        <v>46127</v>
      </c>
      <c r="D3047" t="s">
        <v>17</v>
      </c>
      <c r="E3047" t="s">
        <v>8</v>
      </c>
      <c r="G3047" t="s">
        <v>9</v>
      </c>
      <c r="L3047">
        <f t="shared" si="242"/>
        <v>0</v>
      </c>
      <c r="M3047">
        <f t="shared" si="243"/>
        <v>0</v>
      </c>
      <c r="N3047">
        <f t="shared" si="244"/>
        <v>0</v>
      </c>
      <c r="O3047">
        <f t="shared" si="245"/>
        <v>1</v>
      </c>
      <c r="P3047" t="str">
        <f t="shared" si="246"/>
        <v/>
      </c>
      <c r="Q3047">
        <f>COUNTIF('責任職　企業局→市長部局'!A:A,SQLデータ!B3047)</f>
        <v>0</v>
      </c>
      <c r="R3047">
        <f>COUNTIF('一般職員　企業局→市長部局'!A:F,SQLデータ!B3047)</f>
        <v>0</v>
      </c>
    </row>
    <row r="3048" spans="1:18" x14ac:dyDescent="0.4">
      <c r="A3048" s="1">
        <v>202650002967</v>
      </c>
      <c r="B3048" s="1">
        <v>1091041</v>
      </c>
      <c r="C3048" s="2">
        <v>46127</v>
      </c>
      <c r="D3048" t="s">
        <v>17</v>
      </c>
      <c r="E3048" t="s">
        <v>8</v>
      </c>
      <c r="G3048" t="s">
        <v>9</v>
      </c>
      <c r="L3048">
        <f t="shared" si="242"/>
        <v>0</v>
      </c>
      <c r="M3048">
        <f t="shared" si="243"/>
        <v>0</v>
      </c>
      <c r="N3048">
        <f t="shared" si="244"/>
        <v>0</v>
      </c>
      <c r="O3048">
        <f t="shared" si="245"/>
        <v>1</v>
      </c>
      <c r="P3048" t="str">
        <f t="shared" si="246"/>
        <v/>
      </c>
      <c r="Q3048">
        <f>COUNTIF('責任職　企業局→市長部局'!A:A,SQLデータ!B3048)</f>
        <v>0</v>
      </c>
      <c r="R3048">
        <f>COUNTIF('一般職員　企業局→市長部局'!A:F,SQLデータ!B3048)</f>
        <v>0</v>
      </c>
    </row>
    <row r="3049" spans="1:18" x14ac:dyDescent="0.4">
      <c r="A3049" s="1">
        <v>202650002968</v>
      </c>
      <c r="B3049" s="1">
        <v>1171262</v>
      </c>
      <c r="C3049" s="2">
        <v>46127</v>
      </c>
      <c r="D3049" t="s">
        <v>17</v>
      </c>
      <c r="E3049" t="s">
        <v>8</v>
      </c>
      <c r="G3049" t="s">
        <v>9</v>
      </c>
      <c r="L3049">
        <f t="shared" si="242"/>
        <v>0</v>
      </c>
      <c r="M3049">
        <f t="shared" si="243"/>
        <v>0</v>
      </c>
      <c r="N3049">
        <f t="shared" si="244"/>
        <v>0</v>
      </c>
      <c r="O3049">
        <f t="shared" si="245"/>
        <v>1</v>
      </c>
      <c r="P3049" t="str">
        <f t="shared" si="246"/>
        <v/>
      </c>
      <c r="Q3049">
        <f>COUNTIF('責任職　企業局→市長部局'!A:A,SQLデータ!B3049)</f>
        <v>0</v>
      </c>
      <c r="R3049">
        <f>COUNTIF('一般職員　企業局→市長部局'!A:F,SQLデータ!B3049)</f>
        <v>0</v>
      </c>
    </row>
    <row r="3050" spans="1:18" x14ac:dyDescent="0.4">
      <c r="A3050" s="1">
        <v>202650002969</v>
      </c>
      <c r="B3050" s="1">
        <v>1172200</v>
      </c>
      <c r="C3050" s="2">
        <v>46127</v>
      </c>
      <c r="D3050" t="s">
        <v>17</v>
      </c>
      <c r="E3050" t="s">
        <v>8</v>
      </c>
      <c r="G3050" t="s">
        <v>9</v>
      </c>
      <c r="L3050">
        <f t="shared" si="242"/>
        <v>0</v>
      </c>
      <c r="M3050">
        <f t="shared" si="243"/>
        <v>0</v>
      </c>
      <c r="N3050">
        <f t="shared" si="244"/>
        <v>0</v>
      </c>
      <c r="O3050">
        <f t="shared" si="245"/>
        <v>1</v>
      </c>
      <c r="P3050" t="str">
        <f t="shared" si="246"/>
        <v/>
      </c>
      <c r="Q3050">
        <f>COUNTIF('責任職　企業局→市長部局'!A:A,SQLデータ!B3050)</f>
        <v>0</v>
      </c>
      <c r="R3050">
        <f>COUNTIF('一般職員　企業局→市長部局'!A:F,SQLデータ!B3050)</f>
        <v>0</v>
      </c>
    </row>
    <row r="3051" spans="1:18" x14ac:dyDescent="0.4">
      <c r="A3051" s="1">
        <v>202650002970</v>
      </c>
      <c r="B3051" s="1">
        <v>1213007</v>
      </c>
      <c r="C3051" s="2">
        <v>46127</v>
      </c>
      <c r="D3051" t="s">
        <v>17</v>
      </c>
      <c r="E3051" t="s">
        <v>8</v>
      </c>
      <c r="G3051" t="s">
        <v>9</v>
      </c>
      <c r="L3051">
        <f t="shared" si="242"/>
        <v>0</v>
      </c>
      <c r="M3051">
        <f t="shared" si="243"/>
        <v>0</v>
      </c>
      <c r="N3051">
        <f t="shared" si="244"/>
        <v>0</v>
      </c>
      <c r="O3051">
        <f t="shared" si="245"/>
        <v>1</v>
      </c>
      <c r="P3051" t="str">
        <f t="shared" si="246"/>
        <v/>
      </c>
      <c r="Q3051">
        <f>COUNTIF('責任職　企業局→市長部局'!A:A,SQLデータ!B3051)</f>
        <v>0</v>
      </c>
      <c r="R3051">
        <f>COUNTIF('一般職員　企業局→市長部局'!A:F,SQLデータ!B3051)</f>
        <v>0</v>
      </c>
    </row>
    <row r="3052" spans="1:18" x14ac:dyDescent="0.4">
      <c r="A3052" s="1">
        <v>202650002971</v>
      </c>
      <c r="B3052" s="1">
        <v>1163021</v>
      </c>
      <c r="C3052" s="2">
        <v>46127</v>
      </c>
      <c r="D3052" t="s">
        <v>17</v>
      </c>
      <c r="E3052" t="s">
        <v>8</v>
      </c>
      <c r="G3052" t="s">
        <v>9</v>
      </c>
      <c r="L3052">
        <f t="shared" si="242"/>
        <v>0</v>
      </c>
      <c r="M3052">
        <f t="shared" si="243"/>
        <v>0</v>
      </c>
      <c r="N3052">
        <f t="shared" si="244"/>
        <v>0</v>
      </c>
      <c r="O3052">
        <f t="shared" si="245"/>
        <v>1</v>
      </c>
      <c r="P3052" t="str">
        <f t="shared" si="246"/>
        <v/>
      </c>
      <c r="Q3052">
        <f>COUNTIF('責任職　企業局→市長部局'!A:A,SQLデータ!B3052)</f>
        <v>0</v>
      </c>
      <c r="R3052">
        <f>COUNTIF('一般職員　企業局→市長部局'!A:F,SQLデータ!B3052)</f>
        <v>0</v>
      </c>
    </row>
    <row r="3053" spans="1:18" x14ac:dyDescent="0.4">
      <c r="A3053" s="1">
        <v>202650002972</v>
      </c>
      <c r="B3053" s="1">
        <v>1181321</v>
      </c>
      <c r="C3053" s="2">
        <v>46127</v>
      </c>
      <c r="D3053" t="s">
        <v>17</v>
      </c>
      <c r="E3053" t="s">
        <v>8</v>
      </c>
      <c r="G3053" t="s">
        <v>9</v>
      </c>
      <c r="L3053">
        <f t="shared" si="242"/>
        <v>0</v>
      </c>
      <c r="M3053">
        <f t="shared" si="243"/>
        <v>0</v>
      </c>
      <c r="N3053">
        <f t="shared" si="244"/>
        <v>0</v>
      </c>
      <c r="O3053">
        <f t="shared" si="245"/>
        <v>1</v>
      </c>
      <c r="P3053" t="str">
        <f t="shared" si="246"/>
        <v/>
      </c>
      <c r="Q3053">
        <f>COUNTIF('責任職　企業局→市長部局'!A:A,SQLデータ!B3053)</f>
        <v>0</v>
      </c>
      <c r="R3053">
        <f>COUNTIF('一般職員　企業局→市長部局'!A:F,SQLデータ!B3053)</f>
        <v>0</v>
      </c>
    </row>
    <row r="3054" spans="1:18" x14ac:dyDescent="0.4">
      <c r="A3054" s="1">
        <v>202650002973</v>
      </c>
      <c r="B3054" s="1">
        <v>1221009</v>
      </c>
      <c r="C3054" s="2">
        <v>46127</v>
      </c>
      <c r="D3054" t="s">
        <v>17</v>
      </c>
      <c r="E3054" t="s">
        <v>8</v>
      </c>
      <c r="G3054" t="s">
        <v>9</v>
      </c>
      <c r="L3054">
        <f t="shared" si="242"/>
        <v>0</v>
      </c>
      <c r="M3054">
        <f t="shared" si="243"/>
        <v>0</v>
      </c>
      <c r="N3054">
        <f t="shared" si="244"/>
        <v>0</v>
      </c>
      <c r="O3054">
        <f t="shared" si="245"/>
        <v>1</v>
      </c>
      <c r="P3054" t="str">
        <f t="shared" si="246"/>
        <v/>
      </c>
      <c r="Q3054">
        <f>COUNTIF('責任職　企業局→市長部局'!A:A,SQLデータ!B3054)</f>
        <v>0</v>
      </c>
      <c r="R3054">
        <f>COUNTIF('一般職員　企業局→市長部局'!A:F,SQLデータ!B3054)</f>
        <v>0</v>
      </c>
    </row>
    <row r="3055" spans="1:18" x14ac:dyDescent="0.4">
      <c r="A3055" s="1">
        <v>202650002974</v>
      </c>
      <c r="B3055" s="1">
        <v>1172033</v>
      </c>
      <c r="C3055" s="2">
        <v>46127</v>
      </c>
      <c r="D3055" t="s">
        <v>17</v>
      </c>
      <c r="E3055" t="s">
        <v>8</v>
      </c>
      <c r="G3055" t="s">
        <v>9</v>
      </c>
      <c r="L3055">
        <f t="shared" si="242"/>
        <v>0</v>
      </c>
      <c r="M3055">
        <f t="shared" si="243"/>
        <v>0</v>
      </c>
      <c r="N3055">
        <f t="shared" si="244"/>
        <v>0</v>
      </c>
      <c r="O3055">
        <f t="shared" si="245"/>
        <v>1</v>
      </c>
      <c r="P3055" t="str">
        <f t="shared" si="246"/>
        <v/>
      </c>
      <c r="Q3055">
        <f>COUNTIF('責任職　企業局→市長部局'!A:A,SQLデータ!B3055)</f>
        <v>0</v>
      </c>
      <c r="R3055">
        <f>COUNTIF('一般職員　企業局→市長部局'!A:F,SQLデータ!B3055)</f>
        <v>0</v>
      </c>
    </row>
    <row r="3056" spans="1:18" x14ac:dyDescent="0.4">
      <c r="A3056" s="1">
        <v>202650002975</v>
      </c>
      <c r="B3056" s="1">
        <v>1201511</v>
      </c>
      <c r="C3056" s="2">
        <v>46127</v>
      </c>
      <c r="D3056" t="s">
        <v>17</v>
      </c>
      <c r="E3056" t="s">
        <v>8</v>
      </c>
      <c r="G3056" t="s">
        <v>9</v>
      </c>
      <c r="L3056">
        <f t="shared" si="242"/>
        <v>0</v>
      </c>
      <c r="M3056">
        <f t="shared" si="243"/>
        <v>0</v>
      </c>
      <c r="N3056">
        <f t="shared" si="244"/>
        <v>0</v>
      </c>
      <c r="O3056">
        <f t="shared" si="245"/>
        <v>1</v>
      </c>
      <c r="P3056" t="str">
        <f t="shared" si="246"/>
        <v/>
      </c>
      <c r="Q3056">
        <f>COUNTIF('責任職　企業局→市長部局'!A:A,SQLデータ!B3056)</f>
        <v>0</v>
      </c>
      <c r="R3056">
        <f>COUNTIF('一般職員　企業局→市長部局'!A:F,SQLデータ!B3056)</f>
        <v>0</v>
      </c>
    </row>
    <row r="3057" spans="1:18" x14ac:dyDescent="0.4">
      <c r="A3057" s="1">
        <v>202650002976</v>
      </c>
      <c r="B3057" s="1">
        <v>1201378</v>
      </c>
      <c r="C3057" s="2">
        <v>46127</v>
      </c>
      <c r="D3057" t="s">
        <v>17</v>
      </c>
      <c r="E3057" t="s">
        <v>8</v>
      </c>
      <c r="G3057" t="s">
        <v>9</v>
      </c>
      <c r="L3057">
        <f t="shared" si="242"/>
        <v>0</v>
      </c>
      <c r="M3057">
        <f t="shared" si="243"/>
        <v>0</v>
      </c>
      <c r="N3057">
        <f t="shared" si="244"/>
        <v>0</v>
      </c>
      <c r="O3057">
        <f t="shared" si="245"/>
        <v>1</v>
      </c>
      <c r="P3057" t="str">
        <f t="shared" si="246"/>
        <v/>
      </c>
      <c r="Q3057">
        <f>COUNTIF('責任職　企業局→市長部局'!A:A,SQLデータ!B3057)</f>
        <v>0</v>
      </c>
      <c r="R3057">
        <f>COUNTIF('一般職員　企業局→市長部局'!A:F,SQLデータ!B3057)</f>
        <v>0</v>
      </c>
    </row>
    <row r="3058" spans="1:18" x14ac:dyDescent="0.4">
      <c r="A3058" s="1">
        <v>202650002977</v>
      </c>
      <c r="B3058" s="1">
        <v>1083016</v>
      </c>
      <c r="C3058" s="2">
        <v>46127</v>
      </c>
      <c r="D3058" t="s">
        <v>17</v>
      </c>
      <c r="E3058" t="s">
        <v>8</v>
      </c>
      <c r="G3058" t="s">
        <v>9</v>
      </c>
      <c r="L3058">
        <f t="shared" si="242"/>
        <v>0</v>
      </c>
      <c r="M3058">
        <f t="shared" si="243"/>
        <v>0</v>
      </c>
      <c r="N3058">
        <f t="shared" si="244"/>
        <v>0</v>
      </c>
      <c r="O3058">
        <f t="shared" si="245"/>
        <v>1</v>
      </c>
      <c r="P3058" t="str">
        <f t="shared" si="246"/>
        <v/>
      </c>
      <c r="Q3058">
        <f>COUNTIF('責任職　企業局→市長部局'!A:A,SQLデータ!B3058)</f>
        <v>0</v>
      </c>
      <c r="R3058">
        <f>COUNTIF('一般職員　企業局→市長部局'!A:F,SQLデータ!B3058)</f>
        <v>0</v>
      </c>
    </row>
    <row r="3059" spans="1:18" x14ac:dyDescent="0.4">
      <c r="A3059" s="1">
        <v>202650002978</v>
      </c>
      <c r="B3059" s="1">
        <v>930357</v>
      </c>
      <c r="C3059" s="2">
        <v>46127</v>
      </c>
      <c r="D3059" t="s">
        <v>17</v>
      </c>
      <c r="E3059" t="s">
        <v>8</v>
      </c>
      <c r="G3059" t="s">
        <v>9</v>
      </c>
      <c r="L3059">
        <f t="shared" si="242"/>
        <v>0</v>
      </c>
      <c r="M3059">
        <f t="shared" si="243"/>
        <v>0</v>
      </c>
      <c r="N3059">
        <f t="shared" si="244"/>
        <v>0</v>
      </c>
      <c r="O3059">
        <f t="shared" si="245"/>
        <v>1</v>
      </c>
      <c r="P3059" t="str">
        <f t="shared" si="246"/>
        <v/>
      </c>
      <c r="Q3059">
        <f>COUNTIF('責任職　企業局→市長部局'!A:A,SQLデータ!B3059)</f>
        <v>0</v>
      </c>
      <c r="R3059">
        <f>COUNTIF('一般職員　企業局→市長部局'!A:F,SQLデータ!B3059)</f>
        <v>0</v>
      </c>
    </row>
    <row r="3060" spans="1:18" x14ac:dyDescent="0.4">
      <c r="A3060" s="1">
        <v>202650002979</v>
      </c>
      <c r="B3060" s="1">
        <v>960393</v>
      </c>
      <c r="C3060" s="2">
        <v>46127</v>
      </c>
      <c r="D3060" t="s">
        <v>17</v>
      </c>
      <c r="E3060" t="s">
        <v>8</v>
      </c>
      <c r="G3060" t="s">
        <v>9</v>
      </c>
      <c r="L3060">
        <f t="shared" si="242"/>
        <v>0</v>
      </c>
      <c r="M3060">
        <f t="shared" si="243"/>
        <v>0</v>
      </c>
      <c r="N3060">
        <f t="shared" si="244"/>
        <v>0</v>
      </c>
      <c r="O3060">
        <f t="shared" si="245"/>
        <v>1</v>
      </c>
      <c r="P3060" t="str">
        <f t="shared" si="246"/>
        <v/>
      </c>
      <c r="Q3060">
        <f>COUNTIF('責任職　企業局→市長部局'!A:A,SQLデータ!B3060)</f>
        <v>0</v>
      </c>
      <c r="R3060">
        <f>COUNTIF('一般職員　企業局→市長部局'!A:F,SQLデータ!B3060)</f>
        <v>0</v>
      </c>
    </row>
    <row r="3061" spans="1:18" x14ac:dyDescent="0.4">
      <c r="A3061" s="1">
        <v>202650002980</v>
      </c>
      <c r="B3061" s="1">
        <v>1181296</v>
      </c>
      <c r="C3061" s="2">
        <v>46127</v>
      </c>
      <c r="D3061" t="s">
        <v>17</v>
      </c>
      <c r="E3061" t="s">
        <v>8</v>
      </c>
      <c r="G3061" t="s">
        <v>9</v>
      </c>
      <c r="L3061">
        <f t="shared" si="242"/>
        <v>0</v>
      </c>
      <c r="M3061">
        <f t="shared" si="243"/>
        <v>0</v>
      </c>
      <c r="N3061">
        <f t="shared" si="244"/>
        <v>0</v>
      </c>
      <c r="O3061">
        <f t="shared" si="245"/>
        <v>1</v>
      </c>
      <c r="P3061" t="str">
        <f t="shared" si="246"/>
        <v/>
      </c>
      <c r="Q3061">
        <f>COUNTIF('責任職　企業局→市長部局'!A:A,SQLデータ!B3061)</f>
        <v>0</v>
      </c>
      <c r="R3061">
        <f>COUNTIF('一般職員　企業局→市長部局'!A:F,SQLデータ!B3061)</f>
        <v>0</v>
      </c>
    </row>
    <row r="3062" spans="1:18" x14ac:dyDescent="0.4">
      <c r="A3062" s="1">
        <v>202650002981</v>
      </c>
      <c r="B3062" s="1">
        <v>930602</v>
      </c>
      <c r="C3062" s="2">
        <v>46127</v>
      </c>
      <c r="D3062" t="s">
        <v>17</v>
      </c>
      <c r="E3062" t="s">
        <v>8</v>
      </c>
      <c r="G3062" t="s">
        <v>9</v>
      </c>
      <c r="L3062">
        <f t="shared" si="242"/>
        <v>0</v>
      </c>
      <c r="M3062">
        <f t="shared" si="243"/>
        <v>0</v>
      </c>
      <c r="N3062">
        <f t="shared" si="244"/>
        <v>0</v>
      </c>
      <c r="O3062">
        <f t="shared" si="245"/>
        <v>1</v>
      </c>
      <c r="P3062" t="str">
        <f t="shared" si="246"/>
        <v/>
      </c>
      <c r="Q3062">
        <f>COUNTIF('責任職　企業局→市長部局'!A:A,SQLデータ!B3062)</f>
        <v>0</v>
      </c>
      <c r="R3062">
        <f>COUNTIF('一般職員　企業局→市長部局'!A:F,SQLデータ!B3062)</f>
        <v>0</v>
      </c>
    </row>
    <row r="3063" spans="1:18" x14ac:dyDescent="0.4">
      <c r="A3063" s="1">
        <v>202650002982</v>
      </c>
      <c r="B3063" s="1">
        <v>920300</v>
      </c>
      <c r="C3063" s="2">
        <v>46127</v>
      </c>
      <c r="D3063" t="s">
        <v>17</v>
      </c>
      <c r="E3063" t="s">
        <v>8</v>
      </c>
      <c r="G3063" t="s">
        <v>9</v>
      </c>
      <c r="L3063">
        <f t="shared" si="242"/>
        <v>0</v>
      </c>
      <c r="M3063">
        <f t="shared" si="243"/>
        <v>0</v>
      </c>
      <c r="N3063">
        <f t="shared" si="244"/>
        <v>0</v>
      </c>
      <c r="O3063">
        <f t="shared" si="245"/>
        <v>1</v>
      </c>
      <c r="P3063" t="str">
        <f t="shared" si="246"/>
        <v/>
      </c>
      <c r="Q3063">
        <f>COUNTIF('責任職　企業局→市長部局'!A:A,SQLデータ!B3063)</f>
        <v>0</v>
      </c>
      <c r="R3063">
        <f>COUNTIF('一般職員　企業局→市長部局'!A:F,SQLデータ!B3063)</f>
        <v>0</v>
      </c>
    </row>
    <row r="3064" spans="1:18" x14ac:dyDescent="0.4">
      <c r="A3064" s="1">
        <v>202650002983</v>
      </c>
      <c r="B3064" s="1">
        <v>1071267</v>
      </c>
      <c r="C3064" s="2">
        <v>46127</v>
      </c>
      <c r="D3064" t="s">
        <v>17</v>
      </c>
      <c r="E3064" t="s">
        <v>8</v>
      </c>
      <c r="G3064" t="s">
        <v>9</v>
      </c>
      <c r="L3064">
        <f t="shared" si="242"/>
        <v>0</v>
      </c>
      <c r="M3064">
        <f t="shared" si="243"/>
        <v>0</v>
      </c>
      <c r="N3064">
        <f t="shared" si="244"/>
        <v>0</v>
      </c>
      <c r="O3064">
        <f t="shared" si="245"/>
        <v>1</v>
      </c>
      <c r="P3064" t="str">
        <f t="shared" si="246"/>
        <v/>
      </c>
      <c r="Q3064">
        <f>COUNTIF('責任職　企業局→市長部局'!A:A,SQLデータ!B3064)</f>
        <v>0</v>
      </c>
      <c r="R3064">
        <f>COUNTIF('一般職員　企業局→市長部局'!A:F,SQLデータ!B3064)</f>
        <v>0</v>
      </c>
    </row>
    <row r="3065" spans="1:18" x14ac:dyDescent="0.4">
      <c r="A3065" s="1">
        <v>202650002984</v>
      </c>
      <c r="B3065" s="1">
        <v>1222087</v>
      </c>
      <c r="C3065" s="2">
        <v>46127</v>
      </c>
      <c r="D3065" t="s">
        <v>17</v>
      </c>
      <c r="E3065" t="s">
        <v>8</v>
      </c>
      <c r="G3065" t="s">
        <v>9</v>
      </c>
      <c r="L3065">
        <f t="shared" si="242"/>
        <v>0</v>
      </c>
      <c r="M3065">
        <f t="shared" si="243"/>
        <v>0</v>
      </c>
      <c r="N3065">
        <f t="shared" si="244"/>
        <v>0</v>
      </c>
      <c r="O3065">
        <f t="shared" si="245"/>
        <v>1</v>
      </c>
      <c r="P3065" t="str">
        <f t="shared" si="246"/>
        <v/>
      </c>
      <c r="Q3065">
        <f>COUNTIF('責任職　企業局→市長部局'!A:A,SQLデータ!B3065)</f>
        <v>0</v>
      </c>
      <c r="R3065">
        <f>COUNTIF('一般職員　企業局→市長部局'!A:F,SQLデータ!B3065)</f>
        <v>0</v>
      </c>
    </row>
    <row r="3066" spans="1:18" x14ac:dyDescent="0.4">
      <c r="A3066" s="1">
        <v>202650002985</v>
      </c>
      <c r="B3066" s="1">
        <v>1131268</v>
      </c>
      <c r="C3066" s="2">
        <v>46127</v>
      </c>
      <c r="D3066" t="s">
        <v>17</v>
      </c>
      <c r="E3066" t="s">
        <v>8</v>
      </c>
      <c r="G3066" t="s">
        <v>9</v>
      </c>
      <c r="L3066">
        <f t="shared" si="242"/>
        <v>0</v>
      </c>
      <c r="M3066">
        <f t="shared" si="243"/>
        <v>0</v>
      </c>
      <c r="N3066">
        <f t="shared" si="244"/>
        <v>0</v>
      </c>
      <c r="O3066">
        <f t="shared" si="245"/>
        <v>1</v>
      </c>
      <c r="P3066" t="str">
        <f t="shared" si="246"/>
        <v/>
      </c>
      <c r="Q3066">
        <f>COUNTIF('責任職　企業局→市長部局'!A:A,SQLデータ!B3066)</f>
        <v>0</v>
      </c>
      <c r="R3066">
        <f>COUNTIF('一般職員　企業局→市長部局'!A:F,SQLデータ!B3066)</f>
        <v>0</v>
      </c>
    </row>
    <row r="3067" spans="1:18" x14ac:dyDescent="0.4">
      <c r="A3067" s="1">
        <v>202650002986</v>
      </c>
      <c r="B3067" s="1">
        <v>1182033</v>
      </c>
      <c r="C3067" s="2">
        <v>46127</v>
      </c>
      <c r="D3067" t="s">
        <v>17</v>
      </c>
      <c r="E3067" t="s">
        <v>8</v>
      </c>
      <c r="G3067" t="s">
        <v>9</v>
      </c>
      <c r="L3067">
        <f t="shared" si="242"/>
        <v>0</v>
      </c>
      <c r="M3067">
        <f t="shared" si="243"/>
        <v>0</v>
      </c>
      <c r="N3067">
        <f t="shared" si="244"/>
        <v>0</v>
      </c>
      <c r="O3067">
        <f t="shared" si="245"/>
        <v>1</v>
      </c>
      <c r="P3067" t="str">
        <f t="shared" si="246"/>
        <v/>
      </c>
      <c r="Q3067">
        <f>COUNTIF('責任職　企業局→市長部局'!A:A,SQLデータ!B3067)</f>
        <v>0</v>
      </c>
      <c r="R3067">
        <f>COUNTIF('一般職員　企業局→市長部局'!A:F,SQLデータ!B3067)</f>
        <v>0</v>
      </c>
    </row>
    <row r="3068" spans="1:18" x14ac:dyDescent="0.4">
      <c r="A3068" s="1">
        <v>202650002987</v>
      </c>
      <c r="B3068" s="1">
        <v>1211204</v>
      </c>
      <c r="C3068" s="2">
        <v>46127</v>
      </c>
      <c r="D3068" t="s">
        <v>17</v>
      </c>
      <c r="E3068" t="s">
        <v>8</v>
      </c>
      <c r="G3068" t="s">
        <v>9</v>
      </c>
      <c r="L3068">
        <f t="shared" si="242"/>
        <v>0</v>
      </c>
      <c r="M3068">
        <f t="shared" si="243"/>
        <v>0</v>
      </c>
      <c r="N3068">
        <f t="shared" si="244"/>
        <v>0</v>
      </c>
      <c r="O3068">
        <f t="shared" si="245"/>
        <v>1</v>
      </c>
      <c r="P3068" t="str">
        <f t="shared" si="246"/>
        <v/>
      </c>
      <c r="Q3068">
        <f>COUNTIF('責任職　企業局→市長部局'!A:A,SQLデータ!B3068)</f>
        <v>0</v>
      </c>
      <c r="R3068">
        <f>COUNTIF('一般職員　企業局→市長部局'!A:F,SQLデータ!B3068)</f>
        <v>0</v>
      </c>
    </row>
    <row r="3069" spans="1:18" x14ac:dyDescent="0.4">
      <c r="A3069" s="1">
        <v>202650002988</v>
      </c>
      <c r="B3069" s="1">
        <v>1162017</v>
      </c>
      <c r="C3069" s="2">
        <v>46127</v>
      </c>
      <c r="D3069" t="s">
        <v>17</v>
      </c>
      <c r="E3069" t="s">
        <v>8</v>
      </c>
      <c r="G3069" t="s">
        <v>9</v>
      </c>
      <c r="L3069">
        <f t="shared" si="242"/>
        <v>0</v>
      </c>
      <c r="M3069">
        <f t="shared" si="243"/>
        <v>0</v>
      </c>
      <c r="N3069">
        <f t="shared" si="244"/>
        <v>0</v>
      </c>
      <c r="O3069">
        <f t="shared" si="245"/>
        <v>1</v>
      </c>
      <c r="P3069" t="str">
        <f t="shared" si="246"/>
        <v/>
      </c>
      <c r="Q3069">
        <f>COUNTIF('責任職　企業局→市長部局'!A:A,SQLデータ!B3069)</f>
        <v>0</v>
      </c>
      <c r="R3069">
        <f>COUNTIF('一般職員　企業局→市長部局'!A:F,SQLデータ!B3069)</f>
        <v>0</v>
      </c>
    </row>
    <row r="3070" spans="1:18" x14ac:dyDescent="0.4">
      <c r="A3070" s="1">
        <v>202650002989</v>
      </c>
      <c r="B3070" s="1">
        <v>1232301</v>
      </c>
      <c r="C3070" s="2">
        <v>46127</v>
      </c>
      <c r="D3070" t="s">
        <v>17</v>
      </c>
      <c r="E3070" t="s">
        <v>8</v>
      </c>
      <c r="G3070" t="s">
        <v>9</v>
      </c>
      <c r="L3070">
        <f t="shared" si="242"/>
        <v>0</v>
      </c>
      <c r="M3070">
        <f t="shared" si="243"/>
        <v>0</v>
      </c>
      <c r="N3070">
        <f t="shared" si="244"/>
        <v>0</v>
      </c>
      <c r="O3070">
        <f t="shared" si="245"/>
        <v>1</v>
      </c>
      <c r="P3070" t="str">
        <f t="shared" si="246"/>
        <v/>
      </c>
      <c r="Q3070">
        <f>COUNTIF('責任職　企業局→市長部局'!A:A,SQLデータ!B3070)</f>
        <v>0</v>
      </c>
      <c r="R3070">
        <f>COUNTIF('一般職員　企業局→市長部局'!A:F,SQLデータ!B3070)</f>
        <v>0</v>
      </c>
    </row>
    <row r="3071" spans="1:18" x14ac:dyDescent="0.4">
      <c r="A3071" s="1">
        <v>202650002990</v>
      </c>
      <c r="B3071" s="1">
        <v>1113010</v>
      </c>
      <c r="C3071" s="2">
        <v>46127</v>
      </c>
      <c r="D3071" t="s">
        <v>17</v>
      </c>
      <c r="E3071" t="s">
        <v>8</v>
      </c>
      <c r="G3071" t="s">
        <v>9</v>
      </c>
      <c r="L3071">
        <f t="shared" si="242"/>
        <v>0</v>
      </c>
      <c r="M3071">
        <f t="shared" si="243"/>
        <v>0</v>
      </c>
      <c r="N3071">
        <f t="shared" si="244"/>
        <v>0</v>
      </c>
      <c r="O3071">
        <f t="shared" si="245"/>
        <v>1</v>
      </c>
      <c r="P3071" t="str">
        <f t="shared" si="246"/>
        <v/>
      </c>
      <c r="Q3071">
        <f>COUNTIF('責任職　企業局→市長部局'!A:A,SQLデータ!B3071)</f>
        <v>0</v>
      </c>
      <c r="R3071">
        <f>COUNTIF('一般職員　企業局→市長部局'!A:F,SQLデータ!B3071)</f>
        <v>0</v>
      </c>
    </row>
    <row r="3072" spans="1:18" x14ac:dyDescent="0.4">
      <c r="A3072" s="1">
        <v>202650002991</v>
      </c>
      <c r="B3072" s="1">
        <v>1191079</v>
      </c>
      <c r="C3072" s="2">
        <v>46127</v>
      </c>
      <c r="D3072" t="s">
        <v>17</v>
      </c>
      <c r="E3072" t="s">
        <v>8</v>
      </c>
      <c r="G3072" t="s">
        <v>9</v>
      </c>
      <c r="L3072">
        <f t="shared" si="242"/>
        <v>0</v>
      </c>
      <c r="M3072">
        <f t="shared" si="243"/>
        <v>0</v>
      </c>
      <c r="N3072">
        <f t="shared" si="244"/>
        <v>0</v>
      </c>
      <c r="O3072">
        <f t="shared" si="245"/>
        <v>1</v>
      </c>
      <c r="P3072" t="str">
        <f t="shared" si="246"/>
        <v/>
      </c>
      <c r="Q3072">
        <f>COUNTIF('責任職　企業局→市長部局'!A:A,SQLデータ!B3072)</f>
        <v>0</v>
      </c>
      <c r="R3072">
        <f>COUNTIF('一般職員　企業局→市長部局'!A:F,SQLデータ!B3072)</f>
        <v>0</v>
      </c>
    </row>
    <row r="3073" spans="1:18" x14ac:dyDescent="0.4">
      <c r="A3073" s="1">
        <v>202650002992</v>
      </c>
      <c r="B3073" s="1">
        <v>1122503</v>
      </c>
      <c r="C3073" s="2">
        <v>46127</v>
      </c>
      <c r="D3073" t="s">
        <v>17</v>
      </c>
      <c r="E3073" t="s">
        <v>8</v>
      </c>
      <c r="G3073" t="s">
        <v>9</v>
      </c>
      <c r="L3073">
        <f t="shared" si="242"/>
        <v>0</v>
      </c>
      <c r="M3073">
        <f t="shared" si="243"/>
        <v>0</v>
      </c>
      <c r="N3073">
        <f t="shared" si="244"/>
        <v>0</v>
      </c>
      <c r="O3073">
        <f t="shared" si="245"/>
        <v>1</v>
      </c>
      <c r="P3073" t="str">
        <f t="shared" si="246"/>
        <v/>
      </c>
      <c r="Q3073">
        <f>COUNTIF('責任職　企業局→市長部局'!A:A,SQLデータ!B3073)</f>
        <v>0</v>
      </c>
      <c r="R3073">
        <f>COUNTIF('一般職員　企業局→市長部局'!A:F,SQLデータ!B3073)</f>
        <v>0</v>
      </c>
    </row>
    <row r="3074" spans="1:18" x14ac:dyDescent="0.4">
      <c r="A3074" s="1">
        <v>202650002993</v>
      </c>
      <c r="B3074" s="1">
        <v>1011199</v>
      </c>
      <c r="C3074" s="2">
        <v>46127</v>
      </c>
      <c r="D3074" t="s">
        <v>17</v>
      </c>
      <c r="E3074" t="s">
        <v>8</v>
      </c>
      <c r="G3074" t="s">
        <v>9</v>
      </c>
      <c r="L3074">
        <f t="shared" si="242"/>
        <v>0</v>
      </c>
      <c r="M3074">
        <f t="shared" si="243"/>
        <v>0</v>
      </c>
      <c r="N3074">
        <f t="shared" si="244"/>
        <v>0</v>
      </c>
      <c r="O3074">
        <f t="shared" si="245"/>
        <v>1</v>
      </c>
      <c r="P3074" t="str">
        <f t="shared" si="246"/>
        <v/>
      </c>
      <c r="Q3074">
        <f>COUNTIF('責任職　企業局→市長部局'!A:A,SQLデータ!B3074)</f>
        <v>0</v>
      </c>
      <c r="R3074">
        <f>COUNTIF('一般職員　企業局→市長部局'!A:F,SQLデータ!B3074)</f>
        <v>0</v>
      </c>
    </row>
    <row r="3075" spans="1:18" x14ac:dyDescent="0.4">
      <c r="A3075" s="1">
        <v>202650002994</v>
      </c>
      <c r="B3075" s="1">
        <v>972511</v>
      </c>
      <c r="C3075" s="2">
        <v>46127</v>
      </c>
      <c r="D3075" t="s">
        <v>17</v>
      </c>
      <c r="E3075" t="s">
        <v>8</v>
      </c>
      <c r="G3075" t="s">
        <v>9</v>
      </c>
      <c r="L3075">
        <f t="shared" si="242"/>
        <v>0</v>
      </c>
      <c r="M3075">
        <f t="shared" si="243"/>
        <v>0</v>
      </c>
      <c r="N3075">
        <f t="shared" si="244"/>
        <v>0</v>
      </c>
      <c r="O3075">
        <f t="shared" si="245"/>
        <v>1</v>
      </c>
      <c r="P3075" t="str">
        <f t="shared" si="246"/>
        <v/>
      </c>
      <c r="Q3075">
        <f>COUNTIF('責任職　企業局→市長部局'!A:A,SQLデータ!B3075)</f>
        <v>0</v>
      </c>
      <c r="R3075">
        <f>COUNTIF('一般職員　企業局→市長部局'!A:F,SQLデータ!B3075)</f>
        <v>0</v>
      </c>
    </row>
    <row r="3076" spans="1:18" x14ac:dyDescent="0.4">
      <c r="A3076" s="1">
        <v>202650002995</v>
      </c>
      <c r="B3076" s="1">
        <v>1091155</v>
      </c>
      <c r="C3076" s="2">
        <v>46127</v>
      </c>
      <c r="D3076" t="s">
        <v>17</v>
      </c>
      <c r="E3076" t="s">
        <v>8</v>
      </c>
      <c r="G3076" t="s">
        <v>9</v>
      </c>
      <c r="L3076">
        <f t="shared" si="242"/>
        <v>0</v>
      </c>
      <c r="M3076">
        <f t="shared" si="243"/>
        <v>0</v>
      </c>
      <c r="N3076">
        <f t="shared" si="244"/>
        <v>0</v>
      </c>
      <c r="O3076">
        <f t="shared" si="245"/>
        <v>1</v>
      </c>
      <c r="P3076" t="str">
        <f t="shared" si="246"/>
        <v/>
      </c>
      <c r="Q3076">
        <f>COUNTIF('責任職　企業局→市長部局'!A:A,SQLデータ!B3076)</f>
        <v>0</v>
      </c>
      <c r="R3076">
        <f>COUNTIF('一般職員　企業局→市長部局'!A:F,SQLデータ!B3076)</f>
        <v>0</v>
      </c>
    </row>
    <row r="3077" spans="1:18" x14ac:dyDescent="0.4">
      <c r="A3077" s="1">
        <v>202650002996</v>
      </c>
      <c r="B3077" s="1">
        <v>1111490</v>
      </c>
      <c r="C3077" s="2">
        <v>46127</v>
      </c>
      <c r="D3077" t="s">
        <v>17</v>
      </c>
      <c r="E3077" t="s">
        <v>8</v>
      </c>
      <c r="G3077" t="s">
        <v>9</v>
      </c>
      <c r="L3077">
        <f t="shared" si="242"/>
        <v>0</v>
      </c>
      <c r="M3077">
        <f t="shared" si="243"/>
        <v>0</v>
      </c>
      <c r="N3077">
        <f t="shared" si="244"/>
        <v>0</v>
      </c>
      <c r="O3077">
        <f t="shared" si="245"/>
        <v>1</v>
      </c>
      <c r="P3077" t="str">
        <f t="shared" si="246"/>
        <v/>
      </c>
      <c r="Q3077">
        <f>COUNTIF('責任職　企業局→市長部局'!A:A,SQLデータ!B3077)</f>
        <v>0</v>
      </c>
      <c r="R3077">
        <f>COUNTIF('一般職員　企業局→市長部局'!A:F,SQLデータ!B3077)</f>
        <v>0</v>
      </c>
    </row>
    <row r="3078" spans="1:18" x14ac:dyDescent="0.4">
      <c r="A3078" s="1">
        <v>202650002997</v>
      </c>
      <c r="B3078" s="1">
        <v>1182024</v>
      </c>
      <c r="C3078" s="2">
        <v>46127</v>
      </c>
      <c r="D3078" t="s">
        <v>17</v>
      </c>
      <c r="E3078" t="s">
        <v>8</v>
      </c>
      <c r="G3078" t="s">
        <v>9</v>
      </c>
      <c r="L3078">
        <f t="shared" si="242"/>
        <v>0</v>
      </c>
      <c r="M3078">
        <f t="shared" si="243"/>
        <v>0</v>
      </c>
      <c r="N3078">
        <f t="shared" si="244"/>
        <v>0</v>
      </c>
      <c r="O3078">
        <f t="shared" si="245"/>
        <v>1</v>
      </c>
      <c r="P3078" t="str">
        <f t="shared" si="246"/>
        <v/>
      </c>
      <c r="Q3078">
        <f>COUNTIF('責任職　企業局→市長部局'!A:A,SQLデータ!B3078)</f>
        <v>0</v>
      </c>
      <c r="R3078">
        <f>COUNTIF('一般職員　企業局→市長部局'!A:F,SQLデータ!B3078)</f>
        <v>0</v>
      </c>
    </row>
    <row r="3079" spans="1:18" x14ac:dyDescent="0.4">
      <c r="A3079" s="1">
        <v>202650002998</v>
      </c>
      <c r="B3079" s="1">
        <v>1211225</v>
      </c>
      <c r="C3079" s="2">
        <v>46127</v>
      </c>
      <c r="D3079" t="s">
        <v>17</v>
      </c>
      <c r="E3079" t="s">
        <v>8</v>
      </c>
      <c r="G3079" t="s">
        <v>9</v>
      </c>
      <c r="L3079">
        <f t="shared" si="242"/>
        <v>0</v>
      </c>
      <c r="M3079">
        <f t="shared" si="243"/>
        <v>0</v>
      </c>
      <c r="N3079">
        <f t="shared" si="244"/>
        <v>0</v>
      </c>
      <c r="O3079">
        <f t="shared" si="245"/>
        <v>1</v>
      </c>
      <c r="P3079" t="str">
        <f t="shared" si="246"/>
        <v/>
      </c>
      <c r="Q3079">
        <f>COUNTIF('責任職　企業局→市長部局'!A:A,SQLデータ!B3079)</f>
        <v>0</v>
      </c>
      <c r="R3079">
        <f>COUNTIF('一般職員　企業局→市長部局'!A:F,SQLデータ!B3079)</f>
        <v>0</v>
      </c>
    </row>
    <row r="3080" spans="1:18" x14ac:dyDescent="0.4">
      <c r="A3080" s="1">
        <v>202650002999</v>
      </c>
      <c r="B3080" s="1">
        <v>1221159</v>
      </c>
      <c r="C3080" s="2">
        <v>46127</v>
      </c>
      <c r="D3080" t="s">
        <v>17</v>
      </c>
      <c r="E3080" t="s">
        <v>8</v>
      </c>
      <c r="G3080" t="s">
        <v>9</v>
      </c>
      <c r="L3080">
        <f t="shared" si="242"/>
        <v>0</v>
      </c>
      <c r="M3080">
        <f t="shared" si="243"/>
        <v>0</v>
      </c>
      <c r="N3080">
        <f t="shared" si="244"/>
        <v>0</v>
      </c>
      <c r="O3080">
        <f t="shared" si="245"/>
        <v>1</v>
      </c>
      <c r="P3080" t="str">
        <f t="shared" si="246"/>
        <v/>
      </c>
      <c r="Q3080">
        <f>COUNTIF('責任職　企業局→市長部局'!A:A,SQLデータ!B3080)</f>
        <v>0</v>
      </c>
      <c r="R3080">
        <f>COUNTIF('一般職員　企業局→市長部局'!A:F,SQLデータ!B3080)</f>
        <v>0</v>
      </c>
    </row>
    <row r="3081" spans="1:18" x14ac:dyDescent="0.4">
      <c r="A3081" s="1">
        <v>202650003000</v>
      </c>
      <c r="B3081" s="1">
        <v>1221071</v>
      </c>
      <c r="C3081" s="2">
        <v>46127</v>
      </c>
      <c r="D3081" t="s">
        <v>17</v>
      </c>
      <c r="E3081" t="s">
        <v>8</v>
      </c>
      <c r="G3081" t="s">
        <v>9</v>
      </c>
      <c r="L3081">
        <f t="shared" si="242"/>
        <v>0</v>
      </c>
      <c r="M3081">
        <f t="shared" si="243"/>
        <v>0</v>
      </c>
      <c r="N3081">
        <f t="shared" si="244"/>
        <v>0</v>
      </c>
      <c r="O3081">
        <f t="shared" si="245"/>
        <v>1</v>
      </c>
      <c r="P3081" t="str">
        <f t="shared" si="246"/>
        <v/>
      </c>
      <c r="Q3081">
        <f>COUNTIF('責任職　企業局→市長部局'!A:A,SQLデータ!B3081)</f>
        <v>0</v>
      </c>
      <c r="R3081">
        <f>COUNTIF('一般職員　企業局→市長部局'!A:F,SQLデータ!B3081)</f>
        <v>0</v>
      </c>
    </row>
    <row r="3082" spans="1:18" x14ac:dyDescent="0.4">
      <c r="A3082" s="1">
        <v>202650003001</v>
      </c>
      <c r="B3082" s="1">
        <v>1191314</v>
      </c>
      <c r="C3082" s="2">
        <v>46127</v>
      </c>
      <c r="D3082" t="s">
        <v>17</v>
      </c>
      <c r="E3082" t="s">
        <v>8</v>
      </c>
      <c r="G3082" t="s">
        <v>9</v>
      </c>
      <c r="L3082">
        <f t="shared" si="242"/>
        <v>0</v>
      </c>
      <c r="M3082">
        <f t="shared" si="243"/>
        <v>0</v>
      </c>
      <c r="N3082">
        <f t="shared" si="244"/>
        <v>0</v>
      </c>
      <c r="O3082">
        <f t="shared" si="245"/>
        <v>1</v>
      </c>
      <c r="P3082" t="str">
        <f t="shared" si="246"/>
        <v/>
      </c>
      <c r="Q3082">
        <f>COUNTIF('責任職　企業局→市長部局'!A:A,SQLデータ!B3082)</f>
        <v>0</v>
      </c>
      <c r="R3082">
        <f>COUNTIF('一般職員　企業局→市長部局'!A:F,SQLデータ!B3082)</f>
        <v>0</v>
      </c>
    </row>
    <row r="3083" spans="1:18" x14ac:dyDescent="0.4">
      <c r="A3083" s="1">
        <v>202650003003</v>
      </c>
      <c r="B3083" s="1">
        <v>1112134</v>
      </c>
      <c r="C3083" s="2">
        <v>46127</v>
      </c>
      <c r="D3083" t="s">
        <v>17</v>
      </c>
      <c r="E3083" t="s">
        <v>8</v>
      </c>
      <c r="G3083" t="s">
        <v>9</v>
      </c>
      <c r="L3083">
        <f t="shared" si="242"/>
        <v>0</v>
      </c>
      <c r="M3083">
        <f t="shared" si="243"/>
        <v>0</v>
      </c>
      <c r="N3083">
        <f t="shared" si="244"/>
        <v>0</v>
      </c>
      <c r="O3083">
        <f t="shared" si="245"/>
        <v>1</v>
      </c>
      <c r="P3083" t="str">
        <f t="shared" si="246"/>
        <v/>
      </c>
      <c r="Q3083">
        <f>COUNTIF('責任職　企業局→市長部局'!A:A,SQLデータ!B3083)</f>
        <v>0</v>
      </c>
      <c r="R3083">
        <f>COUNTIF('一般職員　企業局→市長部局'!A:F,SQLデータ!B3083)</f>
        <v>0</v>
      </c>
    </row>
    <row r="3084" spans="1:18" x14ac:dyDescent="0.4">
      <c r="A3084" s="1">
        <v>202650003004</v>
      </c>
      <c r="B3084" s="1">
        <v>1171367</v>
      </c>
      <c r="C3084" s="2">
        <v>46127</v>
      </c>
      <c r="D3084" t="s">
        <v>17</v>
      </c>
      <c r="E3084" t="s">
        <v>8</v>
      </c>
      <c r="G3084" t="s">
        <v>9</v>
      </c>
      <c r="L3084">
        <f t="shared" si="242"/>
        <v>0</v>
      </c>
      <c r="M3084">
        <f t="shared" si="243"/>
        <v>0</v>
      </c>
      <c r="N3084">
        <f t="shared" si="244"/>
        <v>0</v>
      </c>
      <c r="O3084">
        <f t="shared" si="245"/>
        <v>1</v>
      </c>
      <c r="P3084" t="str">
        <f t="shared" si="246"/>
        <v/>
      </c>
      <c r="Q3084">
        <f>COUNTIF('責任職　企業局→市長部局'!A:A,SQLデータ!B3084)</f>
        <v>0</v>
      </c>
      <c r="R3084">
        <f>COUNTIF('一般職員　企業局→市長部局'!A:F,SQLデータ!B3084)</f>
        <v>0</v>
      </c>
    </row>
    <row r="3085" spans="1:18" x14ac:dyDescent="0.4">
      <c r="A3085" s="1">
        <v>202650003005</v>
      </c>
      <c r="B3085" s="1">
        <v>1201236</v>
      </c>
      <c r="C3085" s="2">
        <v>46127</v>
      </c>
      <c r="D3085" t="s">
        <v>17</v>
      </c>
      <c r="E3085" t="s">
        <v>8</v>
      </c>
      <c r="G3085" t="s">
        <v>9</v>
      </c>
      <c r="L3085">
        <f t="shared" si="242"/>
        <v>0</v>
      </c>
      <c r="M3085">
        <f t="shared" si="243"/>
        <v>0</v>
      </c>
      <c r="N3085">
        <f t="shared" si="244"/>
        <v>0</v>
      </c>
      <c r="O3085">
        <f t="shared" si="245"/>
        <v>1</v>
      </c>
      <c r="P3085" t="str">
        <f t="shared" si="246"/>
        <v/>
      </c>
      <c r="Q3085">
        <f>COUNTIF('責任職　企業局→市長部局'!A:A,SQLデータ!B3085)</f>
        <v>0</v>
      </c>
      <c r="R3085">
        <f>COUNTIF('一般職員　企業局→市長部局'!A:F,SQLデータ!B3085)</f>
        <v>0</v>
      </c>
    </row>
    <row r="3086" spans="1:18" x14ac:dyDescent="0.4">
      <c r="A3086" s="1">
        <v>202650003006</v>
      </c>
      <c r="B3086" s="1">
        <v>1102118</v>
      </c>
      <c r="C3086" s="2">
        <v>46127</v>
      </c>
      <c r="D3086" t="s">
        <v>17</v>
      </c>
      <c r="E3086" t="s">
        <v>8</v>
      </c>
      <c r="G3086" t="s">
        <v>9</v>
      </c>
      <c r="L3086">
        <f t="shared" si="242"/>
        <v>0</v>
      </c>
      <c r="M3086">
        <f t="shared" si="243"/>
        <v>0</v>
      </c>
      <c r="N3086">
        <f t="shared" si="244"/>
        <v>0</v>
      </c>
      <c r="O3086">
        <f t="shared" si="245"/>
        <v>1</v>
      </c>
      <c r="P3086" t="str">
        <f t="shared" si="246"/>
        <v/>
      </c>
      <c r="Q3086">
        <f>COUNTIF('責任職　企業局→市長部局'!A:A,SQLデータ!B3086)</f>
        <v>0</v>
      </c>
      <c r="R3086">
        <f>COUNTIF('一般職員　企業局→市長部局'!A:F,SQLデータ!B3086)</f>
        <v>0</v>
      </c>
    </row>
    <row r="3087" spans="1:18" x14ac:dyDescent="0.4">
      <c r="A3087" s="1">
        <v>202650003007</v>
      </c>
      <c r="B3087" s="1">
        <v>1231310</v>
      </c>
      <c r="C3087" s="2">
        <v>46127</v>
      </c>
      <c r="D3087" t="s">
        <v>17</v>
      </c>
      <c r="E3087" t="s">
        <v>8</v>
      </c>
      <c r="G3087" t="s">
        <v>9</v>
      </c>
      <c r="L3087">
        <f t="shared" si="242"/>
        <v>0</v>
      </c>
      <c r="M3087">
        <f t="shared" si="243"/>
        <v>0</v>
      </c>
      <c r="N3087">
        <f t="shared" si="244"/>
        <v>0</v>
      </c>
      <c r="O3087">
        <f t="shared" si="245"/>
        <v>1</v>
      </c>
      <c r="P3087" t="str">
        <f t="shared" si="246"/>
        <v/>
      </c>
      <c r="Q3087">
        <f>COUNTIF('責任職　企業局→市長部局'!A:A,SQLデータ!B3087)</f>
        <v>0</v>
      </c>
      <c r="R3087">
        <f>COUNTIF('一般職員　企業局→市長部局'!A:F,SQLデータ!B3087)</f>
        <v>0</v>
      </c>
    </row>
    <row r="3088" spans="1:18" x14ac:dyDescent="0.4">
      <c r="A3088" s="1">
        <v>202650003008</v>
      </c>
      <c r="B3088" s="1">
        <v>1081175</v>
      </c>
      <c r="C3088" s="2">
        <v>46127</v>
      </c>
      <c r="D3088" t="s">
        <v>17</v>
      </c>
      <c r="E3088" t="s">
        <v>8</v>
      </c>
      <c r="G3088" t="s">
        <v>9</v>
      </c>
      <c r="L3088">
        <f t="shared" si="242"/>
        <v>0</v>
      </c>
      <c r="M3088">
        <f t="shared" si="243"/>
        <v>0</v>
      </c>
      <c r="N3088">
        <f t="shared" si="244"/>
        <v>0</v>
      </c>
      <c r="O3088">
        <f t="shared" si="245"/>
        <v>1</v>
      </c>
      <c r="P3088" t="str">
        <f t="shared" si="246"/>
        <v/>
      </c>
      <c r="Q3088">
        <f>COUNTIF('責任職　企業局→市長部局'!A:A,SQLデータ!B3088)</f>
        <v>0</v>
      </c>
      <c r="R3088">
        <f>COUNTIF('一般職員　企業局→市長部局'!A:F,SQLデータ!B3088)</f>
        <v>0</v>
      </c>
    </row>
    <row r="3089" spans="1:18" x14ac:dyDescent="0.4">
      <c r="A3089" s="1">
        <v>202650003009</v>
      </c>
      <c r="B3089" s="1">
        <v>1191429</v>
      </c>
      <c r="C3089" s="2">
        <v>46127</v>
      </c>
      <c r="D3089" t="s">
        <v>17</v>
      </c>
      <c r="E3089" t="s">
        <v>8</v>
      </c>
      <c r="G3089" t="s">
        <v>9</v>
      </c>
      <c r="L3089">
        <f t="shared" si="242"/>
        <v>0</v>
      </c>
      <c r="M3089">
        <f t="shared" si="243"/>
        <v>0</v>
      </c>
      <c r="N3089">
        <f t="shared" si="244"/>
        <v>0</v>
      </c>
      <c r="O3089">
        <f t="shared" si="245"/>
        <v>1</v>
      </c>
      <c r="P3089" t="str">
        <f t="shared" si="246"/>
        <v/>
      </c>
      <c r="Q3089">
        <f>COUNTIF('責任職　企業局→市長部局'!A:A,SQLデータ!B3089)</f>
        <v>0</v>
      </c>
      <c r="R3089">
        <f>COUNTIF('一般職員　企業局→市長部局'!A:F,SQLデータ!B3089)</f>
        <v>0</v>
      </c>
    </row>
    <row r="3090" spans="1:18" x14ac:dyDescent="0.4">
      <c r="A3090" s="1">
        <v>202650003010</v>
      </c>
      <c r="B3090" s="1">
        <v>1231084</v>
      </c>
      <c r="C3090" s="2">
        <v>46127</v>
      </c>
      <c r="D3090" t="s">
        <v>17</v>
      </c>
      <c r="E3090" t="s">
        <v>8</v>
      </c>
      <c r="G3090" t="s">
        <v>9</v>
      </c>
      <c r="L3090">
        <f t="shared" si="242"/>
        <v>0</v>
      </c>
      <c r="M3090">
        <f t="shared" si="243"/>
        <v>0</v>
      </c>
      <c r="N3090">
        <f t="shared" si="244"/>
        <v>0</v>
      </c>
      <c r="O3090">
        <f t="shared" si="245"/>
        <v>1</v>
      </c>
      <c r="P3090" t="str">
        <f t="shared" si="246"/>
        <v/>
      </c>
      <c r="Q3090">
        <f>COUNTIF('責任職　企業局→市長部局'!A:A,SQLデータ!B3090)</f>
        <v>0</v>
      </c>
      <c r="R3090">
        <f>COUNTIF('一般職員　企業局→市長部局'!A:F,SQLデータ!B3090)</f>
        <v>0</v>
      </c>
    </row>
    <row r="3091" spans="1:18" x14ac:dyDescent="0.4">
      <c r="A3091" s="1">
        <v>202650003011</v>
      </c>
      <c r="B3091" s="1">
        <v>1211377</v>
      </c>
      <c r="C3091" s="2">
        <v>46127</v>
      </c>
      <c r="D3091" t="s">
        <v>17</v>
      </c>
      <c r="E3091" t="s">
        <v>8</v>
      </c>
      <c r="G3091" t="s">
        <v>9</v>
      </c>
      <c r="L3091">
        <f t="shared" si="242"/>
        <v>0</v>
      </c>
      <c r="M3091">
        <f t="shared" si="243"/>
        <v>0</v>
      </c>
      <c r="N3091">
        <f t="shared" si="244"/>
        <v>0</v>
      </c>
      <c r="O3091">
        <f t="shared" si="245"/>
        <v>1</v>
      </c>
      <c r="P3091" t="str">
        <f t="shared" si="246"/>
        <v/>
      </c>
      <c r="Q3091">
        <f>COUNTIF('責任職　企業局→市長部局'!A:A,SQLデータ!B3091)</f>
        <v>0</v>
      </c>
      <c r="R3091">
        <f>COUNTIF('一般職員　企業局→市長部局'!A:F,SQLデータ!B3091)</f>
        <v>0</v>
      </c>
    </row>
    <row r="3092" spans="1:18" x14ac:dyDescent="0.4">
      <c r="A3092" s="1">
        <v>202650003012</v>
      </c>
      <c r="B3092" s="1">
        <v>1004130</v>
      </c>
      <c r="C3092" s="2">
        <v>46127</v>
      </c>
      <c r="D3092" t="s">
        <v>17</v>
      </c>
      <c r="E3092" t="s">
        <v>8</v>
      </c>
      <c r="G3092" t="s">
        <v>9</v>
      </c>
      <c r="L3092">
        <f t="shared" si="242"/>
        <v>0</v>
      </c>
      <c r="M3092">
        <f t="shared" si="243"/>
        <v>0</v>
      </c>
      <c r="N3092">
        <f t="shared" si="244"/>
        <v>0</v>
      </c>
      <c r="O3092">
        <f t="shared" si="245"/>
        <v>1</v>
      </c>
      <c r="P3092" t="str">
        <f t="shared" si="246"/>
        <v/>
      </c>
      <c r="Q3092">
        <f>COUNTIF('責任職　企業局→市長部局'!A:A,SQLデータ!B3092)</f>
        <v>0</v>
      </c>
      <c r="R3092">
        <f>COUNTIF('一般職員　企業局→市長部局'!A:F,SQLデータ!B3092)</f>
        <v>0</v>
      </c>
    </row>
    <row r="3093" spans="1:18" x14ac:dyDescent="0.4">
      <c r="A3093" s="1">
        <v>202650003013</v>
      </c>
      <c r="B3093" s="1">
        <v>1071253</v>
      </c>
      <c r="C3093" s="2">
        <v>46127</v>
      </c>
      <c r="D3093" t="s">
        <v>17</v>
      </c>
      <c r="E3093" t="s">
        <v>8</v>
      </c>
      <c r="G3093" t="s">
        <v>9</v>
      </c>
      <c r="L3093">
        <f t="shared" si="242"/>
        <v>0</v>
      </c>
      <c r="M3093">
        <f t="shared" si="243"/>
        <v>0</v>
      </c>
      <c r="N3093">
        <f t="shared" si="244"/>
        <v>0</v>
      </c>
      <c r="O3093">
        <f t="shared" si="245"/>
        <v>1</v>
      </c>
      <c r="P3093" t="str">
        <f t="shared" si="246"/>
        <v/>
      </c>
      <c r="Q3093">
        <f>COUNTIF('責任職　企業局→市長部局'!A:A,SQLデータ!B3093)</f>
        <v>0</v>
      </c>
      <c r="R3093">
        <f>COUNTIF('一般職員　企業局→市長部局'!A:F,SQLデータ!B3093)</f>
        <v>0</v>
      </c>
    </row>
    <row r="3094" spans="1:18" x14ac:dyDescent="0.4">
      <c r="A3094" s="1">
        <v>202650003014</v>
      </c>
      <c r="B3094" s="1">
        <v>1162054</v>
      </c>
      <c r="C3094" s="2">
        <v>46127</v>
      </c>
      <c r="D3094" t="s">
        <v>17</v>
      </c>
      <c r="E3094" t="s">
        <v>8</v>
      </c>
      <c r="G3094" t="s">
        <v>9</v>
      </c>
      <c r="L3094">
        <f t="shared" si="242"/>
        <v>0</v>
      </c>
      <c r="M3094">
        <f t="shared" si="243"/>
        <v>0</v>
      </c>
      <c r="N3094">
        <f t="shared" si="244"/>
        <v>0</v>
      </c>
      <c r="O3094">
        <f t="shared" si="245"/>
        <v>1</v>
      </c>
      <c r="P3094" t="str">
        <f t="shared" si="246"/>
        <v/>
      </c>
      <c r="Q3094">
        <f>COUNTIF('責任職　企業局→市長部局'!A:A,SQLデータ!B3094)</f>
        <v>0</v>
      </c>
      <c r="R3094">
        <f>COUNTIF('一般職員　企業局→市長部局'!A:F,SQLデータ!B3094)</f>
        <v>0</v>
      </c>
    </row>
    <row r="3095" spans="1:18" x14ac:dyDescent="0.4">
      <c r="A3095" s="1">
        <v>202650003015</v>
      </c>
      <c r="B3095" s="1">
        <v>1231075</v>
      </c>
      <c r="C3095" s="2">
        <v>46127</v>
      </c>
      <c r="D3095" t="s">
        <v>17</v>
      </c>
      <c r="E3095" t="s">
        <v>8</v>
      </c>
      <c r="G3095" t="s">
        <v>9</v>
      </c>
      <c r="L3095">
        <f t="shared" si="242"/>
        <v>0</v>
      </c>
      <c r="M3095">
        <f t="shared" si="243"/>
        <v>0</v>
      </c>
      <c r="N3095">
        <f t="shared" si="244"/>
        <v>0</v>
      </c>
      <c r="O3095">
        <f t="shared" si="245"/>
        <v>1</v>
      </c>
      <c r="P3095" t="str">
        <f t="shared" si="246"/>
        <v/>
      </c>
      <c r="Q3095">
        <f>COUNTIF('責任職　企業局→市長部局'!A:A,SQLデータ!B3095)</f>
        <v>0</v>
      </c>
      <c r="R3095">
        <f>COUNTIF('一般職員　企業局→市長部局'!A:F,SQLデータ!B3095)</f>
        <v>0</v>
      </c>
    </row>
    <row r="3096" spans="1:18" x14ac:dyDescent="0.4">
      <c r="A3096" s="1">
        <v>202650003016</v>
      </c>
      <c r="B3096" s="1">
        <v>1191422</v>
      </c>
      <c r="C3096" s="2">
        <v>46127</v>
      </c>
      <c r="D3096" t="s">
        <v>17</v>
      </c>
      <c r="E3096" t="s">
        <v>8</v>
      </c>
      <c r="G3096" t="s">
        <v>9</v>
      </c>
      <c r="L3096">
        <f t="shared" si="242"/>
        <v>0</v>
      </c>
      <c r="M3096">
        <f t="shared" si="243"/>
        <v>0</v>
      </c>
      <c r="N3096">
        <f t="shared" si="244"/>
        <v>0</v>
      </c>
      <c r="O3096">
        <f t="shared" si="245"/>
        <v>1</v>
      </c>
      <c r="P3096" t="str">
        <f t="shared" si="246"/>
        <v/>
      </c>
      <c r="Q3096">
        <f>COUNTIF('責任職　企業局→市長部局'!A:A,SQLデータ!B3096)</f>
        <v>0</v>
      </c>
      <c r="R3096">
        <f>COUNTIF('一般職員　企業局→市長部局'!A:F,SQLデータ!B3096)</f>
        <v>0</v>
      </c>
    </row>
    <row r="3097" spans="1:18" x14ac:dyDescent="0.4">
      <c r="A3097" s="1">
        <v>202650003018</v>
      </c>
      <c r="B3097" s="1">
        <v>1191122</v>
      </c>
      <c r="C3097" s="2">
        <v>46127</v>
      </c>
      <c r="D3097" t="s">
        <v>17</v>
      </c>
      <c r="E3097" t="s">
        <v>8</v>
      </c>
      <c r="G3097" t="s">
        <v>9</v>
      </c>
      <c r="L3097">
        <f t="shared" si="242"/>
        <v>0</v>
      </c>
      <c r="M3097">
        <f t="shared" si="243"/>
        <v>0</v>
      </c>
      <c r="N3097">
        <f t="shared" si="244"/>
        <v>0</v>
      </c>
      <c r="O3097">
        <f t="shared" si="245"/>
        <v>1</v>
      </c>
      <c r="P3097" t="str">
        <f t="shared" si="246"/>
        <v/>
      </c>
      <c r="Q3097">
        <f>COUNTIF('責任職　企業局→市長部局'!A:A,SQLデータ!B3097)</f>
        <v>0</v>
      </c>
      <c r="R3097">
        <f>COUNTIF('一般職員　企業局→市長部局'!A:F,SQLデータ!B3097)</f>
        <v>0</v>
      </c>
    </row>
    <row r="3098" spans="1:18" x14ac:dyDescent="0.4">
      <c r="A3098" s="1">
        <v>202650003019</v>
      </c>
      <c r="B3098" s="1">
        <v>1231326</v>
      </c>
      <c r="C3098" s="2">
        <v>46127</v>
      </c>
      <c r="D3098" t="s">
        <v>17</v>
      </c>
      <c r="E3098" t="s">
        <v>8</v>
      </c>
      <c r="G3098" t="s">
        <v>9</v>
      </c>
      <c r="L3098">
        <f t="shared" si="242"/>
        <v>0</v>
      </c>
      <c r="M3098">
        <f t="shared" si="243"/>
        <v>0</v>
      </c>
      <c r="N3098">
        <f t="shared" si="244"/>
        <v>0</v>
      </c>
      <c r="O3098">
        <f t="shared" si="245"/>
        <v>1</v>
      </c>
      <c r="P3098" t="str">
        <f t="shared" si="246"/>
        <v/>
      </c>
      <c r="Q3098">
        <f>COUNTIF('責任職　企業局→市長部局'!A:A,SQLデータ!B3098)</f>
        <v>0</v>
      </c>
      <c r="R3098">
        <f>COUNTIF('一般職員　企業局→市長部局'!A:F,SQLデータ!B3098)</f>
        <v>0</v>
      </c>
    </row>
    <row r="3099" spans="1:18" x14ac:dyDescent="0.4">
      <c r="A3099" s="1">
        <v>202650003020</v>
      </c>
      <c r="B3099" s="1">
        <v>1212118</v>
      </c>
      <c r="C3099" s="2">
        <v>46127</v>
      </c>
      <c r="D3099" t="s">
        <v>17</v>
      </c>
      <c r="E3099" t="s">
        <v>8</v>
      </c>
      <c r="G3099" t="s">
        <v>9</v>
      </c>
      <c r="L3099">
        <f t="shared" si="242"/>
        <v>0</v>
      </c>
      <c r="M3099">
        <f t="shared" si="243"/>
        <v>0</v>
      </c>
      <c r="N3099">
        <f t="shared" si="244"/>
        <v>0</v>
      </c>
      <c r="O3099">
        <f t="shared" si="245"/>
        <v>1</v>
      </c>
      <c r="P3099" t="str">
        <f t="shared" si="246"/>
        <v/>
      </c>
      <c r="Q3099">
        <f>COUNTIF('責任職　企業局→市長部局'!A:A,SQLデータ!B3099)</f>
        <v>0</v>
      </c>
      <c r="R3099">
        <f>COUNTIF('一般職員　企業局→市長部局'!A:F,SQLデータ!B3099)</f>
        <v>0</v>
      </c>
    </row>
    <row r="3100" spans="1:18" x14ac:dyDescent="0.4">
      <c r="A3100" s="1">
        <v>202650003021</v>
      </c>
      <c r="B3100" s="1">
        <v>1231122</v>
      </c>
      <c r="C3100" s="2">
        <v>46127</v>
      </c>
      <c r="D3100" t="s">
        <v>17</v>
      </c>
      <c r="E3100" t="s">
        <v>8</v>
      </c>
      <c r="G3100" t="s">
        <v>9</v>
      </c>
      <c r="L3100">
        <f t="shared" si="242"/>
        <v>0</v>
      </c>
      <c r="M3100">
        <f t="shared" si="243"/>
        <v>0</v>
      </c>
      <c r="N3100">
        <f t="shared" si="244"/>
        <v>0</v>
      </c>
      <c r="O3100">
        <f t="shared" si="245"/>
        <v>1</v>
      </c>
      <c r="P3100" t="str">
        <f t="shared" si="246"/>
        <v/>
      </c>
      <c r="Q3100">
        <f>COUNTIF('責任職　企業局→市長部局'!A:A,SQLデータ!B3100)</f>
        <v>0</v>
      </c>
      <c r="R3100">
        <f>COUNTIF('一般職員　企業局→市長部局'!A:F,SQLデータ!B3100)</f>
        <v>0</v>
      </c>
    </row>
    <row r="3101" spans="1:18" x14ac:dyDescent="0.4">
      <c r="A3101" s="1">
        <v>202650003022</v>
      </c>
      <c r="B3101" s="1">
        <v>1071305</v>
      </c>
      <c r="C3101" s="2">
        <v>46127</v>
      </c>
      <c r="D3101" t="s">
        <v>17</v>
      </c>
      <c r="E3101" t="s">
        <v>8</v>
      </c>
      <c r="G3101" t="s">
        <v>9</v>
      </c>
      <c r="L3101">
        <f t="shared" si="242"/>
        <v>0</v>
      </c>
      <c r="M3101">
        <f t="shared" si="243"/>
        <v>0</v>
      </c>
      <c r="N3101">
        <f t="shared" si="244"/>
        <v>0</v>
      </c>
      <c r="O3101">
        <f t="shared" si="245"/>
        <v>1</v>
      </c>
      <c r="P3101" t="str">
        <f t="shared" si="246"/>
        <v/>
      </c>
      <c r="Q3101">
        <f>COUNTIF('責任職　企業局→市長部局'!A:A,SQLデータ!B3101)</f>
        <v>0</v>
      </c>
      <c r="R3101">
        <f>COUNTIF('一般職員　企業局→市長部局'!A:F,SQLデータ!B3101)</f>
        <v>0</v>
      </c>
    </row>
    <row r="3102" spans="1:18" x14ac:dyDescent="0.4">
      <c r="A3102" s="1">
        <v>202650003023</v>
      </c>
      <c r="B3102" s="1">
        <v>1081410</v>
      </c>
      <c r="C3102" s="2">
        <v>46127</v>
      </c>
      <c r="D3102" t="s">
        <v>17</v>
      </c>
      <c r="E3102" t="s">
        <v>8</v>
      </c>
      <c r="G3102" t="s">
        <v>9</v>
      </c>
      <c r="L3102">
        <f t="shared" si="242"/>
        <v>0</v>
      </c>
      <c r="M3102">
        <f t="shared" si="243"/>
        <v>0</v>
      </c>
      <c r="N3102">
        <f t="shared" si="244"/>
        <v>0</v>
      </c>
      <c r="O3102">
        <f t="shared" si="245"/>
        <v>1</v>
      </c>
      <c r="P3102" t="str">
        <f t="shared" si="246"/>
        <v/>
      </c>
      <c r="Q3102">
        <f>COUNTIF('責任職　企業局→市長部局'!A:A,SQLデータ!B3102)</f>
        <v>0</v>
      </c>
      <c r="R3102">
        <f>COUNTIF('一般職員　企業局→市長部局'!A:F,SQLデータ!B3102)</f>
        <v>0</v>
      </c>
    </row>
    <row r="3103" spans="1:18" x14ac:dyDescent="0.4">
      <c r="A3103" s="1">
        <v>202650003024</v>
      </c>
      <c r="B3103" s="1">
        <v>1161515</v>
      </c>
      <c r="C3103" s="2">
        <v>46127</v>
      </c>
      <c r="D3103" t="s">
        <v>17</v>
      </c>
      <c r="E3103" t="s">
        <v>8</v>
      </c>
      <c r="G3103" t="s">
        <v>9</v>
      </c>
      <c r="L3103">
        <f t="shared" si="242"/>
        <v>0</v>
      </c>
      <c r="M3103">
        <f t="shared" si="243"/>
        <v>0</v>
      </c>
      <c r="N3103">
        <f t="shared" si="244"/>
        <v>0</v>
      </c>
      <c r="O3103">
        <f t="shared" si="245"/>
        <v>1</v>
      </c>
      <c r="P3103" t="str">
        <f t="shared" si="246"/>
        <v/>
      </c>
      <c r="Q3103">
        <f>COUNTIF('責任職　企業局→市長部局'!A:A,SQLデータ!B3103)</f>
        <v>0</v>
      </c>
      <c r="R3103">
        <f>COUNTIF('一般職員　企業局→市長部局'!A:F,SQLデータ!B3103)</f>
        <v>0</v>
      </c>
    </row>
    <row r="3104" spans="1:18" x14ac:dyDescent="0.4">
      <c r="A3104" s="1">
        <v>202650003025</v>
      </c>
      <c r="B3104" s="1">
        <v>1191117</v>
      </c>
      <c r="C3104" s="2">
        <v>46127</v>
      </c>
      <c r="D3104" t="s">
        <v>17</v>
      </c>
      <c r="E3104" t="s">
        <v>8</v>
      </c>
      <c r="G3104" t="s">
        <v>9</v>
      </c>
      <c r="L3104">
        <f t="shared" si="242"/>
        <v>0</v>
      </c>
      <c r="M3104">
        <f t="shared" si="243"/>
        <v>0</v>
      </c>
      <c r="N3104">
        <f t="shared" si="244"/>
        <v>0</v>
      </c>
      <c r="O3104">
        <f t="shared" si="245"/>
        <v>1</v>
      </c>
      <c r="P3104" t="str">
        <f t="shared" si="246"/>
        <v/>
      </c>
      <c r="Q3104">
        <f>COUNTIF('責任職　企業局→市長部局'!A:A,SQLデータ!B3104)</f>
        <v>0</v>
      </c>
      <c r="R3104">
        <f>COUNTIF('一般職員　企業局→市長部局'!A:F,SQLデータ!B3104)</f>
        <v>0</v>
      </c>
    </row>
    <row r="3105" spans="1:18" x14ac:dyDescent="0.4">
      <c r="A3105" s="1">
        <v>202650003026</v>
      </c>
      <c r="B3105" s="1">
        <v>1101080</v>
      </c>
      <c r="C3105" s="2">
        <v>46127</v>
      </c>
      <c r="D3105" t="s">
        <v>17</v>
      </c>
      <c r="E3105" t="s">
        <v>8</v>
      </c>
      <c r="G3105" t="s">
        <v>9</v>
      </c>
      <c r="L3105">
        <f t="shared" si="242"/>
        <v>0</v>
      </c>
      <c r="M3105">
        <f t="shared" si="243"/>
        <v>0</v>
      </c>
      <c r="N3105">
        <f t="shared" si="244"/>
        <v>0</v>
      </c>
      <c r="O3105">
        <f t="shared" si="245"/>
        <v>1</v>
      </c>
      <c r="P3105" t="str">
        <f t="shared" si="246"/>
        <v/>
      </c>
      <c r="Q3105">
        <f>COUNTIF('責任職　企業局→市長部局'!A:A,SQLデータ!B3105)</f>
        <v>0</v>
      </c>
      <c r="R3105">
        <f>COUNTIF('一般職員　企業局→市長部局'!A:F,SQLデータ!B3105)</f>
        <v>0</v>
      </c>
    </row>
    <row r="3106" spans="1:18" x14ac:dyDescent="0.4">
      <c r="A3106" s="1">
        <v>202650003027</v>
      </c>
      <c r="B3106" s="1">
        <v>1121261</v>
      </c>
      <c r="C3106" s="2">
        <v>46127</v>
      </c>
      <c r="D3106" t="s">
        <v>17</v>
      </c>
      <c r="E3106" t="s">
        <v>8</v>
      </c>
      <c r="G3106" t="s">
        <v>9</v>
      </c>
      <c r="L3106">
        <f t="shared" ref="L3106:L3169" si="247">IF(ISBLANK(J3106),0,1)</f>
        <v>0</v>
      </c>
      <c r="M3106">
        <f t="shared" ref="M3106:M3169" si="248">IF(AND(L3106=0,I3106&lt;&gt;""),1,0)</f>
        <v>0</v>
      </c>
      <c r="N3106">
        <f t="shared" ref="N3106:N3169" si="249">IF(AND(L3106=0,M3106=0,K3106&lt;&gt;""),1,0)</f>
        <v>0</v>
      </c>
      <c r="O3106">
        <f t="shared" ref="O3106:O3169" si="250">IF(COUNTIF(L3106:N3106,0)=3,1,0)</f>
        <v>1</v>
      </c>
      <c r="P3106" t="str">
        <f t="shared" ref="P3106:P3169" si="251">IF(D3106&lt;&gt;"扶養","",IF(E3106&lt;&gt;"確認待ち",1,IF(OR(AND(G3106="本人の結婚",O3106=1),AND(H3106="減",OR(N3106=1,O3106=1))),1,0)))</f>
        <v/>
      </c>
      <c r="Q3106">
        <f>COUNTIF('責任職　企業局→市長部局'!A:A,SQLデータ!B3106)</f>
        <v>0</v>
      </c>
      <c r="R3106">
        <f>COUNTIF('一般職員　企業局→市長部局'!A:F,SQLデータ!B3106)</f>
        <v>0</v>
      </c>
    </row>
    <row r="3107" spans="1:18" x14ac:dyDescent="0.4">
      <c r="A3107" s="1">
        <v>202650003028</v>
      </c>
      <c r="B3107" s="1">
        <v>1161362</v>
      </c>
      <c r="C3107" s="2">
        <v>46127</v>
      </c>
      <c r="D3107" t="s">
        <v>17</v>
      </c>
      <c r="E3107" t="s">
        <v>8</v>
      </c>
      <c r="G3107" t="s">
        <v>9</v>
      </c>
      <c r="L3107">
        <f t="shared" si="247"/>
        <v>0</v>
      </c>
      <c r="M3107">
        <f t="shared" si="248"/>
        <v>0</v>
      </c>
      <c r="N3107">
        <f t="shared" si="249"/>
        <v>0</v>
      </c>
      <c r="O3107">
        <f t="shared" si="250"/>
        <v>1</v>
      </c>
      <c r="P3107" t="str">
        <f t="shared" si="251"/>
        <v/>
      </c>
      <c r="Q3107">
        <f>COUNTIF('責任職　企業局→市長部局'!A:A,SQLデータ!B3107)</f>
        <v>0</v>
      </c>
      <c r="R3107">
        <f>COUNTIF('一般職員　企業局→市長部局'!A:F,SQLデータ!B3107)</f>
        <v>0</v>
      </c>
    </row>
    <row r="3108" spans="1:18" x14ac:dyDescent="0.4">
      <c r="A3108" s="1">
        <v>202650003029</v>
      </c>
      <c r="B3108" s="1">
        <v>1212501</v>
      </c>
      <c r="C3108" s="2">
        <v>46127</v>
      </c>
      <c r="D3108" t="s">
        <v>17</v>
      </c>
      <c r="E3108" t="s">
        <v>8</v>
      </c>
      <c r="G3108" t="s">
        <v>9</v>
      </c>
      <c r="L3108">
        <f t="shared" si="247"/>
        <v>0</v>
      </c>
      <c r="M3108">
        <f t="shared" si="248"/>
        <v>0</v>
      </c>
      <c r="N3108">
        <f t="shared" si="249"/>
        <v>0</v>
      </c>
      <c r="O3108">
        <f t="shared" si="250"/>
        <v>1</v>
      </c>
      <c r="P3108" t="str">
        <f t="shared" si="251"/>
        <v/>
      </c>
      <c r="Q3108">
        <f>COUNTIF('責任職　企業局→市長部局'!A:A,SQLデータ!B3108)</f>
        <v>0</v>
      </c>
      <c r="R3108">
        <f>COUNTIF('一般職員　企業局→市長部局'!A:F,SQLデータ!B3108)</f>
        <v>0</v>
      </c>
    </row>
    <row r="3109" spans="1:18" x14ac:dyDescent="0.4">
      <c r="A3109" s="1">
        <v>202650003030</v>
      </c>
      <c r="B3109" s="1">
        <v>1230005</v>
      </c>
      <c r="C3109" s="2">
        <v>46127</v>
      </c>
      <c r="D3109" t="s">
        <v>17</v>
      </c>
      <c r="E3109" t="s">
        <v>8</v>
      </c>
      <c r="G3109" t="s">
        <v>9</v>
      </c>
      <c r="L3109">
        <f t="shared" si="247"/>
        <v>0</v>
      </c>
      <c r="M3109">
        <f t="shared" si="248"/>
        <v>0</v>
      </c>
      <c r="N3109">
        <f t="shared" si="249"/>
        <v>0</v>
      </c>
      <c r="O3109">
        <f t="shared" si="250"/>
        <v>1</v>
      </c>
      <c r="P3109" t="str">
        <f t="shared" si="251"/>
        <v/>
      </c>
      <c r="Q3109">
        <f>COUNTIF('責任職　企業局→市長部局'!A:A,SQLデータ!B3109)</f>
        <v>0</v>
      </c>
      <c r="R3109">
        <f>COUNTIF('一般職員　企業局→市長部局'!A:F,SQLデータ!B3109)</f>
        <v>0</v>
      </c>
    </row>
    <row r="3110" spans="1:18" x14ac:dyDescent="0.4">
      <c r="A3110" s="1">
        <v>202650003031</v>
      </c>
      <c r="B3110" s="1">
        <v>1222073</v>
      </c>
      <c r="C3110" s="2">
        <v>46127</v>
      </c>
      <c r="D3110" t="s">
        <v>17</v>
      </c>
      <c r="E3110" t="s">
        <v>8</v>
      </c>
      <c r="G3110" t="s">
        <v>9</v>
      </c>
      <c r="L3110">
        <f t="shared" si="247"/>
        <v>0</v>
      </c>
      <c r="M3110">
        <f t="shared" si="248"/>
        <v>0</v>
      </c>
      <c r="N3110">
        <f t="shared" si="249"/>
        <v>0</v>
      </c>
      <c r="O3110">
        <f t="shared" si="250"/>
        <v>1</v>
      </c>
      <c r="P3110" t="str">
        <f t="shared" si="251"/>
        <v/>
      </c>
      <c r="Q3110">
        <f>COUNTIF('責任職　企業局→市長部局'!A:A,SQLデータ!B3110)</f>
        <v>0</v>
      </c>
      <c r="R3110">
        <f>COUNTIF('一般職員　企業局→市長部局'!A:F,SQLデータ!B3110)</f>
        <v>0</v>
      </c>
    </row>
    <row r="3111" spans="1:18" x14ac:dyDescent="0.4">
      <c r="A3111" s="1">
        <v>202650003032</v>
      </c>
      <c r="B3111" s="1">
        <v>1091042</v>
      </c>
      <c r="C3111" s="2">
        <v>46127</v>
      </c>
      <c r="D3111" t="s">
        <v>17</v>
      </c>
      <c r="E3111" t="s">
        <v>8</v>
      </c>
      <c r="G3111" t="s">
        <v>9</v>
      </c>
      <c r="L3111">
        <f t="shared" si="247"/>
        <v>0</v>
      </c>
      <c r="M3111">
        <f t="shared" si="248"/>
        <v>0</v>
      </c>
      <c r="N3111">
        <f t="shared" si="249"/>
        <v>0</v>
      </c>
      <c r="O3111">
        <f t="shared" si="250"/>
        <v>1</v>
      </c>
      <c r="P3111" t="str">
        <f t="shared" si="251"/>
        <v/>
      </c>
      <c r="Q3111">
        <f>COUNTIF('責任職　企業局→市長部局'!A:A,SQLデータ!B3111)</f>
        <v>0</v>
      </c>
      <c r="R3111">
        <f>COUNTIF('一般職員　企業局→市長部局'!A:F,SQLデータ!B3111)</f>
        <v>0</v>
      </c>
    </row>
    <row r="3112" spans="1:18" x14ac:dyDescent="0.4">
      <c r="A3112" s="1">
        <v>202650003033</v>
      </c>
      <c r="B3112" s="1">
        <v>951073</v>
      </c>
      <c r="C3112" s="2">
        <v>46127</v>
      </c>
      <c r="D3112" t="s">
        <v>17</v>
      </c>
      <c r="E3112" t="s">
        <v>8</v>
      </c>
      <c r="G3112" t="s">
        <v>9</v>
      </c>
      <c r="L3112">
        <f t="shared" si="247"/>
        <v>0</v>
      </c>
      <c r="M3112">
        <f t="shared" si="248"/>
        <v>0</v>
      </c>
      <c r="N3112">
        <f t="shared" si="249"/>
        <v>0</v>
      </c>
      <c r="O3112">
        <f t="shared" si="250"/>
        <v>1</v>
      </c>
      <c r="P3112" t="str">
        <f t="shared" si="251"/>
        <v/>
      </c>
      <c r="Q3112">
        <f>COUNTIF('責任職　企業局→市長部局'!A:A,SQLデータ!B3112)</f>
        <v>0</v>
      </c>
      <c r="R3112">
        <f>COUNTIF('一般職員　企業局→市長部局'!A:F,SQLデータ!B3112)</f>
        <v>0</v>
      </c>
    </row>
    <row r="3113" spans="1:18" x14ac:dyDescent="0.4">
      <c r="A3113" s="1">
        <v>202650003034</v>
      </c>
      <c r="B3113" s="1">
        <v>1222023</v>
      </c>
      <c r="C3113" s="2">
        <v>46127</v>
      </c>
      <c r="D3113" t="s">
        <v>17</v>
      </c>
      <c r="E3113" t="s">
        <v>8</v>
      </c>
      <c r="G3113" t="s">
        <v>9</v>
      </c>
      <c r="L3113">
        <f t="shared" si="247"/>
        <v>0</v>
      </c>
      <c r="M3113">
        <f t="shared" si="248"/>
        <v>0</v>
      </c>
      <c r="N3113">
        <f t="shared" si="249"/>
        <v>0</v>
      </c>
      <c r="O3113">
        <f t="shared" si="250"/>
        <v>1</v>
      </c>
      <c r="P3113" t="str">
        <f t="shared" si="251"/>
        <v/>
      </c>
      <c r="Q3113">
        <f>COUNTIF('責任職　企業局→市長部局'!A:A,SQLデータ!B3113)</f>
        <v>0</v>
      </c>
      <c r="R3113">
        <f>COUNTIF('一般職員　企業局→市長部局'!A:F,SQLデータ!B3113)</f>
        <v>0</v>
      </c>
    </row>
    <row r="3114" spans="1:18" x14ac:dyDescent="0.4">
      <c r="A3114" s="1">
        <v>202650003035</v>
      </c>
      <c r="B3114" s="1">
        <v>1021096</v>
      </c>
      <c r="C3114" s="2">
        <v>46127</v>
      </c>
      <c r="D3114" t="s">
        <v>17</v>
      </c>
      <c r="E3114" t="s">
        <v>8</v>
      </c>
      <c r="G3114" t="s">
        <v>9</v>
      </c>
      <c r="L3114">
        <f t="shared" si="247"/>
        <v>0</v>
      </c>
      <c r="M3114">
        <f t="shared" si="248"/>
        <v>0</v>
      </c>
      <c r="N3114">
        <f t="shared" si="249"/>
        <v>0</v>
      </c>
      <c r="O3114">
        <f t="shared" si="250"/>
        <v>1</v>
      </c>
      <c r="P3114" t="str">
        <f t="shared" si="251"/>
        <v/>
      </c>
      <c r="Q3114">
        <f>COUNTIF('責任職　企業局→市長部局'!A:A,SQLデータ!B3114)</f>
        <v>0</v>
      </c>
      <c r="R3114">
        <f>COUNTIF('一般職員　企業局→市長部局'!A:F,SQLデータ!B3114)</f>
        <v>0</v>
      </c>
    </row>
    <row r="3115" spans="1:18" x14ac:dyDescent="0.4">
      <c r="A3115" s="1">
        <v>202650003036</v>
      </c>
      <c r="B3115" s="1">
        <v>940452</v>
      </c>
      <c r="C3115" s="2">
        <v>46127</v>
      </c>
      <c r="D3115" t="s">
        <v>17</v>
      </c>
      <c r="E3115" t="s">
        <v>8</v>
      </c>
      <c r="G3115" t="s">
        <v>9</v>
      </c>
      <c r="L3115">
        <f t="shared" si="247"/>
        <v>0</v>
      </c>
      <c r="M3115">
        <f t="shared" si="248"/>
        <v>0</v>
      </c>
      <c r="N3115">
        <f t="shared" si="249"/>
        <v>0</v>
      </c>
      <c r="O3115">
        <f t="shared" si="250"/>
        <v>1</v>
      </c>
      <c r="P3115" t="str">
        <f t="shared" si="251"/>
        <v/>
      </c>
      <c r="Q3115">
        <f>COUNTIF('責任職　企業局→市長部局'!A:A,SQLデータ!B3115)</f>
        <v>0</v>
      </c>
      <c r="R3115">
        <f>COUNTIF('一般職員　企業局→市長部局'!A:F,SQLデータ!B3115)</f>
        <v>0</v>
      </c>
    </row>
    <row r="3116" spans="1:18" x14ac:dyDescent="0.4">
      <c r="A3116" s="1">
        <v>202650003037</v>
      </c>
      <c r="B3116" s="1">
        <v>930396</v>
      </c>
      <c r="C3116" s="2">
        <v>46127</v>
      </c>
      <c r="D3116" t="s">
        <v>17</v>
      </c>
      <c r="E3116" t="s">
        <v>8</v>
      </c>
      <c r="G3116" t="s">
        <v>9</v>
      </c>
      <c r="L3116">
        <f t="shared" si="247"/>
        <v>0</v>
      </c>
      <c r="M3116">
        <f t="shared" si="248"/>
        <v>0</v>
      </c>
      <c r="N3116">
        <f t="shared" si="249"/>
        <v>0</v>
      </c>
      <c r="O3116">
        <f t="shared" si="250"/>
        <v>1</v>
      </c>
      <c r="P3116" t="str">
        <f t="shared" si="251"/>
        <v/>
      </c>
      <c r="Q3116">
        <f>COUNTIF('責任職　企業局→市長部局'!A:A,SQLデータ!B3116)</f>
        <v>0</v>
      </c>
      <c r="R3116">
        <f>COUNTIF('一般職員　企業局→市長部局'!A:F,SQLデータ!B3116)</f>
        <v>0</v>
      </c>
    </row>
    <row r="3117" spans="1:18" x14ac:dyDescent="0.4">
      <c r="A3117" s="1">
        <v>202650003038</v>
      </c>
      <c r="B3117" s="1">
        <v>1231187</v>
      </c>
      <c r="C3117" s="2">
        <v>46127</v>
      </c>
      <c r="D3117" t="s">
        <v>17</v>
      </c>
      <c r="E3117" t="s">
        <v>8</v>
      </c>
      <c r="G3117" t="s">
        <v>9</v>
      </c>
      <c r="L3117">
        <f t="shared" si="247"/>
        <v>0</v>
      </c>
      <c r="M3117">
        <f t="shared" si="248"/>
        <v>0</v>
      </c>
      <c r="N3117">
        <f t="shared" si="249"/>
        <v>0</v>
      </c>
      <c r="O3117">
        <f t="shared" si="250"/>
        <v>1</v>
      </c>
      <c r="P3117" t="str">
        <f t="shared" si="251"/>
        <v/>
      </c>
      <c r="Q3117">
        <f>COUNTIF('責任職　企業局→市長部局'!A:A,SQLデータ!B3117)</f>
        <v>0</v>
      </c>
      <c r="R3117">
        <f>COUNTIF('一般職員　企業局→市長部局'!A:F,SQLデータ!B3117)</f>
        <v>0</v>
      </c>
    </row>
    <row r="3118" spans="1:18" x14ac:dyDescent="0.4">
      <c r="A3118" s="1">
        <v>202650003039</v>
      </c>
      <c r="B3118" s="1">
        <v>920416</v>
      </c>
      <c r="C3118" s="2">
        <v>46127</v>
      </c>
      <c r="D3118" t="s">
        <v>17</v>
      </c>
      <c r="E3118" t="s">
        <v>8</v>
      </c>
      <c r="G3118" t="s">
        <v>9</v>
      </c>
      <c r="L3118">
        <f t="shared" si="247"/>
        <v>0</v>
      </c>
      <c r="M3118">
        <f t="shared" si="248"/>
        <v>0</v>
      </c>
      <c r="N3118">
        <f t="shared" si="249"/>
        <v>0</v>
      </c>
      <c r="O3118">
        <f t="shared" si="250"/>
        <v>1</v>
      </c>
      <c r="P3118" t="str">
        <f t="shared" si="251"/>
        <v/>
      </c>
      <c r="Q3118">
        <f>COUNTIF('責任職　企業局→市長部局'!A:A,SQLデータ!B3118)</f>
        <v>0</v>
      </c>
      <c r="R3118">
        <f>COUNTIF('一般職員　企業局→市長部局'!A:F,SQLデータ!B3118)</f>
        <v>0</v>
      </c>
    </row>
    <row r="3119" spans="1:18" x14ac:dyDescent="0.4">
      <c r="A3119" s="1">
        <v>202650003040</v>
      </c>
      <c r="B3119" s="1">
        <v>1092092</v>
      </c>
      <c r="C3119" s="2">
        <v>46127</v>
      </c>
      <c r="D3119" t="s">
        <v>17</v>
      </c>
      <c r="E3119" t="s">
        <v>8</v>
      </c>
      <c r="G3119" t="s">
        <v>9</v>
      </c>
      <c r="L3119">
        <f t="shared" si="247"/>
        <v>0</v>
      </c>
      <c r="M3119">
        <f t="shared" si="248"/>
        <v>0</v>
      </c>
      <c r="N3119">
        <f t="shared" si="249"/>
        <v>0</v>
      </c>
      <c r="O3119">
        <f t="shared" si="250"/>
        <v>1</v>
      </c>
      <c r="P3119" t="str">
        <f t="shared" si="251"/>
        <v/>
      </c>
      <c r="Q3119">
        <f>COUNTIF('責任職　企業局→市長部局'!A:A,SQLデータ!B3119)</f>
        <v>0</v>
      </c>
      <c r="R3119">
        <f>COUNTIF('一般職員　企業局→市長部局'!A:F,SQLデータ!B3119)</f>
        <v>0</v>
      </c>
    </row>
    <row r="3120" spans="1:18" x14ac:dyDescent="0.4">
      <c r="A3120" s="1">
        <v>202650003041</v>
      </c>
      <c r="B3120" s="1">
        <v>1121339</v>
      </c>
      <c r="C3120" s="2">
        <v>46127</v>
      </c>
      <c r="D3120" t="s">
        <v>17</v>
      </c>
      <c r="E3120" t="s">
        <v>8</v>
      </c>
      <c r="G3120" t="s">
        <v>9</v>
      </c>
      <c r="L3120">
        <f t="shared" si="247"/>
        <v>0</v>
      </c>
      <c r="M3120">
        <f t="shared" si="248"/>
        <v>0</v>
      </c>
      <c r="N3120">
        <f t="shared" si="249"/>
        <v>0</v>
      </c>
      <c r="O3120">
        <f t="shared" si="250"/>
        <v>1</v>
      </c>
      <c r="P3120" t="str">
        <f t="shared" si="251"/>
        <v/>
      </c>
      <c r="Q3120">
        <f>COUNTIF('責任職　企業局→市長部局'!A:A,SQLデータ!B3120)</f>
        <v>0</v>
      </c>
      <c r="R3120">
        <f>COUNTIF('一般職員　企業局→市長部局'!A:F,SQLデータ!B3120)</f>
        <v>0</v>
      </c>
    </row>
    <row r="3121" spans="1:18" x14ac:dyDescent="0.4">
      <c r="A3121" s="1">
        <v>202650003042</v>
      </c>
      <c r="B3121" s="1">
        <v>1151070</v>
      </c>
      <c r="C3121" s="2">
        <v>46127</v>
      </c>
      <c r="D3121" t="s">
        <v>17</v>
      </c>
      <c r="E3121" t="s">
        <v>8</v>
      </c>
      <c r="G3121" t="s">
        <v>9</v>
      </c>
      <c r="L3121">
        <f t="shared" si="247"/>
        <v>0</v>
      </c>
      <c r="M3121">
        <f t="shared" si="248"/>
        <v>0</v>
      </c>
      <c r="N3121">
        <f t="shared" si="249"/>
        <v>0</v>
      </c>
      <c r="O3121">
        <f t="shared" si="250"/>
        <v>1</v>
      </c>
      <c r="P3121" t="str">
        <f t="shared" si="251"/>
        <v/>
      </c>
      <c r="Q3121">
        <f>COUNTIF('責任職　企業局→市長部局'!A:A,SQLデータ!B3121)</f>
        <v>0</v>
      </c>
      <c r="R3121">
        <f>COUNTIF('一般職員　企業局→市長部局'!A:F,SQLデータ!B3121)</f>
        <v>0</v>
      </c>
    </row>
    <row r="3122" spans="1:18" x14ac:dyDescent="0.4">
      <c r="A3122" s="1">
        <v>202650003043</v>
      </c>
      <c r="B3122" s="1">
        <v>1192110</v>
      </c>
      <c r="C3122" s="2">
        <v>46127</v>
      </c>
      <c r="D3122" t="s">
        <v>17</v>
      </c>
      <c r="E3122" t="s">
        <v>8</v>
      </c>
      <c r="G3122" t="s">
        <v>9</v>
      </c>
      <c r="L3122">
        <f t="shared" si="247"/>
        <v>0</v>
      </c>
      <c r="M3122">
        <f t="shared" si="248"/>
        <v>0</v>
      </c>
      <c r="N3122">
        <f t="shared" si="249"/>
        <v>0</v>
      </c>
      <c r="O3122">
        <f t="shared" si="250"/>
        <v>1</v>
      </c>
      <c r="P3122" t="str">
        <f t="shared" si="251"/>
        <v/>
      </c>
      <c r="Q3122">
        <f>COUNTIF('責任職　企業局→市長部局'!A:A,SQLデータ!B3122)</f>
        <v>0</v>
      </c>
      <c r="R3122">
        <f>COUNTIF('一般職員　企業局→市長部局'!A:F,SQLデータ!B3122)</f>
        <v>0</v>
      </c>
    </row>
    <row r="3123" spans="1:18" x14ac:dyDescent="0.4">
      <c r="A3123" s="1">
        <v>202650003044</v>
      </c>
      <c r="B3123" s="1">
        <v>1231203</v>
      </c>
      <c r="C3123" s="2">
        <v>46127</v>
      </c>
      <c r="D3123" t="s">
        <v>17</v>
      </c>
      <c r="E3123" t="s">
        <v>8</v>
      </c>
      <c r="G3123" t="s">
        <v>9</v>
      </c>
      <c r="L3123">
        <f t="shared" si="247"/>
        <v>0</v>
      </c>
      <c r="M3123">
        <f t="shared" si="248"/>
        <v>0</v>
      </c>
      <c r="N3123">
        <f t="shared" si="249"/>
        <v>0</v>
      </c>
      <c r="O3123">
        <f t="shared" si="250"/>
        <v>1</v>
      </c>
      <c r="P3123" t="str">
        <f t="shared" si="251"/>
        <v/>
      </c>
      <c r="Q3123">
        <f>COUNTIF('責任職　企業局→市長部局'!A:A,SQLデータ!B3123)</f>
        <v>0</v>
      </c>
      <c r="R3123">
        <f>COUNTIF('一般職員　企業局→市長部局'!A:F,SQLデータ!B3123)</f>
        <v>0</v>
      </c>
    </row>
    <row r="3124" spans="1:18" x14ac:dyDescent="0.4">
      <c r="A3124" s="1">
        <v>202650003045</v>
      </c>
      <c r="B3124" s="1">
        <v>1201047</v>
      </c>
      <c r="C3124" s="2">
        <v>46127</v>
      </c>
      <c r="D3124" t="s">
        <v>17</v>
      </c>
      <c r="E3124" t="s">
        <v>8</v>
      </c>
      <c r="G3124" t="s">
        <v>9</v>
      </c>
      <c r="L3124">
        <f t="shared" si="247"/>
        <v>0</v>
      </c>
      <c r="M3124">
        <f t="shared" si="248"/>
        <v>0</v>
      </c>
      <c r="N3124">
        <f t="shared" si="249"/>
        <v>0</v>
      </c>
      <c r="O3124">
        <f t="shared" si="250"/>
        <v>1</v>
      </c>
      <c r="P3124" t="str">
        <f t="shared" si="251"/>
        <v/>
      </c>
      <c r="Q3124">
        <f>COUNTIF('責任職　企業局→市長部局'!A:A,SQLデータ!B3124)</f>
        <v>0</v>
      </c>
      <c r="R3124">
        <f>COUNTIF('一般職員　企業局→市長部局'!A:F,SQLデータ!B3124)</f>
        <v>0</v>
      </c>
    </row>
    <row r="3125" spans="1:18" x14ac:dyDescent="0.4">
      <c r="A3125" s="1">
        <v>202650003046</v>
      </c>
      <c r="B3125" s="1">
        <v>1221013</v>
      </c>
      <c r="C3125" s="2">
        <v>46127</v>
      </c>
      <c r="D3125" t="s">
        <v>17</v>
      </c>
      <c r="E3125" t="s">
        <v>8</v>
      </c>
      <c r="G3125" t="s">
        <v>9</v>
      </c>
      <c r="L3125">
        <f t="shared" si="247"/>
        <v>0</v>
      </c>
      <c r="M3125">
        <f t="shared" si="248"/>
        <v>0</v>
      </c>
      <c r="N3125">
        <f t="shared" si="249"/>
        <v>0</v>
      </c>
      <c r="O3125">
        <f t="shared" si="250"/>
        <v>1</v>
      </c>
      <c r="P3125" t="str">
        <f t="shared" si="251"/>
        <v/>
      </c>
      <c r="Q3125">
        <f>COUNTIF('責任職　企業局→市長部局'!A:A,SQLデータ!B3125)</f>
        <v>0</v>
      </c>
      <c r="R3125">
        <f>COUNTIF('一般職員　企業局→市長部局'!A:F,SQLデータ!B3125)</f>
        <v>0</v>
      </c>
    </row>
    <row r="3126" spans="1:18" x14ac:dyDescent="0.4">
      <c r="A3126" s="1">
        <v>202650003047</v>
      </c>
      <c r="B3126" s="1">
        <v>910681</v>
      </c>
      <c r="C3126" s="2">
        <v>46127</v>
      </c>
      <c r="D3126" t="s">
        <v>17</v>
      </c>
      <c r="E3126" t="s">
        <v>8</v>
      </c>
      <c r="G3126" t="s">
        <v>9</v>
      </c>
      <c r="L3126">
        <f t="shared" si="247"/>
        <v>0</v>
      </c>
      <c r="M3126">
        <f t="shared" si="248"/>
        <v>0</v>
      </c>
      <c r="N3126">
        <f t="shared" si="249"/>
        <v>0</v>
      </c>
      <c r="O3126">
        <f t="shared" si="250"/>
        <v>1</v>
      </c>
      <c r="P3126" t="str">
        <f t="shared" si="251"/>
        <v/>
      </c>
      <c r="Q3126">
        <f>COUNTIF('責任職　企業局→市長部局'!A:A,SQLデータ!B3126)</f>
        <v>0</v>
      </c>
      <c r="R3126">
        <f>COUNTIF('一般職員　企業局→市長部局'!A:F,SQLデータ!B3126)</f>
        <v>0</v>
      </c>
    </row>
    <row r="3127" spans="1:18" x14ac:dyDescent="0.4">
      <c r="A3127" s="1">
        <v>202650003048</v>
      </c>
      <c r="B3127" s="1">
        <v>1161244</v>
      </c>
      <c r="C3127" s="2">
        <v>46127</v>
      </c>
      <c r="D3127" t="s">
        <v>17</v>
      </c>
      <c r="E3127" t="s">
        <v>8</v>
      </c>
      <c r="G3127" t="s">
        <v>9</v>
      </c>
      <c r="L3127">
        <f t="shared" si="247"/>
        <v>0</v>
      </c>
      <c r="M3127">
        <f t="shared" si="248"/>
        <v>0</v>
      </c>
      <c r="N3127">
        <f t="shared" si="249"/>
        <v>0</v>
      </c>
      <c r="O3127">
        <f t="shared" si="250"/>
        <v>1</v>
      </c>
      <c r="P3127" t="str">
        <f t="shared" si="251"/>
        <v/>
      </c>
      <c r="Q3127">
        <f>COUNTIF('責任職　企業局→市長部局'!A:A,SQLデータ!B3127)</f>
        <v>0</v>
      </c>
      <c r="R3127">
        <f>COUNTIF('一般職員　企業局→市長部局'!A:F,SQLデータ!B3127)</f>
        <v>0</v>
      </c>
    </row>
    <row r="3128" spans="1:18" x14ac:dyDescent="0.4">
      <c r="A3128" s="1">
        <v>202650003049</v>
      </c>
      <c r="B3128" s="1">
        <v>960258</v>
      </c>
      <c r="C3128" s="2">
        <v>46127</v>
      </c>
      <c r="D3128" t="s">
        <v>17</v>
      </c>
      <c r="E3128" t="s">
        <v>8</v>
      </c>
      <c r="G3128" t="s">
        <v>9</v>
      </c>
      <c r="L3128">
        <f t="shared" si="247"/>
        <v>0</v>
      </c>
      <c r="M3128">
        <f t="shared" si="248"/>
        <v>0</v>
      </c>
      <c r="N3128">
        <f t="shared" si="249"/>
        <v>0</v>
      </c>
      <c r="O3128">
        <f t="shared" si="250"/>
        <v>1</v>
      </c>
      <c r="P3128" t="str">
        <f t="shared" si="251"/>
        <v/>
      </c>
      <c r="Q3128">
        <f>COUNTIF('責任職　企業局→市長部局'!A:A,SQLデータ!B3128)</f>
        <v>0</v>
      </c>
      <c r="R3128">
        <f>COUNTIF('一般職員　企業局→市長部局'!A:F,SQLデータ!B3128)</f>
        <v>0</v>
      </c>
    </row>
    <row r="3129" spans="1:18" x14ac:dyDescent="0.4">
      <c r="A3129" s="1">
        <v>202650003050</v>
      </c>
      <c r="B3129" s="1">
        <v>992033</v>
      </c>
      <c r="C3129" s="2">
        <v>46127</v>
      </c>
      <c r="D3129" t="s">
        <v>17</v>
      </c>
      <c r="E3129" t="s">
        <v>8</v>
      </c>
      <c r="G3129" t="s">
        <v>9</v>
      </c>
      <c r="L3129">
        <f t="shared" si="247"/>
        <v>0</v>
      </c>
      <c r="M3129">
        <f t="shared" si="248"/>
        <v>0</v>
      </c>
      <c r="N3129">
        <f t="shared" si="249"/>
        <v>0</v>
      </c>
      <c r="O3129">
        <f t="shared" si="250"/>
        <v>1</v>
      </c>
      <c r="P3129" t="str">
        <f t="shared" si="251"/>
        <v/>
      </c>
      <c r="Q3129">
        <f>COUNTIF('責任職　企業局→市長部局'!A:A,SQLデータ!B3129)</f>
        <v>0</v>
      </c>
      <c r="R3129">
        <f>COUNTIF('一般職員　企業局→市長部局'!A:F,SQLデータ!B3129)</f>
        <v>0</v>
      </c>
    </row>
    <row r="3130" spans="1:18" x14ac:dyDescent="0.4">
      <c r="A3130" s="1">
        <v>202650003051</v>
      </c>
      <c r="B3130" s="1">
        <v>1091213</v>
      </c>
      <c r="C3130" s="2">
        <v>46127</v>
      </c>
      <c r="D3130" t="s">
        <v>17</v>
      </c>
      <c r="E3130" t="s">
        <v>8</v>
      </c>
      <c r="G3130" t="s">
        <v>9</v>
      </c>
      <c r="L3130">
        <f t="shared" si="247"/>
        <v>0</v>
      </c>
      <c r="M3130">
        <f t="shared" si="248"/>
        <v>0</v>
      </c>
      <c r="N3130">
        <f t="shared" si="249"/>
        <v>0</v>
      </c>
      <c r="O3130">
        <f t="shared" si="250"/>
        <v>1</v>
      </c>
      <c r="P3130" t="str">
        <f t="shared" si="251"/>
        <v/>
      </c>
      <c r="Q3130">
        <f>COUNTIF('責任職　企業局→市長部局'!A:A,SQLデータ!B3130)</f>
        <v>0</v>
      </c>
      <c r="R3130">
        <f>COUNTIF('一般職員　企業局→市長部局'!A:F,SQLデータ!B3130)</f>
        <v>0</v>
      </c>
    </row>
    <row r="3131" spans="1:18" x14ac:dyDescent="0.4">
      <c r="A3131" s="1">
        <v>202650003052</v>
      </c>
      <c r="B3131" s="1">
        <v>1111524</v>
      </c>
      <c r="C3131" s="2">
        <v>46127</v>
      </c>
      <c r="D3131" t="s">
        <v>17</v>
      </c>
      <c r="E3131" t="s">
        <v>8</v>
      </c>
      <c r="G3131" t="s">
        <v>9</v>
      </c>
      <c r="L3131">
        <f t="shared" si="247"/>
        <v>0</v>
      </c>
      <c r="M3131">
        <f t="shared" si="248"/>
        <v>0</v>
      </c>
      <c r="N3131">
        <f t="shared" si="249"/>
        <v>0</v>
      </c>
      <c r="O3131">
        <f t="shared" si="250"/>
        <v>1</v>
      </c>
      <c r="P3131" t="str">
        <f t="shared" si="251"/>
        <v/>
      </c>
      <c r="Q3131">
        <f>COUNTIF('責任職　企業局→市長部局'!A:A,SQLデータ!B3131)</f>
        <v>0</v>
      </c>
      <c r="R3131">
        <f>COUNTIF('一般職員　企業局→市長部局'!A:F,SQLデータ!B3131)</f>
        <v>0</v>
      </c>
    </row>
    <row r="3132" spans="1:18" x14ac:dyDescent="0.4">
      <c r="A3132" s="1">
        <v>202650003054</v>
      </c>
      <c r="B3132" s="1">
        <v>1041154</v>
      </c>
      <c r="C3132" s="2">
        <v>46127</v>
      </c>
      <c r="D3132" t="s">
        <v>17</v>
      </c>
      <c r="E3132" t="s">
        <v>8</v>
      </c>
      <c r="G3132" t="s">
        <v>9</v>
      </c>
      <c r="L3132">
        <f t="shared" si="247"/>
        <v>0</v>
      </c>
      <c r="M3132">
        <f t="shared" si="248"/>
        <v>0</v>
      </c>
      <c r="N3132">
        <f t="shared" si="249"/>
        <v>0</v>
      </c>
      <c r="O3132">
        <f t="shared" si="250"/>
        <v>1</v>
      </c>
      <c r="P3132" t="str">
        <f t="shared" si="251"/>
        <v/>
      </c>
      <c r="Q3132">
        <f>COUNTIF('責任職　企業局→市長部局'!A:A,SQLデータ!B3132)</f>
        <v>0</v>
      </c>
      <c r="R3132">
        <f>COUNTIF('一般職員　企業局→市長部局'!A:F,SQLデータ!B3132)</f>
        <v>0</v>
      </c>
    </row>
    <row r="3133" spans="1:18" x14ac:dyDescent="0.4">
      <c r="A3133" s="1">
        <v>202650003055</v>
      </c>
      <c r="B3133" s="1">
        <v>1071234</v>
      </c>
      <c r="C3133" s="2">
        <v>46127</v>
      </c>
      <c r="D3133" t="s">
        <v>17</v>
      </c>
      <c r="E3133" t="s">
        <v>8</v>
      </c>
      <c r="G3133" t="s">
        <v>9</v>
      </c>
      <c r="L3133">
        <f t="shared" si="247"/>
        <v>0</v>
      </c>
      <c r="M3133">
        <f t="shared" si="248"/>
        <v>0</v>
      </c>
      <c r="N3133">
        <f t="shared" si="249"/>
        <v>0</v>
      </c>
      <c r="O3133">
        <f t="shared" si="250"/>
        <v>1</v>
      </c>
      <c r="P3133" t="str">
        <f t="shared" si="251"/>
        <v/>
      </c>
      <c r="Q3133">
        <f>COUNTIF('責任職　企業局→市長部局'!A:A,SQLデータ!B3133)</f>
        <v>0</v>
      </c>
      <c r="R3133">
        <f>COUNTIF('一般職員　企業局→市長部局'!A:F,SQLデータ!B3133)</f>
        <v>0</v>
      </c>
    </row>
    <row r="3134" spans="1:18" x14ac:dyDescent="0.4">
      <c r="A3134" s="1">
        <v>202650003056</v>
      </c>
      <c r="B3134" s="1">
        <v>1232313</v>
      </c>
      <c r="C3134" s="2">
        <v>46127</v>
      </c>
      <c r="D3134" t="s">
        <v>17</v>
      </c>
      <c r="E3134" t="s">
        <v>8</v>
      </c>
      <c r="G3134" t="s">
        <v>9</v>
      </c>
      <c r="L3134">
        <f t="shared" si="247"/>
        <v>0</v>
      </c>
      <c r="M3134">
        <f t="shared" si="248"/>
        <v>0</v>
      </c>
      <c r="N3134">
        <f t="shared" si="249"/>
        <v>0</v>
      </c>
      <c r="O3134">
        <f t="shared" si="250"/>
        <v>1</v>
      </c>
      <c r="P3134" t="str">
        <f t="shared" si="251"/>
        <v/>
      </c>
      <c r="Q3134">
        <f>COUNTIF('責任職　企業局→市長部局'!A:A,SQLデータ!B3134)</f>
        <v>0</v>
      </c>
      <c r="R3134">
        <f>COUNTIF('一般職員　企業局→市長部局'!A:F,SQLデータ!B3134)</f>
        <v>0</v>
      </c>
    </row>
    <row r="3135" spans="1:18" x14ac:dyDescent="0.4">
      <c r="A3135" s="1">
        <v>202650003057</v>
      </c>
      <c r="B3135" s="1">
        <v>1071223</v>
      </c>
      <c r="C3135" s="2">
        <v>46127</v>
      </c>
      <c r="D3135" t="s">
        <v>17</v>
      </c>
      <c r="E3135" t="s">
        <v>8</v>
      </c>
      <c r="G3135" t="s">
        <v>9</v>
      </c>
      <c r="L3135">
        <f t="shared" si="247"/>
        <v>0</v>
      </c>
      <c r="M3135">
        <f t="shared" si="248"/>
        <v>0</v>
      </c>
      <c r="N3135">
        <f t="shared" si="249"/>
        <v>0</v>
      </c>
      <c r="O3135">
        <f t="shared" si="250"/>
        <v>1</v>
      </c>
      <c r="P3135" t="str">
        <f t="shared" si="251"/>
        <v/>
      </c>
      <c r="Q3135">
        <f>COUNTIF('責任職　企業局→市長部局'!A:A,SQLデータ!B3135)</f>
        <v>0</v>
      </c>
      <c r="R3135">
        <f>COUNTIF('一般職員　企業局→市長部局'!A:F,SQLデータ!B3135)</f>
        <v>0</v>
      </c>
    </row>
    <row r="3136" spans="1:18" x14ac:dyDescent="0.4">
      <c r="A3136" s="1">
        <v>202650003058</v>
      </c>
      <c r="B3136" s="1">
        <v>1220086</v>
      </c>
      <c r="C3136" s="2">
        <v>46127</v>
      </c>
      <c r="D3136" t="s">
        <v>17</v>
      </c>
      <c r="E3136" t="s">
        <v>8</v>
      </c>
      <c r="G3136" t="s">
        <v>9</v>
      </c>
      <c r="L3136">
        <f t="shared" si="247"/>
        <v>0</v>
      </c>
      <c r="M3136">
        <f t="shared" si="248"/>
        <v>0</v>
      </c>
      <c r="N3136">
        <f t="shared" si="249"/>
        <v>0</v>
      </c>
      <c r="O3136">
        <f t="shared" si="250"/>
        <v>1</v>
      </c>
      <c r="P3136" t="str">
        <f t="shared" si="251"/>
        <v/>
      </c>
      <c r="Q3136">
        <f>COUNTIF('責任職　企業局→市長部局'!A:A,SQLデータ!B3136)</f>
        <v>0</v>
      </c>
      <c r="R3136">
        <f>COUNTIF('一般職員　企業局→市長部局'!A:F,SQLデータ!B3136)</f>
        <v>0</v>
      </c>
    </row>
    <row r="3137" spans="1:18" x14ac:dyDescent="0.4">
      <c r="A3137" s="1">
        <v>202650003059</v>
      </c>
      <c r="B3137" s="1">
        <v>1144094</v>
      </c>
      <c r="C3137" s="2">
        <v>46127</v>
      </c>
      <c r="D3137" t="s">
        <v>17</v>
      </c>
      <c r="E3137" t="s">
        <v>8</v>
      </c>
      <c r="G3137" t="s">
        <v>9</v>
      </c>
      <c r="L3137">
        <f t="shared" si="247"/>
        <v>0</v>
      </c>
      <c r="M3137">
        <f t="shared" si="248"/>
        <v>0</v>
      </c>
      <c r="N3137">
        <f t="shared" si="249"/>
        <v>0</v>
      </c>
      <c r="O3137">
        <f t="shared" si="250"/>
        <v>1</v>
      </c>
      <c r="P3137" t="str">
        <f t="shared" si="251"/>
        <v/>
      </c>
      <c r="Q3137">
        <f>COUNTIF('責任職　企業局→市長部局'!A:A,SQLデータ!B3137)</f>
        <v>0</v>
      </c>
      <c r="R3137">
        <f>COUNTIF('一般職員　企業局→市長部局'!A:F,SQLデータ!B3137)</f>
        <v>0</v>
      </c>
    </row>
    <row r="3138" spans="1:18" x14ac:dyDescent="0.4">
      <c r="A3138" s="1">
        <v>202650003060</v>
      </c>
      <c r="B3138" s="1">
        <v>1231006</v>
      </c>
      <c r="C3138" s="2">
        <v>46127</v>
      </c>
      <c r="D3138" t="s">
        <v>17</v>
      </c>
      <c r="E3138" t="s">
        <v>8</v>
      </c>
      <c r="G3138" t="s">
        <v>9</v>
      </c>
      <c r="L3138">
        <f t="shared" si="247"/>
        <v>0</v>
      </c>
      <c r="M3138">
        <f t="shared" si="248"/>
        <v>0</v>
      </c>
      <c r="N3138">
        <f t="shared" si="249"/>
        <v>0</v>
      </c>
      <c r="O3138">
        <f t="shared" si="250"/>
        <v>1</v>
      </c>
      <c r="P3138" t="str">
        <f t="shared" si="251"/>
        <v/>
      </c>
      <c r="Q3138">
        <f>COUNTIF('責任職　企業局→市長部局'!A:A,SQLデータ!B3138)</f>
        <v>0</v>
      </c>
      <c r="R3138">
        <f>COUNTIF('一般職員　企業局→市長部局'!A:F,SQLデータ!B3138)</f>
        <v>0</v>
      </c>
    </row>
    <row r="3139" spans="1:18" x14ac:dyDescent="0.4">
      <c r="A3139" s="1">
        <v>202650003061</v>
      </c>
      <c r="B3139" s="1">
        <v>1103009</v>
      </c>
      <c r="C3139" s="2">
        <v>46129</v>
      </c>
      <c r="D3139" t="s">
        <v>17</v>
      </c>
      <c r="E3139" t="s">
        <v>8</v>
      </c>
      <c r="G3139" t="s">
        <v>9</v>
      </c>
      <c r="L3139">
        <f t="shared" si="247"/>
        <v>0</v>
      </c>
      <c r="M3139">
        <f t="shared" si="248"/>
        <v>0</v>
      </c>
      <c r="N3139">
        <f t="shared" si="249"/>
        <v>0</v>
      </c>
      <c r="O3139">
        <f t="shared" si="250"/>
        <v>1</v>
      </c>
      <c r="P3139" t="str">
        <f t="shared" si="251"/>
        <v/>
      </c>
      <c r="Q3139">
        <f>COUNTIF('責任職　企業局→市長部局'!A:A,SQLデータ!B3139)</f>
        <v>0</v>
      </c>
      <c r="R3139">
        <f>COUNTIF('一般職員　企業局→市長部局'!A:F,SQLデータ!B3139)</f>
        <v>0</v>
      </c>
    </row>
    <row r="3140" spans="1:18" x14ac:dyDescent="0.4">
      <c r="A3140" s="1">
        <v>202650003062</v>
      </c>
      <c r="B3140" s="1">
        <v>1162189</v>
      </c>
      <c r="C3140" s="2">
        <v>46127</v>
      </c>
      <c r="D3140" t="s">
        <v>17</v>
      </c>
      <c r="E3140" t="s">
        <v>8</v>
      </c>
      <c r="G3140" t="s">
        <v>9</v>
      </c>
      <c r="L3140">
        <f t="shared" si="247"/>
        <v>0</v>
      </c>
      <c r="M3140">
        <f t="shared" si="248"/>
        <v>0</v>
      </c>
      <c r="N3140">
        <f t="shared" si="249"/>
        <v>0</v>
      </c>
      <c r="O3140">
        <f t="shared" si="250"/>
        <v>1</v>
      </c>
      <c r="P3140" t="str">
        <f t="shared" si="251"/>
        <v/>
      </c>
      <c r="Q3140">
        <f>COUNTIF('責任職　企業局→市長部局'!A:A,SQLデータ!B3140)</f>
        <v>0</v>
      </c>
      <c r="R3140">
        <f>COUNTIF('一般職員　企業局→市長部局'!A:F,SQLデータ!B3140)</f>
        <v>0</v>
      </c>
    </row>
    <row r="3141" spans="1:18" x14ac:dyDescent="0.4">
      <c r="A3141" s="1">
        <v>202650003064</v>
      </c>
      <c r="B3141" s="1">
        <v>1191215</v>
      </c>
      <c r="C3141" s="2">
        <v>46127</v>
      </c>
      <c r="D3141" t="s">
        <v>17</v>
      </c>
      <c r="E3141" t="s">
        <v>8</v>
      </c>
      <c r="G3141" t="s">
        <v>9</v>
      </c>
      <c r="L3141">
        <f t="shared" si="247"/>
        <v>0</v>
      </c>
      <c r="M3141">
        <f t="shared" si="248"/>
        <v>0</v>
      </c>
      <c r="N3141">
        <f t="shared" si="249"/>
        <v>0</v>
      </c>
      <c r="O3141">
        <f t="shared" si="250"/>
        <v>1</v>
      </c>
      <c r="P3141" t="str">
        <f t="shared" si="251"/>
        <v/>
      </c>
      <c r="Q3141">
        <f>COUNTIF('責任職　企業局→市長部局'!A:A,SQLデータ!B3141)</f>
        <v>0</v>
      </c>
      <c r="R3141">
        <f>COUNTIF('一般職員　企業局→市長部局'!A:F,SQLデータ!B3141)</f>
        <v>0</v>
      </c>
    </row>
    <row r="3142" spans="1:18" x14ac:dyDescent="0.4">
      <c r="A3142" s="1">
        <v>202650003065</v>
      </c>
      <c r="B3142" s="1">
        <v>1091247</v>
      </c>
      <c r="C3142" s="2">
        <v>46127</v>
      </c>
      <c r="D3142" t="s">
        <v>17</v>
      </c>
      <c r="E3142" t="s">
        <v>8</v>
      </c>
      <c r="G3142" t="s">
        <v>9</v>
      </c>
      <c r="L3142">
        <f t="shared" si="247"/>
        <v>0</v>
      </c>
      <c r="M3142">
        <f t="shared" si="248"/>
        <v>0</v>
      </c>
      <c r="N3142">
        <f t="shared" si="249"/>
        <v>0</v>
      </c>
      <c r="O3142">
        <f t="shared" si="250"/>
        <v>1</v>
      </c>
      <c r="P3142" t="str">
        <f t="shared" si="251"/>
        <v/>
      </c>
      <c r="Q3142">
        <f>COUNTIF('責任職　企業局→市長部局'!A:A,SQLデータ!B3142)</f>
        <v>0</v>
      </c>
      <c r="R3142">
        <f>COUNTIF('一般職員　企業局→市長部局'!A:F,SQLデータ!B3142)</f>
        <v>0</v>
      </c>
    </row>
    <row r="3143" spans="1:18" x14ac:dyDescent="0.4">
      <c r="A3143" s="1">
        <v>202650003066</v>
      </c>
      <c r="B3143" s="1">
        <v>1122118</v>
      </c>
      <c r="C3143" s="2">
        <v>46127</v>
      </c>
      <c r="D3143" t="s">
        <v>17</v>
      </c>
      <c r="E3143" t="s">
        <v>8</v>
      </c>
      <c r="G3143" t="s">
        <v>9</v>
      </c>
      <c r="L3143">
        <f t="shared" si="247"/>
        <v>0</v>
      </c>
      <c r="M3143">
        <f t="shared" si="248"/>
        <v>0</v>
      </c>
      <c r="N3143">
        <f t="shared" si="249"/>
        <v>0</v>
      </c>
      <c r="O3143">
        <f t="shared" si="250"/>
        <v>1</v>
      </c>
      <c r="P3143" t="str">
        <f t="shared" si="251"/>
        <v/>
      </c>
      <c r="Q3143">
        <f>COUNTIF('責任職　企業局→市長部局'!A:A,SQLデータ!B3143)</f>
        <v>0</v>
      </c>
      <c r="R3143">
        <f>COUNTIF('一般職員　企業局→市長部局'!A:F,SQLデータ!B3143)</f>
        <v>0</v>
      </c>
    </row>
    <row r="3144" spans="1:18" x14ac:dyDescent="0.4">
      <c r="A3144" s="1">
        <v>202650003067</v>
      </c>
      <c r="B3144" s="1">
        <v>1181268</v>
      </c>
      <c r="C3144" s="2">
        <v>46127</v>
      </c>
      <c r="D3144" t="s">
        <v>17</v>
      </c>
      <c r="E3144" t="s">
        <v>8</v>
      </c>
      <c r="G3144" t="s">
        <v>9</v>
      </c>
      <c r="L3144">
        <f t="shared" si="247"/>
        <v>0</v>
      </c>
      <c r="M3144">
        <f t="shared" si="248"/>
        <v>0</v>
      </c>
      <c r="N3144">
        <f t="shared" si="249"/>
        <v>0</v>
      </c>
      <c r="O3144">
        <f t="shared" si="250"/>
        <v>1</v>
      </c>
      <c r="P3144" t="str">
        <f t="shared" si="251"/>
        <v/>
      </c>
      <c r="Q3144">
        <f>COUNTIF('責任職　企業局→市長部局'!A:A,SQLデータ!B3144)</f>
        <v>0</v>
      </c>
      <c r="R3144">
        <f>COUNTIF('一般職員　企業局→市長部局'!A:F,SQLデータ!B3144)</f>
        <v>0</v>
      </c>
    </row>
    <row r="3145" spans="1:18" x14ac:dyDescent="0.4">
      <c r="A3145" s="1">
        <v>202650003068</v>
      </c>
      <c r="B3145" s="1">
        <v>1222105</v>
      </c>
      <c r="C3145" s="2">
        <v>46127</v>
      </c>
      <c r="D3145" t="s">
        <v>17</v>
      </c>
      <c r="E3145" t="s">
        <v>8</v>
      </c>
      <c r="G3145" t="s">
        <v>9</v>
      </c>
      <c r="L3145">
        <f t="shared" si="247"/>
        <v>0</v>
      </c>
      <c r="M3145">
        <f t="shared" si="248"/>
        <v>0</v>
      </c>
      <c r="N3145">
        <f t="shared" si="249"/>
        <v>0</v>
      </c>
      <c r="O3145">
        <f t="shared" si="250"/>
        <v>1</v>
      </c>
      <c r="P3145" t="str">
        <f t="shared" si="251"/>
        <v/>
      </c>
      <c r="Q3145">
        <f>COUNTIF('責任職　企業局→市長部局'!A:A,SQLデータ!B3145)</f>
        <v>0</v>
      </c>
      <c r="R3145">
        <f>COUNTIF('一般職員　企業局→市長部局'!A:F,SQLデータ!B3145)</f>
        <v>0</v>
      </c>
    </row>
    <row r="3146" spans="1:18" x14ac:dyDescent="0.4">
      <c r="A3146" s="1">
        <v>202650003069</v>
      </c>
      <c r="B3146" s="1">
        <v>1231021</v>
      </c>
      <c r="C3146" s="2">
        <v>46127</v>
      </c>
      <c r="D3146" t="s">
        <v>17</v>
      </c>
      <c r="E3146" t="s">
        <v>8</v>
      </c>
      <c r="G3146" t="s">
        <v>9</v>
      </c>
      <c r="L3146">
        <f t="shared" si="247"/>
        <v>0</v>
      </c>
      <c r="M3146">
        <f t="shared" si="248"/>
        <v>0</v>
      </c>
      <c r="N3146">
        <f t="shared" si="249"/>
        <v>0</v>
      </c>
      <c r="O3146">
        <f t="shared" si="250"/>
        <v>1</v>
      </c>
      <c r="P3146" t="str">
        <f t="shared" si="251"/>
        <v/>
      </c>
      <c r="Q3146">
        <f>COUNTIF('責任職　企業局→市長部局'!A:A,SQLデータ!B3146)</f>
        <v>0</v>
      </c>
      <c r="R3146">
        <f>COUNTIF('一般職員　企業局→市長部局'!A:F,SQLデータ!B3146)</f>
        <v>0</v>
      </c>
    </row>
    <row r="3147" spans="1:18" x14ac:dyDescent="0.4">
      <c r="A3147" s="1">
        <v>202650003070</v>
      </c>
      <c r="B3147" s="1">
        <v>1191008</v>
      </c>
      <c r="C3147" s="2">
        <v>46127</v>
      </c>
      <c r="D3147" t="s">
        <v>17</v>
      </c>
      <c r="E3147" t="s">
        <v>8</v>
      </c>
      <c r="G3147" t="s">
        <v>9</v>
      </c>
      <c r="L3147">
        <f t="shared" si="247"/>
        <v>0</v>
      </c>
      <c r="M3147">
        <f t="shared" si="248"/>
        <v>0</v>
      </c>
      <c r="N3147">
        <f t="shared" si="249"/>
        <v>0</v>
      </c>
      <c r="O3147">
        <f t="shared" si="250"/>
        <v>1</v>
      </c>
      <c r="P3147" t="str">
        <f t="shared" si="251"/>
        <v/>
      </c>
      <c r="Q3147">
        <f>COUNTIF('責任職　企業局→市長部局'!A:A,SQLデータ!B3147)</f>
        <v>0</v>
      </c>
      <c r="R3147">
        <f>COUNTIF('一般職員　企業局→市長部局'!A:F,SQLデータ!B3147)</f>
        <v>0</v>
      </c>
    </row>
    <row r="3148" spans="1:18" x14ac:dyDescent="0.4">
      <c r="A3148" s="1">
        <v>202650003071</v>
      </c>
      <c r="B3148" s="1">
        <v>870338</v>
      </c>
      <c r="C3148" s="2">
        <v>46127</v>
      </c>
      <c r="D3148" t="s">
        <v>17</v>
      </c>
      <c r="E3148" t="s">
        <v>8</v>
      </c>
      <c r="G3148" t="s">
        <v>9</v>
      </c>
      <c r="L3148">
        <f t="shared" si="247"/>
        <v>0</v>
      </c>
      <c r="M3148">
        <f t="shared" si="248"/>
        <v>0</v>
      </c>
      <c r="N3148">
        <f t="shared" si="249"/>
        <v>0</v>
      </c>
      <c r="O3148">
        <f t="shared" si="250"/>
        <v>1</v>
      </c>
      <c r="P3148" t="str">
        <f t="shared" si="251"/>
        <v/>
      </c>
      <c r="Q3148">
        <f>COUNTIF('責任職　企業局→市長部局'!A:A,SQLデータ!B3148)</f>
        <v>0</v>
      </c>
      <c r="R3148">
        <f>COUNTIF('一般職員　企業局→市長部局'!A:F,SQLデータ!B3148)</f>
        <v>0</v>
      </c>
    </row>
    <row r="3149" spans="1:18" x14ac:dyDescent="0.4">
      <c r="A3149" s="1">
        <v>202650003073</v>
      </c>
      <c r="B3149" s="1">
        <v>1151321</v>
      </c>
      <c r="C3149" s="2">
        <v>46127</v>
      </c>
      <c r="D3149" t="s">
        <v>17</v>
      </c>
      <c r="E3149" t="s">
        <v>8</v>
      </c>
      <c r="G3149" t="s">
        <v>9</v>
      </c>
      <c r="L3149">
        <f t="shared" si="247"/>
        <v>0</v>
      </c>
      <c r="M3149">
        <f t="shared" si="248"/>
        <v>0</v>
      </c>
      <c r="N3149">
        <f t="shared" si="249"/>
        <v>0</v>
      </c>
      <c r="O3149">
        <f t="shared" si="250"/>
        <v>1</v>
      </c>
      <c r="P3149" t="str">
        <f t="shared" si="251"/>
        <v/>
      </c>
      <c r="Q3149">
        <f>COUNTIF('責任職　企業局→市長部局'!A:A,SQLデータ!B3149)</f>
        <v>0</v>
      </c>
      <c r="R3149">
        <f>COUNTIF('一般職員　企業局→市長部局'!A:F,SQLデータ!B3149)</f>
        <v>0</v>
      </c>
    </row>
    <row r="3150" spans="1:18" x14ac:dyDescent="0.4">
      <c r="A3150" s="1">
        <v>202650003074</v>
      </c>
      <c r="B3150" s="1">
        <v>1031081</v>
      </c>
      <c r="C3150" s="2">
        <v>46127</v>
      </c>
      <c r="D3150" t="s">
        <v>17</v>
      </c>
      <c r="E3150" t="s">
        <v>8</v>
      </c>
      <c r="G3150" t="s">
        <v>9</v>
      </c>
      <c r="L3150">
        <f t="shared" si="247"/>
        <v>0</v>
      </c>
      <c r="M3150">
        <f t="shared" si="248"/>
        <v>0</v>
      </c>
      <c r="N3150">
        <f t="shared" si="249"/>
        <v>0</v>
      </c>
      <c r="O3150">
        <f t="shared" si="250"/>
        <v>1</v>
      </c>
      <c r="P3150" t="str">
        <f t="shared" si="251"/>
        <v/>
      </c>
      <c r="Q3150">
        <f>COUNTIF('責任職　企業局→市長部局'!A:A,SQLデータ!B3150)</f>
        <v>0</v>
      </c>
      <c r="R3150">
        <f>COUNTIF('一般職員　企業局→市長部局'!A:F,SQLデータ!B3150)</f>
        <v>0</v>
      </c>
    </row>
    <row r="3151" spans="1:18" x14ac:dyDescent="0.4">
      <c r="A3151" s="1">
        <v>202650003075</v>
      </c>
      <c r="B3151" s="1">
        <v>1221008</v>
      </c>
      <c r="C3151" s="2">
        <v>46127</v>
      </c>
      <c r="D3151" t="s">
        <v>17</v>
      </c>
      <c r="E3151" t="s">
        <v>8</v>
      </c>
      <c r="G3151" t="s">
        <v>9</v>
      </c>
      <c r="L3151">
        <f t="shared" si="247"/>
        <v>0</v>
      </c>
      <c r="M3151">
        <f t="shared" si="248"/>
        <v>0</v>
      </c>
      <c r="N3151">
        <f t="shared" si="249"/>
        <v>0</v>
      </c>
      <c r="O3151">
        <f t="shared" si="250"/>
        <v>1</v>
      </c>
      <c r="P3151" t="str">
        <f t="shared" si="251"/>
        <v/>
      </c>
      <c r="Q3151">
        <f>COUNTIF('責任職　企業局→市長部局'!A:A,SQLデータ!B3151)</f>
        <v>0</v>
      </c>
      <c r="R3151">
        <f>COUNTIF('一般職員　企業局→市長部局'!A:F,SQLデータ!B3151)</f>
        <v>0</v>
      </c>
    </row>
    <row r="3152" spans="1:18" x14ac:dyDescent="0.4">
      <c r="A3152" s="1">
        <v>202650003076</v>
      </c>
      <c r="B3152" s="1">
        <v>1081009</v>
      </c>
      <c r="C3152" s="2">
        <v>46127</v>
      </c>
      <c r="D3152" t="s">
        <v>17</v>
      </c>
      <c r="E3152" t="s">
        <v>8</v>
      </c>
      <c r="G3152" t="s">
        <v>9</v>
      </c>
      <c r="L3152">
        <f t="shared" si="247"/>
        <v>0</v>
      </c>
      <c r="M3152">
        <f t="shared" si="248"/>
        <v>0</v>
      </c>
      <c r="N3152">
        <f t="shared" si="249"/>
        <v>0</v>
      </c>
      <c r="O3152">
        <f t="shared" si="250"/>
        <v>1</v>
      </c>
      <c r="P3152" t="str">
        <f t="shared" si="251"/>
        <v/>
      </c>
      <c r="Q3152">
        <f>COUNTIF('責任職　企業局→市長部局'!A:A,SQLデータ!B3152)</f>
        <v>0</v>
      </c>
      <c r="R3152">
        <f>COUNTIF('一般職員　企業局→市長部局'!A:F,SQLデータ!B3152)</f>
        <v>0</v>
      </c>
    </row>
    <row r="3153" spans="1:18" x14ac:dyDescent="0.4">
      <c r="A3153" s="1">
        <v>202650003077</v>
      </c>
      <c r="B3153" s="1">
        <v>1161332</v>
      </c>
      <c r="C3153" s="2">
        <v>46127</v>
      </c>
      <c r="D3153" t="s">
        <v>17</v>
      </c>
      <c r="E3153" t="s">
        <v>8</v>
      </c>
      <c r="G3153" t="s">
        <v>9</v>
      </c>
      <c r="L3153">
        <f t="shared" si="247"/>
        <v>0</v>
      </c>
      <c r="M3153">
        <f t="shared" si="248"/>
        <v>0</v>
      </c>
      <c r="N3153">
        <f t="shared" si="249"/>
        <v>0</v>
      </c>
      <c r="O3153">
        <f t="shared" si="250"/>
        <v>1</v>
      </c>
      <c r="P3153" t="str">
        <f t="shared" si="251"/>
        <v/>
      </c>
      <c r="Q3153">
        <f>COUNTIF('責任職　企業局→市長部局'!A:A,SQLデータ!B3153)</f>
        <v>0</v>
      </c>
      <c r="R3153">
        <f>COUNTIF('一般職員　企業局→市長部局'!A:F,SQLデータ!B3153)</f>
        <v>0</v>
      </c>
    </row>
    <row r="3154" spans="1:18" x14ac:dyDescent="0.4">
      <c r="A3154" s="1">
        <v>202650003078</v>
      </c>
      <c r="B3154" s="1">
        <v>1083003</v>
      </c>
      <c r="C3154" s="2">
        <v>46127</v>
      </c>
      <c r="D3154" t="s">
        <v>17</v>
      </c>
      <c r="E3154" t="s">
        <v>8</v>
      </c>
      <c r="G3154" t="s">
        <v>9</v>
      </c>
      <c r="L3154">
        <f t="shared" si="247"/>
        <v>0</v>
      </c>
      <c r="M3154">
        <f t="shared" si="248"/>
        <v>0</v>
      </c>
      <c r="N3154">
        <f t="shared" si="249"/>
        <v>0</v>
      </c>
      <c r="O3154">
        <f t="shared" si="250"/>
        <v>1</v>
      </c>
      <c r="P3154" t="str">
        <f t="shared" si="251"/>
        <v/>
      </c>
      <c r="Q3154">
        <f>COUNTIF('責任職　企業局→市長部局'!A:A,SQLデータ!B3154)</f>
        <v>0</v>
      </c>
      <c r="R3154">
        <f>COUNTIF('一般職員　企業局→市長部局'!A:F,SQLデータ!B3154)</f>
        <v>0</v>
      </c>
    </row>
    <row r="3155" spans="1:18" x14ac:dyDescent="0.4">
      <c r="A3155" s="1">
        <v>202650003079</v>
      </c>
      <c r="B3155" s="1">
        <v>1201270</v>
      </c>
      <c r="C3155" s="2">
        <v>46127</v>
      </c>
      <c r="D3155" t="s">
        <v>17</v>
      </c>
      <c r="E3155" t="s">
        <v>8</v>
      </c>
      <c r="G3155" t="s">
        <v>9</v>
      </c>
      <c r="L3155">
        <f t="shared" si="247"/>
        <v>0</v>
      </c>
      <c r="M3155">
        <f t="shared" si="248"/>
        <v>0</v>
      </c>
      <c r="N3155">
        <f t="shared" si="249"/>
        <v>0</v>
      </c>
      <c r="O3155">
        <f t="shared" si="250"/>
        <v>1</v>
      </c>
      <c r="P3155" t="str">
        <f t="shared" si="251"/>
        <v/>
      </c>
      <c r="Q3155">
        <f>COUNTIF('責任職　企業局→市長部局'!A:A,SQLデータ!B3155)</f>
        <v>0</v>
      </c>
      <c r="R3155">
        <f>COUNTIF('一般職員　企業局→市長部局'!A:F,SQLデータ!B3155)</f>
        <v>0</v>
      </c>
    </row>
    <row r="3156" spans="1:18" x14ac:dyDescent="0.4">
      <c r="A3156" s="1">
        <v>202650003080</v>
      </c>
      <c r="B3156" s="1">
        <v>930631</v>
      </c>
      <c r="C3156" s="2">
        <v>46127</v>
      </c>
      <c r="D3156" t="s">
        <v>17</v>
      </c>
      <c r="E3156" t="s">
        <v>8</v>
      </c>
      <c r="G3156" t="s">
        <v>9</v>
      </c>
      <c r="L3156">
        <f t="shared" si="247"/>
        <v>0</v>
      </c>
      <c r="M3156">
        <f t="shared" si="248"/>
        <v>0</v>
      </c>
      <c r="N3156">
        <f t="shared" si="249"/>
        <v>0</v>
      </c>
      <c r="O3156">
        <f t="shared" si="250"/>
        <v>1</v>
      </c>
      <c r="P3156" t="str">
        <f t="shared" si="251"/>
        <v/>
      </c>
      <c r="Q3156">
        <f>COUNTIF('責任職　企業局→市長部局'!A:A,SQLデータ!B3156)</f>
        <v>0</v>
      </c>
      <c r="R3156">
        <f>COUNTIF('一般職員　企業局→市長部局'!A:F,SQLデータ!B3156)</f>
        <v>0</v>
      </c>
    </row>
    <row r="3157" spans="1:18" x14ac:dyDescent="0.4">
      <c r="A3157" s="1">
        <v>202650003081</v>
      </c>
      <c r="B3157" s="1">
        <v>1211394</v>
      </c>
      <c r="C3157" s="2">
        <v>46127</v>
      </c>
      <c r="D3157" t="s">
        <v>17</v>
      </c>
      <c r="E3157" t="s">
        <v>8</v>
      </c>
      <c r="G3157" t="s">
        <v>9</v>
      </c>
      <c r="L3157">
        <f t="shared" si="247"/>
        <v>0</v>
      </c>
      <c r="M3157">
        <f t="shared" si="248"/>
        <v>0</v>
      </c>
      <c r="N3157">
        <f t="shared" si="249"/>
        <v>0</v>
      </c>
      <c r="O3157">
        <f t="shared" si="250"/>
        <v>1</v>
      </c>
      <c r="P3157" t="str">
        <f t="shared" si="251"/>
        <v/>
      </c>
      <c r="Q3157">
        <f>COUNTIF('責任職　企業局→市長部局'!A:A,SQLデータ!B3157)</f>
        <v>0</v>
      </c>
      <c r="R3157">
        <f>COUNTIF('一般職員　企業局→市長部局'!A:F,SQLデータ!B3157)</f>
        <v>0</v>
      </c>
    </row>
    <row r="3158" spans="1:18" x14ac:dyDescent="0.4">
      <c r="A3158" s="1">
        <v>202650003082</v>
      </c>
      <c r="B3158" s="1">
        <v>1051121</v>
      </c>
      <c r="C3158" s="2">
        <v>46127</v>
      </c>
      <c r="D3158" t="s">
        <v>17</v>
      </c>
      <c r="E3158" t="s">
        <v>8</v>
      </c>
      <c r="G3158" t="s">
        <v>9</v>
      </c>
      <c r="L3158">
        <f t="shared" si="247"/>
        <v>0</v>
      </c>
      <c r="M3158">
        <f t="shared" si="248"/>
        <v>0</v>
      </c>
      <c r="N3158">
        <f t="shared" si="249"/>
        <v>0</v>
      </c>
      <c r="O3158">
        <f t="shared" si="250"/>
        <v>1</v>
      </c>
      <c r="P3158" t="str">
        <f t="shared" si="251"/>
        <v/>
      </c>
      <c r="Q3158">
        <f>COUNTIF('責任職　企業局→市長部局'!A:A,SQLデータ!B3158)</f>
        <v>0</v>
      </c>
      <c r="R3158">
        <f>COUNTIF('一般職員　企業局→市長部局'!A:F,SQLデータ!B3158)</f>
        <v>0</v>
      </c>
    </row>
    <row r="3159" spans="1:18" x14ac:dyDescent="0.4">
      <c r="A3159" s="1">
        <v>202650003083</v>
      </c>
      <c r="B3159" s="1">
        <v>1231024</v>
      </c>
      <c r="C3159" s="2">
        <v>46127</v>
      </c>
      <c r="D3159" t="s">
        <v>17</v>
      </c>
      <c r="E3159" t="s">
        <v>8</v>
      </c>
      <c r="G3159" t="s">
        <v>9</v>
      </c>
      <c r="L3159">
        <f t="shared" si="247"/>
        <v>0</v>
      </c>
      <c r="M3159">
        <f t="shared" si="248"/>
        <v>0</v>
      </c>
      <c r="N3159">
        <f t="shared" si="249"/>
        <v>0</v>
      </c>
      <c r="O3159">
        <f t="shared" si="250"/>
        <v>1</v>
      </c>
      <c r="P3159" t="str">
        <f t="shared" si="251"/>
        <v/>
      </c>
      <c r="Q3159">
        <f>COUNTIF('責任職　企業局→市長部局'!A:A,SQLデータ!B3159)</f>
        <v>0</v>
      </c>
      <c r="R3159">
        <f>COUNTIF('一般職員　企業局→市長部局'!A:F,SQLデータ!B3159)</f>
        <v>0</v>
      </c>
    </row>
    <row r="3160" spans="1:18" x14ac:dyDescent="0.4">
      <c r="A3160" s="1">
        <v>202650003084</v>
      </c>
      <c r="B3160" s="1">
        <v>1111227</v>
      </c>
      <c r="C3160" s="2">
        <v>46127</v>
      </c>
      <c r="D3160" t="s">
        <v>17</v>
      </c>
      <c r="E3160" t="s">
        <v>8</v>
      </c>
      <c r="G3160" t="s">
        <v>9</v>
      </c>
      <c r="L3160">
        <f t="shared" si="247"/>
        <v>0</v>
      </c>
      <c r="M3160">
        <f t="shared" si="248"/>
        <v>0</v>
      </c>
      <c r="N3160">
        <f t="shared" si="249"/>
        <v>0</v>
      </c>
      <c r="O3160">
        <f t="shared" si="250"/>
        <v>1</v>
      </c>
      <c r="P3160" t="str">
        <f t="shared" si="251"/>
        <v/>
      </c>
      <c r="Q3160">
        <f>COUNTIF('責任職　企業局→市長部局'!A:A,SQLデータ!B3160)</f>
        <v>0</v>
      </c>
      <c r="R3160">
        <f>COUNTIF('一般職員　企業局→市長部局'!A:F,SQLデータ!B3160)</f>
        <v>0</v>
      </c>
    </row>
    <row r="3161" spans="1:18" x14ac:dyDescent="0.4">
      <c r="A3161" s="1">
        <v>202650003085</v>
      </c>
      <c r="B3161" s="1">
        <v>880269</v>
      </c>
      <c r="C3161" s="2">
        <v>46127</v>
      </c>
      <c r="D3161" t="s">
        <v>17</v>
      </c>
      <c r="E3161" t="s">
        <v>8</v>
      </c>
      <c r="G3161" t="s">
        <v>9</v>
      </c>
      <c r="L3161">
        <f t="shared" si="247"/>
        <v>0</v>
      </c>
      <c r="M3161">
        <f t="shared" si="248"/>
        <v>0</v>
      </c>
      <c r="N3161">
        <f t="shared" si="249"/>
        <v>0</v>
      </c>
      <c r="O3161">
        <f t="shared" si="250"/>
        <v>1</v>
      </c>
      <c r="P3161" t="str">
        <f t="shared" si="251"/>
        <v/>
      </c>
      <c r="Q3161">
        <f>COUNTIF('責任職　企業局→市長部局'!A:A,SQLデータ!B3161)</f>
        <v>0</v>
      </c>
      <c r="R3161">
        <f>COUNTIF('一般職員　企業局→市長部局'!A:F,SQLデータ!B3161)</f>
        <v>0</v>
      </c>
    </row>
    <row r="3162" spans="1:18" x14ac:dyDescent="0.4">
      <c r="A3162" s="1">
        <v>202650003086</v>
      </c>
      <c r="B3162" s="1">
        <v>1111357</v>
      </c>
      <c r="C3162" s="2">
        <v>46127</v>
      </c>
      <c r="D3162" t="s">
        <v>17</v>
      </c>
      <c r="E3162" t="s">
        <v>8</v>
      </c>
      <c r="G3162" t="s">
        <v>9</v>
      </c>
      <c r="L3162">
        <f t="shared" si="247"/>
        <v>0</v>
      </c>
      <c r="M3162">
        <f t="shared" si="248"/>
        <v>0</v>
      </c>
      <c r="N3162">
        <f t="shared" si="249"/>
        <v>0</v>
      </c>
      <c r="O3162">
        <f t="shared" si="250"/>
        <v>1</v>
      </c>
      <c r="P3162" t="str">
        <f t="shared" si="251"/>
        <v/>
      </c>
      <c r="Q3162">
        <f>COUNTIF('責任職　企業局→市長部局'!A:A,SQLデータ!B3162)</f>
        <v>0</v>
      </c>
      <c r="R3162">
        <f>COUNTIF('一般職員　企業局→市長部局'!A:F,SQLデータ!B3162)</f>
        <v>0</v>
      </c>
    </row>
    <row r="3163" spans="1:18" x14ac:dyDescent="0.4">
      <c r="A3163" s="1">
        <v>202650003087</v>
      </c>
      <c r="B3163" s="1">
        <v>1221047</v>
      </c>
      <c r="C3163" s="2">
        <v>46127</v>
      </c>
      <c r="D3163" t="s">
        <v>17</v>
      </c>
      <c r="E3163" t="s">
        <v>8</v>
      </c>
      <c r="G3163" t="s">
        <v>9</v>
      </c>
      <c r="L3163">
        <f t="shared" si="247"/>
        <v>0</v>
      </c>
      <c r="M3163">
        <f t="shared" si="248"/>
        <v>0</v>
      </c>
      <c r="N3163">
        <f t="shared" si="249"/>
        <v>0</v>
      </c>
      <c r="O3163">
        <f t="shared" si="250"/>
        <v>1</v>
      </c>
      <c r="P3163" t="str">
        <f t="shared" si="251"/>
        <v/>
      </c>
      <c r="Q3163">
        <f>COUNTIF('責任職　企業局→市長部局'!A:A,SQLデータ!B3163)</f>
        <v>0</v>
      </c>
      <c r="R3163">
        <f>COUNTIF('一般職員　企業局→市長部局'!A:F,SQLデータ!B3163)</f>
        <v>0</v>
      </c>
    </row>
    <row r="3164" spans="1:18" x14ac:dyDescent="0.4">
      <c r="A3164" s="1">
        <v>202650003088</v>
      </c>
      <c r="B3164" s="1">
        <v>1161111</v>
      </c>
      <c r="C3164" s="2">
        <v>46127</v>
      </c>
      <c r="D3164" t="s">
        <v>17</v>
      </c>
      <c r="E3164" t="s">
        <v>8</v>
      </c>
      <c r="G3164" t="s">
        <v>9</v>
      </c>
      <c r="L3164">
        <f t="shared" si="247"/>
        <v>0</v>
      </c>
      <c r="M3164">
        <f t="shared" si="248"/>
        <v>0</v>
      </c>
      <c r="N3164">
        <f t="shared" si="249"/>
        <v>0</v>
      </c>
      <c r="O3164">
        <f t="shared" si="250"/>
        <v>1</v>
      </c>
      <c r="P3164" t="str">
        <f t="shared" si="251"/>
        <v/>
      </c>
      <c r="Q3164">
        <f>COUNTIF('責任職　企業局→市長部局'!A:A,SQLデータ!B3164)</f>
        <v>0</v>
      </c>
      <c r="R3164">
        <f>COUNTIF('一般職員　企業局→市長部局'!A:F,SQLデータ!B3164)</f>
        <v>0</v>
      </c>
    </row>
    <row r="3165" spans="1:18" x14ac:dyDescent="0.4">
      <c r="A3165" s="1">
        <v>202650003089</v>
      </c>
      <c r="B3165" s="1">
        <v>910361</v>
      </c>
      <c r="C3165" s="2">
        <v>46127</v>
      </c>
      <c r="D3165" t="s">
        <v>17</v>
      </c>
      <c r="E3165" t="s">
        <v>8</v>
      </c>
      <c r="G3165" t="s">
        <v>9</v>
      </c>
      <c r="L3165">
        <f t="shared" si="247"/>
        <v>0</v>
      </c>
      <c r="M3165">
        <f t="shared" si="248"/>
        <v>0</v>
      </c>
      <c r="N3165">
        <f t="shared" si="249"/>
        <v>0</v>
      </c>
      <c r="O3165">
        <f t="shared" si="250"/>
        <v>1</v>
      </c>
      <c r="P3165" t="str">
        <f t="shared" si="251"/>
        <v/>
      </c>
      <c r="Q3165">
        <f>COUNTIF('責任職　企業局→市長部局'!A:A,SQLデータ!B3165)</f>
        <v>0</v>
      </c>
      <c r="R3165">
        <f>COUNTIF('一般職員　企業局→市長部局'!A:F,SQLデータ!B3165)</f>
        <v>0</v>
      </c>
    </row>
    <row r="3166" spans="1:18" x14ac:dyDescent="0.4">
      <c r="A3166" s="1">
        <v>202650003090</v>
      </c>
      <c r="B3166" s="1">
        <v>1161008</v>
      </c>
      <c r="C3166" s="2">
        <v>46127</v>
      </c>
      <c r="D3166" t="s">
        <v>17</v>
      </c>
      <c r="E3166" t="s">
        <v>8</v>
      </c>
      <c r="G3166" t="s">
        <v>9</v>
      </c>
      <c r="L3166">
        <f t="shared" si="247"/>
        <v>0</v>
      </c>
      <c r="M3166">
        <f t="shared" si="248"/>
        <v>0</v>
      </c>
      <c r="N3166">
        <f t="shared" si="249"/>
        <v>0</v>
      </c>
      <c r="O3166">
        <f t="shared" si="250"/>
        <v>1</v>
      </c>
      <c r="P3166" t="str">
        <f t="shared" si="251"/>
        <v/>
      </c>
      <c r="Q3166">
        <f>COUNTIF('責任職　企業局→市長部局'!A:A,SQLデータ!B3166)</f>
        <v>0</v>
      </c>
      <c r="R3166">
        <f>COUNTIF('一般職員　企業局→市長部局'!A:F,SQLデータ!B3166)</f>
        <v>0</v>
      </c>
    </row>
    <row r="3167" spans="1:18" x14ac:dyDescent="0.4">
      <c r="A3167" s="1">
        <v>202650003091</v>
      </c>
      <c r="B3167" s="1">
        <v>1121115</v>
      </c>
      <c r="C3167" s="2">
        <v>46127</v>
      </c>
      <c r="D3167" t="s">
        <v>17</v>
      </c>
      <c r="E3167" t="s">
        <v>8</v>
      </c>
      <c r="G3167" t="s">
        <v>9</v>
      </c>
      <c r="L3167">
        <f t="shared" si="247"/>
        <v>0</v>
      </c>
      <c r="M3167">
        <f t="shared" si="248"/>
        <v>0</v>
      </c>
      <c r="N3167">
        <f t="shared" si="249"/>
        <v>0</v>
      </c>
      <c r="O3167">
        <f t="shared" si="250"/>
        <v>1</v>
      </c>
      <c r="P3167" t="str">
        <f t="shared" si="251"/>
        <v/>
      </c>
      <c r="Q3167">
        <f>COUNTIF('責任職　企業局→市長部局'!A:A,SQLデータ!B3167)</f>
        <v>0</v>
      </c>
      <c r="R3167">
        <f>COUNTIF('一般職員　企業局→市長部局'!A:F,SQLデータ!B3167)</f>
        <v>0</v>
      </c>
    </row>
    <row r="3168" spans="1:18" x14ac:dyDescent="0.4">
      <c r="A3168" s="1">
        <v>202650003092</v>
      </c>
      <c r="B3168" s="1">
        <v>1091160</v>
      </c>
      <c r="C3168" s="2">
        <v>46127</v>
      </c>
      <c r="D3168" t="s">
        <v>17</v>
      </c>
      <c r="E3168" t="s">
        <v>8</v>
      </c>
      <c r="G3168" t="s">
        <v>9</v>
      </c>
      <c r="L3168">
        <f t="shared" si="247"/>
        <v>0</v>
      </c>
      <c r="M3168">
        <f t="shared" si="248"/>
        <v>0</v>
      </c>
      <c r="N3168">
        <f t="shared" si="249"/>
        <v>0</v>
      </c>
      <c r="O3168">
        <f t="shared" si="250"/>
        <v>1</v>
      </c>
      <c r="P3168" t="str">
        <f t="shared" si="251"/>
        <v/>
      </c>
      <c r="Q3168">
        <f>COUNTIF('責任職　企業局→市長部局'!A:A,SQLデータ!B3168)</f>
        <v>0</v>
      </c>
      <c r="R3168">
        <f>COUNTIF('一般職員　企業局→市長部局'!A:F,SQLデータ!B3168)</f>
        <v>0</v>
      </c>
    </row>
    <row r="3169" spans="1:18" x14ac:dyDescent="0.4">
      <c r="A3169" s="1">
        <v>202650003093</v>
      </c>
      <c r="B3169" s="1">
        <v>1162202</v>
      </c>
      <c r="C3169" s="2">
        <v>46127</v>
      </c>
      <c r="D3169" t="s">
        <v>17</v>
      </c>
      <c r="E3169" t="s">
        <v>8</v>
      </c>
      <c r="G3169" t="s">
        <v>9</v>
      </c>
      <c r="L3169">
        <f t="shared" si="247"/>
        <v>0</v>
      </c>
      <c r="M3169">
        <f t="shared" si="248"/>
        <v>0</v>
      </c>
      <c r="N3169">
        <f t="shared" si="249"/>
        <v>0</v>
      </c>
      <c r="O3169">
        <f t="shared" si="250"/>
        <v>1</v>
      </c>
      <c r="P3169" t="str">
        <f t="shared" si="251"/>
        <v/>
      </c>
      <c r="Q3169">
        <f>COUNTIF('責任職　企業局→市長部局'!A:A,SQLデータ!B3169)</f>
        <v>0</v>
      </c>
      <c r="R3169">
        <f>COUNTIF('一般職員　企業局→市長部局'!A:F,SQLデータ!B3169)</f>
        <v>0</v>
      </c>
    </row>
    <row r="3170" spans="1:18" x14ac:dyDescent="0.4">
      <c r="A3170" s="1">
        <v>202650003094</v>
      </c>
      <c r="B3170" s="1">
        <v>890640</v>
      </c>
      <c r="C3170" s="2">
        <v>46127</v>
      </c>
      <c r="D3170" t="s">
        <v>17</v>
      </c>
      <c r="E3170" t="s">
        <v>8</v>
      </c>
      <c r="G3170" t="s">
        <v>9</v>
      </c>
      <c r="L3170">
        <f t="shared" ref="L3170:L3233" si="252">IF(ISBLANK(J3170),0,1)</f>
        <v>0</v>
      </c>
      <c r="M3170">
        <f t="shared" ref="M3170:M3233" si="253">IF(AND(L3170=0,I3170&lt;&gt;""),1,0)</f>
        <v>0</v>
      </c>
      <c r="N3170">
        <f t="shared" ref="N3170:N3233" si="254">IF(AND(L3170=0,M3170=0,K3170&lt;&gt;""),1,0)</f>
        <v>0</v>
      </c>
      <c r="O3170">
        <f t="shared" ref="O3170:O3233" si="255">IF(COUNTIF(L3170:N3170,0)=3,1,0)</f>
        <v>1</v>
      </c>
      <c r="P3170" t="str">
        <f t="shared" ref="P3170:P3233" si="256">IF(D3170&lt;&gt;"扶養","",IF(E3170&lt;&gt;"確認待ち",1,IF(OR(AND(G3170="本人の結婚",O3170=1),AND(H3170="減",OR(N3170=1,O3170=1))),1,0)))</f>
        <v/>
      </c>
      <c r="Q3170">
        <f>COUNTIF('責任職　企業局→市長部局'!A:A,SQLデータ!B3170)</f>
        <v>0</v>
      </c>
      <c r="R3170">
        <f>COUNTIF('一般職員　企業局→市長部局'!A:F,SQLデータ!B3170)</f>
        <v>0</v>
      </c>
    </row>
    <row r="3171" spans="1:18" x14ac:dyDescent="0.4">
      <c r="A3171" s="1">
        <v>202650003095</v>
      </c>
      <c r="B3171" s="1">
        <v>981073</v>
      </c>
      <c r="C3171" s="2">
        <v>46127</v>
      </c>
      <c r="D3171" t="s">
        <v>17</v>
      </c>
      <c r="E3171" t="s">
        <v>8</v>
      </c>
      <c r="G3171" t="s">
        <v>9</v>
      </c>
      <c r="L3171">
        <f t="shared" si="252"/>
        <v>0</v>
      </c>
      <c r="M3171">
        <f t="shared" si="253"/>
        <v>0</v>
      </c>
      <c r="N3171">
        <f t="shared" si="254"/>
        <v>0</v>
      </c>
      <c r="O3171">
        <f t="shared" si="255"/>
        <v>1</v>
      </c>
      <c r="P3171" t="str">
        <f t="shared" si="256"/>
        <v/>
      </c>
      <c r="Q3171">
        <f>COUNTIF('責任職　企業局→市長部局'!A:A,SQLデータ!B3171)</f>
        <v>0</v>
      </c>
      <c r="R3171">
        <f>COUNTIF('一般職員　企業局→市長部局'!A:F,SQLデータ!B3171)</f>
        <v>0</v>
      </c>
    </row>
    <row r="3172" spans="1:18" x14ac:dyDescent="0.4">
      <c r="A3172" s="1">
        <v>202650003096</v>
      </c>
      <c r="B3172" s="1">
        <v>1071193</v>
      </c>
      <c r="C3172" s="2">
        <v>46127</v>
      </c>
      <c r="D3172" t="s">
        <v>17</v>
      </c>
      <c r="E3172" t="s">
        <v>8</v>
      </c>
      <c r="G3172" t="s">
        <v>9</v>
      </c>
      <c r="L3172">
        <f t="shared" si="252"/>
        <v>0</v>
      </c>
      <c r="M3172">
        <f t="shared" si="253"/>
        <v>0</v>
      </c>
      <c r="N3172">
        <f t="shared" si="254"/>
        <v>0</v>
      </c>
      <c r="O3172">
        <f t="shared" si="255"/>
        <v>1</v>
      </c>
      <c r="P3172" t="str">
        <f t="shared" si="256"/>
        <v/>
      </c>
      <c r="Q3172">
        <f>COUNTIF('責任職　企業局→市長部局'!A:A,SQLデータ!B3172)</f>
        <v>0</v>
      </c>
      <c r="R3172">
        <f>COUNTIF('一般職員　企業局→市長部局'!A:F,SQLデータ!B3172)</f>
        <v>0</v>
      </c>
    </row>
    <row r="3173" spans="1:18" x14ac:dyDescent="0.4">
      <c r="A3173" s="1">
        <v>202650003097</v>
      </c>
      <c r="B3173" s="1">
        <v>1152222</v>
      </c>
      <c r="C3173" s="2">
        <v>46127</v>
      </c>
      <c r="D3173" t="s">
        <v>17</v>
      </c>
      <c r="E3173" t="s">
        <v>8</v>
      </c>
      <c r="G3173" t="s">
        <v>9</v>
      </c>
      <c r="L3173">
        <f t="shared" si="252"/>
        <v>0</v>
      </c>
      <c r="M3173">
        <f t="shared" si="253"/>
        <v>0</v>
      </c>
      <c r="N3173">
        <f t="shared" si="254"/>
        <v>0</v>
      </c>
      <c r="O3173">
        <f t="shared" si="255"/>
        <v>1</v>
      </c>
      <c r="P3173" t="str">
        <f t="shared" si="256"/>
        <v/>
      </c>
      <c r="Q3173">
        <f>COUNTIF('責任職　企業局→市長部局'!A:A,SQLデータ!B3173)</f>
        <v>0</v>
      </c>
      <c r="R3173">
        <f>COUNTIF('一般職員　企業局→市長部局'!A:F,SQLデータ!B3173)</f>
        <v>0</v>
      </c>
    </row>
    <row r="3174" spans="1:18" x14ac:dyDescent="0.4">
      <c r="A3174" s="1">
        <v>202650003098</v>
      </c>
      <c r="B3174" s="1">
        <v>1213023</v>
      </c>
      <c r="C3174" s="2">
        <v>46127</v>
      </c>
      <c r="D3174" t="s">
        <v>17</v>
      </c>
      <c r="E3174" t="s">
        <v>8</v>
      </c>
      <c r="G3174" t="s">
        <v>9</v>
      </c>
      <c r="L3174">
        <f t="shared" si="252"/>
        <v>0</v>
      </c>
      <c r="M3174">
        <f t="shared" si="253"/>
        <v>0</v>
      </c>
      <c r="N3174">
        <f t="shared" si="254"/>
        <v>0</v>
      </c>
      <c r="O3174">
        <f t="shared" si="255"/>
        <v>1</v>
      </c>
      <c r="P3174" t="str">
        <f t="shared" si="256"/>
        <v/>
      </c>
      <c r="Q3174">
        <f>COUNTIF('責任職　企業局→市長部局'!A:A,SQLデータ!B3174)</f>
        <v>0</v>
      </c>
      <c r="R3174">
        <f>COUNTIF('一般職員　企業局→市長部局'!A:F,SQLデータ!B3174)</f>
        <v>0</v>
      </c>
    </row>
    <row r="3175" spans="1:18" x14ac:dyDescent="0.4">
      <c r="A3175" s="1">
        <v>202650003099</v>
      </c>
      <c r="B3175" s="1">
        <v>1004024</v>
      </c>
      <c r="C3175" s="2">
        <v>46127</v>
      </c>
      <c r="D3175" t="s">
        <v>17</v>
      </c>
      <c r="E3175" t="s">
        <v>8</v>
      </c>
      <c r="G3175" t="s">
        <v>9</v>
      </c>
      <c r="L3175">
        <f t="shared" si="252"/>
        <v>0</v>
      </c>
      <c r="M3175">
        <f t="shared" si="253"/>
        <v>0</v>
      </c>
      <c r="N3175">
        <f t="shared" si="254"/>
        <v>0</v>
      </c>
      <c r="O3175">
        <f t="shared" si="255"/>
        <v>1</v>
      </c>
      <c r="P3175" t="str">
        <f t="shared" si="256"/>
        <v/>
      </c>
      <c r="Q3175">
        <f>COUNTIF('責任職　企業局→市長部局'!A:A,SQLデータ!B3175)</f>
        <v>0</v>
      </c>
      <c r="R3175">
        <f>COUNTIF('一般職員　企業局→市長部局'!A:F,SQLデータ!B3175)</f>
        <v>0</v>
      </c>
    </row>
    <row r="3176" spans="1:18" x14ac:dyDescent="0.4">
      <c r="A3176" s="1">
        <v>202650003100</v>
      </c>
      <c r="B3176" s="1">
        <v>1111177</v>
      </c>
      <c r="C3176" s="2">
        <v>46127</v>
      </c>
      <c r="D3176" t="s">
        <v>17</v>
      </c>
      <c r="E3176" t="s">
        <v>8</v>
      </c>
      <c r="G3176" t="s">
        <v>9</v>
      </c>
      <c r="L3176">
        <f t="shared" si="252"/>
        <v>0</v>
      </c>
      <c r="M3176">
        <f t="shared" si="253"/>
        <v>0</v>
      </c>
      <c r="N3176">
        <f t="shared" si="254"/>
        <v>0</v>
      </c>
      <c r="O3176">
        <f t="shared" si="255"/>
        <v>1</v>
      </c>
      <c r="P3176" t="str">
        <f t="shared" si="256"/>
        <v/>
      </c>
      <c r="Q3176">
        <f>COUNTIF('責任職　企業局→市長部局'!A:A,SQLデータ!B3176)</f>
        <v>0</v>
      </c>
      <c r="R3176">
        <f>COUNTIF('一般職員　企業局→市長部局'!A:F,SQLデータ!B3176)</f>
        <v>0</v>
      </c>
    </row>
    <row r="3177" spans="1:18" x14ac:dyDescent="0.4">
      <c r="A3177" s="1">
        <v>202650003101</v>
      </c>
      <c r="B3177" s="1">
        <v>1191409</v>
      </c>
      <c r="C3177" s="2">
        <v>46127</v>
      </c>
      <c r="D3177" t="s">
        <v>17</v>
      </c>
      <c r="E3177" t="s">
        <v>8</v>
      </c>
      <c r="G3177" t="s">
        <v>9</v>
      </c>
      <c r="L3177">
        <f t="shared" si="252"/>
        <v>0</v>
      </c>
      <c r="M3177">
        <f t="shared" si="253"/>
        <v>0</v>
      </c>
      <c r="N3177">
        <f t="shared" si="254"/>
        <v>0</v>
      </c>
      <c r="O3177">
        <f t="shared" si="255"/>
        <v>1</v>
      </c>
      <c r="P3177" t="str">
        <f t="shared" si="256"/>
        <v/>
      </c>
      <c r="Q3177">
        <f>COUNTIF('責任職　企業局→市長部局'!A:A,SQLデータ!B3177)</f>
        <v>0</v>
      </c>
      <c r="R3177">
        <f>COUNTIF('一般職員　企業局→市長部局'!A:F,SQLデータ!B3177)</f>
        <v>0</v>
      </c>
    </row>
    <row r="3178" spans="1:18" x14ac:dyDescent="0.4">
      <c r="A3178" s="1">
        <v>202650003102</v>
      </c>
      <c r="B3178" s="1">
        <v>1221238</v>
      </c>
      <c r="C3178" s="2">
        <v>46127</v>
      </c>
      <c r="D3178" t="s">
        <v>17</v>
      </c>
      <c r="E3178" t="s">
        <v>8</v>
      </c>
      <c r="G3178" t="s">
        <v>9</v>
      </c>
      <c r="L3178">
        <f t="shared" si="252"/>
        <v>0</v>
      </c>
      <c r="M3178">
        <f t="shared" si="253"/>
        <v>0</v>
      </c>
      <c r="N3178">
        <f t="shared" si="254"/>
        <v>0</v>
      </c>
      <c r="O3178">
        <f t="shared" si="255"/>
        <v>1</v>
      </c>
      <c r="P3178" t="str">
        <f t="shared" si="256"/>
        <v/>
      </c>
      <c r="Q3178">
        <f>COUNTIF('責任職　企業局→市長部局'!A:A,SQLデータ!B3178)</f>
        <v>0</v>
      </c>
      <c r="R3178">
        <f>COUNTIF('一般職員　企業局→市長部局'!A:F,SQLデータ!B3178)</f>
        <v>0</v>
      </c>
    </row>
    <row r="3179" spans="1:18" x14ac:dyDescent="0.4">
      <c r="A3179" s="1">
        <v>202650003103</v>
      </c>
      <c r="B3179" s="1">
        <v>971079</v>
      </c>
      <c r="C3179" s="2">
        <v>46127</v>
      </c>
      <c r="D3179" t="s">
        <v>17</v>
      </c>
      <c r="E3179" t="s">
        <v>8</v>
      </c>
      <c r="G3179" t="s">
        <v>9</v>
      </c>
      <c r="L3179">
        <f t="shared" si="252"/>
        <v>0</v>
      </c>
      <c r="M3179">
        <f t="shared" si="253"/>
        <v>0</v>
      </c>
      <c r="N3179">
        <f t="shared" si="254"/>
        <v>0</v>
      </c>
      <c r="O3179">
        <f t="shared" si="255"/>
        <v>1</v>
      </c>
      <c r="P3179" t="str">
        <f t="shared" si="256"/>
        <v/>
      </c>
      <c r="Q3179">
        <f>COUNTIF('責任職　企業局→市長部局'!A:A,SQLデータ!B3179)</f>
        <v>0</v>
      </c>
      <c r="R3179">
        <f>COUNTIF('一般職員　企業局→市長部局'!A:F,SQLデータ!B3179)</f>
        <v>0</v>
      </c>
    </row>
    <row r="3180" spans="1:18" x14ac:dyDescent="0.4">
      <c r="A3180" s="1">
        <v>202650003104</v>
      </c>
      <c r="B3180" s="1">
        <v>1151028</v>
      </c>
      <c r="C3180" s="2">
        <v>46127</v>
      </c>
      <c r="D3180" t="s">
        <v>17</v>
      </c>
      <c r="E3180" t="s">
        <v>8</v>
      </c>
      <c r="G3180" t="s">
        <v>9</v>
      </c>
      <c r="L3180">
        <f t="shared" si="252"/>
        <v>0</v>
      </c>
      <c r="M3180">
        <f t="shared" si="253"/>
        <v>0</v>
      </c>
      <c r="N3180">
        <f t="shared" si="254"/>
        <v>0</v>
      </c>
      <c r="O3180">
        <f t="shared" si="255"/>
        <v>1</v>
      </c>
      <c r="P3180" t="str">
        <f t="shared" si="256"/>
        <v/>
      </c>
      <c r="Q3180">
        <f>COUNTIF('責任職　企業局→市長部局'!A:A,SQLデータ!B3180)</f>
        <v>0</v>
      </c>
      <c r="R3180">
        <f>COUNTIF('一般職員　企業局→市長部局'!A:F,SQLデータ!B3180)</f>
        <v>0</v>
      </c>
    </row>
    <row r="3181" spans="1:18" x14ac:dyDescent="0.4">
      <c r="A3181" s="1">
        <v>202650003105</v>
      </c>
      <c r="B3181" s="1">
        <v>1171253</v>
      </c>
      <c r="C3181" s="2">
        <v>46127</v>
      </c>
      <c r="D3181" t="s">
        <v>17</v>
      </c>
      <c r="E3181" t="s">
        <v>8</v>
      </c>
      <c r="G3181" t="s">
        <v>9</v>
      </c>
      <c r="L3181">
        <f t="shared" si="252"/>
        <v>0</v>
      </c>
      <c r="M3181">
        <f t="shared" si="253"/>
        <v>0</v>
      </c>
      <c r="N3181">
        <f t="shared" si="254"/>
        <v>0</v>
      </c>
      <c r="O3181">
        <f t="shared" si="255"/>
        <v>1</v>
      </c>
      <c r="P3181" t="str">
        <f t="shared" si="256"/>
        <v/>
      </c>
      <c r="Q3181">
        <f>COUNTIF('責任職　企業局→市長部局'!A:A,SQLデータ!B3181)</f>
        <v>0</v>
      </c>
      <c r="R3181">
        <f>COUNTIF('一般職員　企業局→市長部局'!A:F,SQLデータ!B3181)</f>
        <v>0</v>
      </c>
    </row>
    <row r="3182" spans="1:18" x14ac:dyDescent="0.4">
      <c r="A3182" s="1">
        <v>202650003106</v>
      </c>
      <c r="B3182" s="1">
        <v>1211292</v>
      </c>
      <c r="C3182" s="2">
        <v>46127</v>
      </c>
      <c r="D3182" t="s">
        <v>17</v>
      </c>
      <c r="E3182" t="s">
        <v>8</v>
      </c>
      <c r="G3182" t="s">
        <v>9</v>
      </c>
      <c r="L3182">
        <f t="shared" si="252"/>
        <v>0</v>
      </c>
      <c r="M3182">
        <f t="shared" si="253"/>
        <v>0</v>
      </c>
      <c r="N3182">
        <f t="shared" si="254"/>
        <v>0</v>
      </c>
      <c r="O3182">
        <f t="shared" si="255"/>
        <v>1</v>
      </c>
      <c r="P3182" t="str">
        <f t="shared" si="256"/>
        <v/>
      </c>
      <c r="Q3182">
        <f>COUNTIF('責任職　企業局→市長部局'!A:A,SQLデータ!B3182)</f>
        <v>0</v>
      </c>
      <c r="R3182">
        <f>COUNTIF('一般職員　企業局→市長部局'!A:F,SQLデータ!B3182)</f>
        <v>0</v>
      </c>
    </row>
    <row r="3183" spans="1:18" x14ac:dyDescent="0.4">
      <c r="A3183" s="1">
        <v>202650003107</v>
      </c>
      <c r="B3183" s="1">
        <v>910507</v>
      </c>
      <c r="C3183" s="2">
        <v>46127</v>
      </c>
      <c r="D3183" t="s">
        <v>17</v>
      </c>
      <c r="E3183" t="s">
        <v>8</v>
      </c>
      <c r="G3183" t="s">
        <v>9</v>
      </c>
      <c r="L3183">
        <f t="shared" si="252"/>
        <v>0</v>
      </c>
      <c r="M3183">
        <f t="shared" si="253"/>
        <v>0</v>
      </c>
      <c r="N3183">
        <f t="shared" si="254"/>
        <v>0</v>
      </c>
      <c r="O3183">
        <f t="shared" si="255"/>
        <v>1</v>
      </c>
      <c r="P3183" t="str">
        <f t="shared" si="256"/>
        <v/>
      </c>
      <c r="Q3183">
        <f>COUNTIF('責任職　企業局→市長部局'!A:A,SQLデータ!B3183)</f>
        <v>0</v>
      </c>
      <c r="R3183">
        <f>COUNTIF('一般職員　企業局→市長部局'!A:F,SQLデータ!B3183)</f>
        <v>0</v>
      </c>
    </row>
    <row r="3184" spans="1:18" x14ac:dyDescent="0.4">
      <c r="A3184" s="1">
        <v>202650003108</v>
      </c>
      <c r="B3184" s="1">
        <v>1111300</v>
      </c>
      <c r="C3184" s="2">
        <v>46127</v>
      </c>
      <c r="D3184" t="s">
        <v>17</v>
      </c>
      <c r="E3184" t="s">
        <v>8</v>
      </c>
      <c r="G3184" t="s">
        <v>9</v>
      </c>
      <c r="L3184">
        <f t="shared" si="252"/>
        <v>0</v>
      </c>
      <c r="M3184">
        <f t="shared" si="253"/>
        <v>0</v>
      </c>
      <c r="N3184">
        <f t="shared" si="254"/>
        <v>0</v>
      </c>
      <c r="O3184">
        <f t="shared" si="255"/>
        <v>1</v>
      </c>
      <c r="P3184" t="str">
        <f t="shared" si="256"/>
        <v/>
      </c>
      <c r="Q3184">
        <f>COUNTIF('責任職　企業局→市長部局'!A:A,SQLデータ!B3184)</f>
        <v>0</v>
      </c>
      <c r="R3184">
        <f>COUNTIF('一般職員　企業局→市長部局'!A:F,SQLデータ!B3184)</f>
        <v>0</v>
      </c>
    </row>
    <row r="3185" spans="1:18" x14ac:dyDescent="0.4">
      <c r="A3185" s="1">
        <v>202650003109</v>
      </c>
      <c r="B3185" s="1">
        <v>1081003</v>
      </c>
      <c r="C3185" s="2">
        <v>46127</v>
      </c>
      <c r="D3185" t="s">
        <v>17</v>
      </c>
      <c r="E3185" t="s">
        <v>8</v>
      </c>
      <c r="G3185" t="s">
        <v>9</v>
      </c>
      <c r="L3185">
        <f t="shared" si="252"/>
        <v>0</v>
      </c>
      <c r="M3185">
        <f t="shared" si="253"/>
        <v>0</v>
      </c>
      <c r="N3185">
        <f t="shared" si="254"/>
        <v>0</v>
      </c>
      <c r="O3185">
        <f t="shared" si="255"/>
        <v>1</v>
      </c>
      <c r="P3185" t="str">
        <f t="shared" si="256"/>
        <v/>
      </c>
      <c r="Q3185">
        <f>COUNTIF('責任職　企業局→市長部局'!A:A,SQLデータ!B3185)</f>
        <v>0</v>
      </c>
      <c r="R3185">
        <f>COUNTIF('一般職員　企業局→市長部局'!A:F,SQLデータ!B3185)</f>
        <v>0</v>
      </c>
    </row>
    <row r="3186" spans="1:18" x14ac:dyDescent="0.4">
      <c r="A3186" s="1">
        <v>202650003110</v>
      </c>
      <c r="B3186" s="1">
        <v>1221365</v>
      </c>
      <c r="C3186" s="2">
        <v>46127</v>
      </c>
      <c r="D3186" t="s">
        <v>17</v>
      </c>
      <c r="E3186" t="s">
        <v>8</v>
      </c>
      <c r="G3186" t="s">
        <v>9</v>
      </c>
      <c r="L3186">
        <f t="shared" si="252"/>
        <v>0</v>
      </c>
      <c r="M3186">
        <f t="shared" si="253"/>
        <v>0</v>
      </c>
      <c r="N3186">
        <f t="shared" si="254"/>
        <v>0</v>
      </c>
      <c r="O3186">
        <f t="shared" si="255"/>
        <v>1</v>
      </c>
      <c r="P3186" t="str">
        <f t="shared" si="256"/>
        <v/>
      </c>
      <c r="Q3186">
        <f>COUNTIF('責任職　企業局→市長部局'!A:A,SQLデータ!B3186)</f>
        <v>0</v>
      </c>
      <c r="R3186">
        <f>COUNTIF('一般職員　企業局→市長部局'!A:F,SQLデータ!B3186)</f>
        <v>0</v>
      </c>
    </row>
    <row r="3187" spans="1:18" x14ac:dyDescent="0.4">
      <c r="A3187" s="1">
        <v>202650003111</v>
      </c>
      <c r="B3187" s="1">
        <v>1071060</v>
      </c>
      <c r="C3187" s="2">
        <v>46127</v>
      </c>
      <c r="D3187" t="s">
        <v>17</v>
      </c>
      <c r="E3187" t="s">
        <v>8</v>
      </c>
      <c r="G3187" t="s">
        <v>9</v>
      </c>
      <c r="L3187">
        <f t="shared" si="252"/>
        <v>0</v>
      </c>
      <c r="M3187">
        <f t="shared" si="253"/>
        <v>0</v>
      </c>
      <c r="N3187">
        <f t="shared" si="254"/>
        <v>0</v>
      </c>
      <c r="O3187">
        <f t="shared" si="255"/>
        <v>1</v>
      </c>
      <c r="P3187" t="str">
        <f t="shared" si="256"/>
        <v/>
      </c>
      <c r="Q3187">
        <f>COUNTIF('責任職　企業局→市長部局'!A:A,SQLデータ!B3187)</f>
        <v>0</v>
      </c>
      <c r="R3187">
        <f>COUNTIF('一般職員　企業局→市長部局'!A:F,SQLデータ!B3187)</f>
        <v>0</v>
      </c>
    </row>
    <row r="3188" spans="1:18" x14ac:dyDescent="0.4">
      <c r="A3188" s="1">
        <v>202650003112</v>
      </c>
      <c r="B3188" s="1">
        <v>982513</v>
      </c>
      <c r="C3188" s="2">
        <v>46127</v>
      </c>
      <c r="D3188" t="s">
        <v>17</v>
      </c>
      <c r="E3188" t="s">
        <v>8</v>
      </c>
      <c r="G3188" t="s">
        <v>9</v>
      </c>
      <c r="L3188">
        <f t="shared" si="252"/>
        <v>0</v>
      </c>
      <c r="M3188">
        <f t="shared" si="253"/>
        <v>0</v>
      </c>
      <c r="N3188">
        <f t="shared" si="254"/>
        <v>0</v>
      </c>
      <c r="O3188">
        <f t="shared" si="255"/>
        <v>1</v>
      </c>
      <c r="P3188" t="str">
        <f t="shared" si="256"/>
        <v/>
      </c>
      <c r="Q3188">
        <f>COUNTIF('責任職　企業局→市長部局'!A:A,SQLデータ!B3188)</f>
        <v>0</v>
      </c>
      <c r="R3188">
        <f>COUNTIF('一般職員　企業局→市長部局'!A:F,SQLデータ!B3188)</f>
        <v>0</v>
      </c>
    </row>
    <row r="3189" spans="1:18" x14ac:dyDescent="0.4">
      <c r="A3189" s="1">
        <v>202650003113</v>
      </c>
      <c r="B3189" s="1">
        <v>1081489</v>
      </c>
      <c r="C3189" s="2">
        <v>46127</v>
      </c>
      <c r="D3189" t="s">
        <v>17</v>
      </c>
      <c r="E3189" t="s">
        <v>8</v>
      </c>
      <c r="G3189" t="s">
        <v>9</v>
      </c>
      <c r="L3189">
        <f t="shared" si="252"/>
        <v>0</v>
      </c>
      <c r="M3189">
        <f t="shared" si="253"/>
        <v>0</v>
      </c>
      <c r="N3189">
        <f t="shared" si="254"/>
        <v>0</v>
      </c>
      <c r="O3189">
        <f t="shared" si="255"/>
        <v>1</v>
      </c>
      <c r="P3189" t="str">
        <f t="shared" si="256"/>
        <v/>
      </c>
      <c r="Q3189">
        <f>COUNTIF('責任職　企業局→市長部局'!A:A,SQLデータ!B3189)</f>
        <v>0</v>
      </c>
      <c r="R3189">
        <f>COUNTIF('一般職員　企業局→市長部局'!A:F,SQLデータ!B3189)</f>
        <v>0</v>
      </c>
    </row>
    <row r="3190" spans="1:18" x14ac:dyDescent="0.4">
      <c r="A3190" s="1">
        <v>202650003114</v>
      </c>
      <c r="B3190" s="1">
        <v>991118</v>
      </c>
      <c r="C3190" s="2">
        <v>46127</v>
      </c>
      <c r="D3190" t="s">
        <v>17</v>
      </c>
      <c r="E3190" t="s">
        <v>8</v>
      </c>
      <c r="G3190" t="s">
        <v>9</v>
      </c>
      <c r="L3190">
        <f t="shared" si="252"/>
        <v>0</v>
      </c>
      <c r="M3190">
        <f t="shared" si="253"/>
        <v>0</v>
      </c>
      <c r="N3190">
        <f t="shared" si="254"/>
        <v>0</v>
      </c>
      <c r="O3190">
        <f t="shared" si="255"/>
        <v>1</v>
      </c>
      <c r="P3190" t="str">
        <f t="shared" si="256"/>
        <v/>
      </c>
      <c r="Q3190">
        <f>COUNTIF('責任職　企業局→市長部局'!A:A,SQLデータ!B3190)</f>
        <v>0</v>
      </c>
      <c r="R3190">
        <f>COUNTIF('一般職員　企業局→市長部局'!A:F,SQLデータ!B3190)</f>
        <v>0</v>
      </c>
    </row>
    <row r="3191" spans="1:18" x14ac:dyDescent="0.4">
      <c r="A3191" s="1">
        <v>202650003116</v>
      </c>
      <c r="B3191" s="1">
        <v>1221186</v>
      </c>
      <c r="C3191" s="2">
        <v>46127</v>
      </c>
      <c r="D3191" t="s">
        <v>17</v>
      </c>
      <c r="E3191" t="s">
        <v>8</v>
      </c>
      <c r="G3191" t="s">
        <v>9</v>
      </c>
      <c r="L3191">
        <f t="shared" si="252"/>
        <v>0</v>
      </c>
      <c r="M3191">
        <f t="shared" si="253"/>
        <v>0</v>
      </c>
      <c r="N3191">
        <f t="shared" si="254"/>
        <v>0</v>
      </c>
      <c r="O3191">
        <f t="shared" si="255"/>
        <v>1</v>
      </c>
      <c r="P3191" t="str">
        <f t="shared" si="256"/>
        <v/>
      </c>
      <c r="Q3191">
        <f>COUNTIF('責任職　企業局→市長部局'!A:A,SQLデータ!B3191)</f>
        <v>0</v>
      </c>
      <c r="R3191">
        <f>COUNTIF('一般職員　企業局→市長部局'!A:F,SQLデータ!B3191)</f>
        <v>0</v>
      </c>
    </row>
    <row r="3192" spans="1:18" x14ac:dyDescent="0.4">
      <c r="A3192" s="1">
        <v>202650003117</v>
      </c>
      <c r="B3192" s="1">
        <v>1131328</v>
      </c>
      <c r="C3192" s="2">
        <v>46127</v>
      </c>
      <c r="D3192" t="s">
        <v>17</v>
      </c>
      <c r="E3192" t="s">
        <v>8</v>
      </c>
      <c r="G3192" t="s">
        <v>9</v>
      </c>
      <c r="L3192">
        <f t="shared" si="252"/>
        <v>0</v>
      </c>
      <c r="M3192">
        <f t="shared" si="253"/>
        <v>0</v>
      </c>
      <c r="N3192">
        <f t="shared" si="254"/>
        <v>0</v>
      </c>
      <c r="O3192">
        <f t="shared" si="255"/>
        <v>1</v>
      </c>
      <c r="P3192" t="str">
        <f t="shared" si="256"/>
        <v/>
      </c>
      <c r="Q3192">
        <f>COUNTIF('責任職　企業局→市長部局'!A:A,SQLデータ!B3192)</f>
        <v>0</v>
      </c>
      <c r="R3192">
        <f>COUNTIF('一般職員　企業局→市長部局'!A:F,SQLデータ!B3192)</f>
        <v>0</v>
      </c>
    </row>
    <row r="3193" spans="1:18" x14ac:dyDescent="0.4">
      <c r="A3193" s="1">
        <v>202650003118</v>
      </c>
      <c r="B3193" s="1">
        <v>1092087</v>
      </c>
      <c r="C3193" s="2">
        <v>46127</v>
      </c>
      <c r="D3193" t="s">
        <v>17</v>
      </c>
      <c r="E3193" t="s">
        <v>8</v>
      </c>
      <c r="G3193" t="s">
        <v>9</v>
      </c>
      <c r="L3193">
        <f t="shared" si="252"/>
        <v>0</v>
      </c>
      <c r="M3193">
        <f t="shared" si="253"/>
        <v>0</v>
      </c>
      <c r="N3193">
        <f t="shared" si="254"/>
        <v>0</v>
      </c>
      <c r="O3193">
        <f t="shared" si="255"/>
        <v>1</v>
      </c>
      <c r="P3193" t="str">
        <f t="shared" si="256"/>
        <v/>
      </c>
      <c r="Q3193">
        <f>COUNTIF('責任職　企業局→市長部局'!A:A,SQLデータ!B3193)</f>
        <v>0</v>
      </c>
      <c r="R3193">
        <f>COUNTIF('一般職員　企業局→市長部局'!A:F,SQLデータ!B3193)</f>
        <v>0</v>
      </c>
    </row>
    <row r="3194" spans="1:18" x14ac:dyDescent="0.4">
      <c r="A3194" s="1">
        <v>202650003119</v>
      </c>
      <c r="B3194" s="1">
        <v>870362</v>
      </c>
      <c r="C3194" s="2">
        <v>46127</v>
      </c>
      <c r="D3194" t="s">
        <v>17</v>
      </c>
      <c r="E3194" t="s">
        <v>8</v>
      </c>
      <c r="G3194" t="s">
        <v>9</v>
      </c>
      <c r="L3194">
        <f t="shared" si="252"/>
        <v>0</v>
      </c>
      <c r="M3194">
        <f t="shared" si="253"/>
        <v>0</v>
      </c>
      <c r="N3194">
        <f t="shared" si="254"/>
        <v>0</v>
      </c>
      <c r="O3194">
        <f t="shared" si="255"/>
        <v>1</v>
      </c>
      <c r="P3194" t="str">
        <f t="shared" si="256"/>
        <v/>
      </c>
      <c r="Q3194">
        <f>COUNTIF('責任職　企業局→市長部局'!A:A,SQLデータ!B3194)</f>
        <v>0</v>
      </c>
      <c r="R3194">
        <f>COUNTIF('一般職員　企業局→市長部局'!A:F,SQLデータ!B3194)</f>
        <v>0</v>
      </c>
    </row>
    <row r="3195" spans="1:18" x14ac:dyDescent="0.4">
      <c r="A3195" s="1">
        <v>202650003120</v>
      </c>
      <c r="B3195" s="1">
        <v>1151338</v>
      </c>
      <c r="C3195" s="2">
        <v>46127</v>
      </c>
      <c r="D3195" t="s">
        <v>17</v>
      </c>
      <c r="E3195" t="s">
        <v>8</v>
      </c>
      <c r="G3195" t="s">
        <v>9</v>
      </c>
      <c r="L3195">
        <f t="shared" si="252"/>
        <v>0</v>
      </c>
      <c r="M3195">
        <f t="shared" si="253"/>
        <v>0</v>
      </c>
      <c r="N3195">
        <f t="shared" si="254"/>
        <v>0</v>
      </c>
      <c r="O3195">
        <f t="shared" si="255"/>
        <v>1</v>
      </c>
      <c r="P3195" t="str">
        <f t="shared" si="256"/>
        <v/>
      </c>
      <c r="Q3195">
        <f>COUNTIF('責任職　企業局→市長部局'!A:A,SQLデータ!B3195)</f>
        <v>0</v>
      </c>
      <c r="R3195">
        <f>COUNTIF('一般職員　企業局→市長部局'!A:F,SQLデータ!B3195)</f>
        <v>0</v>
      </c>
    </row>
    <row r="3196" spans="1:18" x14ac:dyDescent="0.4">
      <c r="A3196" s="1">
        <v>202650003121</v>
      </c>
      <c r="B3196" s="1">
        <v>1201506</v>
      </c>
      <c r="C3196" s="2">
        <v>46127</v>
      </c>
      <c r="D3196" t="s">
        <v>17</v>
      </c>
      <c r="E3196" t="s">
        <v>8</v>
      </c>
      <c r="G3196" t="s">
        <v>9</v>
      </c>
      <c r="L3196">
        <f t="shared" si="252"/>
        <v>0</v>
      </c>
      <c r="M3196">
        <f t="shared" si="253"/>
        <v>0</v>
      </c>
      <c r="N3196">
        <f t="shared" si="254"/>
        <v>0</v>
      </c>
      <c r="O3196">
        <f t="shared" si="255"/>
        <v>1</v>
      </c>
      <c r="P3196" t="str">
        <f t="shared" si="256"/>
        <v/>
      </c>
      <c r="Q3196">
        <f>COUNTIF('責任職　企業局→市長部局'!A:A,SQLデータ!B3196)</f>
        <v>0</v>
      </c>
      <c r="R3196">
        <f>COUNTIF('一般職員　企業局→市長部局'!A:F,SQLデータ!B3196)</f>
        <v>0</v>
      </c>
    </row>
    <row r="3197" spans="1:18" x14ac:dyDescent="0.4">
      <c r="A3197" s="1">
        <v>202650003122</v>
      </c>
      <c r="B3197" s="1">
        <v>1130001</v>
      </c>
      <c r="C3197" s="2">
        <v>46127</v>
      </c>
      <c r="D3197" t="s">
        <v>17</v>
      </c>
      <c r="E3197" t="s">
        <v>8</v>
      </c>
      <c r="G3197" t="s">
        <v>9</v>
      </c>
      <c r="L3197">
        <f t="shared" si="252"/>
        <v>0</v>
      </c>
      <c r="M3197">
        <f t="shared" si="253"/>
        <v>0</v>
      </c>
      <c r="N3197">
        <f t="shared" si="254"/>
        <v>0</v>
      </c>
      <c r="O3197">
        <f t="shared" si="255"/>
        <v>1</v>
      </c>
      <c r="P3197" t="str">
        <f t="shared" si="256"/>
        <v/>
      </c>
      <c r="Q3197">
        <f>COUNTIF('責任職　企業局→市長部局'!A:A,SQLデータ!B3197)</f>
        <v>0</v>
      </c>
      <c r="R3197">
        <f>COUNTIF('一般職員　企業局→市長部局'!A:F,SQLデータ!B3197)</f>
        <v>0</v>
      </c>
    </row>
    <row r="3198" spans="1:18" x14ac:dyDescent="0.4">
      <c r="A3198" s="1">
        <v>202650003123</v>
      </c>
      <c r="B3198" s="1">
        <v>1162511</v>
      </c>
      <c r="C3198" s="2">
        <v>46127</v>
      </c>
      <c r="D3198" t="s">
        <v>17</v>
      </c>
      <c r="E3198" t="s">
        <v>8</v>
      </c>
      <c r="G3198" t="s">
        <v>9</v>
      </c>
      <c r="L3198">
        <f t="shared" si="252"/>
        <v>0</v>
      </c>
      <c r="M3198">
        <f t="shared" si="253"/>
        <v>0</v>
      </c>
      <c r="N3198">
        <f t="shared" si="254"/>
        <v>0</v>
      </c>
      <c r="O3198">
        <f t="shared" si="255"/>
        <v>1</v>
      </c>
      <c r="P3198" t="str">
        <f t="shared" si="256"/>
        <v/>
      </c>
      <c r="Q3198">
        <f>COUNTIF('責任職　企業局→市長部局'!A:A,SQLデータ!B3198)</f>
        <v>0</v>
      </c>
      <c r="R3198">
        <f>COUNTIF('一般職員　企業局→市長部局'!A:F,SQLデータ!B3198)</f>
        <v>0</v>
      </c>
    </row>
    <row r="3199" spans="1:18" x14ac:dyDescent="0.4">
      <c r="A3199" s="1">
        <v>202650003124</v>
      </c>
      <c r="B3199" s="1">
        <v>1061119</v>
      </c>
      <c r="C3199" s="2">
        <v>46127</v>
      </c>
      <c r="D3199" t="s">
        <v>17</v>
      </c>
      <c r="E3199" t="s">
        <v>8</v>
      </c>
      <c r="G3199" t="s">
        <v>9</v>
      </c>
      <c r="L3199">
        <f t="shared" si="252"/>
        <v>0</v>
      </c>
      <c r="M3199">
        <f t="shared" si="253"/>
        <v>0</v>
      </c>
      <c r="N3199">
        <f t="shared" si="254"/>
        <v>0</v>
      </c>
      <c r="O3199">
        <f t="shared" si="255"/>
        <v>1</v>
      </c>
      <c r="P3199" t="str">
        <f t="shared" si="256"/>
        <v/>
      </c>
      <c r="Q3199">
        <f>COUNTIF('責任職　企業局→市長部局'!A:A,SQLデータ!B3199)</f>
        <v>0</v>
      </c>
      <c r="R3199">
        <f>COUNTIF('一般職員　企業局→市長部局'!A:F,SQLデータ!B3199)</f>
        <v>0</v>
      </c>
    </row>
    <row r="3200" spans="1:18" x14ac:dyDescent="0.4">
      <c r="A3200" s="1">
        <v>202650003125</v>
      </c>
      <c r="B3200" s="1">
        <v>1216008</v>
      </c>
      <c r="C3200" s="2">
        <v>46127</v>
      </c>
      <c r="D3200" t="s">
        <v>17</v>
      </c>
      <c r="E3200" t="s">
        <v>8</v>
      </c>
      <c r="G3200" t="s">
        <v>9</v>
      </c>
      <c r="L3200">
        <f t="shared" si="252"/>
        <v>0</v>
      </c>
      <c r="M3200">
        <f t="shared" si="253"/>
        <v>0</v>
      </c>
      <c r="N3200">
        <f t="shared" si="254"/>
        <v>0</v>
      </c>
      <c r="O3200">
        <f t="shared" si="255"/>
        <v>1</v>
      </c>
      <c r="P3200" t="str">
        <f t="shared" si="256"/>
        <v/>
      </c>
      <c r="Q3200">
        <f>COUNTIF('責任職　企業局→市長部局'!A:A,SQLデータ!B3200)</f>
        <v>0</v>
      </c>
      <c r="R3200">
        <f>COUNTIF('一般職員　企業局→市長部局'!A:F,SQLデータ!B3200)</f>
        <v>0</v>
      </c>
    </row>
    <row r="3201" spans="1:18" x14ac:dyDescent="0.4">
      <c r="A3201" s="1">
        <v>202650003126</v>
      </c>
      <c r="B3201" s="1">
        <v>991142</v>
      </c>
      <c r="C3201" s="2">
        <v>46127</v>
      </c>
      <c r="D3201" t="s">
        <v>17</v>
      </c>
      <c r="E3201" t="s">
        <v>8</v>
      </c>
      <c r="G3201" t="s">
        <v>9</v>
      </c>
      <c r="L3201">
        <f t="shared" si="252"/>
        <v>0</v>
      </c>
      <c r="M3201">
        <f t="shared" si="253"/>
        <v>0</v>
      </c>
      <c r="N3201">
        <f t="shared" si="254"/>
        <v>0</v>
      </c>
      <c r="O3201">
        <f t="shared" si="255"/>
        <v>1</v>
      </c>
      <c r="P3201" t="str">
        <f t="shared" si="256"/>
        <v/>
      </c>
      <c r="Q3201">
        <f>COUNTIF('責任職　企業局→市長部局'!A:A,SQLデータ!B3201)</f>
        <v>0</v>
      </c>
      <c r="R3201">
        <f>COUNTIF('一般職員　企業局→市長部局'!A:F,SQLデータ!B3201)</f>
        <v>0</v>
      </c>
    </row>
    <row r="3202" spans="1:18" x14ac:dyDescent="0.4">
      <c r="A3202" s="1">
        <v>202650003127</v>
      </c>
      <c r="B3202" s="1">
        <v>1123016</v>
      </c>
      <c r="C3202" s="2">
        <v>46127</v>
      </c>
      <c r="D3202" t="s">
        <v>17</v>
      </c>
      <c r="E3202" t="s">
        <v>8</v>
      </c>
      <c r="G3202" t="s">
        <v>9</v>
      </c>
      <c r="L3202">
        <f t="shared" si="252"/>
        <v>0</v>
      </c>
      <c r="M3202">
        <f t="shared" si="253"/>
        <v>0</v>
      </c>
      <c r="N3202">
        <f t="shared" si="254"/>
        <v>0</v>
      </c>
      <c r="O3202">
        <f t="shared" si="255"/>
        <v>1</v>
      </c>
      <c r="P3202" t="str">
        <f t="shared" si="256"/>
        <v/>
      </c>
      <c r="Q3202">
        <f>COUNTIF('責任職　企業局→市長部局'!A:A,SQLデータ!B3202)</f>
        <v>0</v>
      </c>
      <c r="R3202">
        <f>COUNTIF('一般職員　企業局→市長部局'!A:F,SQLデータ!B3202)</f>
        <v>0</v>
      </c>
    </row>
    <row r="3203" spans="1:18" x14ac:dyDescent="0.4">
      <c r="A3203" s="1">
        <v>202650003128</v>
      </c>
      <c r="B3203" s="1">
        <v>1141126</v>
      </c>
      <c r="C3203" s="2">
        <v>46127</v>
      </c>
      <c r="D3203" t="s">
        <v>17</v>
      </c>
      <c r="E3203" t="s">
        <v>8</v>
      </c>
      <c r="G3203" t="s">
        <v>9</v>
      </c>
      <c r="L3203">
        <f t="shared" si="252"/>
        <v>0</v>
      </c>
      <c r="M3203">
        <f t="shared" si="253"/>
        <v>0</v>
      </c>
      <c r="N3203">
        <f t="shared" si="254"/>
        <v>0</v>
      </c>
      <c r="O3203">
        <f t="shared" si="255"/>
        <v>1</v>
      </c>
      <c r="P3203" t="str">
        <f t="shared" si="256"/>
        <v/>
      </c>
      <c r="Q3203">
        <f>COUNTIF('責任職　企業局→市長部局'!A:A,SQLデータ!B3203)</f>
        <v>0</v>
      </c>
      <c r="R3203">
        <f>COUNTIF('一般職員　企業局→市長部局'!A:F,SQLデータ!B3203)</f>
        <v>0</v>
      </c>
    </row>
    <row r="3204" spans="1:18" x14ac:dyDescent="0.4">
      <c r="A3204" s="1">
        <v>202650003129</v>
      </c>
      <c r="B3204" s="1">
        <v>1231184</v>
      </c>
      <c r="C3204" s="2">
        <v>46127</v>
      </c>
      <c r="D3204" t="s">
        <v>17</v>
      </c>
      <c r="E3204" t="s">
        <v>8</v>
      </c>
      <c r="G3204" t="s">
        <v>9</v>
      </c>
      <c r="L3204">
        <f t="shared" si="252"/>
        <v>0</v>
      </c>
      <c r="M3204">
        <f t="shared" si="253"/>
        <v>0</v>
      </c>
      <c r="N3204">
        <f t="shared" si="254"/>
        <v>0</v>
      </c>
      <c r="O3204">
        <f t="shared" si="255"/>
        <v>1</v>
      </c>
      <c r="P3204" t="str">
        <f t="shared" si="256"/>
        <v/>
      </c>
      <c r="Q3204">
        <f>COUNTIF('責任職　企業局→市長部局'!A:A,SQLデータ!B3204)</f>
        <v>0</v>
      </c>
      <c r="R3204">
        <f>COUNTIF('一般職員　企業局→市長部局'!A:F,SQLデータ!B3204)</f>
        <v>0</v>
      </c>
    </row>
    <row r="3205" spans="1:18" x14ac:dyDescent="0.4">
      <c r="A3205" s="1">
        <v>202650003130</v>
      </c>
      <c r="B3205" s="1">
        <v>1091057</v>
      </c>
      <c r="C3205" s="2">
        <v>46127</v>
      </c>
      <c r="D3205" t="s">
        <v>17</v>
      </c>
      <c r="E3205" t="s">
        <v>8</v>
      </c>
      <c r="G3205" t="s">
        <v>9</v>
      </c>
      <c r="L3205">
        <f t="shared" si="252"/>
        <v>0</v>
      </c>
      <c r="M3205">
        <f t="shared" si="253"/>
        <v>0</v>
      </c>
      <c r="N3205">
        <f t="shared" si="254"/>
        <v>0</v>
      </c>
      <c r="O3205">
        <f t="shared" si="255"/>
        <v>1</v>
      </c>
      <c r="P3205" t="str">
        <f t="shared" si="256"/>
        <v/>
      </c>
      <c r="Q3205">
        <f>COUNTIF('責任職　企業局→市長部局'!A:A,SQLデータ!B3205)</f>
        <v>0</v>
      </c>
      <c r="R3205">
        <f>COUNTIF('一般職員　企業局→市長部局'!A:F,SQLデータ!B3205)</f>
        <v>0</v>
      </c>
    </row>
    <row r="3206" spans="1:18" x14ac:dyDescent="0.4">
      <c r="A3206" s="1">
        <v>202650003131</v>
      </c>
      <c r="B3206" s="1">
        <v>1091066</v>
      </c>
      <c r="C3206" s="2">
        <v>46127</v>
      </c>
      <c r="D3206" t="s">
        <v>17</v>
      </c>
      <c r="E3206" t="s">
        <v>8</v>
      </c>
      <c r="G3206" t="s">
        <v>9</v>
      </c>
      <c r="L3206">
        <f t="shared" si="252"/>
        <v>0</v>
      </c>
      <c r="M3206">
        <f t="shared" si="253"/>
        <v>0</v>
      </c>
      <c r="N3206">
        <f t="shared" si="254"/>
        <v>0</v>
      </c>
      <c r="O3206">
        <f t="shared" si="255"/>
        <v>1</v>
      </c>
      <c r="P3206" t="str">
        <f t="shared" si="256"/>
        <v/>
      </c>
      <c r="Q3206">
        <f>COUNTIF('責任職　企業局→市長部局'!A:A,SQLデータ!B3206)</f>
        <v>0</v>
      </c>
      <c r="R3206">
        <f>COUNTIF('一般職員　企業局→市長部局'!A:F,SQLデータ!B3206)</f>
        <v>0</v>
      </c>
    </row>
    <row r="3207" spans="1:18" x14ac:dyDescent="0.4">
      <c r="A3207" s="1">
        <v>202650003132</v>
      </c>
      <c r="B3207" s="1">
        <v>1231248</v>
      </c>
      <c r="C3207" s="2">
        <v>46127</v>
      </c>
      <c r="D3207" t="s">
        <v>17</v>
      </c>
      <c r="E3207" t="s">
        <v>8</v>
      </c>
      <c r="G3207" t="s">
        <v>9</v>
      </c>
      <c r="L3207">
        <f t="shared" si="252"/>
        <v>0</v>
      </c>
      <c r="M3207">
        <f t="shared" si="253"/>
        <v>0</v>
      </c>
      <c r="N3207">
        <f t="shared" si="254"/>
        <v>0</v>
      </c>
      <c r="O3207">
        <f t="shared" si="255"/>
        <v>1</v>
      </c>
      <c r="P3207" t="str">
        <f t="shared" si="256"/>
        <v/>
      </c>
      <c r="Q3207">
        <f>COUNTIF('責任職　企業局→市長部局'!A:A,SQLデータ!B3207)</f>
        <v>0</v>
      </c>
      <c r="R3207">
        <f>COUNTIF('一般職員　企業局→市長部局'!A:F,SQLデータ!B3207)</f>
        <v>0</v>
      </c>
    </row>
    <row r="3208" spans="1:18" x14ac:dyDescent="0.4">
      <c r="A3208" s="1">
        <v>202650003133</v>
      </c>
      <c r="B3208" s="1">
        <v>1181336</v>
      </c>
      <c r="C3208" s="2">
        <v>46127</v>
      </c>
      <c r="D3208" t="s">
        <v>17</v>
      </c>
      <c r="E3208" t="s">
        <v>8</v>
      </c>
      <c r="G3208" t="s">
        <v>9</v>
      </c>
      <c r="L3208">
        <f t="shared" si="252"/>
        <v>0</v>
      </c>
      <c r="M3208">
        <f t="shared" si="253"/>
        <v>0</v>
      </c>
      <c r="N3208">
        <f t="shared" si="254"/>
        <v>0</v>
      </c>
      <c r="O3208">
        <f t="shared" si="255"/>
        <v>1</v>
      </c>
      <c r="P3208" t="str">
        <f t="shared" si="256"/>
        <v/>
      </c>
      <c r="Q3208">
        <f>COUNTIF('責任職　企業局→市長部局'!A:A,SQLデータ!B3208)</f>
        <v>0</v>
      </c>
      <c r="R3208">
        <f>COUNTIF('一般職員　企業局→市長部局'!A:F,SQLデータ!B3208)</f>
        <v>0</v>
      </c>
    </row>
    <row r="3209" spans="1:18" x14ac:dyDescent="0.4">
      <c r="A3209" s="1">
        <v>202650003134</v>
      </c>
      <c r="B3209" s="1">
        <v>1161394</v>
      </c>
      <c r="C3209" s="2">
        <v>46127</v>
      </c>
      <c r="D3209" t="s">
        <v>17</v>
      </c>
      <c r="E3209" t="s">
        <v>8</v>
      </c>
      <c r="G3209" t="s">
        <v>9</v>
      </c>
      <c r="L3209">
        <f t="shared" si="252"/>
        <v>0</v>
      </c>
      <c r="M3209">
        <f t="shared" si="253"/>
        <v>0</v>
      </c>
      <c r="N3209">
        <f t="shared" si="254"/>
        <v>0</v>
      </c>
      <c r="O3209">
        <f t="shared" si="255"/>
        <v>1</v>
      </c>
      <c r="P3209" t="str">
        <f t="shared" si="256"/>
        <v/>
      </c>
      <c r="Q3209">
        <f>COUNTIF('責任職　企業局→市長部局'!A:A,SQLデータ!B3209)</f>
        <v>0</v>
      </c>
      <c r="R3209">
        <f>COUNTIF('一般職員　企業局→市長部局'!A:F,SQLデータ!B3209)</f>
        <v>0</v>
      </c>
    </row>
    <row r="3210" spans="1:18" x14ac:dyDescent="0.4">
      <c r="A3210" s="1">
        <v>202650003136</v>
      </c>
      <c r="B3210" s="1">
        <v>992534</v>
      </c>
      <c r="C3210" s="2">
        <v>46127</v>
      </c>
      <c r="D3210" t="s">
        <v>17</v>
      </c>
      <c r="E3210" t="s">
        <v>8</v>
      </c>
      <c r="G3210" t="s">
        <v>9</v>
      </c>
      <c r="L3210">
        <f t="shared" si="252"/>
        <v>0</v>
      </c>
      <c r="M3210">
        <f t="shared" si="253"/>
        <v>0</v>
      </c>
      <c r="N3210">
        <f t="shared" si="254"/>
        <v>0</v>
      </c>
      <c r="O3210">
        <f t="shared" si="255"/>
        <v>1</v>
      </c>
      <c r="P3210" t="str">
        <f t="shared" si="256"/>
        <v/>
      </c>
      <c r="Q3210">
        <f>COUNTIF('責任職　企業局→市長部局'!A:A,SQLデータ!B3210)</f>
        <v>0</v>
      </c>
      <c r="R3210">
        <f>COUNTIF('一般職員　企業局→市長部局'!A:F,SQLデータ!B3210)</f>
        <v>0</v>
      </c>
    </row>
    <row r="3211" spans="1:18" x14ac:dyDescent="0.4">
      <c r="A3211" s="1">
        <v>202650003137</v>
      </c>
      <c r="B3211" s="1">
        <v>982016</v>
      </c>
      <c r="C3211" s="2">
        <v>46127</v>
      </c>
      <c r="D3211" t="s">
        <v>17</v>
      </c>
      <c r="E3211" t="s">
        <v>8</v>
      </c>
      <c r="G3211" t="s">
        <v>9</v>
      </c>
      <c r="L3211">
        <f t="shared" si="252"/>
        <v>0</v>
      </c>
      <c r="M3211">
        <f t="shared" si="253"/>
        <v>0</v>
      </c>
      <c r="N3211">
        <f t="shared" si="254"/>
        <v>0</v>
      </c>
      <c r="O3211">
        <f t="shared" si="255"/>
        <v>1</v>
      </c>
      <c r="P3211" t="str">
        <f t="shared" si="256"/>
        <v/>
      </c>
      <c r="Q3211">
        <f>COUNTIF('責任職　企業局→市長部局'!A:A,SQLデータ!B3211)</f>
        <v>0</v>
      </c>
      <c r="R3211">
        <f>COUNTIF('一般職員　企業局→市長部局'!A:F,SQLデータ!B3211)</f>
        <v>0</v>
      </c>
    </row>
    <row r="3212" spans="1:18" x14ac:dyDescent="0.4">
      <c r="A3212" s="1">
        <v>202650003138</v>
      </c>
      <c r="B3212" s="1">
        <v>1166050</v>
      </c>
      <c r="C3212" s="2">
        <v>46127</v>
      </c>
      <c r="D3212" t="s">
        <v>17</v>
      </c>
      <c r="E3212" t="s">
        <v>8</v>
      </c>
      <c r="G3212" t="s">
        <v>9</v>
      </c>
      <c r="L3212">
        <f t="shared" si="252"/>
        <v>0</v>
      </c>
      <c r="M3212">
        <f t="shared" si="253"/>
        <v>0</v>
      </c>
      <c r="N3212">
        <f t="shared" si="254"/>
        <v>0</v>
      </c>
      <c r="O3212">
        <f t="shared" si="255"/>
        <v>1</v>
      </c>
      <c r="P3212" t="str">
        <f t="shared" si="256"/>
        <v/>
      </c>
      <c r="Q3212">
        <f>COUNTIF('責任職　企業局→市長部局'!A:A,SQLデータ!B3212)</f>
        <v>0</v>
      </c>
      <c r="R3212">
        <f>COUNTIF('一般職員　企業局→市長部局'!A:F,SQLデータ!B3212)</f>
        <v>0</v>
      </c>
    </row>
    <row r="3213" spans="1:18" x14ac:dyDescent="0.4">
      <c r="A3213" s="1">
        <v>202650003140</v>
      </c>
      <c r="B3213" s="1">
        <v>1231175</v>
      </c>
      <c r="C3213" s="2">
        <v>46127</v>
      </c>
      <c r="D3213" t="s">
        <v>17</v>
      </c>
      <c r="E3213" t="s">
        <v>8</v>
      </c>
      <c r="G3213" t="s">
        <v>9</v>
      </c>
      <c r="L3213">
        <f t="shared" si="252"/>
        <v>0</v>
      </c>
      <c r="M3213">
        <f t="shared" si="253"/>
        <v>0</v>
      </c>
      <c r="N3213">
        <f t="shared" si="254"/>
        <v>0</v>
      </c>
      <c r="O3213">
        <f t="shared" si="255"/>
        <v>1</v>
      </c>
      <c r="P3213" t="str">
        <f t="shared" si="256"/>
        <v/>
      </c>
      <c r="Q3213">
        <f>COUNTIF('責任職　企業局→市長部局'!A:A,SQLデータ!B3213)</f>
        <v>0</v>
      </c>
      <c r="R3213">
        <f>COUNTIF('一般職員　企業局→市長部局'!A:F,SQLデータ!B3213)</f>
        <v>0</v>
      </c>
    </row>
    <row r="3214" spans="1:18" x14ac:dyDescent="0.4">
      <c r="A3214" s="1">
        <v>202650003141</v>
      </c>
      <c r="B3214" s="1">
        <v>1171427</v>
      </c>
      <c r="C3214" s="2">
        <v>46127</v>
      </c>
      <c r="D3214" t="s">
        <v>17</v>
      </c>
      <c r="E3214" t="s">
        <v>8</v>
      </c>
      <c r="G3214" t="s">
        <v>9</v>
      </c>
      <c r="L3214">
        <f t="shared" si="252"/>
        <v>0</v>
      </c>
      <c r="M3214">
        <f t="shared" si="253"/>
        <v>0</v>
      </c>
      <c r="N3214">
        <f t="shared" si="254"/>
        <v>0</v>
      </c>
      <c r="O3214">
        <f t="shared" si="255"/>
        <v>1</v>
      </c>
      <c r="P3214" t="str">
        <f t="shared" si="256"/>
        <v/>
      </c>
      <c r="Q3214">
        <f>COUNTIF('責任職　企業局→市長部局'!A:A,SQLデータ!B3214)</f>
        <v>0</v>
      </c>
      <c r="R3214">
        <f>COUNTIF('一般職員　企業局→市長部局'!A:F,SQLデータ!B3214)</f>
        <v>0</v>
      </c>
    </row>
    <row r="3215" spans="1:18" x14ac:dyDescent="0.4">
      <c r="A3215" s="1">
        <v>202650003142</v>
      </c>
      <c r="B3215" s="1">
        <v>1151171</v>
      </c>
      <c r="C3215" s="2">
        <v>46127</v>
      </c>
      <c r="D3215" t="s">
        <v>17</v>
      </c>
      <c r="E3215" t="s">
        <v>8</v>
      </c>
      <c r="G3215" t="s">
        <v>9</v>
      </c>
      <c r="L3215">
        <f t="shared" si="252"/>
        <v>0</v>
      </c>
      <c r="M3215">
        <f t="shared" si="253"/>
        <v>0</v>
      </c>
      <c r="N3215">
        <f t="shared" si="254"/>
        <v>0</v>
      </c>
      <c r="O3215">
        <f t="shared" si="255"/>
        <v>1</v>
      </c>
      <c r="P3215" t="str">
        <f t="shared" si="256"/>
        <v/>
      </c>
      <c r="Q3215">
        <f>COUNTIF('責任職　企業局→市長部局'!A:A,SQLデータ!B3215)</f>
        <v>0</v>
      </c>
      <c r="R3215">
        <f>COUNTIF('一般職員　企業局→市長部局'!A:F,SQLデータ!B3215)</f>
        <v>0</v>
      </c>
    </row>
    <row r="3216" spans="1:18" x14ac:dyDescent="0.4">
      <c r="A3216" s="1">
        <v>202650003144</v>
      </c>
      <c r="B3216" s="1">
        <v>1181119</v>
      </c>
      <c r="C3216" s="2">
        <v>46127</v>
      </c>
      <c r="D3216" t="s">
        <v>17</v>
      </c>
      <c r="E3216" t="s">
        <v>8</v>
      </c>
      <c r="G3216" t="s">
        <v>9</v>
      </c>
      <c r="L3216">
        <f t="shared" si="252"/>
        <v>0</v>
      </c>
      <c r="M3216">
        <f t="shared" si="253"/>
        <v>0</v>
      </c>
      <c r="N3216">
        <f t="shared" si="254"/>
        <v>0</v>
      </c>
      <c r="O3216">
        <f t="shared" si="255"/>
        <v>1</v>
      </c>
      <c r="P3216" t="str">
        <f t="shared" si="256"/>
        <v/>
      </c>
      <c r="Q3216">
        <f>COUNTIF('責任職　企業局→市長部局'!A:A,SQLデータ!B3216)</f>
        <v>0</v>
      </c>
      <c r="R3216">
        <f>COUNTIF('一般職員　企業局→市長部局'!A:F,SQLデータ!B3216)</f>
        <v>0</v>
      </c>
    </row>
    <row r="3217" spans="1:18" x14ac:dyDescent="0.4">
      <c r="A3217" s="1">
        <v>202650003145</v>
      </c>
      <c r="B3217" s="1">
        <v>1152503</v>
      </c>
      <c r="C3217" s="2">
        <v>46127</v>
      </c>
      <c r="D3217" t="s">
        <v>17</v>
      </c>
      <c r="E3217" t="s">
        <v>8</v>
      </c>
      <c r="G3217" t="s">
        <v>9</v>
      </c>
      <c r="L3217">
        <f t="shared" si="252"/>
        <v>0</v>
      </c>
      <c r="M3217">
        <f t="shared" si="253"/>
        <v>0</v>
      </c>
      <c r="N3217">
        <f t="shared" si="254"/>
        <v>0</v>
      </c>
      <c r="O3217">
        <f t="shared" si="255"/>
        <v>1</v>
      </c>
      <c r="P3217" t="str">
        <f t="shared" si="256"/>
        <v/>
      </c>
      <c r="Q3217">
        <f>COUNTIF('責任職　企業局→市長部局'!A:A,SQLデータ!B3217)</f>
        <v>0</v>
      </c>
      <c r="R3217">
        <f>COUNTIF('一般職員　企業局→市長部局'!A:F,SQLデータ!B3217)</f>
        <v>0</v>
      </c>
    </row>
    <row r="3218" spans="1:18" x14ac:dyDescent="0.4">
      <c r="A3218" s="1">
        <v>202650003146</v>
      </c>
      <c r="B3218" s="1">
        <v>1231190</v>
      </c>
      <c r="C3218" s="2">
        <v>46127</v>
      </c>
      <c r="D3218" t="s">
        <v>17</v>
      </c>
      <c r="E3218" t="s">
        <v>8</v>
      </c>
      <c r="G3218" t="s">
        <v>9</v>
      </c>
      <c r="L3218">
        <f t="shared" si="252"/>
        <v>0</v>
      </c>
      <c r="M3218">
        <f t="shared" si="253"/>
        <v>0</v>
      </c>
      <c r="N3218">
        <f t="shared" si="254"/>
        <v>0</v>
      </c>
      <c r="O3218">
        <f t="shared" si="255"/>
        <v>1</v>
      </c>
      <c r="P3218" t="str">
        <f t="shared" si="256"/>
        <v/>
      </c>
      <c r="Q3218">
        <f>COUNTIF('責任職　企業局→市長部局'!A:A,SQLデータ!B3218)</f>
        <v>0</v>
      </c>
      <c r="R3218">
        <f>COUNTIF('一般職員　企業局→市長部局'!A:F,SQLデータ!B3218)</f>
        <v>0</v>
      </c>
    </row>
    <row r="3219" spans="1:18" x14ac:dyDescent="0.4">
      <c r="A3219" s="1">
        <v>202650003147</v>
      </c>
      <c r="B3219" s="1">
        <v>1191312</v>
      </c>
      <c r="C3219" s="2">
        <v>46127</v>
      </c>
      <c r="D3219" t="s">
        <v>17</v>
      </c>
      <c r="E3219" t="s">
        <v>8</v>
      </c>
      <c r="G3219" t="s">
        <v>9</v>
      </c>
      <c r="L3219">
        <f t="shared" si="252"/>
        <v>0</v>
      </c>
      <c r="M3219">
        <f t="shared" si="253"/>
        <v>0</v>
      </c>
      <c r="N3219">
        <f t="shared" si="254"/>
        <v>0</v>
      </c>
      <c r="O3219">
        <f t="shared" si="255"/>
        <v>1</v>
      </c>
      <c r="P3219" t="str">
        <f t="shared" si="256"/>
        <v/>
      </c>
      <c r="Q3219">
        <f>COUNTIF('責任職　企業局→市長部局'!A:A,SQLデータ!B3219)</f>
        <v>0</v>
      </c>
      <c r="R3219">
        <f>COUNTIF('一般職員　企業局→市長部局'!A:F,SQLデータ!B3219)</f>
        <v>0</v>
      </c>
    </row>
    <row r="3220" spans="1:18" x14ac:dyDescent="0.4">
      <c r="A3220" s="1">
        <v>202650003148</v>
      </c>
      <c r="B3220" s="1">
        <v>1221276</v>
      </c>
      <c r="C3220" s="2">
        <v>46127</v>
      </c>
      <c r="D3220" t="s">
        <v>17</v>
      </c>
      <c r="E3220" t="s">
        <v>8</v>
      </c>
      <c r="G3220" t="s">
        <v>9</v>
      </c>
      <c r="L3220">
        <f t="shared" si="252"/>
        <v>0</v>
      </c>
      <c r="M3220">
        <f t="shared" si="253"/>
        <v>0</v>
      </c>
      <c r="N3220">
        <f t="shared" si="254"/>
        <v>0</v>
      </c>
      <c r="O3220">
        <f t="shared" si="255"/>
        <v>1</v>
      </c>
      <c r="P3220" t="str">
        <f t="shared" si="256"/>
        <v/>
      </c>
      <c r="Q3220">
        <f>COUNTIF('責任職　企業局→市長部局'!A:A,SQLデータ!B3220)</f>
        <v>0</v>
      </c>
      <c r="R3220">
        <f>COUNTIF('一般職員　企業局→市長部局'!A:F,SQLデータ!B3220)</f>
        <v>0</v>
      </c>
    </row>
    <row r="3221" spans="1:18" x14ac:dyDescent="0.4">
      <c r="A3221" s="1">
        <v>202650003149</v>
      </c>
      <c r="B3221" s="1">
        <v>1231227</v>
      </c>
      <c r="C3221" s="2">
        <v>46127</v>
      </c>
      <c r="D3221" t="s">
        <v>17</v>
      </c>
      <c r="E3221" t="s">
        <v>8</v>
      </c>
      <c r="G3221" t="s">
        <v>9</v>
      </c>
      <c r="L3221">
        <f t="shared" si="252"/>
        <v>0</v>
      </c>
      <c r="M3221">
        <f t="shared" si="253"/>
        <v>0</v>
      </c>
      <c r="N3221">
        <f t="shared" si="254"/>
        <v>0</v>
      </c>
      <c r="O3221">
        <f t="shared" si="255"/>
        <v>1</v>
      </c>
      <c r="P3221" t="str">
        <f t="shared" si="256"/>
        <v/>
      </c>
      <c r="Q3221">
        <f>COUNTIF('責任職　企業局→市長部局'!A:A,SQLデータ!B3221)</f>
        <v>0</v>
      </c>
      <c r="R3221">
        <f>COUNTIF('一般職員　企業局→市長部局'!A:F,SQLデータ!B3221)</f>
        <v>0</v>
      </c>
    </row>
    <row r="3222" spans="1:18" x14ac:dyDescent="0.4">
      <c r="A3222" s="1">
        <v>202650003150</v>
      </c>
      <c r="B3222" s="1">
        <v>1211176</v>
      </c>
      <c r="C3222" s="2">
        <v>46127</v>
      </c>
      <c r="D3222" t="s">
        <v>17</v>
      </c>
      <c r="E3222" t="s">
        <v>8</v>
      </c>
      <c r="G3222" t="s">
        <v>9</v>
      </c>
      <c r="L3222">
        <f t="shared" si="252"/>
        <v>0</v>
      </c>
      <c r="M3222">
        <f t="shared" si="253"/>
        <v>0</v>
      </c>
      <c r="N3222">
        <f t="shared" si="254"/>
        <v>0</v>
      </c>
      <c r="O3222">
        <f t="shared" si="255"/>
        <v>1</v>
      </c>
      <c r="P3222" t="str">
        <f t="shared" si="256"/>
        <v/>
      </c>
      <c r="Q3222">
        <f>COUNTIF('責任職　企業局→市長部局'!A:A,SQLデータ!B3222)</f>
        <v>0</v>
      </c>
      <c r="R3222">
        <f>COUNTIF('一般職員　企業局→市長部局'!A:F,SQLデータ!B3222)</f>
        <v>0</v>
      </c>
    </row>
    <row r="3223" spans="1:18" x14ac:dyDescent="0.4">
      <c r="A3223" s="1">
        <v>202650003151</v>
      </c>
      <c r="B3223" s="1">
        <v>880268</v>
      </c>
      <c r="C3223" s="2">
        <v>46128</v>
      </c>
      <c r="D3223" t="s">
        <v>17</v>
      </c>
      <c r="E3223" t="s">
        <v>8</v>
      </c>
      <c r="G3223" t="s">
        <v>9</v>
      </c>
      <c r="L3223">
        <f t="shared" si="252"/>
        <v>0</v>
      </c>
      <c r="M3223">
        <f t="shared" si="253"/>
        <v>0</v>
      </c>
      <c r="N3223">
        <f t="shared" si="254"/>
        <v>0</v>
      </c>
      <c r="O3223">
        <f t="shared" si="255"/>
        <v>1</v>
      </c>
      <c r="P3223" t="str">
        <f t="shared" si="256"/>
        <v/>
      </c>
      <c r="Q3223">
        <f>COUNTIF('責任職　企業局→市長部局'!A:A,SQLデータ!B3223)</f>
        <v>0</v>
      </c>
      <c r="R3223">
        <f>COUNTIF('一般職員　企業局→市長部局'!A:F,SQLデータ!B3223)</f>
        <v>0</v>
      </c>
    </row>
    <row r="3224" spans="1:18" x14ac:dyDescent="0.4">
      <c r="A3224" s="1">
        <v>202650003152</v>
      </c>
      <c r="B3224" s="1">
        <v>1221533</v>
      </c>
      <c r="C3224" s="2">
        <v>46127</v>
      </c>
      <c r="D3224" t="s">
        <v>17</v>
      </c>
      <c r="E3224" t="s">
        <v>8</v>
      </c>
      <c r="G3224" t="s">
        <v>9</v>
      </c>
      <c r="L3224">
        <f t="shared" si="252"/>
        <v>0</v>
      </c>
      <c r="M3224">
        <f t="shared" si="253"/>
        <v>0</v>
      </c>
      <c r="N3224">
        <f t="shared" si="254"/>
        <v>0</v>
      </c>
      <c r="O3224">
        <f t="shared" si="255"/>
        <v>1</v>
      </c>
      <c r="P3224" t="str">
        <f t="shared" si="256"/>
        <v/>
      </c>
      <c r="Q3224">
        <f>COUNTIF('責任職　企業局→市長部局'!A:A,SQLデータ!B3224)</f>
        <v>0</v>
      </c>
      <c r="R3224">
        <f>COUNTIF('一般職員　企業局→市長部局'!A:F,SQLデータ!B3224)</f>
        <v>0</v>
      </c>
    </row>
    <row r="3225" spans="1:18" x14ac:dyDescent="0.4">
      <c r="A3225" s="1">
        <v>202650003153</v>
      </c>
      <c r="B3225" s="1">
        <v>1221002</v>
      </c>
      <c r="C3225" s="2">
        <v>46127</v>
      </c>
      <c r="D3225" t="s">
        <v>17</v>
      </c>
      <c r="E3225" t="s">
        <v>8</v>
      </c>
      <c r="G3225" t="s">
        <v>9</v>
      </c>
      <c r="L3225">
        <f t="shared" si="252"/>
        <v>0</v>
      </c>
      <c r="M3225">
        <f t="shared" si="253"/>
        <v>0</v>
      </c>
      <c r="N3225">
        <f t="shared" si="254"/>
        <v>0</v>
      </c>
      <c r="O3225">
        <f t="shared" si="255"/>
        <v>1</v>
      </c>
      <c r="P3225" t="str">
        <f t="shared" si="256"/>
        <v/>
      </c>
      <c r="Q3225">
        <f>COUNTIF('責任職　企業局→市長部局'!A:A,SQLデータ!B3225)</f>
        <v>0</v>
      </c>
      <c r="R3225">
        <f>COUNTIF('一般職員　企業局→市長部局'!A:F,SQLデータ!B3225)</f>
        <v>0</v>
      </c>
    </row>
    <row r="3226" spans="1:18" x14ac:dyDescent="0.4">
      <c r="A3226" s="1">
        <v>202650003154</v>
      </c>
      <c r="B3226" s="1">
        <v>1201166</v>
      </c>
      <c r="C3226" s="2">
        <v>46127</v>
      </c>
      <c r="D3226" t="s">
        <v>17</v>
      </c>
      <c r="E3226" t="s">
        <v>8</v>
      </c>
      <c r="G3226" t="s">
        <v>9</v>
      </c>
      <c r="L3226">
        <f t="shared" si="252"/>
        <v>0</v>
      </c>
      <c r="M3226">
        <f t="shared" si="253"/>
        <v>0</v>
      </c>
      <c r="N3226">
        <f t="shared" si="254"/>
        <v>0</v>
      </c>
      <c r="O3226">
        <f t="shared" si="255"/>
        <v>1</v>
      </c>
      <c r="P3226" t="str">
        <f t="shared" si="256"/>
        <v/>
      </c>
      <c r="Q3226">
        <f>COUNTIF('責任職　企業局→市長部局'!A:A,SQLデータ!B3226)</f>
        <v>0</v>
      </c>
      <c r="R3226">
        <f>COUNTIF('一般職員　企業局→市長部局'!A:F,SQLデータ!B3226)</f>
        <v>0</v>
      </c>
    </row>
    <row r="3227" spans="1:18" x14ac:dyDescent="0.4">
      <c r="A3227" s="1">
        <v>202650003155</v>
      </c>
      <c r="B3227" s="1">
        <v>1221165</v>
      </c>
      <c r="C3227" s="2">
        <v>46127</v>
      </c>
      <c r="D3227" t="s">
        <v>17</v>
      </c>
      <c r="E3227" t="s">
        <v>8</v>
      </c>
      <c r="G3227" t="s">
        <v>9</v>
      </c>
      <c r="L3227">
        <f t="shared" si="252"/>
        <v>0</v>
      </c>
      <c r="M3227">
        <f t="shared" si="253"/>
        <v>0</v>
      </c>
      <c r="N3227">
        <f t="shared" si="254"/>
        <v>0</v>
      </c>
      <c r="O3227">
        <f t="shared" si="255"/>
        <v>1</v>
      </c>
      <c r="P3227" t="str">
        <f t="shared" si="256"/>
        <v/>
      </c>
      <c r="Q3227">
        <f>COUNTIF('責任職　企業局→市長部局'!A:A,SQLデータ!B3227)</f>
        <v>0</v>
      </c>
      <c r="R3227">
        <f>COUNTIF('一般職員　企業局→市長部局'!A:F,SQLデータ!B3227)</f>
        <v>0</v>
      </c>
    </row>
    <row r="3228" spans="1:18" x14ac:dyDescent="0.4">
      <c r="A3228" s="1">
        <v>202650003156</v>
      </c>
      <c r="B3228" s="1">
        <v>1056039</v>
      </c>
      <c r="C3228" s="2">
        <v>46127</v>
      </c>
      <c r="D3228" t="s">
        <v>17</v>
      </c>
      <c r="E3228" t="s">
        <v>8</v>
      </c>
      <c r="G3228" t="s">
        <v>9</v>
      </c>
      <c r="L3228">
        <f t="shared" si="252"/>
        <v>0</v>
      </c>
      <c r="M3228">
        <f t="shared" si="253"/>
        <v>0</v>
      </c>
      <c r="N3228">
        <f t="shared" si="254"/>
        <v>0</v>
      </c>
      <c r="O3228">
        <f t="shared" si="255"/>
        <v>1</v>
      </c>
      <c r="P3228" t="str">
        <f t="shared" si="256"/>
        <v/>
      </c>
      <c r="Q3228">
        <f>COUNTIF('責任職　企業局→市長部局'!A:A,SQLデータ!B3228)</f>
        <v>0</v>
      </c>
      <c r="R3228">
        <f>COUNTIF('一般職員　企業局→市長部局'!A:F,SQLデータ!B3228)</f>
        <v>0</v>
      </c>
    </row>
    <row r="3229" spans="1:18" x14ac:dyDescent="0.4">
      <c r="A3229" s="1">
        <v>202650003157</v>
      </c>
      <c r="B3229" s="1">
        <v>1071238</v>
      </c>
      <c r="C3229" s="2">
        <v>46127</v>
      </c>
      <c r="D3229" t="s">
        <v>17</v>
      </c>
      <c r="E3229" t="s">
        <v>8</v>
      </c>
      <c r="G3229" t="s">
        <v>9</v>
      </c>
      <c r="L3229">
        <f t="shared" si="252"/>
        <v>0</v>
      </c>
      <c r="M3229">
        <f t="shared" si="253"/>
        <v>0</v>
      </c>
      <c r="N3229">
        <f t="shared" si="254"/>
        <v>0</v>
      </c>
      <c r="O3229">
        <f t="shared" si="255"/>
        <v>1</v>
      </c>
      <c r="P3229" t="str">
        <f t="shared" si="256"/>
        <v/>
      </c>
      <c r="Q3229">
        <f>COUNTIF('責任職　企業局→市長部局'!A:A,SQLデータ!B3229)</f>
        <v>0</v>
      </c>
      <c r="R3229">
        <f>COUNTIF('一般職員　企業局→市長部局'!A:F,SQLデータ!B3229)</f>
        <v>0</v>
      </c>
    </row>
    <row r="3230" spans="1:18" x14ac:dyDescent="0.4">
      <c r="A3230" s="1">
        <v>202650003158</v>
      </c>
      <c r="B3230" s="1">
        <v>1222007</v>
      </c>
      <c r="C3230" s="2">
        <v>46127</v>
      </c>
      <c r="D3230" t="s">
        <v>17</v>
      </c>
      <c r="E3230" t="s">
        <v>8</v>
      </c>
      <c r="G3230" t="s">
        <v>9</v>
      </c>
      <c r="L3230">
        <f t="shared" si="252"/>
        <v>0</v>
      </c>
      <c r="M3230">
        <f t="shared" si="253"/>
        <v>0</v>
      </c>
      <c r="N3230">
        <f t="shared" si="254"/>
        <v>0</v>
      </c>
      <c r="O3230">
        <f t="shared" si="255"/>
        <v>1</v>
      </c>
      <c r="P3230" t="str">
        <f t="shared" si="256"/>
        <v/>
      </c>
      <c r="Q3230">
        <f>COUNTIF('責任職　企業局→市長部局'!A:A,SQLデータ!B3230)</f>
        <v>0</v>
      </c>
      <c r="R3230">
        <f>COUNTIF('一般職員　企業局→市長部局'!A:F,SQLデータ!B3230)</f>
        <v>0</v>
      </c>
    </row>
    <row r="3231" spans="1:18" x14ac:dyDescent="0.4">
      <c r="A3231" s="1">
        <v>202650003159</v>
      </c>
      <c r="B3231" s="1">
        <v>1221167</v>
      </c>
      <c r="C3231" s="2">
        <v>46127</v>
      </c>
      <c r="D3231" t="s">
        <v>17</v>
      </c>
      <c r="E3231" t="s">
        <v>8</v>
      </c>
      <c r="G3231" t="s">
        <v>9</v>
      </c>
      <c r="L3231">
        <f t="shared" si="252"/>
        <v>0</v>
      </c>
      <c r="M3231">
        <f t="shared" si="253"/>
        <v>0</v>
      </c>
      <c r="N3231">
        <f t="shared" si="254"/>
        <v>0</v>
      </c>
      <c r="O3231">
        <f t="shared" si="255"/>
        <v>1</v>
      </c>
      <c r="P3231" t="str">
        <f t="shared" si="256"/>
        <v/>
      </c>
      <c r="Q3231">
        <f>COUNTIF('責任職　企業局→市長部局'!A:A,SQLデータ!B3231)</f>
        <v>0</v>
      </c>
      <c r="R3231">
        <f>COUNTIF('一般職員　企業局→市長部局'!A:F,SQLデータ!B3231)</f>
        <v>0</v>
      </c>
    </row>
    <row r="3232" spans="1:18" x14ac:dyDescent="0.4">
      <c r="A3232" s="1">
        <v>202650003160</v>
      </c>
      <c r="B3232" s="1">
        <v>1151103</v>
      </c>
      <c r="C3232" s="2">
        <v>46127</v>
      </c>
      <c r="D3232" t="s">
        <v>17</v>
      </c>
      <c r="E3232" t="s">
        <v>8</v>
      </c>
      <c r="G3232" t="s">
        <v>9</v>
      </c>
      <c r="L3232">
        <f t="shared" si="252"/>
        <v>0</v>
      </c>
      <c r="M3232">
        <f t="shared" si="253"/>
        <v>0</v>
      </c>
      <c r="N3232">
        <f t="shared" si="254"/>
        <v>0</v>
      </c>
      <c r="O3232">
        <f t="shared" si="255"/>
        <v>1</v>
      </c>
      <c r="P3232" t="str">
        <f t="shared" si="256"/>
        <v/>
      </c>
      <c r="Q3232">
        <f>COUNTIF('責任職　企業局→市長部局'!A:A,SQLデータ!B3232)</f>
        <v>0</v>
      </c>
      <c r="R3232">
        <f>COUNTIF('一般職員　企業局→市長部局'!A:F,SQLデータ!B3232)</f>
        <v>0</v>
      </c>
    </row>
    <row r="3233" spans="1:18" x14ac:dyDescent="0.4">
      <c r="A3233" s="1">
        <v>202650003161</v>
      </c>
      <c r="B3233" s="1">
        <v>920297</v>
      </c>
      <c r="C3233" s="2">
        <v>46127</v>
      </c>
      <c r="D3233" t="s">
        <v>17</v>
      </c>
      <c r="E3233" t="s">
        <v>8</v>
      </c>
      <c r="G3233" t="s">
        <v>9</v>
      </c>
      <c r="L3233">
        <f t="shared" si="252"/>
        <v>0</v>
      </c>
      <c r="M3233">
        <f t="shared" si="253"/>
        <v>0</v>
      </c>
      <c r="N3233">
        <f t="shared" si="254"/>
        <v>0</v>
      </c>
      <c r="O3233">
        <f t="shared" si="255"/>
        <v>1</v>
      </c>
      <c r="P3233" t="str">
        <f t="shared" si="256"/>
        <v/>
      </c>
      <c r="Q3233">
        <f>COUNTIF('責任職　企業局→市長部局'!A:A,SQLデータ!B3233)</f>
        <v>0</v>
      </c>
      <c r="R3233">
        <f>COUNTIF('一般職員　企業局→市長部局'!A:F,SQLデータ!B3233)</f>
        <v>1</v>
      </c>
    </row>
    <row r="3234" spans="1:18" x14ac:dyDescent="0.4">
      <c r="A3234" s="1">
        <v>202650003162</v>
      </c>
      <c r="B3234" s="1">
        <v>940187</v>
      </c>
      <c r="C3234" s="2">
        <v>46127</v>
      </c>
      <c r="D3234" t="s">
        <v>17</v>
      </c>
      <c r="E3234" t="s">
        <v>8</v>
      </c>
      <c r="G3234" t="s">
        <v>9</v>
      </c>
      <c r="L3234">
        <f t="shared" ref="L3234:L3297" si="257">IF(ISBLANK(J3234),0,1)</f>
        <v>0</v>
      </c>
      <c r="M3234">
        <f t="shared" ref="M3234:M3297" si="258">IF(AND(L3234=0,I3234&lt;&gt;""),1,0)</f>
        <v>0</v>
      </c>
      <c r="N3234">
        <f t="shared" ref="N3234:N3297" si="259">IF(AND(L3234=0,M3234=0,K3234&lt;&gt;""),1,0)</f>
        <v>0</v>
      </c>
      <c r="O3234">
        <f t="shared" ref="O3234:O3297" si="260">IF(COUNTIF(L3234:N3234,0)=3,1,0)</f>
        <v>1</v>
      </c>
      <c r="P3234" t="str">
        <f t="shared" ref="P3234:P3297" si="261">IF(D3234&lt;&gt;"扶養","",IF(E3234&lt;&gt;"確認待ち",1,IF(OR(AND(G3234="本人の結婚",O3234=1),AND(H3234="減",OR(N3234=1,O3234=1))),1,0)))</f>
        <v/>
      </c>
      <c r="Q3234">
        <f>COUNTIF('責任職　企業局→市長部局'!A:A,SQLデータ!B3234)</f>
        <v>0</v>
      </c>
      <c r="R3234">
        <f>COUNTIF('一般職員　企業局→市長部局'!A:F,SQLデータ!B3234)</f>
        <v>0</v>
      </c>
    </row>
    <row r="3235" spans="1:18" x14ac:dyDescent="0.4">
      <c r="A3235" s="1">
        <v>202650003163</v>
      </c>
      <c r="B3235" s="1">
        <v>1233017</v>
      </c>
      <c r="C3235" s="2">
        <v>46127</v>
      </c>
      <c r="D3235" t="s">
        <v>17</v>
      </c>
      <c r="E3235" t="s">
        <v>8</v>
      </c>
      <c r="G3235" t="s">
        <v>9</v>
      </c>
      <c r="L3235">
        <f t="shared" si="257"/>
        <v>0</v>
      </c>
      <c r="M3235">
        <f t="shared" si="258"/>
        <v>0</v>
      </c>
      <c r="N3235">
        <f t="shared" si="259"/>
        <v>0</v>
      </c>
      <c r="O3235">
        <f t="shared" si="260"/>
        <v>1</v>
      </c>
      <c r="P3235" t="str">
        <f t="shared" si="261"/>
        <v/>
      </c>
      <c r="Q3235">
        <f>COUNTIF('責任職　企業局→市長部局'!A:A,SQLデータ!B3235)</f>
        <v>0</v>
      </c>
      <c r="R3235">
        <f>COUNTIF('一般職員　企業局→市長部局'!A:F,SQLデータ!B3235)</f>
        <v>0</v>
      </c>
    </row>
    <row r="3236" spans="1:18" x14ac:dyDescent="0.4">
      <c r="A3236" s="1">
        <v>202650003164</v>
      </c>
      <c r="B3236" s="1">
        <v>1171593</v>
      </c>
      <c r="C3236" s="2">
        <v>46127</v>
      </c>
      <c r="D3236" t="s">
        <v>17</v>
      </c>
      <c r="E3236" t="s">
        <v>8</v>
      </c>
      <c r="G3236" t="s">
        <v>9</v>
      </c>
      <c r="L3236">
        <f t="shared" si="257"/>
        <v>0</v>
      </c>
      <c r="M3236">
        <f t="shared" si="258"/>
        <v>0</v>
      </c>
      <c r="N3236">
        <f t="shared" si="259"/>
        <v>0</v>
      </c>
      <c r="O3236">
        <f t="shared" si="260"/>
        <v>1</v>
      </c>
      <c r="P3236" t="str">
        <f t="shared" si="261"/>
        <v/>
      </c>
      <c r="Q3236">
        <f>COUNTIF('責任職　企業局→市長部局'!A:A,SQLデータ!B3236)</f>
        <v>0</v>
      </c>
      <c r="R3236">
        <f>COUNTIF('一般職員　企業局→市長部局'!A:F,SQLデータ!B3236)</f>
        <v>0</v>
      </c>
    </row>
    <row r="3237" spans="1:18" x14ac:dyDescent="0.4">
      <c r="A3237" s="1">
        <v>202650003165</v>
      </c>
      <c r="B3237" s="1">
        <v>1011149</v>
      </c>
      <c r="C3237" s="2">
        <v>46127</v>
      </c>
      <c r="D3237" t="s">
        <v>17</v>
      </c>
      <c r="E3237" t="s">
        <v>8</v>
      </c>
      <c r="G3237" t="s">
        <v>9</v>
      </c>
      <c r="L3237">
        <f t="shared" si="257"/>
        <v>0</v>
      </c>
      <c r="M3237">
        <f t="shared" si="258"/>
        <v>0</v>
      </c>
      <c r="N3237">
        <f t="shared" si="259"/>
        <v>0</v>
      </c>
      <c r="O3237">
        <f t="shared" si="260"/>
        <v>1</v>
      </c>
      <c r="P3237" t="str">
        <f t="shared" si="261"/>
        <v/>
      </c>
      <c r="Q3237">
        <f>COUNTIF('責任職　企業局→市長部局'!A:A,SQLデータ!B3237)</f>
        <v>0</v>
      </c>
      <c r="R3237">
        <f>COUNTIF('一般職員　企業局→市長部局'!A:F,SQLデータ!B3237)</f>
        <v>0</v>
      </c>
    </row>
    <row r="3238" spans="1:18" x14ac:dyDescent="0.4">
      <c r="A3238" s="1">
        <v>202650003166</v>
      </c>
      <c r="B3238" s="1">
        <v>1112111</v>
      </c>
      <c r="C3238" s="2">
        <v>46127</v>
      </c>
      <c r="D3238" t="s">
        <v>17</v>
      </c>
      <c r="E3238" t="s">
        <v>8</v>
      </c>
      <c r="G3238" t="s">
        <v>9</v>
      </c>
      <c r="L3238">
        <f t="shared" si="257"/>
        <v>0</v>
      </c>
      <c r="M3238">
        <f t="shared" si="258"/>
        <v>0</v>
      </c>
      <c r="N3238">
        <f t="shared" si="259"/>
        <v>0</v>
      </c>
      <c r="O3238">
        <f t="shared" si="260"/>
        <v>1</v>
      </c>
      <c r="P3238" t="str">
        <f t="shared" si="261"/>
        <v/>
      </c>
      <c r="Q3238">
        <f>COUNTIF('責任職　企業局→市長部局'!A:A,SQLデータ!B3238)</f>
        <v>0</v>
      </c>
      <c r="R3238">
        <f>COUNTIF('一般職員　企業局→市長部局'!A:F,SQLデータ!B3238)</f>
        <v>0</v>
      </c>
    </row>
    <row r="3239" spans="1:18" x14ac:dyDescent="0.4">
      <c r="A3239" s="1">
        <v>202650003167</v>
      </c>
      <c r="B3239" s="1">
        <v>1081115</v>
      </c>
      <c r="C3239" s="2">
        <v>46127</v>
      </c>
      <c r="D3239" t="s">
        <v>17</v>
      </c>
      <c r="E3239" t="s">
        <v>8</v>
      </c>
      <c r="G3239" t="s">
        <v>9</v>
      </c>
      <c r="L3239">
        <f t="shared" si="257"/>
        <v>0</v>
      </c>
      <c r="M3239">
        <f t="shared" si="258"/>
        <v>0</v>
      </c>
      <c r="N3239">
        <f t="shared" si="259"/>
        <v>0</v>
      </c>
      <c r="O3239">
        <f t="shared" si="260"/>
        <v>1</v>
      </c>
      <c r="P3239" t="str">
        <f t="shared" si="261"/>
        <v/>
      </c>
      <c r="Q3239">
        <f>COUNTIF('責任職　企業局→市長部局'!A:A,SQLデータ!B3239)</f>
        <v>0</v>
      </c>
      <c r="R3239">
        <f>COUNTIF('一般職員　企業局→市長部局'!A:F,SQLデータ!B3239)</f>
        <v>0</v>
      </c>
    </row>
    <row r="3240" spans="1:18" x14ac:dyDescent="0.4">
      <c r="A3240" s="1">
        <v>202650003168</v>
      </c>
      <c r="B3240" s="1">
        <v>960311</v>
      </c>
      <c r="C3240" s="2">
        <v>46127</v>
      </c>
      <c r="D3240" t="s">
        <v>17</v>
      </c>
      <c r="E3240" t="s">
        <v>8</v>
      </c>
      <c r="G3240" t="s">
        <v>9</v>
      </c>
      <c r="L3240">
        <f t="shared" si="257"/>
        <v>0</v>
      </c>
      <c r="M3240">
        <f t="shared" si="258"/>
        <v>0</v>
      </c>
      <c r="N3240">
        <f t="shared" si="259"/>
        <v>0</v>
      </c>
      <c r="O3240">
        <f t="shared" si="260"/>
        <v>1</v>
      </c>
      <c r="P3240" t="str">
        <f t="shared" si="261"/>
        <v/>
      </c>
      <c r="Q3240">
        <f>COUNTIF('責任職　企業局→市長部局'!A:A,SQLデータ!B3240)</f>
        <v>0</v>
      </c>
      <c r="R3240">
        <f>COUNTIF('一般職員　企業局→市長部局'!A:F,SQLデータ!B3240)</f>
        <v>0</v>
      </c>
    </row>
    <row r="3241" spans="1:18" x14ac:dyDescent="0.4">
      <c r="A3241" s="1">
        <v>202650003169</v>
      </c>
      <c r="B3241" s="1">
        <v>1262056</v>
      </c>
      <c r="C3241" s="2">
        <v>46127</v>
      </c>
      <c r="D3241" t="s">
        <v>17</v>
      </c>
      <c r="E3241" t="s">
        <v>8</v>
      </c>
      <c r="G3241" t="s">
        <v>9</v>
      </c>
      <c r="L3241">
        <f t="shared" si="257"/>
        <v>0</v>
      </c>
      <c r="M3241">
        <f t="shared" si="258"/>
        <v>0</v>
      </c>
      <c r="N3241">
        <f t="shared" si="259"/>
        <v>0</v>
      </c>
      <c r="O3241">
        <f t="shared" si="260"/>
        <v>1</v>
      </c>
      <c r="P3241" t="str">
        <f t="shared" si="261"/>
        <v/>
      </c>
      <c r="Q3241">
        <f>COUNTIF('責任職　企業局→市長部局'!A:A,SQLデータ!B3241)</f>
        <v>0</v>
      </c>
      <c r="R3241">
        <f>COUNTIF('一般職員　企業局→市長部局'!A:F,SQLデータ!B3241)</f>
        <v>0</v>
      </c>
    </row>
    <row r="3242" spans="1:18" x14ac:dyDescent="0.4">
      <c r="A3242" s="1">
        <v>202650003170</v>
      </c>
      <c r="B3242" s="1">
        <v>1112085</v>
      </c>
      <c r="C3242" s="2">
        <v>46127</v>
      </c>
      <c r="D3242" t="s">
        <v>17</v>
      </c>
      <c r="E3242" t="s">
        <v>8</v>
      </c>
      <c r="G3242" t="s">
        <v>9</v>
      </c>
      <c r="L3242">
        <f t="shared" si="257"/>
        <v>0</v>
      </c>
      <c r="M3242">
        <f t="shared" si="258"/>
        <v>0</v>
      </c>
      <c r="N3242">
        <f t="shared" si="259"/>
        <v>0</v>
      </c>
      <c r="O3242">
        <f t="shared" si="260"/>
        <v>1</v>
      </c>
      <c r="P3242" t="str">
        <f t="shared" si="261"/>
        <v/>
      </c>
      <c r="Q3242">
        <f>COUNTIF('責任職　企業局→市長部局'!A:A,SQLデータ!B3242)</f>
        <v>0</v>
      </c>
      <c r="R3242">
        <f>COUNTIF('一般職員　企業局→市長部局'!A:F,SQLデータ!B3242)</f>
        <v>0</v>
      </c>
    </row>
    <row r="3243" spans="1:18" x14ac:dyDescent="0.4">
      <c r="A3243" s="1">
        <v>202650003171</v>
      </c>
      <c r="B3243" s="1">
        <v>1101383</v>
      </c>
      <c r="C3243" s="2">
        <v>46127</v>
      </c>
      <c r="D3243" t="s">
        <v>17</v>
      </c>
      <c r="E3243" t="s">
        <v>8</v>
      </c>
      <c r="G3243" t="s">
        <v>9</v>
      </c>
      <c r="L3243">
        <f t="shared" si="257"/>
        <v>0</v>
      </c>
      <c r="M3243">
        <f t="shared" si="258"/>
        <v>0</v>
      </c>
      <c r="N3243">
        <f t="shared" si="259"/>
        <v>0</v>
      </c>
      <c r="O3243">
        <f t="shared" si="260"/>
        <v>1</v>
      </c>
      <c r="P3243" t="str">
        <f t="shared" si="261"/>
        <v/>
      </c>
      <c r="Q3243">
        <f>COUNTIF('責任職　企業局→市長部局'!A:A,SQLデータ!B3243)</f>
        <v>0</v>
      </c>
      <c r="R3243">
        <f>COUNTIF('一般職員　企業局→市長部局'!A:F,SQLデータ!B3243)</f>
        <v>0</v>
      </c>
    </row>
    <row r="3244" spans="1:18" x14ac:dyDescent="0.4">
      <c r="A3244" s="1">
        <v>202650003172</v>
      </c>
      <c r="B3244" s="1">
        <v>1106013</v>
      </c>
      <c r="C3244" s="2">
        <v>46127</v>
      </c>
      <c r="D3244" t="s">
        <v>17</v>
      </c>
      <c r="E3244" t="s">
        <v>8</v>
      </c>
      <c r="G3244" t="s">
        <v>9</v>
      </c>
      <c r="L3244">
        <f t="shared" si="257"/>
        <v>0</v>
      </c>
      <c r="M3244">
        <f t="shared" si="258"/>
        <v>0</v>
      </c>
      <c r="N3244">
        <f t="shared" si="259"/>
        <v>0</v>
      </c>
      <c r="O3244">
        <f t="shared" si="260"/>
        <v>1</v>
      </c>
      <c r="P3244" t="str">
        <f t="shared" si="261"/>
        <v/>
      </c>
      <c r="Q3244">
        <f>COUNTIF('責任職　企業局→市長部局'!A:A,SQLデータ!B3244)</f>
        <v>0</v>
      </c>
      <c r="R3244">
        <f>COUNTIF('一般職員　企業局→市長部局'!A:F,SQLデータ!B3244)</f>
        <v>0</v>
      </c>
    </row>
    <row r="3245" spans="1:18" x14ac:dyDescent="0.4">
      <c r="A3245" s="1">
        <v>202650003173</v>
      </c>
      <c r="B3245" s="1">
        <v>1131253</v>
      </c>
      <c r="C3245" s="2">
        <v>46127</v>
      </c>
      <c r="D3245" t="s">
        <v>17</v>
      </c>
      <c r="E3245" t="s">
        <v>8</v>
      </c>
      <c r="G3245" t="s">
        <v>9</v>
      </c>
      <c r="L3245">
        <f t="shared" si="257"/>
        <v>0</v>
      </c>
      <c r="M3245">
        <f t="shared" si="258"/>
        <v>0</v>
      </c>
      <c r="N3245">
        <f t="shared" si="259"/>
        <v>0</v>
      </c>
      <c r="O3245">
        <f t="shared" si="260"/>
        <v>1</v>
      </c>
      <c r="P3245" t="str">
        <f t="shared" si="261"/>
        <v/>
      </c>
      <c r="Q3245">
        <f>COUNTIF('責任職　企業局→市長部局'!A:A,SQLデータ!B3245)</f>
        <v>0</v>
      </c>
      <c r="R3245">
        <f>COUNTIF('一般職員　企業局→市長部局'!A:F,SQLデータ!B3245)</f>
        <v>0</v>
      </c>
    </row>
    <row r="3246" spans="1:18" x14ac:dyDescent="0.4">
      <c r="A3246" s="1">
        <v>202650003174</v>
      </c>
      <c r="B3246" s="1">
        <v>950498</v>
      </c>
      <c r="C3246" s="2">
        <v>46127</v>
      </c>
      <c r="D3246" t="s">
        <v>17</v>
      </c>
      <c r="E3246" t="s">
        <v>8</v>
      </c>
      <c r="G3246" t="s">
        <v>9</v>
      </c>
      <c r="L3246">
        <f t="shared" si="257"/>
        <v>0</v>
      </c>
      <c r="M3246">
        <f t="shared" si="258"/>
        <v>0</v>
      </c>
      <c r="N3246">
        <f t="shared" si="259"/>
        <v>0</v>
      </c>
      <c r="O3246">
        <f t="shared" si="260"/>
        <v>1</v>
      </c>
      <c r="P3246" t="str">
        <f t="shared" si="261"/>
        <v/>
      </c>
      <c r="Q3246">
        <f>COUNTIF('責任職　企業局→市長部局'!A:A,SQLデータ!B3246)</f>
        <v>0</v>
      </c>
      <c r="R3246">
        <f>COUNTIF('一般職員　企業局→市長部局'!A:F,SQLデータ!B3246)</f>
        <v>0</v>
      </c>
    </row>
    <row r="3247" spans="1:18" x14ac:dyDescent="0.4">
      <c r="A3247" s="1">
        <v>202650003175</v>
      </c>
      <c r="B3247" s="1">
        <v>920454</v>
      </c>
      <c r="C3247" s="2">
        <v>46127</v>
      </c>
      <c r="D3247" t="s">
        <v>17</v>
      </c>
      <c r="E3247" t="s">
        <v>8</v>
      </c>
      <c r="G3247" t="s">
        <v>9</v>
      </c>
      <c r="L3247">
        <f t="shared" si="257"/>
        <v>0</v>
      </c>
      <c r="M3247">
        <f t="shared" si="258"/>
        <v>0</v>
      </c>
      <c r="N3247">
        <f t="shared" si="259"/>
        <v>0</v>
      </c>
      <c r="O3247">
        <f t="shared" si="260"/>
        <v>1</v>
      </c>
      <c r="P3247" t="str">
        <f t="shared" si="261"/>
        <v/>
      </c>
      <c r="Q3247">
        <f>COUNTIF('責任職　企業局→市長部局'!A:A,SQLデータ!B3247)</f>
        <v>0</v>
      </c>
      <c r="R3247">
        <f>COUNTIF('一般職員　企業局→市長部局'!A:F,SQLデータ!B3247)</f>
        <v>0</v>
      </c>
    </row>
    <row r="3248" spans="1:18" x14ac:dyDescent="0.4">
      <c r="A3248" s="1">
        <v>202650003176</v>
      </c>
      <c r="B3248" s="1">
        <v>1122074</v>
      </c>
      <c r="C3248" s="2">
        <v>46127</v>
      </c>
      <c r="D3248" t="s">
        <v>17</v>
      </c>
      <c r="E3248" t="s">
        <v>8</v>
      </c>
      <c r="G3248" t="s">
        <v>9</v>
      </c>
      <c r="L3248">
        <f t="shared" si="257"/>
        <v>0</v>
      </c>
      <c r="M3248">
        <f t="shared" si="258"/>
        <v>0</v>
      </c>
      <c r="N3248">
        <f t="shared" si="259"/>
        <v>0</v>
      </c>
      <c r="O3248">
        <f t="shared" si="260"/>
        <v>1</v>
      </c>
      <c r="P3248" t="str">
        <f t="shared" si="261"/>
        <v/>
      </c>
      <c r="Q3248">
        <f>COUNTIF('責任職　企業局→市長部局'!A:A,SQLデータ!B3248)</f>
        <v>0</v>
      </c>
      <c r="R3248">
        <f>COUNTIF('一般職員　企業局→市長部局'!A:F,SQLデータ!B3248)</f>
        <v>0</v>
      </c>
    </row>
    <row r="3249" spans="1:18" x14ac:dyDescent="0.4">
      <c r="A3249" s="1">
        <v>202650003177</v>
      </c>
      <c r="B3249" s="1">
        <v>1141244</v>
      </c>
      <c r="C3249" s="2">
        <v>46127</v>
      </c>
      <c r="D3249" t="s">
        <v>17</v>
      </c>
      <c r="E3249" t="s">
        <v>8</v>
      </c>
      <c r="G3249" t="s">
        <v>9</v>
      </c>
      <c r="L3249">
        <f t="shared" si="257"/>
        <v>0</v>
      </c>
      <c r="M3249">
        <f t="shared" si="258"/>
        <v>0</v>
      </c>
      <c r="N3249">
        <f t="shared" si="259"/>
        <v>0</v>
      </c>
      <c r="O3249">
        <f t="shared" si="260"/>
        <v>1</v>
      </c>
      <c r="P3249" t="str">
        <f t="shared" si="261"/>
        <v/>
      </c>
      <c r="Q3249">
        <f>COUNTIF('責任職　企業局→市長部局'!A:A,SQLデータ!B3249)</f>
        <v>0</v>
      </c>
      <c r="R3249">
        <f>COUNTIF('一般職員　企業局→市長部局'!A:F,SQLデータ!B3249)</f>
        <v>0</v>
      </c>
    </row>
    <row r="3250" spans="1:18" x14ac:dyDescent="0.4">
      <c r="A3250" s="1">
        <v>202650003178</v>
      </c>
      <c r="B3250" s="1">
        <v>1161236</v>
      </c>
      <c r="C3250" s="2">
        <v>46127</v>
      </c>
      <c r="D3250" t="s">
        <v>17</v>
      </c>
      <c r="E3250" t="s">
        <v>8</v>
      </c>
      <c r="G3250" t="s">
        <v>9</v>
      </c>
      <c r="L3250">
        <f t="shared" si="257"/>
        <v>0</v>
      </c>
      <c r="M3250">
        <f t="shared" si="258"/>
        <v>0</v>
      </c>
      <c r="N3250">
        <f t="shared" si="259"/>
        <v>0</v>
      </c>
      <c r="O3250">
        <f t="shared" si="260"/>
        <v>1</v>
      </c>
      <c r="P3250" t="str">
        <f t="shared" si="261"/>
        <v/>
      </c>
      <c r="Q3250">
        <f>COUNTIF('責任職　企業局→市長部局'!A:A,SQLデータ!B3250)</f>
        <v>0</v>
      </c>
      <c r="R3250">
        <f>COUNTIF('一般職員　企業局→市長部局'!A:F,SQLデータ!B3250)</f>
        <v>0</v>
      </c>
    </row>
    <row r="3251" spans="1:18" x14ac:dyDescent="0.4">
      <c r="A3251" s="1">
        <v>202650003179</v>
      </c>
      <c r="B3251" s="1">
        <v>983008</v>
      </c>
      <c r="C3251" s="2">
        <v>46127</v>
      </c>
      <c r="D3251" t="s">
        <v>17</v>
      </c>
      <c r="E3251" t="s">
        <v>8</v>
      </c>
      <c r="G3251" t="s">
        <v>9</v>
      </c>
      <c r="L3251">
        <f t="shared" si="257"/>
        <v>0</v>
      </c>
      <c r="M3251">
        <f t="shared" si="258"/>
        <v>0</v>
      </c>
      <c r="N3251">
        <f t="shared" si="259"/>
        <v>0</v>
      </c>
      <c r="O3251">
        <f t="shared" si="260"/>
        <v>1</v>
      </c>
      <c r="P3251" t="str">
        <f t="shared" si="261"/>
        <v/>
      </c>
      <c r="Q3251">
        <f>COUNTIF('責任職　企業局→市長部局'!A:A,SQLデータ!B3251)</f>
        <v>0</v>
      </c>
      <c r="R3251">
        <f>COUNTIF('一般職員　企業局→市長部局'!A:F,SQLデータ!B3251)</f>
        <v>0</v>
      </c>
    </row>
    <row r="3252" spans="1:18" x14ac:dyDescent="0.4">
      <c r="A3252" s="1">
        <v>202650003180</v>
      </c>
      <c r="B3252" s="1">
        <v>1131083</v>
      </c>
      <c r="C3252" s="2">
        <v>46127</v>
      </c>
      <c r="D3252" t="s">
        <v>17</v>
      </c>
      <c r="E3252" t="s">
        <v>8</v>
      </c>
      <c r="G3252" t="s">
        <v>9</v>
      </c>
      <c r="L3252">
        <f t="shared" si="257"/>
        <v>0</v>
      </c>
      <c r="M3252">
        <f t="shared" si="258"/>
        <v>0</v>
      </c>
      <c r="N3252">
        <f t="shared" si="259"/>
        <v>0</v>
      </c>
      <c r="O3252">
        <f t="shared" si="260"/>
        <v>1</v>
      </c>
      <c r="P3252" t="str">
        <f t="shared" si="261"/>
        <v/>
      </c>
      <c r="Q3252">
        <f>COUNTIF('責任職　企業局→市長部局'!A:A,SQLデータ!B3252)</f>
        <v>0</v>
      </c>
      <c r="R3252">
        <f>COUNTIF('一般職員　企業局→市長部局'!A:F,SQLデータ!B3252)</f>
        <v>0</v>
      </c>
    </row>
    <row r="3253" spans="1:18" x14ac:dyDescent="0.4">
      <c r="A3253" s="1">
        <v>202650003181</v>
      </c>
      <c r="B3253" s="1">
        <v>1161264</v>
      </c>
      <c r="C3253" s="2">
        <v>46127</v>
      </c>
      <c r="D3253" t="s">
        <v>17</v>
      </c>
      <c r="E3253" t="s">
        <v>8</v>
      </c>
      <c r="G3253" t="s">
        <v>9</v>
      </c>
      <c r="L3253">
        <f t="shared" si="257"/>
        <v>0</v>
      </c>
      <c r="M3253">
        <f t="shared" si="258"/>
        <v>0</v>
      </c>
      <c r="N3253">
        <f t="shared" si="259"/>
        <v>0</v>
      </c>
      <c r="O3253">
        <f t="shared" si="260"/>
        <v>1</v>
      </c>
      <c r="P3253" t="str">
        <f t="shared" si="261"/>
        <v/>
      </c>
      <c r="Q3253">
        <f>COUNTIF('責任職　企業局→市長部局'!A:A,SQLデータ!B3253)</f>
        <v>0</v>
      </c>
      <c r="R3253">
        <f>COUNTIF('一般職員　企業局→市長部局'!A:F,SQLデータ!B3253)</f>
        <v>0</v>
      </c>
    </row>
    <row r="3254" spans="1:18" x14ac:dyDescent="0.4">
      <c r="A3254" s="1">
        <v>202650003182</v>
      </c>
      <c r="B3254" s="1">
        <v>1091020</v>
      </c>
      <c r="C3254" s="2">
        <v>46127</v>
      </c>
      <c r="D3254" t="s">
        <v>17</v>
      </c>
      <c r="E3254" t="s">
        <v>8</v>
      </c>
      <c r="G3254" t="s">
        <v>9</v>
      </c>
      <c r="L3254">
        <f t="shared" si="257"/>
        <v>0</v>
      </c>
      <c r="M3254">
        <f t="shared" si="258"/>
        <v>0</v>
      </c>
      <c r="N3254">
        <f t="shared" si="259"/>
        <v>0</v>
      </c>
      <c r="O3254">
        <f t="shared" si="260"/>
        <v>1</v>
      </c>
      <c r="P3254" t="str">
        <f t="shared" si="261"/>
        <v/>
      </c>
      <c r="Q3254">
        <f>COUNTIF('責任職　企業局→市長部局'!A:A,SQLデータ!B3254)</f>
        <v>0</v>
      </c>
      <c r="R3254">
        <f>COUNTIF('一般職員　企業局→市長部局'!A:F,SQLデータ!B3254)</f>
        <v>0</v>
      </c>
    </row>
    <row r="3255" spans="1:18" x14ac:dyDescent="0.4">
      <c r="A3255" s="1">
        <v>202650003183</v>
      </c>
      <c r="B3255" s="1">
        <v>1221135</v>
      </c>
      <c r="C3255" s="2">
        <v>46127</v>
      </c>
      <c r="D3255" t="s">
        <v>17</v>
      </c>
      <c r="E3255" t="s">
        <v>8</v>
      </c>
      <c r="G3255" t="s">
        <v>9</v>
      </c>
      <c r="L3255">
        <f t="shared" si="257"/>
        <v>0</v>
      </c>
      <c r="M3255">
        <f t="shared" si="258"/>
        <v>0</v>
      </c>
      <c r="N3255">
        <f t="shared" si="259"/>
        <v>0</v>
      </c>
      <c r="O3255">
        <f t="shared" si="260"/>
        <v>1</v>
      </c>
      <c r="P3255" t="str">
        <f t="shared" si="261"/>
        <v/>
      </c>
      <c r="Q3255">
        <f>COUNTIF('責任職　企業局→市長部局'!A:A,SQLデータ!B3255)</f>
        <v>0</v>
      </c>
      <c r="R3255">
        <f>COUNTIF('一般職員　企業局→市長部局'!A:F,SQLデータ!B3255)</f>
        <v>0</v>
      </c>
    </row>
    <row r="3256" spans="1:18" x14ac:dyDescent="0.4">
      <c r="A3256" s="1">
        <v>202650003184</v>
      </c>
      <c r="B3256" s="1">
        <v>1221235</v>
      </c>
      <c r="C3256" s="2">
        <v>46127</v>
      </c>
      <c r="D3256" t="s">
        <v>17</v>
      </c>
      <c r="E3256" t="s">
        <v>8</v>
      </c>
      <c r="G3256" t="s">
        <v>9</v>
      </c>
      <c r="L3256">
        <f t="shared" si="257"/>
        <v>0</v>
      </c>
      <c r="M3256">
        <f t="shared" si="258"/>
        <v>0</v>
      </c>
      <c r="N3256">
        <f t="shared" si="259"/>
        <v>0</v>
      </c>
      <c r="O3256">
        <f t="shared" si="260"/>
        <v>1</v>
      </c>
      <c r="P3256" t="str">
        <f t="shared" si="261"/>
        <v/>
      </c>
      <c r="Q3256">
        <f>COUNTIF('責任職　企業局→市長部局'!A:A,SQLデータ!B3256)</f>
        <v>0</v>
      </c>
      <c r="R3256">
        <f>COUNTIF('一般職員　企業局→市長部局'!A:F,SQLデータ!B3256)</f>
        <v>0</v>
      </c>
    </row>
    <row r="3257" spans="1:18" x14ac:dyDescent="0.4">
      <c r="A3257" s="1">
        <v>202650003185</v>
      </c>
      <c r="B3257" s="1">
        <v>1131471</v>
      </c>
      <c r="C3257" s="2">
        <v>46127</v>
      </c>
      <c r="D3257" t="s">
        <v>17</v>
      </c>
      <c r="E3257" t="s">
        <v>8</v>
      </c>
      <c r="G3257" t="s">
        <v>9</v>
      </c>
      <c r="L3257">
        <f t="shared" si="257"/>
        <v>0</v>
      </c>
      <c r="M3257">
        <f t="shared" si="258"/>
        <v>0</v>
      </c>
      <c r="N3257">
        <f t="shared" si="259"/>
        <v>0</v>
      </c>
      <c r="O3257">
        <f t="shared" si="260"/>
        <v>1</v>
      </c>
      <c r="P3257" t="str">
        <f t="shared" si="261"/>
        <v/>
      </c>
      <c r="Q3257">
        <f>COUNTIF('責任職　企業局→市長部局'!A:A,SQLデータ!B3257)</f>
        <v>0</v>
      </c>
      <c r="R3257">
        <f>COUNTIF('一般職員　企業局→市長部局'!A:F,SQLデータ!B3257)</f>
        <v>0</v>
      </c>
    </row>
    <row r="3258" spans="1:18" x14ac:dyDescent="0.4">
      <c r="A3258" s="1">
        <v>202650003186</v>
      </c>
      <c r="B3258" s="1">
        <v>1231031</v>
      </c>
      <c r="C3258" s="2">
        <v>46127</v>
      </c>
      <c r="D3258" t="s">
        <v>17</v>
      </c>
      <c r="E3258" t="s">
        <v>8</v>
      </c>
      <c r="G3258" t="s">
        <v>9</v>
      </c>
      <c r="L3258">
        <f t="shared" si="257"/>
        <v>0</v>
      </c>
      <c r="M3258">
        <f t="shared" si="258"/>
        <v>0</v>
      </c>
      <c r="N3258">
        <f t="shared" si="259"/>
        <v>0</v>
      </c>
      <c r="O3258">
        <f t="shared" si="260"/>
        <v>1</v>
      </c>
      <c r="P3258" t="str">
        <f t="shared" si="261"/>
        <v/>
      </c>
      <c r="Q3258">
        <f>COUNTIF('責任職　企業局→市長部局'!A:A,SQLデータ!B3258)</f>
        <v>0</v>
      </c>
      <c r="R3258">
        <f>COUNTIF('一般職員　企業局→市長部局'!A:F,SQLデータ!B3258)</f>
        <v>0</v>
      </c>
    </row>
    <row r="3259" spans="1:18" x14ac:dyDescent="0.4">
      <c r="A3259" s="1">
        <v>202650003187</v>
      </c>
      <c r="B3259" s="1">
        <v>1001168</v>
      </c>
      <c r="C3259" s="2">
        <v>46127</v>
      </c>
      <c r="D3259" t="s">
        <v>17</v>
      </c>
      <c r="E3259" t="s">
        <v>8</v>
      </c>
      <c r="G3259" t="s">
        <v>9</v>
      </c>
      <c r="L3259">
        <f t="shared" si="257"/>
        <v>0</v>
      </c>
      <c r="M3259">
        <f t="shared" si="258"/>
        <v>0</v>
      </c>
      <c r="N3259">
        <f t="shared" si="259"/>
        <v>0</v>
      </c>
      <c r="O3259">
        <f t="shared" si="260"/>
        <v>1</v>
      </c>
      <c r="P3259" t="str">
        <f t="shared" si="261"/>
        <v/>
      </c>
      <c r="Q3259">
        <f>COUNTIF('責任職　企業局→市長部局'!A:A,SQLデータ!B3259)</f>
        <v>0</v>
      </c>
      <c r="R3259">
        <f>COUNTIF('一般職員　企業局→市長部局'!A:F,SQLデータ!B3259)</f>
        <v>0</v>
      </c>
    </row>
    <row r="3260" spans="1:18" x14ac:dyDescent="0.4">
      <c r="A3260" s="1">
        <v>202650003188</v>
      </c>
      <c r="B3260" s="1">
        <v>1131154</v>
      </c>
      <c r="C3260" s="2">
        <v>46127</v>
      </c>
      <c r="D3260" t="s">
        <v>17</v>
      </c>
      <c r="E3260" t="s">
        <v>8</v>
      </c>
      <c r="G3260" t="s">
        <v>9</v>
      </c>
      <c r="L3260">
        <f t="shared" si="257"/>
        <v>0</v>
      </c>
      <c r="M3260">
        <f t="shared" si="258"/>
        <v>0</v>
      </c>
      <c r="N3260">
        <f t="shared" si="259"/>
        <v>0</v>
      </c>
      <c r="O3260">
        <f t="shared" si="260"/>
        <v>1</v>
      </c>
      <c r="P3260" t="str">
        <f t="shared" si="261"/>
        <v/>
      </c>
      <c r="Q3260">
        <f>COUNTIF('責任職　企業局→市長部局'!A:A,SQLデータ!B3260)</f>
        <v>0</v>
      </c>
      <c r="R3260">
        <f>COUNTIF('一般職員　企業局→市長部局'!A:F,SQLデータ!B3260)</f>
        <v>0</v>
      </c>
    </row>
    <row r="3261" spans="1:18" x14ac:dyDescent="0.4">
      <c r="A3261" s="1">
        <v>202650003189</v>
      </c>
      <c r="B3261" s="1">
        <v>880304</v>
      </c>
      <c r="C3261" s="2">
        <v>46127</v>
      </c>
      <c r="D3261" t="s">
        <v>17</v>
      </c>
      <c r="E3261" t="s">
        <v>8</v>
      </c>
      <c r="G3261" t="s">
        <v>9</v>
      </c>
      <c r="L3261">
        <f t="shared" si="257"/>
        <v>0</v>
      </c>
      <c r="M3261">
        <f t="shared" si="258"/>
        <v>0</v>
      </c>
      <c r="N3261">
        <f t="shared" si="259"/>
        <v>0</v>
      </c>
      <c r="O3261">
        <f t="shared" si="260"/>
        <v>1</v>
      </c>
      <c r="P3261" t="str">
        <f t="shared" si="261"/>
        <v/>
      </c>
      <c r="Q3261">
        <f>COUNTIF('責任職　企業局→市長部局'!A:A,SQLデータ!B3261)</f>
        <v>0</v>
      </c>
      <c r="R3261">
        <f>COUNTIF('一般職員　企業局→市長部局'!A:F,SQLデータ!B3261)</f>
        <v>0</v>
      </c>
    </row>
    <row r="3262" spans="1:18" x14ac:dyDescent="0.4">
      <c r="A3262" s="1">
        <v>202650003190</v>
      </c>
      <c r="B3262" s="1">
        <v>1132049</v>
      </c>
      <c r="C3262" s="2">
        <v>46127</v>
      </c>
      <c r="D3262" t="s">
        <v>17</v>
      </c>
      <c r="E3262" t="s">
        <v>8</v>
      </c>
      <c r="G3262" t="s">
        <v>9</v>
      </c>
      <c r="L3262">
        <f t="shared" si="257"/>
        <v>0</v>
      </c>
      <c r="M3262">
        <f t="shared" si="258"/>
        <v>0</v>
      </c>
      <c r="N3262">
        <f t="shared" si="259"/>
        <v>0</v>
      </c>
      <c r="O3262">
        <f t="shared" si="260"/>
        <v>1</v>
      </c>
      <c r="P3262" t="str">
        <f t="shared" si="261"/>
        <v/>
      </c>
      <c r="Q3262">
        <f>COUNTIF('責任職　企業局→市長部局'!A:A,SQLデータ!B3262)</f>
        <v>0</v>
      </c>
      <c r="R3262">
        <f>COUNTIF('一般職員　企業局→市長部局'!A:F,SQLデータ!B3262)</f>
        <v>0</v>
      </c>
    </row>
    <row r="3263" spans="1:18" x14ac:dyDescent="0.4">
      <c r="A3263" s="1">
        <v>202650003191</v>
      </c>
      <c r="B3263" s="1">
        <v>1211183</v>
      </c>
      <c r="C3263" s="2">
        <v>46127</v>
      </c>
      <c r="D3263" t="s">
        <v>17</v>
      </c>
      <c r="E3263" t="s">
        <v>8</v>
      </c>
      <c r="G3263" t="s">
        <v>9</v>
      </c>
      <c r="L3263">
        <f t="shared" si="257"/>
        <v>0</v>
      </c>
      <c r="M3263">
        <f t="shared" si="258"/>
        <v>0</v>
      </c>
      <c r="N3263">
        <f t="shared" si="259"/>
        <v>0</v>
      </c>
      <c r="O3263">
        <f t="shared" si="260"/>
        <v>1</v>
      </c>
      <c r="P3263" t="str">
        <f t="shared" si="261"/>
        <v/>
      </c>
      <c r="Q3263">
        <f>COUNTIF('責任職　企業局→市長部局'!A:A,SQLデータ!B3263)</f>
        <v>0</v>
      </c>
      <c r="R3263">
        <f>COUNTIF('一般職員　企業局→市長部局'!A:F,SQLデータ!B3263)</f>
        <v>0</v>
      </c>
    </row>
    <row r="3264" spans="1:18" x14ac:dyDescent="0.4">
      <c r="A3264" s="1">
        <v>202650003192</v>
      </c>
      <c r="B3264" s="1">
        <v>1171072</v>
      </c>
      <c r="C3264" s="2">
        <v>46127</v>
      </c>
      <c r="D3264" t="s">
        <v>17</v>
      </c>
      <c r="E3264" t="s">
        <v>8</v>
      </c>
      <c r="G3264" t="s">
        <v>9</v>
      </c>
      <c r="L3264">
        <f t="shared" si="257"/>
        <v>0</v>
      </c>
      <c r="M3264">
        <f t="shared" si="258"/>
        <v>0</v>
      </c>
      <c r="N3264">
        <f t="shared" si="259"/>
        <v>0</v>
      </c>
      <c r="O3264">
        <f t="shared" si="260"/>
        <v>1</v>
      </c>
      <c r="P3264" t="str">
        <f t="shared" si="261"/>
        <v/>
      </c>
      <c r="Q3264">
        <f>COUNTIF('責任職　企業局→市長部局'!A:A,SQLデータ!B3264)</f>
        <v>0</v>
      </c>
      <c r="R3264">
        <f>COUNTIF('一般職員　企業局→市長部局'!A:F,SQLデータ!B3264)</f>
        <v>0</v>
      </c>
    </row>
    <row r="3265" spans="1:18" x14ac:dyDescent="0.4">
      <c r="A3265" s="1">
        <v>202650003193</v>
      </c>
      <c r="B3265" s="1">
        <v>1221241</v>
      </c>
      <c r="C3265" s="2">
        <v>46127</v>
      </c>
      <c r="D3265" t="s">
        <v>17</v>
      </c>
      <c r="E3265" t="s">
        <v>8</v>
      </c>
      <c r="G3265" t="s">
        <v>9</v>
      </c>
      <c r="L3265">
        <f t="shared" si="257"/>
        <v>0</v>
      </c>
      <c r="M3265">
        <f t="shared" si="258"/>
        <v>0</v>
      </c>
      <c r="N3265">
        <f t="shared" si="259"/>
        <v>0</v>
      </c>
      <c r="O3265">
        <f t="shared" si="260"/>
        <v>1</v>
      </c>
      <c r="P3265" t="str">
        <f t="shared" si="261"/>
        <v/>
      </c>
      <c r="Q3265">
        <f>COUNTIF('責任職　企業局→市長部局'!A:A,SQLデータ!B3265)</f>
        <v>0</v>
      </c>
      <c r="R3265">
        <f>COUNTIF('一般職員　企業局→市長部局'!A:F,SQLデータ!B3265)</f>
        <v>0</v>
      </c>
    </row>
    <row r="3266" spans="1:18" x14ac:dyDescent="0.4">
      <c r="A3266" s="1">
        <v>202650003194</v>
      </c>
      <c r="B3266" s="1">
        <v>1202120</v>
      </c>
      <c r="C3266" s="2">
        <v>46127</v>
      </c>
      <c r="D3266" t="s">
        <v>17</v>
      </c>
      <c r="E3266" t="s">
        <v>8</v>
      </c>
      <c r="G3266" t="s">
        <v>9</v>
      </c>
      <c r="L3266">
        <f t="shared" si="257"/>
        <v>0</v>
      </c>
      <c r="M3266">
        <f t="shared" si="258"/>
        <v>0</v>
      </c>
      <c r="N3266">
        <f t="shared" si="259"/>
        <v>0</v>
      </c>
      <c r="O3266">
        <f t="shared" si="260"/>
        <v>1</v>
      </c>
      <c r="P3266" t="str">
        <f t="shared" si="261"/>
        <v/>
      </c>
      <c r="Q3266">
        <f>COUNTIF('責任職　企業局→市長部局'!A:A,SQLデータ!B3266)</f>
        <v>0</v>
      </c>
      <c r="R3266">
        <f>COUNTIF('一般職員　企業局→市長部局'!A:F,SQLデータ!B3266)</f>
        <v>0</v>
      </c>
    </row>
    <row r="3267" spans="1:18" x14ac:dyDescent="0.4">
      <c r="A3267" s="1">
        <v>202650003195</v>
      </c>
      <c r="B3267" s="1">
        <v>1231088</v>
      </c>
      <c r="C3267" s="2">
        <v>46127</v>
      </c>
      <c r="D3267" t="s">
        <v>17</v>
      </c>
      <c r="E3267" t="s">
        <v>8</v>
      </c>
      <c r="G3267" t="s">
        <v>9</v>
      </c>
      <c r="L3267">
        <f t="shared" si="257"/>
        <v>0</v>
      </c>
      <c r="M3267">
        <f t="shared" si="258"/>
        <v>0</v>
      </c>
      <c r="N3267">
        <f t="shared" si="259"/>
        <v>0</v>
      </c>
      <c r="O3267">
        <f t="shared" si="260"/>
        <v>1</v>
      </c>
      <c r="P3267" t="str">
        <f t="shared" si="261"/>
        <v/>
      </c>
      <c r="Q3267">
        <f>COUNTIF('責任職　企業局→市長部局'!A:A,SQLデータ!B3267)</f>
        <v>0</v>
      </c>
      <c r="R3267">
        <f>COUNTIF('一般職員　企業局→市長部局'!A:F,SQLデータ!B3267)</f>
        <v>0</v>
      </c>
    </row>
    <row r="3268" spans="1:18" x14ac:dyDescent="0.4">
      <c r="A3268" s="1">
        <v>202650003196</v>
      </c>
      <c r="B3268" s="1">
        <v>971143</v>
      </c>
      <c r="C3268" s="2">
        <v>46127</v>
      </c>
      <c r="D3268" t="s">
        <v>17</v>
      </c>
      <c r="E3268" t="s">
        <v>8</v>
      </c>
      <c r="G3268" t="s">
        <v>9</v>
      </c>
      <c r="L3268">
        <f t="shared" si="257"/>
        <v>0</v>
      </c>
      <c r="M3268">
        <f t="shared" si="258"/>
        <v>0</v>
      </c>
      <c r="N3268">
        <f t="shared" si="259"/>
        <v>0</v>
      </c>
      <c r="O3268">
        <f t="shared" si="260"/>
        <v>1</v>
      </c>
      <c r="P3268" t="str">
        <f t="shared" si="261"/>
        <v/>
      </c>
      <c r="Q3268">
        <f>COUNTIF('責任職　企業局→市長部局'!A:A,SQLデータ!B3268)</f>
        <v>0</v>
      </c>
      <c r="R3268">
        <f>COUNTIF('一般職員　企業局→市長部局'!A:F,SQLデータ!B3268)</f>
        <v>0</v>
      </c>
    </row>
    <row r="3269" spans="1:18" x14ac:dyDescent="0.4">
      <c r="A3269" s="1">
        <v>202650003197</v>
      </c>
      <c r="B3269" s="1">
        <v>1042014</v>
      </c>
      <c r="C3269" s="2">
        <v>46127</v>
      </c>
      <c r="D3269" t="s">
        <v>17</v>
      </c>
      <c r="E3269" t="s">
        <v>8</v>
      </c>
      <c r="G3269" t="s">
        <v>9</v>
      </c>
      <c r="L3269">
        <f t="shared" si="257"/>
        <v>0</v>
      </c>
      <c r="M3269">
        <f t="shared" si="258"/>
        <v>0</v>
      </c>
      <c r="N3269">
        <f t="shared" si="259"/>
        <v>0</v>
      </c>
      <c r="O3269">
        <f t="shared" si="260"/>
        <v>1</v>
      </c>
      <c r="P3269" t="str">
        <f t="shared" si="261"/>
        <v/>
      </c>
      <c r="Q3269">
        <f>COUNTIF('責任職　企業局→市長部局'!A:A,SQLデータ!B3269)</f>
        <v>0</v>
      </c>
      <c r="R3269">
        <f>COUNTIF('一般職員　企業局→市長部局'!A:F,SQLデータ!B3269)</f>
        <v>0</v>
      </c>
    </row>
    <row r="3270" spans="1:18" x14ac:dyDescent="0.4">
      <c r="A3270" s="1">
        <v>202650003198</v>
      </c>
      <c r="B3270" s="1">
        <v>1201209</v>
      </c>
      <c r="C3270" s="2">
        <v>46127</v>
      </c>
      <c r="D3270" t="s">
        <v>17</v>
      </c>
      <c r="E3270" t="s">
        <v>8</v>
      </c>
      <c r="G3270" t="s">
        <v>9</v>
      </c>
      <c r="L3270">
        <f t="shared" si="257"/>
        <v>0</v>
      </c>
      <c r="M3270">
        <f t="shared" si="258"/>
        <v>0</v>
      </c>
      <c r="N3270">
        <f t="shared" si="259"/>
        <v>0</v>
      </c>
      <c r="O3270">
        <f t="shared" si="260"/>
        <v>1</v>
      </c>
      <c r="P3270" t="str">
        <f t="shared" si="261"/>
        <v/>
      </c>
      <c r="Q3270">
        <f>COUNTIF('責任職　企業局→市長部局'!A:A,SQLデータ!B3270)</f>
        <v>0</v>
      </c>
      <c r="R3270">
        <f>COUNTIF('一般職員　企業局→市長部局'!A:F,SQLデータ!B3270)</f>
        <v>0</v>
      </c>
    </row>
    <row r="3271" spans="1:18" x14ac:dyDescent="0.4">
      <c r="A3271" s="1">
        <v>202650003199</v>
      </c>
      <c r="B3271" s="1">
        <v>1031182</v>
      </c>
      <c r="C3271" s="2">
        <v>46127</v>
      </c>
      <c r="D3271" t="s">
        <v>17</v>
      </c>
      <c r="E3271" t="s">
        <v>8</v>
      </c>
      <c r="G3271" t="s">
        <v>9</v>
      </c>
      <c r="L3271">
        <f t="shared" si="257"/>
        <v>0</v>
      </c>
      <c r="M3271">
        <f t="shared" si="258"/>
        <v>0</v>
      </c>
      <c r="N3271">
        <f t="shared" si="259"/>
        <v>0</v>
      </c>
      <c r="O3271">
        <f t="shared" si="260"/>
        <v>1</v>
      </c>
      <c r="P3271" t="str">
        <f t="shared" si="261"/>
        <v/>
      </c>
      <c r="Q3271">
        <f>COUNTIF('責任職　企業局→市長部局'!A:A,SQLデータ!B3271)</f>
        <v>0</v>
      </c>
      <c r="R3271">
        <f>COUNTIF('一般職員　企業局→市長部局'!A:F,SQLデータ!B3271)</f>
        <v>0</v>
      </c>
    </row>
    <row r="3272" spans="1:18" x14ac:dyDescent="0.4">
      <c r="A3272" s="1">
        <v>202650003200</v>
      </c>
      <c r="B3272" s="1">
        <v>1011122</v>
      </c>
      <c r="C3272" s="2">
        <v>46127</v>
      </c>
      <c r="D3272" t="s">
        <v>17</v>
      </c>
      <c r="E3272" t="s">
        <v>8</v>
      </c>
      <c r="G3272" t="s">
        <v>9</v>
      </c>
      <c r="L3272">
        <f t="shared" si="257"/>
        <v>0</v>
      </c>
      <c r="M3272">
        <f t="shared" si="258"/>
        <v>0</v>
      </c>
      <c r="N3272">
        <f t="shared" si="259"/>
        <v>0</v>
      </c>
      <c r="O3272">
        <f t="shared" si="260"/>
        <v>1</v>
      </c>
      <c r="P3272" t="str">
        <f t="shared" si="261"/>
        <v/>
      </c>
      <c r="Q3272">
        <f>COUNTIF('責任職　企業局→市長部局'!A:A,SQLデータ!B3272)</f>
        <v>0</v>
      </c>
      <c r="R3272">
        <f>COUNTIF('一般職員　企業局→市長部局'!A:F,SQLデータ!B3272)</f>
        <v>0</v>
      </c>
    </row>
    <row r="3273" spans="1:18" x14ac:dyDescent="0.4">
      <c r="A3273" s="1">
        <v>202650003201</v>
      </c>
      <c r="B3273" s="1">
        <v>1071059</v>
      </c>
      <c r="C3273" s="2">
        <v>46127</v>
      </c>
      <c r="D3273" t="s">
        <v>17</v>
      </c>
      <c r="E3273" t="s">
        <v>8</v>
      </c>
      <c r="G3273" t="s">
        <v>9</v>
      </c>
      <c r="L3273">
        <f t="shared" si="257"/>
        <v>0</v>
      </c>
      <c r="M3273">
        <f t="shared" si="258"/>
        <v>0</v>
      </c>
      <c r="N3273">
        <f t="shared" si="259"/>
        <v>0</v>
      </c>
      <c r="O3273">
        <f t="shared" si="260"/>
        <v>1</v>
      </c>
      <c r="P3273" t="str">
        <f t="shared" si="261"/>
        <v/>
      </c>
      <c r="Q3273">
        <f>COUNTIF('責任職　企業局→市長部局'!A:A,SQLデータ!B3273)</f>
        <v>0</v>
      </c>
      <c r="R3273">
        <f>COUNTIF('一般職員　企業局→市長部局'!A:F,SQLデータ!B3273)</f>
        <v>0</v>
      </c>
    </row>
    <row r="3274" spans="1:18" x14ac:dyDescent="0.4">
      <c r="A3274" s="1">
        <v>202650003202</v>
      </c>
      <c r="B3274" s="1">
        <v>1162081</v>
      </c>
      <c r="C3274" s="2">
        <v>46127</v>
      </c>
      <c r="D3274" t="s">
        <v>17</v>
      </c>
      <c r="E3274" t="s">
        <v>8</v>
      </c>
      <c r="G3274" t="s">
        <v>9</v>
      </c>
      <c r="L3274">
        <f t="shared" si="257"/>
        <v>0</v>
      </c>
      <c r="M3274">
        <f t="shared" si="258"/>
        <v>0</v>
      </c>
      <c r="N3274">
        <f t="shared" si="259"/>
        <v>0</v>
      </c>
      <c r="O3274">
        <f t="shared" si="260"/>
        <v>1</v>
      </c>
      <c r="P3274" t="str">
        <f t="shared" si="261"/>
        <v/>
      </c>
      <c r="Q3274">
        <f>COUNTIF('責任職　企業局→市長部局'!A:A,SQLデータ!B3274)</f>
        <v>0</v>
      </c>
      <c r="R3274">
        <f>COUNTIF('一般職員　企業局→市長部局'!A:F,SQLデータ!B3274)</f>
        <v>0</v>
      </c>
    </row>
    <row r="3275" spans="1:18" x14ac:dyDescent="0.4">
      <c r="A3275" s="1">
        <v>202650003203</v>
      </c>
      <c r="B3275" s="1">
        <v>1171401</v>
      </c>
      <c r="C3275" s="2">
        <v>46127</v>
      </c>
      <c r="D3275" t="s">
        <v>17</v>
      </c>
      <c r="E3275" t="s">
        <v>8</v>
      </c>
      <c r="G3275" t="s">
        <v>9</v>
      </c>
      <c r="L3275">
        <f t="shared" si="257"/>
        <v>0</v>
      </c>
      <c r="M3275">
        <f t="shared" si="258"/>
        <v>0</v>
      </c>
      <c r="N3275">
        <f t="shared" si="259"/>
        <v>0</v>
      </c>
      <c r="O3275">
        <f t="shared" si="260"/>
        <v>1</v>
      </c>
      <c r="P3275" t="str">
        <f t="shared" si="261"/>
        <v/>
      </c>
      <c r="Q3275">
        <f>COUNTIF('責任職　企業局→市長部局'!A:A,SQLデータ!B3275)</f>
        <v>0</v>
      </c>
      <c r="R3275">
        <f>COUNTIF('一般職員　企業局→市長部局'!A:F,SQLデータ!B3275)</f>
        <v>0</v>
      </c>
    </row>
    <row r="3276" spans="1:18" x14ac:dyDescent="0.4">
      <c r="A3276" s="1">
        <v>202650003204</v>
      </c>
      <c r="B3276" s="1">
        <v>1061094</v>
      </c>
      <c r="C3276" s="2">
        <v>46127</v>
      </c>
      <c r="D3276" t="s">
        <v>17</v>
      </c>
      <c r="E3276" t="s">
        <v>8</v>
      </c>
      <c r="G3276" t="s">
        <v>9</v>
      </c>
      <c r="L3276">
        <f t="shared" si="257"/>
        <v>0</v>
      </c>
      <c r="M3276">
        <f t="shared" si="258"/>
        <v>0</v>
      </c>
      <c r="N3276">
        <f t="shared" si="259"/>
        <v>0</v>
      </c>
      <c r="O3276">
        <f t="shared" si="260"/>
        <v>1</v>
      </c>
      <c r="P3276" t="str">
        <f t="shared" si="261"/>
        <v/>
      </c>
      <c r="Q3276">
        <f>COUNTIF('責任職　企業局→市長部局'!A:A,SQLデータ!B3276)</f>
        <v>0</v>
      </c>
      <c r="R3276">
        <f>COUNTIF('一般職員　企業局→市長部局'!A:F,SQLデータ!B3276)</f>
        <v>0</v>
      </c>
    </row>
    <row r="3277" spans="1:18" x14ac:dyDescent="0.4">
      <c r="A3277" s="1">
        <v>202650003205</v>
      </c>
      <c r="B3277" s="1">
        <v>1221411</v>
      </c>
      <c r="C3277" s="2">
        <v>46127</v>
      </c>
      <c r="D3277" t="s">
        <v>17</v>
      </c>
      <c r="E3277" t="s">
        <v>8</v>
      </c>
      <c r="G3277" t="s">
        <v>9</v>
      </c>
      <c r="L3277">
        <f t="shared" si="257"/>
        <v>0</v>
      </c>
      <c r="M3277">
        <f t="shared" si="258"/>
        <v>0</v>
      </c>
      <c r="N3277">
        <f t="shared" si="259"/>
        <v>0</v>
      </c>
      <c r="O3277">
        <f t="shared" si="260"/>
        <v>1</v>
      </c>
      <c r="P3277" t="str">
        <f t="shared" si="261"/>
        <v/>
      </c>
      <c r="Q3277">
        <f>COUNTIF('責任職　企業局→市長部局'!A:A,SQLデータ!B3277)</f>
        <v>0</v>
      </c>
      <c r="R3277">
        <f>COUNTIF('一般職員　企業局→市長部局'!A:F,SQLデータ!B3277)</f>
        <v>0</v>
      </c>
    </row>
    <row r="3278" spans="1:18" x14ac:dyDescent="0.4">
      <c r="A3278" s="1">
        <v>202650003206</v>
      </c>
      <c r="B3278" s="1">
        <v>1171333</v>
      </c>
      <c r="C3278" s="2">
        <v>46127</v>
      </c>
      <c r="D3278" t="s">
        <v>17</v>
      </c>
      <c r="E3278" t="s">
        <v>8</v>
      </c>
      <c r="G3278" t="s">
        <v>9</v>
      </c>
      <c r="L3278">
        <f t="shared" si="257"/>
        <v>0</v>
      </c>
      <c r="M3278">
        <f t="shared" si="258"/>
        <v>0</v>
      </c>
      <c r="N3278">
        <f t="shared" si="259"/>
        <v>0</v>
      </c>
      <c r="O3278">
        <f t="shared" si="260"/>
        <v>1</v>
      </c>
      <c r="P3278" t="str">
        <f t="shared" si="261"/>
        <v/>
      </c>
      <c r="Q3278">
        <f>COUNTIF('責任職　企業局→市長部局'!A:A,SQLデータ!B3278)</f>
        <v>0</v>
      </c>
      <c r="R3278">
        <f>COUNTIF('一般職員　企業局→市長部局'!A:F,SQLデータ!B3278)</f>
        <v>0</v>
      </c>
    </row>
    <row r="3279" spans="1:18" x14ac:dyDescent="0.4">
      <c r="A3279" s="1">
        <v>202650003207</v>
      </c>
      <c r="B3279" s="1">
        <v>1171461</v>
      </c>
      <c r="C3279" s="2">
        <v>46127</v>
      </c>
      <c r="D3279" t="s">
        <v>17</v>
      </c>
      <c r="E3279" t="s">
        <v>8</v>
      </c>
      <c r="G3279" t="s">
        <v>9</v>
      </c>
      <c r="L3279">
        <f t="shared" si="257"/>
        <v>0</v>
      </c>
      <c r="M3279">
        <f t="shared" si="258"/>
        <v>0</v>
      </c>
      <c r="N3279">
        <f t="shared" si="259"/>
        <v>0</v>
      </c>
      <c r="O3279">
        <f t="shared" si="260"/>
        <v>1</v>
      </c>
      <c r="P3279" t="str">
        <f t="shared" si="261"/>
        <v/>
      </c>
      <c r="Q3279">
        <f>COUNTIF('責任職　企業局→市長部局'!A:A,SQLデータ!B3279)</f>
        <v>0</v>
      </c>
      <c r="R3279">
        <f>COUNTIF('一般職員　企業局→市長部局'!A:F,SQLデータ!B3279)</f>
        <v>0</v>
      </c>
    </row>
    <row r="3280" spans="1:18" x14ac:dyDescent="0.4">
      <c r="A3280" s="1">
        <v>202650003208</v>
      </c>
      <c r="B3280" s="1">
        <v>1221166</v>
      </c>
      <c r="C3280" s="2">
        <v>46127</v>
      </c>
      <c r="D3280" t="s">
        <v>17</v>
      </c>
      <c r="E3280" t="s">
        <v>8</v>
      </c>
      <c r="G3280" t="s">
        <v>9</v>
      </c>
      <c r="L3280">
        <f t="shared" si="257"/>
        <v>0</v>
      </c>
      <c r="M3280">
        <f t="shared" si="258"/>
        <v>0</v>
      </c>
      <c r="N3280">
        <f t="shared" si="259"/>
        <v>0</v>
      </c>
      <c r="O3280">
        <f t="shared" si="260"/>
        <v>1</v>
      </c>
      <c r="P3280" t="str">
        <f t="shared" si="261"/>
        <v/>
      </c>
      <c r="Q3280">
        <f>COUNTIF('責任職　企業局→市長部局'!A:A,SQLデータ!B3280)</f>
        <v>0</v>
      </c>
      <c r="R3280">
        <f>COUNTIF('一般職員　企業局→市長部局'!A:F,SQLデータ!B3280)</f>
        <v>0</v>
      </c>
    </row>
    <row r="3281" spans="1:18" x14ac:dyDescent="0.4">
      <c r="A3281" s="1">
        <v>202650003209</v>
      </c>
      <c r="B3281" s="1">
        <v>910594</v>
      </c>
      <c r="C3281" s="2">
        <v>46127</v>
      </c>
      <c r="D3281" t="s">
        <v>17</v>
      </c>
      <c r="E3281" t="s">
        <v>8</v>
      </c>
      <c r="G3281" t="s">
        <v>9</v>
      </c>
      <c r="L3281">
        <f t="shared" si="257"/>
        <v>0</v>
      </c>
      <c r="M3281">
        <f t="shared" si="258"/>
        <v>0</v>
      </c>
      <c r="N3281">
        <f t="shared" si="259"/>
        <v>0</v>
      </c>
      <c r="O3281">
        <f t="shared" si="260"/>
        <v>1</v>
      </c>
      <c r="P3281" t="str">
        <f t="shared" si="261"/>
        <v/>
      </c>
      <c r="Q3281">
        <f>COUNTIF('責任職　企業局→市長部局'!A:A,SQLデータ!B3281)</f>
        <v>0</v>
      </c>
      <c r="R3281">
        <f>COUNTIF('一般職員　企業局→市長部局'!A:F,SQLデータ!B3281)</f>
        <v>0</v>
      </c>
    </row>
    <row r="3282" spans="1:18" x14ac:dyDescent="0.4">
      <c r="A3282" s="1">
        <v>202650003210</v>
      </c>
      <c r="B3282" s="1">
        <v>1154070</v>
      </c>
      <c r="C3282" s="2">
        <v>46127</v>
      </c>
      <c r="D3282" t="s">
        <v>17</v>
      </c>
      <c r="E3282" t="s">
        <v>8</v>
      </c>
      <c r="G3282" t="s">
        <v>9</v>
      </c>
      <c r="L3282">
        <f t="shared" si="257"/>
        <v>0</v>
      </c>
      <c r="M3282">
        <f t="shared" si="258"/>
        <v>0</v>
      </c>
      <c r="N3282">
        <f t="shared" si="259"/>
        <v>0</v>
      </c>
      <c r="O3282">
        <f t="shared" si="260"/>
        <v>1</v>
      </c>
      <c r="P3282" t="str">
        <f t="shared" si="261"/>
        <v/>
      </c>
      <c r="Q3282">
        <f>COUNTIF('責任職　企業局→市長部局'!A:A,SQLデータ!B3282)</f>
        <v>0</v>
      </c>
      <c r="R3282">
        <f>COUNTIF('一般職員　企業局→市長部局'!A:F,SQLデータ!B3282)</f>
        <v>0</v>
      </c>
    </row>
    <row r="3283" spans="1:18" x14ac:dyDescent="0.4">
      <c r="A3283" s="1">
        <v>202650003211</v>
      </c>
      <c r="B3283" s="1">
        <v>1111229</v>
      </c>
      <c r="C3283" s="2">
        <v>46127</v>
      </c>
      <c r="D3283" t="s">
        <v>17</v>
      </c>
      <c r="E3283" t="s">
        <v>8</v>
      </c>
      <c r="G3283" t="s">
        <v>9</v>
      </c>
      <c r="L3283">
        <f t="shared" si="257"/>
        <v>0</v>
      </c>
      <c r="M3283">
        <f t="shared" si="258"/>
        <v>0</v>
      </c>
      <c r="N3283">
        <f t="shared" si="259"/>
        <v>0</v>
      </c>
      <c r="O3283">
        <f t="shared" si="260"/>
        <v>1</v>
      </c>
      <c r="P3283" t="str">
        <f t="shared" si="261"/>
        <v/>
      </c>
      <c r="Q3283">
        <f>COUNTIF('責任職　企業局→市長部局'!A:A,SQLデータ!B3283)</f>
        <v>0</v>
      </c>
      <c r="R3283">
        <f>COUNTIF('一般職員　企業局→市長部局'!A:F,SQLデータ!B3283)</f>
        <v>0</v>
      </c>
    </row>
    <row r="3284" spans="1:18" x14ac:dyDescent="0.4">
      <c r="A3284" s="1">
        <v>202650003212</v>
      </c>
      <c r="B3284" s="1">
        <v>930939</v>
      </c>
      <c r="C3284" s="2">
        <v>46127</v>
      </c>
      <c r="D3284" t="s">
        <v>17</v>
      </c>
      <c r="E3284" t="s">
        <v>8</v>
      </c>
      <c r="G3284" t="s">
        <v>9</v>
      </c>
      <c r="L3284">
        <f t="shared" si="257"/>
        <v>0</v>
      </c>
      <c r="M3284">
        <f t="shared" si="258"/>
        <v>0</v>
      </c>
      <c r="N3284">
        <f t="shared" si="259"/>
        <v>0</v>
      </c>
      <c r="O3284">
        <f t="shared" si="260"/>
        <v>1</v>
      </c>
      <c r="P3284" t="str">
        <f t="shared" si="261"/>
        <v/>
      </c>
      <c r="Q3284">
        <f>COUNTIF('責任職　企業局→市長部局'!A:A,SQLデータ!B3284)</f>
        <v>0</v>
      </c>
      <c r="R3284">
        <f>COUNTIF('一般職員　企業局→市長部局'!A:F,SQLデータ!B3284)</f>
        <v>0</v>
      </c>
    </row>
    <row r="3285" spans="1:18" x14ac:dyDescent="0.4">
      <c r="A3285" s="1">
        <v>202650003213</v>
      </c>
      <c r="B3285" s="1">
        <v>1211344</v>
      </c>
      <c r="C3285" s="2">
        <v>46127</v>
      </c>
      <c r="D3285" t="s">
        <v>17</v>
      </c>
      <c r="E3285" t="s">
        <v>8</v>
      </c>
      <c r="G3285" t="s">
        <v>9</v>
      </c>
      <c r="L3285">
        <f t="shared" si="257"/>
        <v>0</v>
      </c>
      <c r="M3285">
        <f t="shared" si="258"/>
        <v>0</v>
      </c>
      <c r="N3285">
        <f t="shared" si="259"/>
        <v>0</v>
      </c>
      <c r="O3285">
        <f t="shared" si="260"/>
        <v>1</v>
      </c>
      <c r="P3285" t="str">
        <f t="shared" si="261"/>
        <v/>
      </c>
      <c r="Q3285">
        <f>COUNTIF('責任職　企業局→市長部局'!A:A,SQLデータ!B3285)</f>
        <v>0</v>
      </c>
      <c r="R3285">
        <f>COUNTIF('一般職員　企業局→市長部局'!A:F,SQLデータ!B3285)</f>
        <v>0</v>
      </c>
    </row>
    <row r="3286" spans="1:18" x14ac:dyDescent="0.4">
      <c r="A3286" s="1">
        <v>202650003214</v>
      </c>
      <c r="B3286" s="1">
        <v>940545</v>
      </c>
      <c r="C3286" s="2">
        <v>46127</v>
      </c>
      <c r="D3286" t="s">
        <v>17</v>
      </c>
      <c r="E3286" t="s">
        <v>8</v>
      </c>
      <c r="G3286" t="s">
        <v>9</v>
      </c>
      <c r="L3286">
        <f t="shared" si="257"/>
        <v>0</v>
      </c>
      <c r="M3286">
        <f t="shared" si="258"/>
        <v>0</v>
      </c>
      <c r="N3286">
        <f t="shared" si="259"/>
        <v>0</v>
      </c>
      <c r="O3286">
        <f t="shared" si="260"/>
        <v>1</v>
      </c>
      <c r="P3286" t="str">
        <f t="shared" si="261"/>
        <v/>
      </c>
      <c r="Q3286">
        <f>COUNTIF('責任職　企業局→市長部局'!A:A,SQLデータ!B3286)</f>
        <v>0</v>
      </c>
      <c r="R3286">
        <f>COUNTIF('一般職員　企業局→市長部局'!A:F,SQLデータ!B3286)</f>
        <v>0</v>
      </c>
    </row>
    <row r="3287" spans="1:18" x14ac:dyDescent="0.4">
      <c r="A3287" s="1">
        <v>202650003215</v>
      </c>
      <c r="B3287" s="1">
        <v>1183018</v>
      </c>
      <c r="C3287" s="2">
        <v>46127</v>
      </c>
      <c r="D3287" t="s">
        <v>17</v>
      </c>
      <c r="E3287" t="s">
        <v>8</v>
      </c>
      <c r="G3287" t="s">
        <v>9</v>
      </c>
      <c r="L3287">
        <f t="shared" si="257"/>
        <v>0</v>
      </c>
      <c r="M3287">
        <f t="shared" si="258"/>
        <v>0</v>
      </c>
      <c r="N3287">
        <f t="shared" si="259"/>
        <v>0</v>
      </c>
      <c r="O3287">
        <f t="shared" si="260"/>
        <v>1</v>
      </c>
      <c r="P3287" t="str">
        <f t="shared" si="261"/>
        <v/>
      </c>
      <c r="Q3287">
        <f>COUNTIF('責任職　企業局→市長部局'!A:A,SQLデータ!B3287)</f>
        <v>0</v>
      </c>
      <c r="R3287">
        <f>COUNTIF('一般職員　企業局→市長部局'!A:F,SQLデータ!B3287)</f>
        <v>0</v>
      </c>
    </row>
    <row r="3288" spans="1:18" x14ac:dyDescent="0.4">
      <c r="A3288" s="1">
        <v>202650003216</v>
      </c>
      <c r="B3288" s="1">
        <v>1111543</v>
      </c>
      <c r="C3288" s="2">
        <v>46127</v>
      </c>
      <c r="D3288" t="s">
        <v>17</v>
      </c>
      <c r="E3288" t="s">
        <v>8</v>
      </c>
      <c r="G3288" t="s">
        <v>9</v>
      </c>
      <c r="L3288">
        <f t="shared" si="257"/>
        <v>0</v>
      </c>
      <c r="M3288">
        <f t="shared" si="258"/>
        <v>0</v>
      </c>
      <c r="N3288">
        <f t="shared" si="259"/>
        <v>0</v>
      </c>
      <c r="O3288">
        <f t="shared" si="260"/>
        <v>1</v>
      </c>
      <c r="P3288" t="str">
        <f t="shared" si="261"/>
        <v/>
      </c>
      <c r="Q3288">
        <f>COUNTIF('責任職　企業局→市長部局'!A:A,SQLデータ!B3288)</f>
        <v>0</v>
      </c>
      <c r="R3288">
        <f>COUNTIF('一般職員　企業局→市長部局'!A:F,SQLデータ!B3288)</f>
        <v>0</v>
      </c>
    </row>
    <row r="3289" spans="1:18" x14ac:dyDescent="0.4">
      <c r="A3289" s="1">
        <v>202650003217</v>
      </c>
      <c r="B3289" s="1">
        <v>940310</v>
      </c>
      <c r="C3289" s="2">
        <v>46127</v>
      </c>
      <c r="D3289" t="s">
        <v>17</v>
      </c>
      <c r="E3289" t="s">
        <v>8</v>
      </c>
      <c r="G3289" t="s">
        <v>9</v>
      </c>
      <c r="L3289">
        <f t="shared" si="257"/>
        <v>0</v>
      </c>
      <c r="M3289">
        <f t="shared" si="258"/>
        <v>0</v>
      </c>
      <c r="N3289">
        <f t="shared" si="259"/>
        <v>0</v>
      </c>
      <c r="O3289">
        <f t="shared" si="260"/>
        <v>1</v>
      </c>
      <c r="P3289" t="str">
        <f t="shared" si="261"/>
        <v/>
      </c>
      <c r="Q3289">
        <f>COUNTIF('責任職　企業局→市長部局'!A:A,SQLデータ!B3289)</f>
        <v>0</v>
      </c>
      <c r="R3289">
        <f>COUNTIF('一般職員　企業局→市長部局'!A:F,SQLデータ!B3289)</f>
        <v>0</v>
      </c>
    </row>
    <row r="3290" spans="1:18" x14ac:dyDescent="0.4">
      <c r="A3290" s="1">
        <v>202650003218</v>
      </c>
      <c r="B3290" s="1">
        <v>910596</v>
      </c>
      <c r="C3290" s="2">
        <v>46127</v>
      </c>
      <c r="D3290" t="s">
        <v>17</v>
      </c>
      <c r="E3290" t="s">
        <v>8</v>
      </c>
      <c r="G3290" t="s">
        <v>9</v>
      </c>
      <c r="L3290">
        <f t="shared" si="257"/>
        <v>0</v>
      </c>
      <c r="M3290">
        <f t="shared" si="258"/>
        <v>0</v>
      </c>
      <c r="N3290">
        <f t="shared" si="259"/>
        <v>0</v>
      </c>
      <c r="O3290">
        <f t="shared" si="260"/>
        <v>1</v>
      </c>
      <c r="P3290" t="str">
        <f t="shared" si="261"/>
        <v/>
      </c>
      <c r="Q3290">
        <f>COUNTIF('責任職　企業局→市長部局'!A:A,SQLデータ!B3290)</f>
        <v>0</v>
      </c>
      <c r="R3290">
        <f>COUNTIF('一般職員　企業局→市長部局'!A:F,SQLデータ!B3290)</f>
        <v>0</v>
      </c>
    </row>
    <row r="3291" spans="1:18" x14ac:dyDescent="0.4">
      <c r="A3291" s="1">
        <v>202650003219</v>
      </c>
      <c r="B3291" s="1">
        <v>1221220</v>
      </c>
      <c r="C3291" s="2">
        <v>46127</v>
      </c>
      <c r="D3291" t="s">
        <v>17</v>
      </c>
      <c r="E3291" t="s">
        <v>8</v>
      </c>
      <c r="G3291" t="s">
        <v>9</v>
      </c>
      <c r="L3291">
        <f t="shared" si="257"/>
        <v>0</v>
      </c>
      <c r="M3291">
        <f t="shared" si="258"/>
        <v>0</v>
      </c>
      <c r="N3291">
        <f t="shared" si="259"/>
        <v>0</v>
      </c>
      <c r="O3291">
        <f t="shared" si="260"/>
        <v>1</v>
      </c>
      <c r="P3291" t="str">
        <f t="shared" si="261"/>
        <v/>
      </c>
      <c r="Q3291">
        <f>COUNTIF('責任職　企業局→市長部局'!A:A,SQLデータ!B3291)</f>
        <v>0</v>
      </c>
      <c r="R3291">
        <f>COUNTIF('一般職員　企業局→市長部局'!A:F,SQLデータ!B3291)</f>
        <v>0</v>
      </c>
    </row>
    <row r="3292" spans="1:18" x14ac:dyDescent="0.4">
      <c r="A3292" s="1">
        <v>202650003220</v>
      </c>
      <c r="B3292" s="1">
        <v>1161127</v>
      </c>
      <c r="C3292" s="2">
        <v>46127</v>
      </c>
      <c r="D3292" t="s">
        <v>17</v>
      </c>
      <c r="E3292" t="s">
        <v>8</v>
      </c>
      <c r="G3292" t="s">
        <v>9</v>
      </c>
      <c r="L3292">
        <f t="shared" si="257"/>
        <v>0</v>
      </c>
      <c r="M3292">
        <f t="shared" si="258"/>
        <v>0</v>
      </c>
      <c r="N3292">
        <f t="shared" si="259"/>
        <v>0</v>
      </c>
      <c r="O3292">
        <f t="shared" si="260"/>
        <v>1</v>
      </c>
      <c r="P3292" t="str">
        <f t="shared" si="261"/>
        <v/>
      </c>
      <c r="Q3292">
        <f>COUNTIF('責任職　企業局→市長部局'!A:A,SQLデータ!B3292)</f>
        <v>0</v>
      </c>
      <c r="R3292">
        <f>COUNTIF('一般職員　企業局→市長部局'!A:F,SQLデータ!B3292)</f>
        <v>0</v>
      </c>
    </row>
    <row r="3293" spans="1:18" x14ac:dyDescent="0.4">
      <c r="A3293" s="1">
        <v>202650003221</v>
      </c>
      <c r="B3293" s="1">
        <v>1173011</v>
      </c>
      <c r="C3293" s="2">
        <v>46127</v>
      </c>
      <c r="D3293" t="s">
        <v>17</v>
      </c>
      <c r="E3293" t="s">
        <v>8</v>
      </c>
      <c r="G3293" t="s">
        <v>9</v>
      </c>
      <c r="L3293">
        <f t="shared" si="257"/>
        <v>0</v>
      </c>
      <c r="M3293">
        <f t="shared" si="258"/>
        <v>0</v>
      </c>
      <c r="N3293">
        <f t="shared" si="259"/>
        <v>0</v>
      </c>
      <c r="O3293">
        <f t="shared" si="260"/>
        <v>1</v>
      </c>
      <c r="P3293" t="str">
        <f t="shared" si="261"/>
        <v/>
      </c>
      <c r="Q3293">
        <f>COUNTIF('責任職　企業局→市長部局'!A:A,SQLデータ!B3293)</f>
        <v>0</v>
      </c>
      <c r="R3293">
        <f>COUNTIF('一般職員　企業局→市長部局'!A:F,SQLデータ!B3293)</f>
        <v>0</v>
      </c>
    </row>
    <row r="3294" spans="1:18" x14ac:dyDescent="0.4">
      <c r="A3294" s="1">
        <v>202650003222</v>
      </c>
      <c r="B3294" s="1">
        <v>920550</v>
      </c>
      <c r="C3294" s="2">
        <v>46127</v>
      </c>
      <c r="D3294" t="s">
        <v>17</v>
      </c>
      <c r="E3294" t="s">
        <v>8</v>
      </c>
      <c r="G3294" t="s">
        <v>9</v>
      </c>
      <c r="L3294">
        <f t="shared" si="257"/>
        <v>0</v>
      </c>
      <c r="M3294">
        <f t="shared" si="258"/>
        <v>0</v>
      </c>
      <c r="N3294">
        <f t="shared" si="259"/>
        <v>0</v>
      </c>
      <c r="O3294">
        <f t="shared" si="260"/>
        <v>1</v>
      </c>
      <c r="P3294" t="str">
        <f t="shared" si="261"/>
        <v/>
      </c>
      <c r="Q3294">
        <f>COUNTIF('責任職　企業局→市長部局'!A:A,SQLデータ!B3294)</f>
        <v>0</v>
      </c>
      <c r="R3294">
        <f>COUNTIF('一般職員　企業局→市長部局'!A:F,SQLデータ!B3294)</f>
        <v>0</v>
      </c>
    </row>
    <row r="3295" spans="1:18" x14ac:dyDescent="0.4">
      <c r="A3295" s="1">
        <v>202650003223</v>
      </c>
      <c r="B3295" s="1">
        <v>1161300</v>
      </c>
      <c r="C3295" s="2">
        <v>46127</v>
      </c>
      <c r="D3295" t="s">
        <v>17</v>
      </c>
      <c r="E3295" t="s">
        <v>8</v>
      </c>
      <c r="G3295" t="s">
        <v>9</v>
      </c>
      <c r="L3295">
        <f t="shared" si="257"/>
        <v>0</v>
      </c>
      <c r="M3295">
        <f t="shared" si="258"/>
        <v>0</v>
      </c>
      <c r="N3295">
        <f t="shared" si="259"/>
        <v>0</v>
      </c>
      <c r="O3295">
        <f t="shared" si="260"/>
        <v>1</v>
      </c>
      <c r="P3295" t="str">
        <f t="shared" si="261"/>
        <v/>
      </c>
      <c r="Q3295">
        <f>COUNTIF('責任職　企業局→市長部局'!A:A,SQLデータ!B3295)</f>
        <v>0</v>
      </c>
      <c r="R3295">
        <f>COUNTIF('一般職員　企業局→市長部局'!A:F,SQLデータ!B3295)</f>
        <v>0</v>
      </c>
    </row>
    <row r="3296" spans="1:18" x14ac:dyDescent="0.4">
      <c r="A3296" s="1">
        <v>202650003224</v>
      </c>
      <c r="B3296" s="1">
        <v>1171438</v>
      </c>
      <c r="C3296" s="2">
        <v>46127</v>
      </c>
      <c r="D3296" t="s">
        <v>17</v>
      </c>
      <c r="E3296" t="s">
        <v>8</v>
      </c>
      <c r="G3296" t="s">
        <v>9</v>
      </c>
      <c r="L3296">
        <f t="shared" si="257"/>
        <v>0</v>
      </c>
      <c r="M3296">
        <f t="shared" si="258"/>
        <v>0</v>
      </c>
      <c r="N3296">
        <f t="shared" si="259"/>
        <v>0</v>
      </c>
      <c r="O3296">
        <f t="shared" si="260"/>
        <v>1</v>
      </c>
      <c r="P3296" t="str">
        <f t="shared" si="261"/>
        <v/>
      </c>
      <c r="Q3296">
        <f>COUNTIF('責任職　企業局→市長部局'!A:A,SQLデータ!B3296)</f>
        <v>0</v>
      </c>
      <c r="R3296">
        <f>COUNTIF('一般職員　企業局→市長部局'!A:F,SQLデータ!B3296)</f>
        <v>0</v>
      </c>
    </row>
    <row r="3297" spans="1:18" x14ac:dyDescent="0.4">
      <c r="A3297" s="1">
        <v>202650003225</v>
      </c>
      <c r="B3297" s="1">
        <v>1231179</v>
      </c>
      <c r="C3297" s="2">
        <v>46127</v>
      </c>
      <c r="D3297" t="s">
        <v>17</v>
      </c>
      <c r="E3297" t="s">
        <v>8</v>
      </c>
      <c r="G3297" t="s">
        <v>9</v>
      </c>
      <c r="L3297">
        <f t="shared" si="257"/>
        <v>0</v>
      </c>
      <c r="M3297">
        <f t="shared" si="258"/>
        <v>0</v>
      </c>
      <c r="N3297">
        <f t="shared" si="259"/>
        <v>0</v>
      </c>
      <c r="O3297">
        <f t="shared" si="260"/>
        <v>1</v>
      </c>
      <c r="P3297" t="str">
        <f t="shared" si="261"/>
        <v/>
      </c>
      <c r="Q3297">
        <f>COUNTIF('責任職　企業局→市長部局'!A:A,SQLデータ!B3297)</f>
        <v>0</v>
      </c>
      <c r="R3297">
        <f>COUNTIF('一般職員　企業局→市長部局'!A:F,SQLデータ!B3297)</f>
        <v>0</v>
      </c>
    </row>
    <row r="3298" spans="1:18" x14ac:dyDescent="0.4">
      <c r="A3298" s="1">
        <v>202650003226</v>
      </c>
      <c r="B3298" s="1">
        <v>1231330</v>
      </c>
      <c r="C3298" s="2">
        <v>46127</v>
      </c>
      <c r="D3298" t="s">
        <v>17</v>
      </c>
      <c r="E3298" t="s">
        <v>8</v>
      </c>
      <c r="G3298" t="s">
        <v>9</v>
      </c>
      <c r="L3298">
        <f t="shared" ref="L3298:L3361" si="262">IF(ISBLANK(J3298),0,1)</f>
        <v>0</v>
      </c>
      <c r="M3298">
        <f t="shared" ref="M3298:M3361" si="263">IF(AND(L3298=0,I3298&lt;&gt;""),1,0)</f>
        <v>0</v>
      </c>
      <c r="N3298">
        <f t="shared" ref="N3298:N3361" si="264">IF(AND(L3298=0,M3298=0,K3298&lt;&gt;""),1,0)</f>
        <v>0</v>
      </c>
      <c r="O3298">
        <f t="shared" ref="O3298:O3361" si="265">IF(COUNTIF(L3298:N3298,0)=3,1,0)</f>
        <v>1</v>
      </c>
      <c r="P3298" t="str">
        <f t="shared" ref="P3298:P3361" si="266">IF(D3298&lt;&gt;"扶養","",IF(E3298&lt;&gt;"確認待ち",1,IF(OR(AND(G3298="本人の結婚",O3298=1),AND(H3298="減",OR(N3298=1,O3298=1))),1,0)))</f>
        <v/>
      </c>
      <c r="Q3298">
        <f>COUNTIF('責任職　企業局→市長部局'!A:A,SQLデータ!B3298)</f>
        <v>0</v>
      </c>
      <c r="R3298">
        <f>COUNTIF('一般職員　企業局→市長部局'!A:F,SQLデータ!B3298)</f>
        <v>0</v>
      </c>
    </row>
    <row r="3299" spans="1:18" x14ac:dyDescent="0.4">
      <c r="A3299" s="1">
        <v>202650003227</v>
      </c>
      <c r="B3299" s="1">
        <v>1101113</v>
      </c>
      <c r="C3299" s="2">
        <v>46127</v>
      </c>
      <c r="D3299" t="s">
        <v>17</v>
      </c>
      <c r="E3299" t="s">
        <v>8</v>
      </c>
      <c r="G3299" t="s">
        <v>9</v>
      </c>
      <c r="L3299">
        <f t="shared" si="262"/>
        <v>0</v>
      </c>
      <c r="M3299">
        <f t="shared" si="263"/>
        <v>0</v>
      </c>
      <c r="N3299">
        <f t="shared" si="264"/>
        <v>0</v>
      </c>
      <c r="O3299">
        <f t="shared" si="265"/>
        <v>1</v>
      </c>
      <c r="P3299" t="str">
        <f t="shared" si="266"/>
        <v/>
      </c>
      <c r="Q3299">
        <f>COUNTIF('責任職　企業局→市長部局'!A:A,SQLデータ!B3299)</f>
        <v>0</v>
      </c>
      <c r="R3299">
        <f>COUNTIF('一般職員　企業局→市長部局'!A:F,SQLデータ!B3299)</f>
        <v>0</v>
      </c>
    </row>
    <row r="3300" spans="1:18" x14ac:dyDescent="0.4">
      <c r="A3300" s="1">
        <v>202650003228</v>
      </c>
      <c r="B3300" s="1">
        <v>991089</v>
      </c>
      <c r="C3300" s="2">
        <v>46127</v>
      </c>
      <c r="D3300" t="s">
        <v>17</v>
      </c>
      <c r="E3300" t="s">
        <v>8</v>
      </c>
      <c r="G3300" t="s">
        <v>9</v>
      </c>
      <c r="L3300">
        <f t="shared" si="262"/>
        <v>0</v>
      </c>
      <c r="M3300">
        <f t="shared" si="263"/>
        <v>0</v>
      </c>
      <c r="N3300">
        <f t="shared" si="264"/>
        <v>0</v>
      </c>
      <c r="O3300">
        <f t="shared" si="265"/>
        <v>1</v>
      </c>
      <c r="P3300" t="str">
        <f t="shared" si="266"/>
        <v/>
      </c>
      <c r="Q3300">
        <f>COUNTIF('責任職　企業局→市長部局'!A:A,SQLデータ!B3300)</f>
        <v>0</v>
      </c>
      <c r="R3300">
        <f>COUNTIF('一般職員　企業局→市長部局'!A:F,SQLデータ!B3300)</f>
        <v>0</v>
      </c>
    </row>
    <row r="3301" spans="1:18" x14ac:dyDescent="0.4">
      <c r="A3301" s="1">
        <v>202650003229</v>
      </c>
      <c r="B3301" s="1">
        <v>1092061</v>
      </c>
      <c r="C3301" s="2">
        <v>46127</v>
      </c>
      <c r="D3301" t="s">
        <v>17</v>
      </c>
      <c r="E3301" t="s">
        <v>8</v>
      </c>
      <c r="G3301" t="s">
        <v>9</v>
      </c>
      <c r="L3301">
        <f t="shared" si="262"/>
        <v>0</v>
      </c>
      <c r="M3301">
        <f t="shared" si="263"/>
        <v>0</v>
      </c>
      <c r="N3301">
        <f t="shared" si="264"/>
        <v>0</v>
      </c>
      <c r="O3301">
        <f t="shared" si="265"/>
        <v>1</v>
      </c>
      <c r="P3301" t="str">
        <f t="shared" si="266"/>
        <v/>
      </c>
      <c r="Q3301">
        <f>COUNTIF('責任職　企業局→市長部局'!A:A,SQLデータ!B3301)</f>
        <v>0</v>
      </c>
      <c r="R3301">
        <f>COUNTIF('一般職員　企業局→市長部局'!A:F,SQLデータ!B3301)</f>
        <v>0</v>
      </c>
    </row>
    <row r="3302" spans="1:18" x14ac:dyDescent="0.4">
      <c r="A3302" s="1">
        <v>202650003230</v>
      </c>
      <c r="B3302" s="1">
        <v>951076</v>
      </c>
      <c r="C3302" s="2">
        <v>46127</v>
      </c>
      <c r="D3302" t="s">
        <v>17</v>
      </c>
      <c r="E3302" t="s">
        <v>8</v>
      </c>
      <c r="G3302" t="s">
        <v>9</v>
      </c>
      <c r="L3302">
        <f t="shared" si="262"/>
        <v>0</v>
      </c>
      <c r="M3302">
        <f t="shared" si="263"/>
        <v>0</v>
      </c>
      <c r="N3302">
        <f t="shared" si="264"/>
        <v>0</v>
      </c>
      <c r="O3302">
        <f t="shared" si="265"/>
        <v>1</v>
      </c>
      <c r="P3302" t="str">
        <f t="shared" si="266"/>
        <v/>
      </c>
      <c r="Q3302">
        <f>COUNTIF('責任職　企業局→市長部局'!A:A,SQLデータ!B3302)</f>
        <v>0</v>
      </c>
      <c r="R3302">
        <f>COUNTIF('一般職員　企業局→市長部局'!A:F,SQLデータ!B3302)</f>
        <v>0</v>
      </c>
    </row>
    <row r="3303" spans="1:18" x14ac:dyDescent="0.4">
      <c r="A3303" s="1">
        <v>202650003231</v>
      </c>
      <c r="B3303" s="1">
        <v>1232051</v>
      </c>
      <c r="C3303" s="2">
        <v>46127</v>
      </c>
      <c r="D3303" t="s">
        <v>17</v>
      </c>
      <c r="E3303" t="s">
        <v>8</v>
      </c>
      <c r="G3303" t="s">
        <v>9</v>
      </c>
      <c r="L3303">
        <f t="shared" si="262"/>
        <v>0</v>
      </c>
      <c r="M3303">
        <f t="shared" si="263"/>
        <v>0</v>
      </c>
      <c r="N3303">
        <f t="shared" si="264"/>
        <v>0</v>
      </c>
      <c r="O3303">
        <f t="shared" si="265"/>
        <v>1</v>
      </c>
      <c r="P3303" t="str">
        <f t="shared" si="266"/>
        <v/>
      </c>
      <c r="Q3303">
        <f>COUNTIF('責任職　企業局→市長部局'!A:A,SQLデータ!B3303)</f>
        <v>0</v>
      </c>
      <c r="R3303">
        <f>COUNTIF('一般職員　企業局→市長部局'!A:F,SQLデータ!B3303)</f>
        <v>0</v>
      </c>
    </row>
    <row r="3304" spans="1:18" x14ac:dyDescent="0.4">
      <c r="A3304" s="1">
        <v>202650003232</v>
      </c>
      <c r="B3304" s="1">
        <v>890356</v>
      </c>
      <c r="C3304" s="2">
        <v>46127</v>
      </c>
      <c r="D3304" t="s">
        <v>17</v>
      </c>
      <c r="E3304" t="s">
        <v>8</v>
      </c>
      <c r="G3304" t="s">
        <v>9</v>
      </c>
      <c r="L3304">
        <f t="shared" si="262"/>
        <v>0</v>
      </c>
      <c r="M3304">
        <f t="shared" si="263"/>
        <v>0</v>
      </c>
      <c r="N3304">
        <f t="shared" si="264"/>
        <v>0</v>
      </c>
      <c r="O3304">
        <f t="shared" si="265"/>
        <v>1</v>
      </c>
      <c r="P3304" t="str">
        <f t="shared" si="266"/>
        <v/>
      </c>
      <c r="Q3304">
        <f>COUNTIF('責任職　企業局→市長部局'!A:A,SQLデータ!B3304)</f>
        <v>0</v>
      </c>
      <c r="R3304">
        <f>COUNTIF('一般職員　企業局→市長部局'!A:F,SQLデータ!B3304)</f>
        <v>0</v>
      </c>
    </row>
    <row r="3305" spans="1:18" x14ac:dyDescent="0.4">
      <c r="A3305" s="1">
        <v>202650003233</v>
      </c>
      <c r="B3305" s="1">
        <v>880407</v>
      </c>
      <c r="C3305" s="2">
        <v>46127</v>
      </c>
      <c r="D3305" t="s">
        <v>17</v>
      </c>
      <c r="E3305" t="s">
        <v>8</v>
      </c>
      <c r="G3305" t="s">
        <v>9</v>
      </c>
      <c r="L3305">
        <f t="shared" si="262"/>
        <v>0</v>
      </c>
      <c r="M3305">
        <f t="shared" si="263"/>
        <v>0</v>
      </c>
      <c r="N3305">
        <f t="shared" si="264"/>
        <v>0</v>
      </c>
      <c r="O3305">
        <f t="shared" si="265"/>
        <v>1</v>
      </c>
      <c r="P3305" t="str">
        <f t="shared" si="266"/>
        <v/>
      </c>
      <c r="Q3305">
        <f>COUNTIF('責任職　企業局→市長部局'!A:A,SQLデータ!B3305)</f>
        <v>0</v>
      </c>
      <c r="R3305">
        <f>COUNTIF('一般職員　企業局→市長部局'!A:F,SQLデータ!B3305)</f>
        <v>0</v>
      </c>
    </row>
    <row r="3306" spans="1:18" x14ac:dyDescent="0.4">
      <c r="A3306" s="1">
        <v>202650003234</v>
      </c>
      <c r="B3306" s="1">
        <v>1061182</v>
      </c>
      <c r="C3306" s="2">
        <v>46127</v>
      </c>
      <c r="D3306" t="s">
        <v>17</v>
      </c>
      <c r="E3306" t="s">
        <v>8</v>
      </c>
      <c r="G3306" t="s">
        <v>9</v>
      </c>
      <c r="L3306">
        <f t="shared" si="262"/>
        <v>0</v>
      </c>
      <c r="M3306">
        <f t="shared" si="263"/>
        <v>0</v>
      </c>
      <c r="N3306">
        <f t="shared" si="264"/>
        <v>0</v>
      </c>
      <c r="O3306">
        <f t="shared" si="265"/>
        <v>1</v>
      </c>
      <c r="P3306" t="str">
        <f t="shared" si="266"/>
        <v/>
      </c>
      <c r="Q3306">
        <f>COUNTIF('責任職　企業局→市長部局'!A:A,SQLデータ!B3306)</f>
        <v>0</v>
      </c>
      <c r="R3306">
        <f>COUNTIF('一般職員　企業局→市長部局'!A:F,SQLデータ!B3306)</f>
        <v>0</v>
      </c>
    </row>
    <row r="3307" spans="1:18" x14ac:dyDescent="0.4">
      <c r="A3307" s="1">
        <v>202650003235</v>
      </c>
      <c r="B3307" s="1">
        <v>1226088</v>
      </c>
      <c r="C3307" s="2">
        <v>46127</v>
      </c>
      <c r="D3307" t="s">
        <v>17</v>
      </c>
      <c r="E3307" t="s">
        <v>8</v>
      </c>
      <c r="G3307" t="s">
        <v>9</v>
      </c>
      <c r="L3307">
        <f t="shared" si="262"/>
        <v>0</v>
      </c>
      <c r="M3307">
        <f t="shared" si="263"/>
        <v>0</v>
      </c>
      <c r="N3307">
        <f t="shared" si="264"/>
        <v>0</v>
      </c>
      <c r="O3307">
        <f t="shared" si="265"/>
        <v>1</v>
      </c>
      <c r="P3307" t="str">
        <f t="shared" si="266"/>
        <v/>
      </c>
      <c r="Q3307">
        <f>COUNTIF('責任職　企業局→市長部局'!A:A,SQLデータ!B3307)</f>
        <v>0</v>
      </c>
      <c r="R3307">
        <f>COUNTIF('一般職員　企業局→市長部局'!A:F,SQLデータ!B3307)</f>
        <v>0</v>
      </c>
    </row>
    <row r="3308" spans="1:18" x14ac:dyDescent="0.4">
      <c r="A3308" s="1">
        <v>202650003236</v>
      </c>
      <c r="B3308" s="1">
        <v>930416</v>
      </c>
      <c r="C3308" s="2">
        <v>46127</v>
      </c>
      <c r="D3308" t="s">
        <v>17</v>
      </c>
      <c r="E3308" t="s">
        <v>8</v>
      </c>
      <c r="G3308" t="s">
        <v>9</v>
      </c>
      <c r="L3308">
        <f t="shared" si="262"/>
        <v>0</v>
      </c>
      <c r="M3308">
        <f t="shared" si="263"/>
        <v>0</v>
      </c>
      <c r="N3308">
        <f t="shared" si="264"/>
        <v>0</v>
      </c>
      <c r="O3308">
        <f t="shared" si="265"/>
        <v>1</v>
      </c>
      <c r="P3308" t="str">
        <f t="shared" si="266"/>
        <v/>
      </c>
      <c r="Q3308">
        <f>COUNTIF('責任職　企業局→市長部局'!A:A,SQLデータ!B3308)</f>
        <v>0</v>
      </c>
      <c r="R3308">
        <f>COUNTIF('一般職員　企業局→市長部局'!A:F,SQLデータ!B3308)</f>
        <v>0</v>
      </c>
    </row>
    <row r="3309" spans="1:18" x14ac:dyDescent="0.4">
      <c r="A3309" s="1">
        <v>202650003237</v>
      </c>
      <c r="B3309" s="1">
        <v>1221144</v>
      </c>
      <c r="C3309" s="2">
        <v>46127</v>
      </c>
      <c r="D3309" t="s">
        <v>17</v>
      </c>
      <c r="E3309" t="s">
        <v>8</v>
      </c>
      <c r="G3309" t="s">
        <v>9</v>
      </c>
      <c r="L3309">
        <f t="shared" si="262"/>
        <v>0</v>
      </c>
      <c r="M3309">
        <f t="shared" si="263"/>
        <v>0</v>
      </c>
      <c r="N3309">
        <f t="shared" si="264"/>
        <v>0</v>
      </c>
      <c r="O3309">
        <f t="shared" si="265"/>
        <v>1</v>
      </c>
      <c r="P3309" t="str">
        <f t="shared" si="266"/>
        <v/>
      </c>
      <c r="Q3309">
        <f>COUNTIF('責任職　企業局→市長部局'!A:A,SQLデータ!B3309)</f>
        <v>0</v>
      </c>
      <c r="R3309">
        <f>COUNTIF('一般職員　企業局→市長部局'!A:F,SQLデータ!B3309)</f>
        <v>0</v>
      </c>
    </row>
    <row r="3310" spans="1:18" x14ac:dyDescent="0.4">
      <c r="A3310" s="1">
        <v>202650003238</v>
      </c>
      <c r="B3310" s="1">
        <v>1171001</v>
      </c>
      <c r="C3310" s="2">
        <v>46127</v>
      </c>
      <c r="D3310" t="s">
        <v>17</v>
      </c>
      <c r="E3310" t="s">
        <v>8</v>
      </c>
      <c r="G3310" t="s">
        <v>9</v>
      </c>
      <c r="L3310">
        <f t="shared" si="262"/>
        <v>0</v>
      </c>
      <c r="M3310">
        <f t="shared" si="263"/>
        <v>0</v>
      </c>
      <c r="N3310">
        <f t="shared" si="264"/>
        <v>0</v>
      </c>
      <c r="O3310">
        <f t="shared" si="265"/>
        <v>1</v>
      </c>
      <c r="P3310" t="str">
        <f t="shared" si="266"/>
        <v/>
      </c>
      <c r="Q3310">
        <f>COUNTIF('責任職　企業局→市長部局'!A:A,SQLデータ!B3310)</f>
        <v>0</v>
      </c>
      <c r="R3310">
        <f>COUNTIF('一般職員　企業局→市長部局'!A:F,SQLデータ!B3310)</f>
        <v>0</v>
      </c>
    </row>
    <row r="3311" spans="1:18" x14ac:dyDescent="0.4">
      <c r="A3311" s="1">
        <v>202650003239</v>
      </c>
      <c r="B3311" s="1">
        <v>1152205</v>
      </c>
      <c r="C3311" s="2">
        <v>46127</v>
      </c>
      <c r="D3311" t="s">
        <v>17</v>
      </c>
      <c r="E3311" t="s">
        <v>8</v>
      </c>
      <c r="G3311" t="s">
        <v>9</v>
      </c>
      <c r="L3311">
        <f t="shared" si="262"/>
        <v>0</v>
      </c>
      <c r="M3311">
        <f t="shared" si="263"/>
        <v>0</v>
      </c>
      <c r="N3311">
        <f t="shared" si="264"/>
        <v>0</v>
      </c>
      <c r="O3311">
        <f t="shared" si="265"/>
        <v>1</v>
      </c>
      <c r="P3311" t="str">
        <f t="shared" si="266"/>
        <v/>
      </c>
      <c r="Q3311">
        <f>COUNTIF('責任職　企業局→市長部局'!A:A,SQLデータ!B3311)</f>
        <v>0</v>
      </c>
      <c r="R3311">
        <f>COUNTIF('一般職員　企業局→市長部局'!A:F,SQLデータ!B3311)</f>
        <v>0</v>
      </c>
    </row>
    <row r="3312" spans="1:18" x14ac:dyDescent="0.4">
      <c r="A3312" s="1">
        <v>202650003240</v>
      </c>
      <c r="B3312" s="1">
        <v>880319</v>
      </c>
      <c r="C3312" s="2">
        <v>46127</v>
      </c>
      <c r="D3312" t="s">
        <v>17</v>
      </c>
      <c r="E3312" t="s">
        <v>8</v>
      </c>
      <c r="G3312" t="s">
        <v>9</v>
      </c>
      <c r="L3312">
        <f t="shared" si="262"/>
        <v>0</v>
      </c>
      <c r="M3312">
        <f t="shared" si="263"/>
        <v>0</v>
      </c>
      <c r="N3312">
        <f t="shared" si="264"/>
        <v>0</v>
      </c>
      <c r="O3312">
        <f t="shared" si="265"/>
        <v>1</v>
      </c>
      <c r="P3312" t="str">
        <f t="shared" si="266"/>
        <v/>
      </c>
      <c r="Q3312">
        <f>COUNTIF('責任職　企業局→市長部局'!A:A,SQLデータ!B3312)</f>
        <v>0</v>
      </c>
      <c r="R3312">
        <f>COUNTIF('一般職員　企業局→市長部局'!A:F,SQLデータ!B3312)</f>
        <v>0</v>
      </c>
    </row>
    <row r="3313" spans="1:18" x14ac:dyDescent="0.4">
      <c r="A3313" s="1">
        <v>202650003241</v>
      </c>
      <c r="B3313" s="1">
        <v>1082514</v>
      </c>
      <c r="C3313" s="2">
        <v>46127</v>
      </c>
      <c r="D3313" t="s">
        <v>17</v>
      </c>
      <c r="E3313" t="s">
        <v>8</v>
      </c>
      <c r="G3313" t="s">
        <v>9</v>
      </c>
      <c r="L3313">
        <f t="shared" si="262"/>
        <v>0</v>
      </c>
      <c r="M3313">
        <f t="shared" si="263"/>
        <v>0</v>
      </c>
      <c r="N3313">
        <f t="shared" si="264"/>
        <v>0</v>
      </c>
      <c r="O3313">
        <f t="shared" si="265"/>
        <v>1</v>
      </c>
      <c r="P3313" t="str">
        <f t="shared" si="266"/>
        <v/>
      </c>
      <c r="Q3313">
        <f>COUNTIF('責任職　企業局→市長部局'!A:A,SQLデータ!B3313)</f>
        <v>0</v>
      </c>
      <c r="R3313">
        <f>COUNTIF('一般職員　企業局→市長部局'!A:F,SQLデータ!B3313)</f>
        <v>0</v>
      </c>
    </row>
    <row r="3314" spans="1:18" x14ac:dyDescent="0.4">
      <c r="A3314" s="1">
        <v>202650003242</v>
      </c>
      <c r="B3314" s="1">
        <v>950228</v>
      </c>
      <c r="C3314" s="2">
        <v>46132</v>
      </c>
      <c r="D3314" t="s">
        <v>17</v>
      </c>
      <c r="E3314" t="s">
        <v>8</v>
      </c>
      <c r="G3314" t="s">
        <v>9</v>
      </c>
      <c r="L3314">
        <f t="shared" si="262"/>
        <v>0</v>
      </c>
      <c r="M3314">
        <f t="shared" si="263"/>
        <v>0</v>
      </c>
      <c r="N3314">
        <f t="shared" si="264"/>
        <v>0</v>
      </c>
      <c r="O3314">
        <f t="shared" si="265"/>
        <v>1</v>
      </c>
      <c r="P3314" t="str">
        <f t="shared" si="266"/>
        <v/>
      </c>
      <c r="Q3314">
        <f>COUNTIF('責任職　企業局→市長部局'!A:A,SQLデータ!B3314)</f>
        <v>0</v>
      </c>
      <c r="R3314">
        <f>COUNTIF('一般職員　企業局→市長部局'!A:F,SQLデータ!B3314)</f>
        <v>0</v>
      </c>
    </row>
    <row r="3315" spans="1:18" x14ac:dyDescent="0.4">
      <c r="A3315" s="1">
        <v>202650003244</v>
      </c>
      <c r="B3315" s="1">
        <v>1222021</v>
      </c>
      <c r="C3315" s="2">
        <v>46127</v>
      </c>
      <c r="D3315" t="s">
        <v>17</v>
      </c>
      <c r="E3315" t="s">
        <v>8</v>
      </c>
      <c r="G3315" t="s">
        <v>9</v>
      </c>
      <c r="L3315">
        <f t="shared" si="262"/>
        <v>0</v>
      </c>
      <c r="M3315">
        <f t="shared" si="263"/>
        <v>0</v>
      </c>
      <c r="N3315">
        <f t="shared" si="264"/>
        <v>0</v>
      </c>
      <c r="O3315">
        <f t="shared" si="265"/>
        <v>1</v>
      </c>
      <c r="P3315" t="str">
        <f t="shared" si="266"/>
        <v/>
      </c>
      <c r="Q3315">
        <f>COUNTIF('責任職　企業局→市長部局'!A:A,SQLデータ!B3315)</f>
        <v>0</v>
      </c>
      <c r="R3315">
        <f>COUNTIF('一般職員　企業局→市長部局'!A:F,SQLデータ!B3315)</f>
        <v>0</v>
      </c>
    </row>
    <row r="3316" spans="1:18" x14ac:dyDescent="0.4">
      <c r="A3316" s="1">
        <v>202650003245</v>
      </c>
      <c r="B3316" s="1">
        <v>1220084</v>
      </c>
      <c r="C3316" s="2">
        <v>46127</v>
      </c>
      <c r="D3316" t="s">
        <v>17</v>
      </c>
      <c r="E3316" t="s">
        <v>8</v>
      </c>
      <c r="G3316" t="s">
        <v>9</v>
      </c>
      <c r="L3316">
        <f t="shared" si="262"/>
        <v>0</v>
      </c>
      <c r="M3316">
        <f t="shared" si="263"/>
        <v>0</v>
      </c>
      <c r="N3316">
        <f t="shared" si="264"/>
        <v>0</v>
      </c>
      <c r="O3316">
        <f t="shared" si="265"/>
        <v>1</v>
      </c>
      <c r="P3316" t="str">
        <f t="shared" si="266"/>
        <v/>
      </c>
      <c r="Q3316">
        <f>COUNTIF('責任職　企業局→市長部局'!A:A,SQLデータ!B3316)</f>
        <v>0</v>
      </c>
      <c r="R3316">
        <f>COUNTIF('一般職員　企業局→市長部局'!A:F,SQLデータ!B3316)</f>
        <v>0</v>
      </c>
    </row>
    <row r="3317" spans="1:18" x14ac:dyDescent="0.4">
      <c r="A3317" s="1">
        <v>202650003246</v>
      </c>
      <c r="B3317" s="1">
        <v>1231329</v>
      </c>
      <c r="C3317" s="2">
        <v>46127</v>
      </c>
      <c r="D3317" t="s">
        <v>17</v>
      </c>
      <c r="E3317" t="s">
        <v>8</v>
      </c>
      <c r="G3317" t="s">
        <v>9</v>
      </c>
      <c r="L3317">
        <f t="shared" si="262"/>
        <v>0</v>
      </c>
      <c r="M3317">
        <f t="shared" si="263"/>
        <v>0</v>
      </c>
      <c r="N3317">
        <f t="shared" si="264"/>
        <v>0</v>
      </c>
      <c r="O3317">
        <f t="shared" si="265"/>
        <v>1</v>
      </c>
      <c r="P3317" t="str">
        <f t="shared" si="266"/>
        <v/>
      </c>
      <c r="Q3317">
        <f>COUNTIF('責任職　企業局→市長部局'!A:A,SQLデータ!B3317)</f>
        <v>0</v>
      </c>
      <c r="R3317">
        <f>COUNTIF('一般職員　企業局→市長部局'!A:F,SQLデータ!B3317)</f>
        <v>0</v>
      </c>
    </row>
    <row r="3318" spans="1:18" x14ac:dyDescent="0.4">
      <c r="A3318" s="1">
        <v>202650003247</v>
      </c>
      <c r="B3318" s="1">
        <v>1151356</v>
      </c>
      <c r="C3318" s="2">
        <v>46127</v>
      </c>
      <c r="D3318" t="s">
        <v>17</v>
      </c>
      <c r="E3318" t="s">
        <v>8</v>
      </c>
      <c r="G3318" t="s">
        <v>9</v>
      </c>
      <c r="L3318">
        <f t="shared" si="262"/>
        <v>0</v>
      </c>
      <c r="M3318">
        <f t="shared" si="263"/>
        <v>0</v>
      </c>
      <c r="N3318">
        <f t="shared" si="264"/>
        <v>0</v>
      </c>
      <c r="O3318">
        <f t="shared" si="265"/>
        <v>1</v>
      </c>
      <c r="P3318" t="str">
        <f t="shared" si="266"/>
        <v/>
      </c>
      <c r="Q3318">
        <f>COUNTIF('責任職　企業局→市長部局'!A:A,SQLデータ!B3318)</f>
        <v>0</v>
      </c>
      <c r="R3318">
        <f>COUNTIF('一般職員　企業局→市長部局'!A:F,SQLデータ!B3318)</f>
        <v>0</v>
      </c>
    </row>
    <row r="3319" spans="1:18" x14ac:dyDescent="0.4">
      <c r="A3319" s="1">
        <v>202650003248</v>
      </c>
      <c r="B3319" s="1">
        <v>1141172</v>
      </c>
      <c r="C3319" s="2">
        <v>46127</v>
      </c>
      <c r="D3319" t="s">
        <v>17</v>
      </c>
      <c r="E3319" t="s">
        <v>8</v>
      </c>
      <c r="G3319" t="s">
        <v>9</v>
      </c>
      <c r="L3319">
        <f t="shared" si="262"/>
        <v>0</v>
      </c>
      <c r="M3319">
        <f t="shared" si="263"/>
        <v>0</v>
      </c>
      <c r="N3319">
        <f t="shared" si="264"/>
        <v>0</v>
      </c>
      <c r="O3319">
        <f t="shared" si="265"/>
        <v>1</v>
      </c>
      <c r="P3319" t="str">
        <f t="shared" si="266"/>
        <v/>
      </c>
      <c r="Q3319">
        <f>COUNTIF('責任職　企業局→市長部局'!A:A,SQLデータ!B3319)</f>
        <v>0</v>
      </c>
      <c r="R3319">
        <f>COUNTIF('一般職員　企業局→市長部局'!A:F,SQLデータ!B3319)</f>
        <v>0</v>
      </c>
    </row>
    <row r="3320" spans="1:18" x14ac:dyDescent="0.4">
      <c r="A3320" s="1">
        <v>202650003249</v>
      </c>
      <c r="B3320" s="1">
        <v>1031011</v>
      </c>
      <c r="C3320" s="2">
        <v>46127</v>
      </c>
      <c r="D3320" t="s">
        <v>17</v>
      </c>
      <c r="E3320" t="s">
        <v>8</v>
      </c>
      <c r="G3320" t="s">
        <v>9</v>
      </c>
      <c r="L3320">
        <f t="shared" si="262"/>
        <v>0</v>
      </c>
      <c r="M3320">
        <f t="shared" si="263"/>
        <v>0</v>
      </c>
      <c r="N3320">
        <f t="shared" si="264"/>
        <v>0</v>
      </c>
      <c r="O3320">
        <f t="shared" si="265"/>
        <v>1</v>
      </c>
      <c r="P3320" t="str">
        <f t="shared" si="266"/>
        <v/>
      </c>
      <c r="Q3320">
        <f>COUNTIF('責任職　企業局→市長部局'!A:A,SQLデータ!B3320)</f>
        <v>0</v>
      </c>
      <c r="R3320">
        <f>COUNTIF('一般職員　企業局→市長部局'!A:F,SQLデータ!B3320)</f>
        <v>0</v>
      </c>
    </row>
    <row r="3321" spans="1:18" x14ac:dyDescent="0.4">
      <c r="A3321" s="1">
        <v>202650003250</v>
      </c>
      <c r="B3321" s="1">
        <v>1131170</v>
      </c>
      <c r="C3321" s="2">
        <v>46127</v>
      </c>
      <c r="D3321" t="s">
        <v>17</v>
      </c>
      <c r="E3321" t="s">
        <v>8</v>
      </c>
      <c r="G3321" t="s">
        <v>9</v>
      </c>
      <c r="L3321">
        <f t="shared" si="262"/>
        <v>0</v>
      </c>
      <c r="M3321">
        <f t="shared" si="263"/>
        <v>0</v>
      </c>
      <c r="N3321">
        <f t="shared" si="264"/>
        <v>0</v>
      </c>
      <c r="O3321">
        <f t="shared" si="265"/>
        <v>1</v>
      </c>
      <c r="P3321" t="str">
        <f t="shared" si="266"/>
        <v/>
      </c>
      <c r="Q3321">
        <f>COUNTIF('責任職　企業局→市長部局'!A:A,SQLデータ!B3321)</f>
        <v>0</v>
      </c>
      <c r="R3321">
        <f>COUNTIF('一般職員　企業局→市長部局'!A:F,SQLデータ!B3321)</f>
        <v>0</v>
      </c>
    </row>
    <row r="3322" spans="1:18" x14ac:dyDescent="0.4">
      <c r="A3322" s="1">
        <v>202650003252</v>
      </c>
      <c r="B3322" s="1">
        <v>1111005</v>
      </c>
      <c r="C3322" s="2">
        <v>46127</v>
      </c>
      <c r="D3322" t="s">
        <v>17</v>
      </c>
      <c r="E3322" t="s">
        <v>8</v>
      </c>
      <c r="G3322" t="s">
        <v>9</v>
      </c>
      <c r="L3322">
        <f t="shared" si="262"/>
        <v>0</v>
      </c>
      <c r="M3322">
        <f t="shared" si="263"/>
        <v>0</v>
      </c>
      <c r="N3322">
        <f t="shared" si="264"/>
        <v>0</v>
      </c>
      <c r="O3322">
        <f t="shared" si="265"/>
        <v>1</v>
      </c>
      <c r="P3322" t="str">
        <f t="shared" si="266"/>
        <v/>
      </c>
      <c r="Q3322">
        <f>COUNTIF('責任職　企業局→市長部局'!A:A,SQLデータ!B3322)</f>
        <v>0</v>
      </c>
      <c r="R3322">
        <f>COUNTIF('一般職員　企業局→市長部局'!A:F,SQLデータ!B3322)</f>
        <v>0</v>
      </c>
    </row>
    <row r="3323" spans="1:18" x14ac:dyDescent="0.4">
      <c r="A3323" s="1">
        <v>202650003253</v>
      </c>
      <c r="B3323" s="1">
        <v>880404</v>
      </c>
      <c r="C3323" s="2">
        <v>46127</v>
      </c>
      <c r="D3323" t="s">
        <v>17</v>
      </c>
      <c r="E3323" t="s">
        <v>8</v>
      </c>
      <c r="G3323" t="s">
        <v>9</v>
      </c>
      <c r="L3323">
        <f t="shared" si="262"/>
        <v>0</v>
      </c>
      <c r="M3323">
        <f t="shared" si="263"/>
        <v>0</v>
      </c>
      <c r="N3323">
        <f t="shared" si="264"/>
        <v>0</v>
      </c>
      <c r="O3323">
        <f t="shared" si="265"/>
        <v>1</v>
      </c>
      <c r="P3323" t="str">
        <f t="shared" si="266"/>
        <v/>
      </c>
      <c r="Q3323">
        <f>COUNTIF('責任職　企業局→市長部局'!A:A,SQLデータ!B3323)</f>
        <v>0</v>
      </c>
      <c r="R3323">
        <f>COUNTIF('一般職員　企業局→市長部局'!A:F,SQLデータ!B3323)</f>
        <v>0</v>
      </c>
    </row>
    <row r="3324" spans="1:18" x14ac:dyDescent="0.4">
      <c r="A3324" s="1">
        <v>202650003254</v>
      </c>
      <c r="B3324" s="1">
        <v>1232128</v>
      </c>
      <c r="C3324" s="2">
        <v>46127</v>
      </c>
      <c r="D3324" t="s">
        <v>17</v>
      </c>
      <c r="E3324" t="s">
        <v>8</v>
      </c>
      <c r="G3324" t="s">
        <v>9</v>
      </c>
      <c r="L3324">
        <f t="shared" si="262"/>
        <v>0</v>
      </c>
      <c r="M3324">
        <f t="shared" si="263"/>
        <v>0</v>
      </c>
      <c r="N3324">
        <f t="shared" si="264"/>
        <v>0</v>
      </c>
      <c r="O3324">
        <f t="shared" si="265"/>
        <v>1</v>
      </c>
      <c r="P3324" t="str">
        <f t="shared" si="266"/>
        <v/>
      </c>
      <c r="Q3324">
        <f>COUNTIF('責任職　企業局→市長部局'!A:A,SQLデータ!B3324)</f>
        <v>0</v>
      </c>
      <c r="R3324">
        <f>COUNTIF('一般職員　企業局→市長部局'!A:F,SQLデータ!B3324)</f>
        <v>1</v>
      </c>
    </row>
    <row r="3325" spans="1:18" x14ac:dyDescent="0.4">
      <c r="A3325" s="1">
        <v>202650003255</v>
      </c>
      <c r="B3325" s="1">
        <v>1132060</v>
      </c>
      <c r="C3325" s="2">
        <v>46127</v>
      </c>
      <c r="D3325" t="s">
        <v>17</v>
      </c>
      <c r="E3325" t="s">
        <v>8</v>
      </c>
      <c r="G3325" t="s">
        <v>9</v>
      </c>
      <c r="L3325">
        <f t="shared" si="262"/>
        <v>0</v>
      </c>
      <c r="M3325">
        <f t="shared" si="263"/>
        <v>0</v>
      </c>
      <c r="N3325">
        <f t="shared" si="264"/>
        <v>0</v>
      </c>
      <c r="O3325">
        <f t="shared" si="265"/>
        <v>1</v>
      </c>
      <c r="P3325" t="str">
        <f t="shared" si="266"/>
        <v/>
      </c>
      <c r="Q3325">
        <f>COUNTIF('責任職　企業局→市長部局'!A:A,SQLデータ!B3325)</f>
        <v>0</v>
      </c>
      <c r="R3325">
        <f>COUNTIF('一般職員　企業局→市長部局'!A:F,SQLデータ!B3325)</f>
        <v>0</v>
      </c>
    </row>
    <row r="3326" spans="1:18" x14ac:dyDescent="0.4">
      <c r="A3326" s="1">
        <v>202650003256</v>
      </c>
      <c r="B3326" s="1">
        <v>981110</v>
      </c>
      <c r="C3326" s="2">
        <v>46127</v>
      </c>
      <c r="D3326" t="s">
        <v>17</v>
      </c>
      <c r="E3326" t="s">
        <v>8</v>
      </c>
      <c r="G3326" t="s">
        <v>9</v>
      </c>
      <c r="L3326">
        <f t="shared" si="262"/>
        <v>0</v>
      </c>
      <c r="M3326">
        <f t="shared" si="263"/>
        <v>0</v>
      </c>
      <c r="N3326">
        <f t="shared" si="264"/>
        <v>0</v>
      </c>
      <c r="O3326">
        <f t="shared" si="265"/>
        <v>1</v>
      </c>
      <c r="P3326" t="str">
        <f t="shared" si="266"/>
        <v/>
      </c>
      <c r="Q3326">
        <f>COUNTIF('責任職　企業局→市長部局'!A:A,SQLデータ!B3326)</f>
        <v>0</v>
      </c>
      <c r="R3326">
        <f>COUNTIF('一般職員　企業局→市長部局'!A:F,SQLデータ!B3326)</f>
        <v>0</v>
      </c>
    </row>
    <row r="3327" spans="1:18" x14ac:dyDescent="0.4">
      <c r="A3327" s="1">
        <v>202650003257</v>
      </c>
      <c r="B3327" s="1">
        <v>1221212</v>
      </c>
      <c r="C3327" s="2">
        <v>46127</v>
      </c>
      <c r="D3327" t="s">
        <v>17</v>
      </c>
      <c r="E3327" t="s">
        <v>8</v>
      </c>
      <c r="G3327" t="s">
        <v>9</v>
      </c>
      <c r="L3327">
        <f t="shared" si="262"/>
        <v>0</v>
      </c>
      <c r="M3327">
        <f t="shared" si="263"/>
        <v>0</v>
      </c>
      <c r="N3327">
        <f t="shared" si="264"/>
        <v>0</v>
      </c>
      <c r="O3327">
        <f t="shared" si="265"/>
        <v>1</v>
      </c>
      <c r="P3327" t="str">
        <f t="shared" si="266"/>
        <v/>
      </c>
      <c r="Q3327">
        <f>COUNTIF('責任職　企業局→市長部局'!A:A,SQLデータ!B3327)</f>
        <v>0</v>
      </c>
      <c r="R3327">
        <f>COUNTIF('一般職員　企業局→市長部局'!A:F,SQLデータ!B3327)</f>
        <v>0</v>
      </c>
    </row>
    <row r="3328" spans="1:18" x14ac:dyDescent="0.4">
      <c r="A3328" s="1">
        <v>202650003258</v>
      </c>
      <c r="B3328" s="1">
        <v>930594</v>
      </c>
      <c r="C3328" s="2">
        <v>46127</v>
      </c>
      <c r="D3328" t="s">
        <v>17</v>
      </c>
      <c r="E3328" t="s">
        <v>8</v>
      </c>
      <c r="G3328" t="s">
        <v>9</v>
      </c>
      <c r="L3328">
        <f t="shared" si="262"/>
        <v>0</v>
      </c>
      <c r="M3328">
        <f t="shared" si="263"/>
        <v>0</v>
      </c>
      <c r="N3328">
        <f t="shared" si="264"/>
        <v>0</v>
      </c>
      <c r="O3328">
        <f t="shared" si="265"/>
        <v>1</v>
      </c>
      <c r="P3328" t="str">
        <f t="shared" si="266"/>
        <v/>
      </c>
      <c r="Q3328">
        <f>COUNTIF('責任職　企業局→市長部局'!A:A,SQLデータ!B3328)</f>
        <v>0</v>
      </c>
      <c r="R3328">
        <f>COUNTIF('一般職員　企業局→市長部局'!A:F,SQLデータ!B3328)</f>
        <v>0</v>
      </c>
    </row>
    <row r="3329" spans="1:18" x14ac:dyDescent="0.4">
      <c r="A3329" s="1">
        <v>202650003259</v>
      </c>
      <c r="B3329" s="1">
        <v>1201273</v>
      </c>
      <c r="C3329" s="2">
        <v>46127</v>
      </c>
      <c r="D3329" t="s">
        <v>17</v>
      </c>
      <c r="E3329" t="s">
        <v>8</v>
      </c>
      <c r="G3329" t="s">
        <v>9</v>
      </c>
      <c r="L3329">
        <f t="shared" si="262"/>
        <v>0</v>
      </c>
      <c r="M3329">
        <f t="shared" si="263"/>
        <v>0</v>
      </c>
      <c r="N3329">
        <f t="shared" si="264"/>
        <v>0</v>
      </c>
      <c r="O3329">
        <f t="shared" si="265"/>
        <v>1</v>
      </c>
      <c r="P3329" t="str">
        <f t="shared" si="266"/>
        <v/>
      </c>
      <c r="Q3329">
        <f>COUNTIF('責任職　企業局→市長部局'!A:A,SQLデータ!B3329)</f>
        <v>0</v>
      </c>
      <c r="R3329">
        <f>COUNTIF('一般職員　企業局→市長部局'!A:F,SQLデータ!B3329)</f>
        <v>0</v>
      </c>
    </row>
    <row r="3330" spans="1:18" x14ac:dyDescent="0.4">
      <c r="A3330" s="1">
        <v>202650003260</v>
      </c>
      <c r="B3330" s="1">
        <v>1122077</v>
      </c>
      <c r="C3330" s="2">
        <v>46127</v>
      </c>
      <c r="D3330" t="s">
        <v>17</v>
      </c>
      <c r="E3330" t="s">
        <v>8</v>
      </c>
      <c r="G3330" t="s">
        <v>9</v>
      </c>
      <c r="L3330">
        <f t="shared" si="262"/>
        <v>0</v>
      </c>
      <c r="M3330">
        <f t="shared" si="263"/>
        <v>0</v>
      </c>
      <c r="N3330">
        <f t="shared" si="264"/>
        <v>0</v>
      </c>
      <c r="O3330">
        <f t="shared" si="265"/>
        <v>1</v>
      </c>
      <c r="P3330" t="str">
        <f t="shared" si="266"/>
        <v/>
      </c>
      <c r="Q3330">
        <f>COUNTIF('責任職　企業局→市長部局'!A:A,SQLデータ!B3330)</f>
        <v>0</v>
      </c>
      <c r="R3330">
        <f>COUNTIF('一般職員　企業局→市長部局'!A:F,SQLデータ!B3330)</f>
        <v>0</v>
      </c>
    </row>
    <row r="3331" spans="1:18" x14ac:dyDescent="0.4">
      <c r="A3331" s="1">
        <v>202650003261</v>
      </c>
      <c r="B3331" s="1">
        <v>1256085</v>
      </c>
      <c r="C3331" s="2">
        <v>46127</v>
      </c>
      <c r="D3331" t="s">
        <v>17</v>
      </c>
      <c r="E3331" t="s">
        <v>8</v>
      </c>
      <c r="G3331" t="s">
        <v>9</v>
      </c>
      <c r="L3331">
        <f t="shared" si="262"/>
        <v>0</v>
      </c>
      <c r="M3331">
        <f t="shared" si="263"/>
        <v>0</v>
      </c>
      <c r="N3331">
        <f t="shared" si="264"/>
        <v>0</v>
      </c>
      <c r="O3331">
        <f t="shared" si="265"/>
        <v>1</v>
      </c>
      <c r="P3331" t="str">
        <f t="shared" si="266"/>
        <v/>
      </c>
      <c r="Q3331">
        <f>COUNTIF('責任職　企業局→市長部局'!A:A,SQLデータ!B3331)</f>
        <v>0</v>
      </c>
      <c r="R3331">
        <f>COUNTIF('一般職員　企業局→市長部局'!A:F,SQLデータ!B3331)</f>
        <v>0</v>
      </c>
    </row>
    <row r="3332" spans="1:18" x14ac:dyDescent="0.4">
      <c r="A3332" s="1">
        <v>202650003262</v>
      </c>
      <c r="B3332" s="1">
        <v>1131076</v>
      </c>
      <c r="C3332" s="2">
        <v>46127</v>
      </c>
      <c r="D3332" t="s">
        <v>17</v>
      </c>
      <c r="E3332" t="s">
        <v>8</v>
      </c>
      <c r="G3332" t="s">
        <v>9</v>
      </c>
      <c r="L3332">
        <f t="shared" si="262"/>
        <v>0</v>
      </c>
      <c r="M3332">
        <f t="shared" si="263"/>
        <v>0</v>
      </c>
      <c r="N3332">
        <f t="shared" si="264"/>
        <v>0</v>
      </c>
      <c r="O3332">
        <f t="shared" si="265"/>
        <v>1</v>
      </c>
      <c r="P3332" t="str">
        <f t="shared" si="266"/>
        <v/>
      </c>
      <c r="Q3332">
        <f>COUNTIF('責任職　企業局→市長部局'!A:A,SQLデータ!B3332)</f>
        <v>0</v>
      </c>
      <c r="R3332">
        <f>COUNTIF('一般職員　企業局→市長部局'!A:F,SQLデータ!B3332)</f>
        <v>0</v>
      </c>
    </row>
    <row r="3333" spans="1:18" x14ac:dyDescent="0.4">
      <c r="A3333" s="1">
        <v>202650003263</v>
      </c>
      <c r="B3333" s="1">
        <v>920501</v>
      </c>
      <c r="C3333" s="2">
        <v>46128</v>
      </c>
      <c r="D3333" t="s">
        <v>17</v>
      </c>
      <c r="E3333" t="s">
        <v>8</v>
      </c>
      <c r="G3333" t="s">
        <v>9</v>
      </c>
      <c r="L3333">
        <f t="shared" si="262"/>
        <v>0</v>
      </c>
      <c r="M3333">
        <f t="shared" si="263"/>
        <v>0</v>
      </c>
      <c r="N3333">
        <f t="shared" si="264"/>
        <v>0</v>
      </c>
      <c r="O3333">
        <f t="shared" si="265"/>
        <v>1</v>
      </c>
      <c r="P3333" t="str">
        <f t="shared" si="266"/>
        <v/>
      </c>
      <c r="Q3333">
        <f>COUNTIF('責任職　企業局→市長部局'!A:A,SQLデータ!B3333)</f>
        <v>0</v>
      </c>
      <c r="R3333">
        <f>COUNTIF('一般職員　企業局→市長部局'!A:F,SQLデータ!B3333)</f>
        <v>0</v>
      </c>
    </row>
    <row r="3334" spans="1:18" x14ac:dyDescent="0.4">
      <c r="A3334" s="1">
        <v>202650003264</v>
      </c>
      <c r="B3334" s="1">
        <v>1121080</v>
      </c>
      <c r="C3334" s="2">
        <v>46127</v>
      </c>
      <c r="D3334" t="s">
        <v>17</v>
      </c>
      <c r="E3334" t="s">
        <v>8</v>
      </c>
      <c r="G3334" t="s">
        <v>9</v>
      </c>
      <c r="L3334">
        <f t="shared" si="262"/>
        <v>0</v>
      </c>
      <c r="M3334">
        <f t="shared" si="263"/>
        <v>0</v>
      </c>
      <c r="N3334">
        <f t="shared" si="264"/>
        <v>0</v>
      </c>
      <c r="O3334">
        <f t="shared" si="265"/>
        <v>1</v>
      </c>
      <c r="P3334" t="str">
        <f t="shared" si="266"/>
        <v/>
      </c>
      <c r="Q3334">
        <f>COUNTIF('責任職　企業局→市長部局'!A:A,SQLデータ!B3334)</f>
        <v>0</v>
      </c>
      <c r="R3334">
        <f>COUNTIF('一般職員　企業局→市長部局'!A:F,SQLデータ!B3334)</f>
        <v>0</v>
      </c>
    </row>
    <row r="3335" spans="1:18" x14ac:dyDescent="0.4">
      <c r="A3335" s="1">
        <v>202650003265</v>
      </c>
      <c r="B3335" s="1">
        <v>1101212</v>
      </c>
      <c r="C3335" s="2">
        <v>46127</v>
      </c>
      <c r="D3335" t="s">
        <v>17</v>
      </c>
      <c r="E3335" t="s">
        <v>8</v>
      </c>
      <c r="G3335" t="s">
        <v>9</v>
      </c>
      <c r="L3335">
        <f t="shared" si="262"/>
        <v>0</v>
      </c>
      <c r="M3335">
        <f t="shared" si="263"/>
        <v>0</v>
      </c>
      <c r="N3335">
        <f t="shared" si="264"/>
        <v>0</v>
      </c>
      <c r="O3335">
        <f t="shared" si="265"/>
        <v>1</v>
      </c>
      <c r="P3335" t="str">
        <f t="shared" si="266"/>
        <v/>
      </c>
      <c r="Q3335">
        <f>COUNTIF('責任職　企業局→市長部局'!A:A,SQLデータ!B3335)</f>
        <v>0</v>
      </c>
      <c r="R3335">
        <f>COUNTIF('一般職員　企業局→市長部局'!A:F,SQLデータ!B3335)</f>
        <v>0</v>
      </c>
    </row>
    <row r="3336" spans="1:18" x14ac:dyDescent="0.4">
      <c r="A3336" s="1">
        <v>202650003266</v>
      </c>
      <c r="B3336" s="1">
        <v>1261363</v>
      </c>
      <c r="C3336" s="2">
        <v>46127</v>
      </c>
      <c r="D3336" t="s">
        <v>17</v>
      </c>
      <c r="E3336" t="s">
        <v>8</v>
      </c>
      <c r="G3336" t="s">
        <v>9</v>
      </c>
      <c r="L3336">
        <f t="shared" si="262"/>
        <v>0</v>
      </c>
      <c r="M3336">
        <f t="shared" si="263"/>
        <v>0</v>
      </c>
      <c r="N3336">
        <f t="shared" si="264"/>
        <v>0</v>
      </c>
      <c r="O3336">
        <f t="shared" si="265"/>
        <v>1</v>
      </c>
      <c r="P3336" t="str">
        <f t="shared" si="266"/>
        <v/>
      </c>
      <c r="Q3336">
        <f>COUNTIF('責任職　企業局→市長部局'!A:A,SQLデータ!B3336)</f>
        <v>0</v>
      </c>
      <c r="R3336">
        <f>COUNTIF('一般職員　企業局→市長部局'!A:F,SQLデータ!B3336)</f>
        <v>0</v>
      </c>
    </row>
    <row r="3337" spans="1:18" x14ac:dyDescent="0.4">
      <c r="A3337" s="1">
        <v>202650003267</v>
      </c>
      <c r="B3337" s="1">
        <v>1222103</v>
      </c>
      <c r="C3337" s="2">
        <v>46127</v>
      </c>
      <c r="D3337" t="s">
        <v>17</v>
      </c>
      <c r="E3337" t="s">
        <v>8</v>
      </c>
      <c r="G3337" t="s">
        <v>9</v>
      </c>
      <c r="L3337">
        <f t="shared" si="262"/>
        <v>0</v>
      </c>
      <c r="M3337">
        <f t="shared" si="263"/>
        <v>0</v>
      </c>
      <c r="N3337">
        <f t="shared" si="264"/>
        <v>0</v>
      </c>
      <c r="O3337">
        <f t="shared" si="265"/>
        <v>1</v>
      </c>
      <c r="P3337" t="str">
        <f t="shared" si="266"/>
        <v/>
      </c>
      <c r="Q3337">
        <f>COUNTIF('責任職　企業局→市長部局'!A:A,SQLデータ!B3337)</f>
        <v>0</v>
      </c>
      <c r="R3337">
        <f>COUNTIF('一般職員　企業局→市長部局'!A:F,SQLデータ!B3337)</f>
        <v>0</v>
      </c>
    </row>
    <row r="3338" spans="1:18" x14ac:dyDescent="0.4">
      <c r="A3338" s="1">
        <v>202650003268</v>
      </c>
      <c r="B3338" s="1">
        <v>1111156</v>
      </c>
      <c r="C3338" s="2">
        <v>46127</v>
      </c>
      <c r="D3338" t="s">
        <v>17</v>
      </c>
      <c r="E3338" t="s">
        <v>8</v>
      </c>
      <c r="G3338" t="s">
        <v>9</v>
      </c>
      <c r="L3338">
        <f t="shared" si="262"/>
        <v>0</v>
      </c>
      <c r="M3338">
        <f t="shared" si="263"/>
        <v>0</v>
      </c>
      <c r="N3338">
        <f t="shared" si="264"/>
        <v>0</v>
      </c>
      <c r="O3338">
        <f t="shared" si="265"/>
        <v>1</v>
      </c>
      <c r="P3338" t="str">
        <f t="shared" si="266"/>
        <v/>
      </c>
      <c r="Q3338">
        <f>COUNTIF('責任職　企業局→市長部局'!A:A,SQLデータ!B3338)</f>
        <v>0</v>
      </c>
      <c r="R3338">
        <f>COUNTIF('一般職員　企業局→市長部局'!A:F,SQLデータ!B3338)</f>
        <v>0</v>
      </c>
    </row>
    <row r="3339" spans="1:18" x14ac:dyDescent="0.4">
      <c r="A3339" s="1">
        <v>202650003271</v>
      </c>
      <c r="B3339" s="1">
        <v>1081397</v>
      </c>
      <c r="C3339" s="2">
        <v>46127</v>
      </c>
      <c r="D3339" t="s">
        <v>17</v>
      </c>
      <c r="E3339" t="s">
        <v>8</v>
      </c>
      <c r="G3339" t="s">
        <v>9</v>
      </c>
      <c r="L3339">
        <f t="shared" si="262"/>
        <v>0</v>
      </c>
      <c r="M3339">
        <f t="shared" si="263"/>
        <v>0</v>
      </c>
      <c r="N3339">
        <f t="shared" si="264"/>
        <v>0</v>
      </c>
      <c r="O3339">
        <f t="shared" si="265"/>
        <v>1</v>
      </c>
      <c r="P3339" t="str">
        <f t="shared" si="266"/>
        <v/>
      </c>
      <c r="Q3339">
        <f>COUNTIF('責任職　企業局→市長部局'!A:A,SQLデータ!B3339)</f>
        <v>0</v>
      </c>
      <c r="R3339">
        <f>COUNTIF('一般職員　企業局→市長部局'!A:F,SQLデータ!B3339)</f>
        <v>0</v>
      </c>
    </row>
    <row r="3340" spans="1:18" x14ac:dyDescent="0.4">
      <c r="A3340" s="1">
        <v>202650003272</v>
      </c>
      <c r="B3340" s="1">
        <v>1191022</v>
      </c>
      <c r="C3340" s="2">
        <v>46127</v>
      </c>
      <c r="D3340" t="s">
        <v>17</v>
      </c>
      <c r="E3340" t="s">
        <v>8</v>
      </c>
      <c r="G3340" t="s">
        <v>9</v>
      </c>
      <c r="L3340">
        <f t="shared" si="262"/>
        <v>0</v>
      </c>
      <c r="M3340">
        <f t="shared" si="263"/>
        <v>0</v>
      </c>
      <c r="N3340">
        <f t="shared" si="264"/>
        <v>0</v>
      </c>
      <c r="O3340">
        <f t="shared" si="265"/>
        <v>1</v>
      </c>
      <c r="P3340" t="str">
        <f t="shared" si="266"/>
        <v/>
      </c>
      <c r="Q3340">
        <f>COUNTIF('責任職　企業局→市長部局'!A:A,SQLデータ!B3340)</f>
        <v>0</v>
      </c>
      <c r="R3340">
        <f>COUNTIF('一般職員　企業局→市長部局'!A:F,SQLデータ!B3340)</f>
        <v>0</v>
      </c>
    </row>
    <row r="3341" spans="1:18" x14ac:dyDescent="0.4">
      <c r="A3341" s="1">
        <v>202650003273</v>
      </c>
      <c r="B3341" s="1">
        <v>1171386</v>
      </c>
      <c r="C3341" s="2">
        <v>46127</v>
      </c>
      <c r="D3341" t="s">
        <v>17</v>
      </c>
      <c r="E3341" t="s">
        <v>8</v>
      </c>
      <c r="G3341" t="s">
        <v>9</v>
      </c>
      <c r="L3341">
        <f t="shared" si="262"/>
        <v>0</v>
      </c>
      <c r="M3341">
        <f t="shared" si="263"/>
        <v>0</v>
      </c>
      <c r="N3341">
        <f t="shared" si="264"/>
        <v>0</v>
      </c>
      <c r="O3341">
        <f t="shared" si="265"/>
        <v>1</v>
      </c>
      <c r="P3341" t="str">
        <f t="shared" si="266"/>
        <v/>
      </c>
      <c r="Q3341">
        <f>COUNTIF('責任職　企業局→市長部局'!A:A,SQLデータ!B3341)</f>
        <v>0</v>
      </c>
      <c r="R3341">
        <f>COUNTIF('一般職員　企業局→市長部局'!A:F,SQLデータ!B3341)</f>
        <v>0</v>
      </c>
    </row>
    <row r="3342" spans="1:18" x14ac:dyDescent="0.4">
      <c r="A3342" s="1">
        <v>202650003274</v>
      </c>
      <c r="B3342" s="1">
        <v>1111295</v>
      </c>
      <c r="C3342" s="2">
        <v>46127</v>
      </c>
      <c r="D3342" t="s">
        <v>17</v>
      </c>
      <c r="E3342" t="s">
        <v>8</v>
      </c>
      <c r="G3342" t="s">
        <v>9</v>
      </c>
      <c r="L3342">
        <f t="shared" si="262"/>
        <v>0</v>
      </c>
      <c r="M3342">
        <f t="shared" si="263"/>
        <v>0</v>
      </c>
      <c r="N3342">
        <f t="shared" si="264"/>
        <v>0</v>
      </c>
      <c r="O3342">
        <f t="shared" si="265"/>
        <v>1</v>
      </c>
      <c r="P3342" t="str">
        <f t="shared" si="266"/>
        <v/>
      </c>
      <c r="Q3342">
        <f>COUNTIF('責任職　企業局→市長部局'!A:A,SQLデータ!B3342)</f>
        <v>0</v>
      </c>
      <c r="R3342">
        <f>COUNTIF('一般職員　企業局→市長部局'!A:F,SQLデータ!B3342)</f>
        <v>0</v>
      </c>
    </row>
    <row r="3343" spans="1:18" x14ac:dyDescent="0.4">
      <c r="A3343" s="1">
        <v>202650003275</v>
      </c>
      <c r="B3343" s="1">
        <v>1180009</v>
      </c>
      <c r="C3343" s="2">
        <v>46127</v>
      </c>
      <c r="D3343" t="s">
        <v>17</v>
      </c>
      <c r="E3343" t="s">
        <v>8</v>
      </c>
      <c r="G3343" t="s">
        <v>9</v>
      </c>
      <c r="L3343">
        <f t="shared" si="262"/>
        <v>0</v>
      </c>
      <c r="M3343">
        <f t="shared" si="263"/>
        <v>0</v>
      </c>
      <c r="N3343">
        <f t="shared" si="264"/>
        <v>0</v>
      </c>
      <c r="O3343">
        <f t="shared" si="265"/>
        <v>1</v>
      </c>
      <c r="P3343" t="str">
        <f t="shared" si="266"/>
        <v/>
      </c>
      <c r="Q3343">
        <f>COUNTIF('責任職　企業局→市長部局'!A:A,SQLデータ!B3343)</f>
        <v>0</v>
      </c>
      <c r="R3343">
        <f>COUNTIF('一般職員　企業局→市長部局'!A:F,SQLデータ!B3343)</f>
        <v>0</v>
      </c>
    </row>
    <row r="3344" spans="1:18" x14ac:dyDescent="0.4">
      <c r="A3344" s="1">
        <v>202650003276</v>
      </c>
      <c r="B3344" s="1">
        <v>1161267</v>
      </c>
      <c r="C3344" s="2">
        <v>46127</v>
      </c>
      <c r="D3344" t="s">
        <v>17</v>
      </c>
      <c r="E3344" t="s">
        <v>8</v>
      </c>
      <c r="G3344" t="s">
        <v>9</v>
      </c>
      <c r="L3344">
        <f t="shared" si="262"/>
        <v>0</v>
      </c>
      <c r="M3344">
        <f t="shared" si="263"/>
        <v>0</v>
      </c>
      <c r="N3344">
        <f t="shared" si="264"/>
        <v>0</v>
      </c>
      <c r="O3344">
        <f t="shared" si="265"/>
        <v>1</v>
      </c>
      <c r="P3344" t="str">
        <f t="shared" si="266"/>
        <v/>
      </c>
      <c r="Q3344">
        <f>COUNTIF('責任職　企業局→市長部局'!A:A,SQLデータ!B3344)</f>
        <v>0</v>
      </c>
      <c r="R3344">
        <f>COUNTIF('一般職員　企業局→市長部局'!A:F,SQLデータ!B3344)</f>
        <v>0</v>
      </c>
    </row>
    <row r="3345" spans="1:18" x14ac:dyDescent="0.4">
      <c r="A3345" s="1">
        <v>202650003277</v>
      </c>
      <c r="B3345" s="1">
        <v>1093027</v>
      </c>
      <c r="C3345" s="2">
        <v>46127</v>
      </c>
      <c r="D3345" t="s">
        <v>17</v>
      </c>
      <c r="E3345" t="s">
        <v>8</v>
      </c>
      <c r="G3345" t="s">
        <v>9</v>
      </c>
      <c r="L3345">
        <f t="shared" si="262"/>
        <v>0</v>
      </c>
      <c r="M3345">
        <f t="shared" si="263"/>
        <v>0</v>
      </c>
      <c r="N3345">
        <f t="shared" si="264"/>
        <v>0</v>
      </c>
      <c r="O3345">
        <f t="shared" si="265"/>
        <v>1</v>
      </c>
      <c r="P3345" t="str">
        <f t="shared" si="266"/>
        <v/>
      </c>
      <c r="Q3345">
        <f>COUNTIF('責任職　企業局→市長部局'!A:A,SQLデータ!B3345)</f>
        <v>0</v>
      </c>
      <c r="R3345">
        <f>COUNTIF('一般職員　企業局→市長部局'!A:F,SQLデータ!B3345)</f>
        <v>0</v>
      </c>
    </row>
    <row r="3346" spans="1:18" x14ac:dyDescent="0.4">
      <c r="A3346" s="1">
        <v>202650003278</v>
      </c>
      <c r="B3346" s="1">
        <v>950382</v>
      </c>
      <c r="C3346" s="2">
        <v>46127</v>
      </c>
      <c r="D3346" t="s">
        <v>17</v>
      </c>
      <c r="E3346" t="s">
        <v>8</v>
      </c>
      <c r="G3346" t="s">
        <v>9</v>
      </c>
      <c r="L3346">
        <f t="shared" si="262"/>
        <v>0</v>
      </c>
      <c r="M3346">
        <f t="shared" si="263"/>
        <v>0</v>
      </c>
      <c r="N3346">
        <f t="shared" si="264"/>
        <v>0</v>
      </c>
      <c r="O3346">
        <f t="shared" si="265"/>
        <v>1</v>
      </c>
      <c r="P3346" t="str">
        <f t="shared" si="266"/>
        <v/>
      </c>
      <c r="Q3346">
        <f>COUNTIF('責任職　企業局→市長部局'!A:A,SQLデータ!B3346)</f>
        <v>0</v>
      </c>
      <c r="R3346">
        <f>COUNTIF('一般職員　企業局→市長部局'!A:F,SQLデータ!B3346)</f>
        <v>0</v>
      </c>
    </row>
    <row r="3347" spans="1:18" x14ac:dyDescent="0.4">
      <c r="A3347" s="1">
        <v>202650003279</v>
      </c>
      <c r="B3347" s="1">
        <v>1131062</v>
      </c>
      <c r="C3347" s="2">
        <v>46127</v>
      </c>
      <c r="D3347" t="s">
        <v>17</v>
      </c>
      <c r="E3347" t="s">
        <v>8</v>
      </c>
      <c r="G3347" t="s">
        <v>9</v>
      </c>
      <c r="L3347">
        <f t="shared" si="262"/>
        <v>0</v>
      </c>
      <c r="M3347">
        <f t="shared" si="263"/>
        <v>0</v>
      </c>
      <c r="N3347">
        <f t="shared" si="264"/>
        <v>0</v>
      </c>
      <c r="O3347">
        <f t="shared" si="265"/>
        <v>1</v>
      </c>
      <c r="P3347" t="str">
        <f t="shared" si="266"/>
        <v/>
      </c>
      <c r="Q3347">
        <f>COUNTIF('責任職　企業局→市長部局'!A:A,SQLデータ!B3347)</f>
        <v>0</v>
      </c>
      <c r="R3347">
        <f>COUNTIF('一般職員　企業局→市長部局'!A:F,SQLデータ!B3347)</f>
        <v>0</v>
      </c>
    </row>
    <row r="3348" spans="1:18" x14ac:dyDescent="0.4">
      <c r="A3348" s="1">
        <v>202650003280</v>
      </c>
      <c r="B3348" s="1">
        <v>920612</v>
      </c>
      <c r="C3348" s="2">
        <v>46127</v>
      </c>
      <c r="D3348" t="s">
        <v>17</v>
      </c>
      <c r="E3348" t="s">
        <v>8</v>
      </c>
      <c r="G3348" t="s">
        <v>9</v>
      </c>
      <c r="L3348">
        <f t="shared" si="262"/>
        <v>0</v>
      </c>
      <c r="M3348">
        <f t="shared" si="263"/>
        <v>0</v>
      </c>
      <c r="N3348">
        <f t="shared" si="264"/>
        <v>0</v>
      </c>
      <c r="O3348">
        <f t="shared" si="265"/>
        <v>1</v>
      </c>
      <c r="P3348" t="str">
        <f t="shared" si="266"/>
        <v/>
      </c>
      <c r="Q3348">
        <f>COUNTIF('責任職　企業局→市長部局'!A:A,SQLデータ!B3348)</f>
        <v>0</v>
      </c>
      <c r="R3348">
        <f>COUNTIF('一般職員　企業局→市長部局'!A:F,SQLデータ!B3348)</f>
        <v>0</v>
      </c>
    </row>
    <row r="3349" spans="1:18" x14ac:dyDescent="0.4">
      <c r="A3349" s="1">
        <v>202650003281</v>
      </c>
      <c r="B3349" s="1">
        <v>1232003</v>
      </c>
      <c r="C3349" s="2">
        <v>46127</v>
      </c>
      <c r="D3349" t="s">
        <v>17</v>
      </c>
      <c r="E3349" t="s">
        <v>8</v>
      </c>
      <c r="G3349" t="s">
        <v>9</v>
      </c>
      <c r="L3349">
        <f t="shared" si="262"/>
        <v>0</v>
      </c>
      <c r="M3349">
        <f t="shared" si="263"/>
        <v>0</v>
      </c>
      <c r="N3349">
        <f t="shared" si="264"/>
        <v>0</v>
      </c>
      <c r="O3349">
        <f t="shared" si="265"/>
        <v>1</v>
      </c>
      <c r="P3349" t="str">
        <f t="shared" si="266"/>
        <v/>
      </c>
      <c r="Q3349">
        <f>COUNTIF('責任職　企業局→市長部局'!A:A,SQLデータ!B3349)</f>
        <v>0</v>
      </c>
      <c r="R3349">
        <f>COUNTIF('一般職員　企業局→市長部局'!A:F,SQLデータ!B3349)</f>
        <v>0</v>
      </c>
    </row>
    <row r="3350" spans="1:18" x14ac:dyDescent="0.4">
      <c r="A3350" s="1">
        <v>202650003282</v>
      </c>
      <c r="B3350" s="1">
        <v>1061110</v>
      </c>
      <c r="C3350" s="2">
        <v>46127</v>
      </c>
      <c r="D3350" t="s">
        <v>17</v>
      </c>
      <c r="E3350" t="s">
        <v>8</v>
      </c>
      <c r="G3350" t="s">
        <v>9</v>
      </c>
      <c r="L3350">
        <f t="shared" si="262"/>
        <v>0</v>
      </c>
      <c r="M3350">
        <f t="shared" si="263"/>
        <v>0</v>
      </c>
      <c r="N3350">
        <f t="shared" si="264"/>
        <v>0</v>
      </c>
      <c r="O3350">
        <f t="shared" si="265"/>
        <v>1</v>
      </c>
      <c r="P3350" t="str">
        <f t="shared" si="266"/>
        <v/>
      </c>
      <c r="Q3350">
        <f>COUNTIF('責任職　企業局→市長部局'!A:A,SQLデータ!B3350)</f>
        <v>0</v>
      </c>
      <c r="R3350">
        <f>COUNTIF('一般職員　企業局→市長部局'!A:F,SQLデータ!B3350)</f>
        <v>0</v>
      </c>
    </row>
    <row r="3351" spans="1:18" x14ac:dyDescent="0.4">
      <c r="A3351" s="1">
        <v>202650003283</v>
      </c>
      <c r="B3351" s="1">
        <v>1221222</v>
      </c>
      <c r="C3351" s="2">
        <v>46127</v>
      </c>
      <c r="D3351" t="s">
        <v>17</v>
      </c>
      <c r="E3351" t="s">
        <v>8</v>
      </c>
      <c r="G3351" t="s">
        <v>9</v>
      </c>
      <c r="L3351">
        <f t="shared" si="262"/>
        <v>0</v>
      </c>
      <c r="M3351">
        <f t="shared" si="263"/>
        <v>0</v>
      </c>
      <c r="N3351">
        <f t="shared" si="264"/>
        <v>0</v>
      </c>
      <c r="O3351">
        <f t="shared" si="265"/>
        <v>1</v>
      </c>
      <c r="P3351" t="str">
        <f t="shared" si="266"/>
        <v/>
      </c>
      <c r="Q3351">
        <f>COUNTIF('責任職　企業局→市長部局'!A:A,SQLデータ!B3351)</f>
        <v>0</v>
      </c>
      <c r="R3351">
        <f>COUNTIF('一般職員　企業局→市長部局'!A:F,SQLデータ!B3351)</f>
        <v>0</v>
      </c>
    </row>
    <row r="3352" spans="1:18" x14ac:dyDescent="0.4">
      <c r="A3352" s="1">
        <v>202650003284</v>
      </c>
      <c r="B3352" s="1">
        <v>1093022</v>
      </c>
      <c r="C3352" s="2">
        <v>46127</v>
      </c>
      <c r="D3352" t="s">
        <v>17</v>
      </c>
      <c r="E3352" t="s">
        <v>8</v>
      </c>
      <c r="G3352" t="s">
        <v>9</v>
      </c>
      <c r="L3352">
        <f t="shared" si="262"/>
        <v>0</v>
      </c>
      <c r="M3352">
        <f t="shared" si="263"/>
        <v>0</v>
      </c>
      <c r="N3352">
        <f t="shared" si="264"/>
        <v>0</v>
      </c>
      <c r="O3352">
        <f t="shared" si="265"/>
        <v>1</v>
      </c>
      <c r="P3352" t="str">
        <f t="shared" si="266"/>
        <v/>
      </c>
      <c r="Q3352">
        <f>COUNTIF('責任職　企業局→市長部局'!A:A,SQLデータ!B3352)</f>
        <v>0</v>
      </c>
      <c r="R3352">
        <f>COUNTIF('一般職員　企業局→市長部局'!A:F,SQLデータ!B3352)</f>
        <v>0</v>
      </c>
    </row>
    <row r="3353" spans="1:18" x14ac:dyDescent="0.4">
      <c r="A3353" s="1">
        <v>202650003285</v>
      </c>
      <c r="B3353" s="1">
        <v>960327</v>
      </c>
      <c r="C3353" s="2">
        <v>46127</v>
      </c>
      <c r="D3353" t="s">
        <v>17</v>
      </c>
      <c r="E3353" t="s">
        <v>8</v>
      </c>
      <c r="G3353" t="s">
        <v>9</v>
      </c>
      <c r="L3353">
        <f t="shared" si="262"/>
        <v>0</v>
      </c>
      <c r="M3353">
        <f t="shared" si="263"/>
        <v>0</v>
      </c>
      <c r="N3353">
        <f t="shared" si="264"/>
        <v>0</v>
      </c>
      <c r="O3353">
        <f t="shared" si="265"/>
        <v>1</v>
      </c>
      <c r="P3353" t="str">
        <f t="shared" si="266"/>
        <v/>
      </c>
      <c r="Q3353">
        <f>COUNTIF('責任職　企業局→市長部局'!A:A,SQLデータ!B3353)</f>
        <v>0</v>
      </c>
      <c r="R3353">
        <f>COUNTIF('一般職員　企業局→市長部局'!A:F,SQLデータ!B3353)</f>
        <v>0</v>
      </c>
    </row>
    <row r="3354" spans="1:18" x14ac:dyDescent="0.4">
      <c r="A3354" s="1">
        <v>202650003286</v>
      </c>
      <c r="B3354" s="1">
        <v>992567</v>
      </c>
      <c r="C3354" s="2">
        <v>46127</v>
      </c>
      <c r="D3354" t="s">
        <v>17</v>
      </c>
      <c r="E3354" t="s">
        <v>8</v>
      </c>
      <c r="G3354" t="s">
        <v>9</v>
      </c>
      <c r="L3354">
        <f t="shared" si="262"/>
        <v>0</v>
      </c>
      <c r="M3354">
        <f t="shared" si="263"/>
        <v>0</v>
      </c>
      <c r="N3354">
        <f t="shared" si="264"/>
        <v>0</v>
      </c>
      <c r="O3354">
        <f t="shared" si="265"/>
        <v>1</v>
      </c>
      <c r="P3354" t="str">
        <f t="shared" si="266"/>
        <v/>
      </c>
      <c r="Q3354">
        <f>COUNTIF('責任職　企業局→市長部局'!A:A,SQLデータ!B3354)</f>
        <v>0</v>
      </c>
      <c r="R3354">
        <f>COUNTIF('一般職員　企業局→市長部局'!A:F,SQLデータ!B3354)</f>
        <v>0</v>
      </c>
    </row>
    <row r="3355" spans="1:18" x14ac:dyDescent="0.4">
      <c r="A3355" s="1">
        <v>202650003287</v>
      </c>
      <c r="B3355" s="1">
        <v>1151111</v>
      </c>
      <c r="C3355" s="2">
        <v>46127</v>
      </c>
      <c r="D3355" t="s">
        <v>17</v>
      </c>
      <c r="E3355" t="s">
        <v>8</v>
      </c>
      <c r="G3355" t="s">
        <v>9</v>
      </c>
      <c r="L3355">
        <f t="shared" si="262"/>
        <v>0</v>
      </c>
      <c r="M3355">
        <f t="shared" si="263"/>
        <v>0</v>
      </c>
      <c r="N3355">
        <f t="shared" si="264"/>
        <v>0</v>
      </c>
      <c r="O3355">
        <f t="shared" si="265"/>
        <v>1</v>
      </c>
      <c r="P3355" t="str">
        <f t="shared" si="266"/>
        <v/>
      </c>
      <c r="Q3355">
        <f>COUNTIF('責任職　企業局→市長部局'!A:A,SQLデータ!B3355)</f>
        <v>0</v>
      </c>
      <c r="R3355">
        <f>COUNTIF('一般職員　企業局→市長部局'!A:F,SQLデータ!B3355)</f>
        <v>0</v>
      </c>
    </row>
    <row r="3356" spans="1:18" x14ac:dyDescent="0.4">
      <c r="A3356" s="1">
        <v>202650003288</v>
      </c>
      <c r="B3356" s="1">
        <v>880244</v>
      </c>
      <c r="C3356" s="2">
        <v>46127</v>
      </c>
      <c r="D3356" t="s">
        <v>17</v>
      </c>
      <c r="E3356" t="s">
        <v>8</v>
      </c>
      <c r="G3356" t="s">
        <v>9</v>
      </c>
      <c r="L3356">
        <f t="shared" si="262"/>
        <v>0</v>
      </c>
      <c r="M3356">
        <f t="shared" si="263"/>
        <v>0</v>
      </c>
      <c r="N3356">
        <f t="shared" si="264"/>
        <v>0</v>
      </c>
      <c r="O3356">
        <f t="shared" si="265"/>
        <v>1</v>
      </c>
      <c r="P3356" t="str">
        <f t="shared" si="266"/>
        <v/>
      </c>
      <c r="Q3356">
        <f>COUNTIF('責任職　企業局→市長部局'!A:A,SQLデータ!B3356)</f>
        <v>0</v>
      </c>
      <c r="R3356">
        <f>COUNTIF('一般職員　企業局→市長部局'!A:F,SQLデータ!B3356)</f>
        <v>0</v>
      </c>
    </row>
    <row r="3357" spans="1:18" x14ac:dyDescent="0.4">
      <c r="A3357" s="1">
        <v>202650003289</v>
      </c>
      <c r="B3357" s="1">
        <v>1221327</v>
      </c>
      <c r="C3357" s="2">
        <v>46127</v>
      </c>
      <c r="D3357" t="s">
        <v>17</v>
      </c>
      <c r="E3357" t="s">
        <v>8</v>
      </c>
      <c r="G3357" t="s">
        <v>9</v>
      </c>
      <c r="L3357">
        <f t="shared" si="262"/>
        <v>0</v>
      </c>
      <c r="M3357">
        <f t="shared" si="263"/>
        <v>0</v>
      </c>
      <c r="N3357">
        <f t="shared" si="264"/>
        <v>0</v>
      </c>
      <c r="O3357">
        <f t="shared" si="265"/>
        <v>1</v>
      </c>
      <c r="P3357" t="str">
        <f t="shared" si="266"/>
        <v/>
      </c>
      <c r="Q3357">
        <f>COUNTIF('責任職　企業局→市長部局'!A:A,SQLデータ!B3357)</f>
        <v>0</v>
      </c>
      <c r="R3357">
        <f>COUNTIF('一般職員　企業局→市長部局'!A:F,SQLデータ!B3357)</f>
        <v>0</v>
      </c>
    </row>
    <row r="3358" spans="1:18" x14ac:dyDescent="0.4">
      <c r="A3358" s="1">
        <v>202650003290</v>
      </c>
      <c r="B3358" s="1">
        <v>1132080</v>
      </c>
      <c r="C3358" s="2">
        <v>46127</v>
      </c>
      <c r="D3358" t="s">
        <v>17</v>
      </c>
      <c r="E3358" t="s">
        <v>8</v>
      </c>
      <c r="G3358" t="s">
        <v>9</v>
      </c>
      <c r="L3358">
        <f t="shared" si="262"/>
        <v>0</v>
      </c>
      <c r="M3358">
        <f t="shared" si="263"/>
        <v>0</v>
      </c>
      <c r="N3358">
        <f t="shared" si="264"/>
        <v>0</v>
      </c>
      <c r="O3358">
        <f t="shared" si="265"/>
        <v>1</v>
      </c>
      <c r="P3358" t="str">
        <f t="shared" si="266"/>
        <v/>
      </c>
      <c r="Q3358">
        <f>COUNTIF('責任職　企業局→市長部局'!A:A,SQLデータ!B3358)</f>
        <v>0</v>
      </c>
      <c r="R3358">
        <f>COUNTIF('一般職員　企業局→市長部局'!A:F,SQLデータ!B3358)</f>
        <v>0</v>
      </c>
    </row>
    <row r="3359" spans="1:18" x14ac:dyDescent="0.4">
      <c r="A3359" s="1">
        <v>202650003291</v>
      </c>
      <c r="B3359" s="1">
        <v>1231117</v>
      </c>
      <c r="C3359" s="2">
        <v>46127</v>
      </c>
      <c r="D3359" t="s">
        <v>17</v>
      </c>
      <c r="E3359" t="s">
        <v>8</v>
      </c>
      <c r="G3359" t="s">
        <v>9</v>
      </c>
      <c r="L3359">
        <f t="shared" si="262"/>
        <v>0</v>
      </c>
      <c r="M3359">
        <f t="shared" si="263"/>
        <v>0</v>
      </c>
      <c r="N3359">
        <f t="shared" si="264"/>
        <v>0</v>
      </c>
      <c r="O3359">
        <f t="shared" si="265"/>
        <v>1</v>
      </c>
      <c r="P3359" t="str">
        <f t="shared" si="266"/>
        <v/>
      </c>
      <c r="Q3359">
        <f>COUNTIF('責任職　企業局→市長部局'!A:A,SQLデータ!B3359)</f>
        <v>0</v>
      </c>
      <c r="R3359">
        <f>COUNTIF('一般職員　企業局→市長部局'!A:F,SQLデータ!B3359)</f>
        <v>0</v>
      </c>
    </row>
    <row r="3360" spans="1:18" x14ac:dyDescent="0.4">
      <c r="A3360" s="1">
        <v>202650003292</v>
      </c>
      <c r="B3360" s="1">
        <v>1092108</v>
      </c>
      <c r="C3360" s="2">
        <v>46127</v>
      </c>
      <c r="D3360" t="s">
        <v>17</v>
      </c>
      <c r="E3360" t="s">
        <v>8</v>
      </c>
      <c r="G3360" t="s">
        <v>9</v>
      </c>
      <c r="L3360">
        <f t="shared" si="262"/>
        <v>0</v>
      </c>
      <c r="M3360">
        <f t="shared" si="263"/>
        <v>0</v>
      </c>
      <c r="N3360">
        <f t="shared" si="264"/>
        <v>0</v>
      </c>
      <c r="O3360">
        <f t="shared" si="265"/>
        <v>1</v>
      </c>
      <c r="P3360" t="str">
        <f t="shared" si="266"/>
        <v/>
      </c>
      <c r="Q3360">
        <f>COUNTIF('責任職　企業局→市長部局'!A:A,SQLデータ!B3360)</f>
        <v>0</v>
      </c>
      <c r="R3360">
        <f>COUNTIF('一般職員　企業局→市長部局'!A:F,SQLデータ!B3360)</f>
        <v>0</v>
      </c>
    </row>
    <row r="3361" spans="1:18" x14ac:dyDescent="0.4">
      <c r="A3361" s="1">
        <v>202650003293</v>
      </c>
      <c r="B3361" s="1">
        <v>1151506</v>
      </c>
      <c r="C3361" s="2">
        <v>46127</v>
      </c>
      <c r="D3361" t="s">
        <v>17</v>
      </c>
      <c r="E3361" t="s">
        <v>8</v>
      </c>
      <c r="G3361" t="s">
        <v>9</v>
      </c>
      <c r="L3361">
        <f t="shared" si="262"/>
        <v>0</v>
      </c>
      <c r="M3361">
        <f t="shared" si="263"/>
        <v>0</v>
      </c>
      <c r="N3361">
        <f t="shared" si="264"/>
        <v>0</v>
      </c>
      <c r="O3361">
        <f t="shared" si="265"/>
        <v>1</v>
      </c>
      <c r="P3361" t="str">
        <f t="shared" si="266"/>
        <v/>
      </c>
      <c r="Q3361">
        <f>COUNTIF('責任職　企業局→市長部局'!A:A,SQLデータ!B3361)</f>
        <v>0</v>
      </c>
      <c r="R3361">
        <f>COUNTIF('一般職員　企業局→市長部局'!A:F,SQLデータ!B3361)</f>
        <v>0</v>
      </c>
    </row>
    <row r="3362" spans="1:18" x14ac:dyDescent="0.4">
      <c r="A3362" s="1">
        <v>202650003294</v>
      </c>
      <c r="B3362" s="1">
        <v>1014102</v>
      </c>
      <c r="C3362" s="2">
        <v>46127</v>
      </c>
      <c r="D3362" t="s">
        <v>17</v>
      </c>
      <c r="E3362" t="s">
        <v>8</v>
      </c>
      <c r="G3362" t="s">
        <v>9</v>
      </c>
      <c r="L3362">
        <f t="shared" ref="L3362:L3425" si="267">IF(ISBLANK(J3362),0,1)</f>
        <v>0</v>
      </c>
      <c r="M3362">
        <f t="shared" ref="M3362:M3425" si="268">IF(AND(L3362=0,I3362&lt;&gt;""),1,0)</f>
        <v>0</v>
      </c>
      <c r="N3362">
        <f t="shared" ref="N3362:N3425" si="269">IF(AND(L3362=0,M3362=0,K3362&lt;&gt;""),1,0)</f>
        <v>0</v>
      </c>
      <c r="O3362">
        <f t="shared" ref="O3362:O3425" si="270">IF(COUNTIF(L3362:N3362,0)=3,1,0)</f>
        <v>1</v>
      </c>
      <c r="P3362" t="str">
        <f t="shared" ref="P3362:P3425" si="271">IF(D3362&lt;&gt;"扶養","",IF(E3362&lt;&gt;"確認待ち",1,IF(OR(AND(G3362="本人の結婚",O3362=1),AND(H3362="減",OR(N3362=1,O3362=1))),1,0)))</f>
        <v/>
      </c>
      <c r="Q3362">
        <f>COUNTIF('責任職　企業局→市長部局'!A:A,SQLデータ!B3362)</f>
        <v>0</v>
      </c>
      <c r="R3362">
        <f>COUNTIF('一般職員　企業局→市長部局'!A:F,SQLデータ!B3362)</f>
        <v>0</v>
      </c>
    </row>
    <row r="3363" spans="1:18" x14ac:dyDescent="0.4">
      <c r="A3363" s="1">
        <v>202650003295</v>
      </c>
      <c r="B3363" s="1">
        <v>1221213</v>
      </c>
      <c r="C3363" s="2">
        <v>46127</v>
      </c>
      <c r="D3363" t="s">
        <v>17</v>
      </c>
      <c r="E3363" t="s">
        <v>8</v>
      </c>
      <c r="G3363" t="s">
        <v>9</v>
      </c>
      <c r="L3363">
        <f t="shared" si="267"/>
        <v>0</v>
      </c>
      <c r="M3363">
        <f t="shared" si="268"/>
        <v>0</v>
      </c>
      <c r="N3363">
        <f t="shared" si="269"/>
        <v>0</v>
      </c>
      <c r="O3363">
        <f t="shared" si="270"/>
        <v>1</v>
      </c>
      <c r="P3363" t="str">
        <f t="shared" si="271"/>
        <v/>
      </c>
      <c r="Q3363">
        <f>COUNTIF('責任職　企業局→市長部局'!A:A,SQLデータ!B3363)</f>
        <v>0</v>
      </c>
      <c r="R3363">
        <f>COUNTIF('一般職員　企業局→市長部局'!A:F,SQLデータ!B3363)</f>
        <v>0</v>
      </c>
    </row>
    <row r="3364" spans="1:18" x14ac:dyDescent="0.4">
      <c r="A3364" s="1">
        <v>202650003296</v>
      </c>
      <c r="B3364" s="1">
        <v>1211524</v>
      </c>
      <c r="C3364" s="2">
        <v>46127</v>
      </c>
      <c r="D3364" t="s">
        <v>17</v>
      </c>
      <c r="E3364" t="s">
        <v>8</v>
      </c>
      <c r="G3364" t="s">
        <v>9</v>
      </c>
      <c r="L3364">
        <f t="shared" si="267"/>
        <v>0</v>
      </c>
      <c r="M3364">
        <f t="shared" si="268"/>
        <v>0</v>
      </c>
      <c r="N3364">
        <f t="shared" si="269"/>
        <v>0</v>
      </c>
      <c r="O3364">
        <f t="shared" si="270"/>
        <v>1</v>
      </c>
      <c r="P3364" t="str">
        <f t="shared" si="271"/>
        <v/>
      </c>
      <c r="Q3364">
        <f>COUNTIF('責任職　企業局→市長部局'!A:A,SQLデータ!B3364)</f>
        <v>0</v>
      </c>
      <c r="R3364">
        <f>COUNTIF('一般職員　企業局→市長部局'!A:F,SQLデータ!B3364)</f>
        <v>0</v>
      </c>
    </row>
    <row r="3365" spans="1:18" x14ac:dyDescent="0.4">
      <c r="A3365" s="1">
        <v>202650003297</v>
      </c>
      <c r="B3365" s="1">
        <v>1221275</v>
      </c>
      <c r="C3365" s="2">
        <v>46127</v>
      </c>
      <c r="D3365" t="s">
        <v>17</v>
      </c>
      <c r="E3365" t="s">
        <v>8</v>
      </c>
      <c r="G3365" t="s">
        <v>9</v>
      </c>
      <c r="L3365">
        <f t="shared" si="267"/>
        <v>0</v>
      </c>
      <c r="M3365">
        <f t="shared" si="268"/>
        <v>0</v>
      </c>
      <c r="N3365">
        <f t="shared" si="269"/>
        <v>0</v>
      </c>
      <c r="O3365">
        <f t="shared" si="270"/>
        <v>1</v>
      </c>
      <c r="P3365" t="str">
        <f t="shared" si="271"/>
        <v/>
      </c>
      <c r="Q3365">
        <f>COUNTIF('責任職　企業局→市長部局'!A:A,SQLデータ!B3365)</f>
        <v>0</v>
      </c>
      <c r="R3365">
        <f>COUNTIF('一般職員　企業局→市長部局'!A:F,SQLデータ!B3365)</f>
        <v>0</v>
      </c>
    </row>
    <row r="3366" spans="1:18" x14ac:dyDescent="0.4">
      <c r="A3366" s="1">
        <v>202650003298</v>
      </c>
      <c r="B3366" s="1">
        <v>1191380</v>
      </c>
      <c r="C3366" s="2">
        <v>46127</v>
      </c>
      <c r="D3366" t="s">
        <v>17</v>
      </c>
      <c r="E3366" t="s">
        <v>8</v>
      </c>
      <c r="G3366" t="s">
        <v>9</v>
      </c>
      <c r="L3366">
        <f t="shared" si="267"/>
        <v>0</v>
      </c>
      <c r="M3366">
        <f t="shared" si="268"/>
        <v>0</v>
      </c>
      <c r="N3366">
        <f t="shared" si="269"/>
        <v>0</v>
      </c>
      <c r="O3366">
        <f t="shared" si="270"/>
        <v>1</v>
      </c>
      <c r="P3366" t="str">
        <f t="shared" si="271"/>
        <v/>
      </c>
      <c r="Q3366">
        <f>COUNTIF('責任職　企業局→市長部局'!A:A,SQLデータ!B3366)</f>
        <v>0</v>
      </c>
      <c r="R3366">
        <f>COUNTIF('一般職員　企業局→市長部局'!A:F,SQLデータ!B3366)</f>
        <v>0</v>
      </c>
    </row>
    <row r="3367" spans="1:18" x14ac:dyDescent="0.4">
      <c r="A3367" s="1">
        <v>202650003299</v>
      </c>
      <c r="B3367" s="1">
        <v>830403</v>
      </c>
      <c r="C3367" s="2">
        <v>46127</v>
      </c>
      <c r="D3367" t="s">
        <v>17</v>
      </c>
      <c r="E3367" t="s">
        <v>8</v>
      </c>
      <c r="G3367" t="s">
        <v>9</v>
      </c>
      <c r="L3367">
        <f t="shared" si="267"/>
        <v>0</v>
      </c>
      <c r="M3367">
        <f t="shared" si="268"/>
        <v>0</v>
      </c>
      <c r="N3367">
        <f t="shared" si="269"/>
        <v>0</v>
      </c>
      <c r="O3367">
        <f t="shared" si="270"/>
        <v>1</v>
      </c>
      <c r="P3367" t="str">
        <f t="shared" si="271"/>
        <v/>
      </c>
      <c r="Q3367">
        <f>COUNTIF('責任職　企業局→市長部局'!A:A,SQLデータ!B3367)</f>
        <v>0</v>
      </c>
      <c r="R3367">
        <f>COUNTIF('一般職員　企業局→市長部局'!A:F,SQLデータ!B3367)</f>
        <v>0</v>
      </c>
    </row>
    <row r="3368" spans="1:18" x14ac:dyDescent="0.4">
      <c r="A3368" s="1">
        <v>202650003300</v>
      </c>
      <c r="B3368" s="1">
        <v>1201069</v>
      </c>
      <c r="C3368" s="2">
        <v>46127</v>
      </c>
      <c r="D3368" t="s">
        <v>17</v>
      </c>
      <c r="E3368" t="s">
        <v>8</v>
      </c>
      <c r="G3368" t="s">
        <v>9</v>
      </c>
      <c r="L3368">
        <f t="shared" si="267"/>
        <v>0</v>
      </c>
      <c r="M3368">
        <f t="shared" si="268"/>
        <v>0</v>
      </c>
      <c r="N3368">
        <f t="shared" si="269"/>
        <v>0</v>
      </c>
      <c r="O3368">
        <f t="shared" si="270"/>
        <v>1</v>
      </c>
      <c r="P3368" t="str">
        <f t="shared" si="271"/>
        <v/>
      </c>
      <c r="Q3368">
        <f>COUNTIF('責任職　企業局→市長部局'!A:A,SQLデータ!B3368)</f>
        <v>0</v>
      </c>
      <c r="R3368">
        <f>COUNTIF('一般職員　企業局→市長部局'!A:F,SQLデータ!B3368)</f>
        <v>0</v>
      </c>
    </row>
    <row r="3369" spans="1:18" x14ac:dyDescent="0.4">
      <c r="A3369" s="1">
        <v>202650003301</v>
      </c>
      <c r="B3369" s="1">
        <v>880336</v>
      </c>
      <c r="C3369" s="2">
        <v>46127</v>
      </c>
      <c r="D3369" t="s">
        <v>17</v>
      </c>
      <c r="E3369" t="s">
        <v>8</v>
      </c>
      <c r="G3369" t="s">
        <v>9</v>
      </c>
      <c r="L3369">
        <f t="shared" si="267"/>
        <v>0</v>
      </c>
      <c r="M3369">
        <f t="shared" si="268"/>
        <v>0</v>
      </c>
      <c r="N3369">
        <f t="shared" si="269"/>
        <v>0</v>
      </c>
      <c r="O3369">
        <f t="shared" si="270"/>
        <v>1</v>
      </c>
      <c r="P3369" t="str">
        <f t="shared" si="271"/>
        <v/>
      </c>
      <c r="Q3369">
        <f>COUNTIF('責任職　企業局→市長部局'!A:A,SQLデータ!B3369)</f>
        <v>0</v>
      </c>
      <c r="R3369">
        <f>COUNTIF('一般職員　企業局→市長部局'!A:F,SQLデータ!B3369)</f>
        <v>0</v>
      </c>
    </row>
    <row r="3370" spans="1:18" x14ac:dyDescent="0.4">
      <c r="A3370" s="1">
        <v>202650003302</v>
      </c>
      <c r="B3370" s="1">
        <v>1152175</v>
      </c>
      <c r="C3370" s="2">
        <v>46127</v>
      </c>
      <c r="D3370" t="s">
        <v>17</v>
      </c>
      <c r="E3370" t="s">
        <v>8</v>
      </c>
      <c r="G3370" t="s">
        <v>9</v>
      </c>
      <c r="L3370">
        <f t="shared" si="267"/>
        <v>0</v>
      </c>
      <c r="M3370">
        <f t="shared" si="268"/>
        <v>0</v>
      </c>
      <c r="N3370">
        <f t="shared" si="269"/>
        <v>0</v>
      </c>
      <c r="O3370">
        <f t="shared" si="270"/>
        <v>1</v>
      </c>
      <c r="P3370" t="str">
        <f t="shared" si="271"/>
        <v/>
      </c>
      <c r="Q3370">
        <f>COUNTIF('責任職　企業局→市長部局'!A:A,SQLデータ!B3370)</f>
        <v>0</v>
      </c>
      <c r="R3370">
        <f>COUNTIF('一般職員　企業局→市長部局'!A:F,SQLデータ!B3370)</f>
        <v>0</v>
      </c>
    </row>
    <row r="3371" spans="1:18" x14ac:dyDescent="0.4">
      <c r="A3371" s="1">
        <v>202650003303</v>
      </c>
      <c r="B3371" s="1">
        <v>983003</v>
      </c>
      <c r="C3371" s="2">
        <v>46127</v>
      </c>
      <c r="D3371" t="s">
        <v>17</v>
      </c>
      <c r="E3371" t="s">
        <v>8</v>
      </c>
      <c r="G3371" t="s">
        <v>9</v>
      </c>
      <c r="L3371">
        <f t="shared" si="267"/>
        <v>0</v>
      </c>
      <c r="M3371">
        <f t="shared" si="268"/>
        <v>0</v>
      </c>
      <c r="N3371">
        <f t="shared" si="269"/>
        <v>0</v>
      </c>
      <c r="O3371">
        <f t="shared" si="270"/>
        <v>1</v>
      </c>
      <c r="P3371" t="str">
        <f t="shared" si="271"/>
        <v/>
      </c>
      <c r="Q3371">
        <f>COUNTIF('責任職　企業局→市長部局'!A:A,SQLデータ!B3371)</f>
        <v>0</v>
      </c>
      <c r="R3371">
        <f>COUNTIF('一般職員　企業局→市長部局'!A:F,SQLデータ!B3371)</f>
        <v>0</v>
      </c>
    </row>
    <row r="3372" spans="1:18" x14ac:dyDescent="0.4">
      <c r="A3372" s="1">
        <v>202650003304</v>
      </c>
      <c r="B3372" s="1">
        <v>1093015</v>
      </c>
      <c r="C3372" s="2">
        <v>46127</v>
      </c>
      <c r="D3372" t="s">
        <v>17</v>
      </c>
      <c r="E3372" t="s">
        <v>8</v>
      </c>
      <c r="G3372" t="s">
        <v>9</v>
      </c>
      <c r="L3372">
        <f t="shared" si="267"/>
        <v>0</v>
      </c>
      <c r="M3372">
        <f t="shared" si="268"/>
        <v>0</v>
      </c>
      <c r="N3372">
        <f t="shared" si="269"/>
        <v>0</v>
      </c>
      <c r="O3372">
        <f t="shared" si="270"/>
        <v>1</v>
      </c>
      <c r="P3372" t="str">
        <f t="shared" si="271"/>
        <v/>
      </c>
      <c r="Q3372">
        <f>COUNTIF('責任職　企業局→市長部局'!A:A,SQLデータ!B3372)</f>
        <v>0</v>
      </c>
      <c r="R3372">
        <f>COUNTIF('一般職員　企業局→市長部局'!A:F,SQLデータ!B3372)</f>
        <v>0</v>
      </c>
    </row>
    <row r="3373" spans="1:18" x14ac:dyDescent="0.4">
      <c r="A3373" s="1">
        <v>202650003305</v>
      </c>
      <c r="B3373" s="1">
        <v>1191246</v>
      </c>
      <c r="C3373" s="2">
        <v>46127</v>
      </c>
      <c r="D3373" t="s">
        <v>17</v>
      </c>
      <c r="E3373" t="s">
        <v>8</v>
      </c>
      <c r="G3373" t="s">
        <v>9</v>
      </c>
      <c r="L3373">
        <f t="shared" si="267"/>
        <v>0</v>
      </c>
      <c r="M3373">
        <f t="shared" si="268"/>
        <v>0</v>
      </c>
      <c r="N3373">
        <f t="shared" si="269"/>
        <v>0</v>
      </c>
      <c r="O3373">
        <f t="shared" si="270"/>
        <v>1</v>
      </c>
      <c r="P3373" t="str">
        <f t="shared" si="271"/>
        <v/>
      </c>
      <c r="Q3373">
        <f>COUNTIF('責任職　企業局→市長部局'!A:A,SQLデータ!B3373)</f>
        <v>0</v>
      </c>
      <c r="R3373">
        <f>COUNTIF('一般職員　企業局→市長部局'!A:F,SQLデータ!B3373)</f>
        <v>0</v>
      </c>
    </row>
    <row r="3374" spans="1:18" x14ac:dyDescent="0.4">
      <c r="A3374" s="1">
        <v>202650003306</v>
      </c>
      <c r="B3374" s="1">
        <v>1161294</v>
      </c>
      <c r="C3374" s="2">
        <v>46125</v>
      </c>
      <c r="D3374" t="s">
        <v>17</v>
      </c>
      <c r="E3374" t="s">
        <v>8</v>
      </c>
      <c r="G3374" t="s">
        <v>9</v>
      </c>
      <c r="L3374">
        <f t="shared" si="267"/>
        <v>0</v>
      </c>
      <c r="M3374">
        <f t="shared" si="268"/>
        <v>0</v>
      </c>
      <c r="N3374">
        <f t="shared" si="269"/>
        <v>0</v>
      </c>
      <c r="O3374">
        <f t="shared" si="270"/>
        <v>1</v>
      </c>
      <c r="P3374" t="str">
        <f t="shared" si="271"/>
        <v/>
      </c>
      <c r="Q3374">
        <f>COUNTIF('責任職　企業局→市長部局'!A:A,SQLデータ!B3374)</f>
        <v>0</v>
      </c>
      <c r="R3374">
        <f>COUNTIF('一般職員　企業局→市長部局'!A:F,SQLデータ!B3374)</f>
        <v>0</v>
      </c>
    </row>
    <row r="3375" spans="1:18" x14ac:dyDescent="0.4">
      <c r="A3375" s="1">
        <v>202650003307</v>
      </c>
      <c r="B3375" s="1">
        <v>1151192</v>
      </c>
      <c r="C3375" s="2">
        <v>46127</v>
      </c>
      <c r="D3375" t="s">
        <v>17</v>
      </c>
      <c r="E3375" t="s">
        <v>8</v>
      </c>
      <c r="G3375" t="s">
        <v>9</v>
      </c>
      <c r="L3375">
        <f t="shared" si="267"/>
        <v>0</v>
      </c>
      <c r="M3375">
        <f t="shared" si="268"/>
        <v>0</v>
      </c>
      <c r="N3375">
        <f t="shared" si="269"/>
        <v>0</v>
      </c>
      <c r="O3375">
        <f t="shared" si="270"/>
        <v>1</v>
      </c>
      <c r="P3375" t="str">
        <f t="shared" si="271"/>
        <v/>
      </c>
      <c r="Q3375">
        <f>COUNTIF('責任職　企業局→市長部局'!A:A,SQLデータ!B3375)</f>
        <v>0</v>
      </c>
      <c r="R3375">
        <f>COUNTIF('一般職員　企業局→市長部局'!A:F,SQLデータ!B3375)</f>
        <v>0</v>
      </c>
    </row>
    <row r="3376" spans="1:18" x14ac:dyDescent="0.4">
      <c r="A3376" s="1">
        <v>202650003308</v>
      </c>
      <c r="B3376" s="1">
        <v>1201193</v>
      </c>
      <c r="C3376" s="2">
        <v>46127</v>
      </c>
      <c r="D3376" t="s">
        <v>17</v>
      </c>
      <c r="E3376" t="s">
        <v>8</v>
      </c>
      <c r="G3376" t="s">
        <v>9</v>
      </c>
      <c r="L3376">
        <f t="shared" si="267"/>
        <v>0</v>
      </c>
      <c r="M3376">
        <f t="shared" si="268"/>
        <v>0</v>
      </c>
      <c r="N3376">
        <f t="shared" si="269"/>
        <v>0</v>
      </c>
      <c r="O3376">
        <f t="shared" si="270"/>
        <v>1</v>
      </c>
      <c r="P3376" t="str">
        <f t="shared" si="271"/>
        <v/>
      </c>
      <c r="Q3376">
        <f>COUNTIF('責任職　企業局→市長部局'!A:A,SQLデータ!B3376)</f>
        <v>0</v>
      </c>
      <c r="R3376">
        <f>COUNTIF('一般職員　企業局→市長部局'!A:F,SQLデータ!B3376)</f>
        <v>0</v>
      </c>
    </row>
    <row r="3377" spans="1:18" x14ac:dyDescent="0.4">
      <c r="A3377" s="1">
        <v>202650003309</v>
      </c>
      <c r="B3377" s="1">
        <v>890218</v>
      </c>
      <c r="C3377" s="2">
        <v>46127</v>
      </c>
      <c r="D3377" t="s">
        <v>17</v>
      </c>
      <c r="E3377" t="s">
        <v>8</v>
      </c>
      <c r="G3377" t="s">
        <v>9</v>
      </c>
      <c r="L3377">
        <f t="shared" si="267"/>
        <v>0</v>
      </c>
      <c r="M3377">
        <f t="shared" si="268"/>
        <v>0</v>
      </c>
      <c r="N3377">
        <f t="shared" si="269"/>
        <v>0</v>
      </c>
      <c r="O3377">
        <f t="shared" si="270"/>
        <v>1</v>
      </c>
      <c r="P3377" t="str">
        <f t="shared" si="271"/>
        <v/>
      </c>
      <c r="Q3377">
        <f>COUNTIF('責任職　企業局→市長部局'!A:A,SQLデータ!B3377)</f>
        <v>0</v>
      </c>
      <c r="R3377">
        <f>COUNTIF('一般職員　企業局→市長部局'!A:F,SQLデータ!B3377)</f>
        <v>0</v>
      </c>
    </row>
    <row r="3378" spans="1:18" x14ac:dyDescent="0.4">
      <c r="A3378" s="1">
        <v>202650003310</v>
      </c>
      <c r="B3378" s="1">
        <v>1001021</v>
      </c>
      <c r="C3378" s="2">
        <v>46127</v>
      </c>
      <c r="D3378" t="s">
        <v>17</v>
      </c>
      <c r="E3378" t="s">
        <v>8</v>
      </c>
      <c r="G3378" t="s">
        <v>9</v>
      </c>
      <c r="L3378">
        <f t="shared" si="267"/>
        <v>0</v>
      </c>
      <c r="M3378">
        <f t="shared" si="268"/>
        <v>0</v>
      </c>
      <c r="N3378">
        <f t="shared" si="269"/>
        <v>0</v>
      </c>
      <c r="O3378">
        <f t="shared" si="270"/>
        <v>1</v>
      </c>
      <c r="P3378" t="str">
        <f t="shared" si="271"/>
        <v/>
      </c>
      <c r="Q3378">
        <f>COUNTIF('責任職　企業局→市長部局'!A:A,SQLデータ!B3378)</f>
        <v>0</v>
      </c>
      <c r="R3378">
        <f>COUNTIF('一般職員　企業局→市長部局'!A:F,SQLデータ!B3378)</f>
        <v>0</v>
      </c>
    </row>
    <row r="3379" spans="1:18" x14ac:dyDescent="0.4">
      <c r="A3379" s="1">
        <v>202650003311</v>
      </c>
      <c r="B3379" s="1">
        <v>1151030</v>
      </c>
      <c r="C3379" s="2">
        <v>46127</v>
      </c>
      <c r="D3379" t="s">
        <v>17</v>
      </c>
      <c r="E3379" t="s">
        <v>8</v>
      </c>
      <c r="G3379" t="s">
        <v>9</v>
      </c>
      <c r="L3379">
        <f t="shared" si="267"/>
        <v>0</v>
      </c>
      <c r="M3379">
        <f t="shared" si="268"/>
        <v>0</v>
      </c>
      <c r="N3379">
        <f t="shared" si="269"/>
        <v>0</v>
      </c>
      <c r="O3379">
        <f t="shared" si="270"/>
        <v>1</v>
      </c>
      <c r="P3379" t="str">
        <f t="shared" si="271"/>
        <v/>
      </c>
      <c r="Q3379">
        <f>COUNTIF('責任職　企業局→市長部局'!A:A,SQLデータ!B3379)</f>
        <v>0</v>
      </c>
      <c r="R3379">
        <f>COUNTIF('一般職員　企業局→市長部局'!A:F,SQLデータ!B3379)</f>
        <v>0</v>
      </c>
    </row>
    <row r="3380" spans="1:18" x14ac:dyDescent="0.4">
      <c r="A3380" s="1">
        <v>202650003312</v>
      </c>
      <c r="B3380" s="1">
        <v>993001</v>
      </c>
      <c r="C3380" s="2">
        <v>46127</v>
      </c>
      <c r="D3380" t="s">
        <v>17</v>
      </c>
      <c r="E3380" t="s">
        <v>8</v>
      </c>
      <c r="G3380" t="s">
        <v>9</v>
      </c>
      <c r="L3380">
        <f t="shared" si="267"/>
        <v>0</v>
      </c>
      <c r="M3380">
        <f t="shared" si="268"/>
        <v>0</v>
      </c>
      <c r="N3380">
        <f t="shared" si="269"/>
        <v>0</v>
      </c>
      <c r="O3380">
        <f t="shared" si="270"/>
        <v>1</v>
      </c>
      <c r="P3380" t="str">
        <f t="shared" si="271"/>
        <v/>
      </c>
      <c r="Q3380">
        <f>COUNTIF('責任職　企業局→市長部局'!A:A,SQLデータ!B3380)</f>
        <v>0</v>
      </c>
      <c r="R3380">
        <f>COUNTIF('一般職員　企業局→市長部局'!A:F,SQLデータ!B3380)</f>
        <v>0</v>
      </c>
    </row>
    <row r="3381" spans="1:18" x14ac:dyDescent="0.4">
      <c r="A3381" s="1">
        <v>202650003313</v>
      </c>
      <c r="B3381" s="1">
        <v>1111349</v>
      </c>
      <c r="C3381" s="2">
        <v>46127</v>
      </c>
      <c r="D3381" t="s">
        <v>17</v>
      </c>
      <c r="E3381" t="s">
        <v>8</v>
      </c>
      <c r="G3381" t="s">
        <v>9</v>
      </c>
      <c r="L3381">
        <f t="shared" si="267"/>
        <v>0</v>
      </c>
      <c r="M3381">
        <f t="shared" si="268"/>
        <v>0</v>
      </c>
      <c r="N3381">
        <f t="shared" si="269"/>
        <v>0</v>
      </c>
      <c r="O3381">
        <f t="shared" si="270"/>
        <v>1</v>
      </c>
      <c r="P3381" t="str">
        <f t="shared" si="271"/>
        <v/>
      </c>
      <c r="Q3381">
        <f>COUNTIF('責任職　企業局→市長部局'!A:A,SQLデータ!B3381)</f>
        <v>0</v>
      </c>
      <c r="R3381">
        <f>COUNTIF('一般職員　企業局→市長部局'!A:F,SQLデータ!B3381)</f>
        <v>0</v>
      </c>
    </row>
    <row r="3382" spans="1:18" x14ac:dyDescent="0.4">
      <c r="A3382" s="1">
        <v>202650003314</v>
      </c>
      <c r="B3382" s="1">
        <v>1171502</v>
      </c>
      <c r="C3382" s="2">
        <v>46127</v>
      </c>
      <c r="D3382" t="s">
        <v>17</v>
      </c>
      <c r="E3382" t="s">
        <v>8</v>
      </c>
      <c r="G3382" t="s">
        <v>9</v>
      </c>
      <c r="L3382">
        <f t="shared" si="267"/>
        <v>0</v>
      </c>
      <c r="M3382">
        <f t="shared" si="268"/>
        <v>0</v>
      </c>
      <c r="N3382">
        <f t="shared" si="269"/>
        <v>0</v>
      </c>
      <c r="O3382">
        <f t="shared" si="270"/>
        <v>1</v>
      </c>
      <c r="P3382" t="str">
        <f t="shared" si="271"/>
        <v/>
      </c>
      <c r="Q3382">
        <f>COUNTIF('責任職　企業局→市長部局'!A:A,SQLデータ!B3382)</f>
        <v>0</v>
      </c>
      <c r="R3382">
        <f>COUNTIF('一般職員　企業局→市長部局'!A:F,SQLデータ!B3382)</f>
        <v>0</v>
      </c>
    </row>
    <row r="3383" spans="1:18" x14ac:dyDescent="0.4">
      <c r="A3383" s="1">
        <v>202650003315</v>
      </c>
      <c r="B3383" s="1">
        <v>1112088</v>
      </c>
      <c r="C3383" s="2">
        <v>46127</v>
      </c>
      <c r="D3383" t="s">
        <v>17</v>
      </c>
      <c r="E3383" t="s">
        <v>8</v>
      </c>
      <c r="G3383" t="s">
        <v>9</v>
      </c>
      <c r="L3383">
        <f t="shared" si="267"/>
        <v>0</v>
      </c>
      <c r="M3383">
        <f t="shared" si="268"/>
        <v>0</v>
      </c>
      <c r="N3383">
        <f t="shared" si="269"/>
        <v>0</v>
      </c>
      <c r="O3383">
        <f t="shared" si="270"/>
        <v>1</v>
      </c>
      <c r="P3383" t="str">
        <f t="shared" si="271"/>
        <v/>
      </c>
      <c r="Q3383">
        <f>COUNTIF('責任職　企業局→市長部局'!A:A,SQLデータ!B3383)</f>
        <v>0</v>
      </c>
      <c r="R3383">
        <f>COUNTIF('一般職員　企業局→市長部局'!A:F,SQLデータ!B3383)</f>
        <v>0</v>
      </c>
    </row>
    <row r="3384" spans="1:18" x14ac:dyDescent="0.4">
      <c r="A3384" s="1">
        <v>202650003316</v>
      </c>
      <c r="B3384" s="1">
        <v>940228</v>
      </c>
      <c r="C3384" s="2">
        <v>46127</v>
      </c>
      <c r="D3384" t="s">
        <v>17</v>
      </c>
      <c r="E3384" t="s">
        <v>8</v>
      </c>
      <c r="G3384" t="s">
        <v>9</v>
      </c>
      <c r="L3384">
        <f t="shared" si="267"/>
        <v>0</v>
      </c>
      <c r="M3384">
        <f t="shared" si="268"/>
        <v>0</v>
      </c>
      <c r="N3384">
        <f t="shared" si="269"/>
        <v>0</v>
      </c>
      <c r="O3384">
        <f t="shared" si="270"/>
        <v>1</v>
      </c>
      <c r="P3384" t="str">
        <f t="shared" si="271"/>
        <v/>
      </c>
      <c r="Q3384">
        <f>COUNTIF('責任職　企業局→市長部局'!A:A,SQLデータ!B3384)</f>
        <v>0</v>
      </c>
      <c r="R3384">
        <f>COUNTIF('一般職員　企業局→市長部局'!A:F,SQLデータ!B3384)</f>
        <v>0</v>
      </c>
    </row>
    <row r="3385" spans="1:18" x14ac:dyDescent="0.4">
      <c r="A3385" s="1">
        <v>202650003317</v>
      </c>
      <c r="B3385" s="1">
        <v>950045</v>
      </c>
      <c r="C3385" s="2">
        <v>46127</v>
      </c>
      <c r="D3385" t="s">
        <v>17</v>
      </c>
      <c r="E3385" t="s">
        <v>8</v>
      </c>
      <c r="G3385" t="s">
        <v>9</v>
      </c>
      <c r="L3385">
        <f t="shared" si="267"/>
        <v>0</v>
      </c>
      <c r="M3385">
        <f t="shared" si="268"/>
        <v>0</v>
      </c>
      <c r="N3385">
        <f t="shared" si="269"/>
        <v>0</v>
      </c>
      <c r="O3385">
        <f t="shared" si="270"/>
        <v>1</v>
      </c>
      <c r="P3385" t="str">
        <f t="shared" si="271"/>
        <v/>
      </c>
      <c r="Q3385">
        <f>COUNTIF('責任職　企業局→市長部局'!A:A,SQLデータ!B3385)</f>
        <v>0</v>
      </c>
      <c r="R3385">
        <f>COUNTIF('一般職員　企業局→市長部局'!A:F,SQLデータ!B3385)</f>
        <v>0</v>
      </c>
    </row>
    <row r="3386" spans="1:18" x14ac:dyDescent="0.4">
      <c r="A3386" s="1">
        <v>202650003318</v>
      </c>
      <c r="B3386" s="1">
        <v>1222311</v>
      </c>
      <c r="C3386" s="2">
        <v>46127</v>
      </c>
      <c r="D3386" t="s">
        <v>17</v>
      </c>
      <c r="E3386" t="s">
        <v>8</v>
      </c>
      <c r="G3386" t="s">
        <v>9</v>
      </c>
      <c r="L3386">
        <f t="shared" si="267"/>
        <v>0</v>
      </c>
      <c r="M3386">
        <f t="shared" si="268"/>
        <v>0</v>
      </c>
      <c r="N3386">
        <f t="shared" si="269"/>
        <v>0</v>
      </c>
      <c r="O3386">
        <f t="shared" si="270"/>
        <v>1</v>
      </c>
      <c r="P3386" t="str">
        <f t="shared" si="271"/>
        <v/>
      </c>
      <c r="Q3386">
        <f>COUNTIF('責任職　企業局→市長部局'!A:A,SQLデータ!B3386)</f>
        <v>0</v>
      </c>
      <c r="R3386">
        <f>COUNTIF('一般職員　企業局→市長部局'!A:F,SQLデータ!B3386)</f>
        <v>0</v>
      </c>
    </row>
    <row r="3387" spans="1:18" x14ac:dyDescent="0.4">
      <c r="A3387" s="1">
        <v>202650003319</v>
      </c>
      <c r="B3387" s="1">
        <v>1091180</v>
      </c>
      <c r="C3387" s="2">
        <v>46127</v>
      </c>
      <c r="D3387" t="s">
        <v>17</v>
      </c>
      <c r="E3387" t="s">
        <v>8</v>
      </c>
      <c r="G3387" t="s">
        <v>9</v>
      </c>
      <c r="L3387">
        <f t="shared" si="267"/>
        <v>0</v>
      </c>
      <c r="M3387">
        <f t="shared" si="268"/>
        <v>0</v>
      </c>
      <c r="N3387">
        <f t="shared" si="269"/>
        <v>0</v>
      </c>
      <c r="O3387">
        <f t="shared" si="270"/>
        <v>1</v>
      </c>
      <c r="P3387" t="str">
        <f t="shared" si="271"/>
        <v/>
      </c>
      <c r="Q3387">
        <f>COUNTIF('責任職　企業局→市長部局'!A:A,SQLデータ!B3387)</f>
        <v>0</v>
      </c>
      <c r="R3387">
        <f>COUNTIF('一般職員　企業局→市長部局'!A:F,SQLデータ!B3387)</f>
        <v>0</v>
      </c>
    </row>
    <row r="3388" spans="1:18" x14ac:dyDescent="0.4">
      <c r="A3388" s="1">
        <v>202650003320</v>
      </c>
      <c r="B3388" s="1">
        <v>1162501</v>
      </c>
      <c r="C3388" s="2">
        <v>46127</v>
      </c>
      <c r="D3388" t="s">
        <v>17</v>
      </c>
      <c r="E3388" t="s">
        <v>8</v>
      </c>
      <c r="G3388" t="s">
        <v>9</v>
      </c>
      <c r="L3388">
        <f t="shared" si="267"/>
        <v>0</v>
      </c>
      <c r="M3388">
        <f t="shared" si="268"/>
        <v>0</v>
      </c>
      <c r="N3388">
        <f t="shared" si="269"/>
        <v>0</v>
      </c>
      <c r="O3388">
        <f t="shared" si="270"/>
        <v>1</v>
      </c>
      <c r="P3388" t="str">
        <f t="shared" si="271"/>
        <v/>
      </c>
      <c r="Q3388">
        <f>COUNTIF('責任職　企業局→市長部局'!A:A,SQLデータ!B3388)</f>
        <v>0</v>
      </c>
      <c r="R3388">
        <f>COUNTIF('一般職員　企業局→市長部局'!A:F,SQLデータ!B3388)</f>
        <v>0</v>
      </c>
    </row>
    <row r="3389" spans="1:18" x14ac:dyDescent="0.4">
      <c r="A3389" s="1">
        <v>202650003322</v>
      </c>
      <c r="B3389" s="1">
        <v>1221096</v>
      </c>
      <c r="C3389" s="2">
        <v>46127</v>
      </c>
      <c r="D3389" t="s">
        <v>17</v>
      </c>
      <c r="E3389" t="s">
        <v>8</v>
      </c>
      <c r="G3389" t="s">
        <v>9</v>
      </c>
      <c r="L3389">
        <f t="shared" si="267"/>
        <v>0</v>
      </c>
      <c r="M3389">
        <f t="shared" si="268"/>
        <v>0</v>
      </c>
      <c r="N3389">
        <f t="shared" si="269"/>
        <v>0</v>
      </c>
      <c r="O3389">
        <f t="shared" si="270"/>
        <v>1</v>
      </c>
      <c r="P3389" t="str">
        <f t="shared" si="271"/>
        <v/>
      </c>
      <c r="Q3389">
        <f>COUNTIF('責任職　企業局→市長部局'!A:A,SQLデータ!B3389)</f>
        <v>0</v>
      </c>
      <c r="R3389">
        <f>COUNTIF('一般職員　企業局→市長部局'!A:F,SQLデータ!B3389)</f>
        <v>0</v>
      </c>
    </row>
    <row r="3390" spans="1:18" x14ac:dyDescent="0.4">
      <c r="A3390" s="1">
        <v>202650003323</v>
      </c>
      <c r="B3390" s="1">
        <v>1171031</v>
      </c>
      <c r="C3390" s="2">
        <v>46127</v>
      </c>
      <c r="D3390" t="s">
        <v>17</v>
      </c>
      <c r="E3390" t="s">
        <v>8</v>
      </c>
      <c r="G3390" t="s">
        <v>9</v>
      </c>
      <c r="L3390">
        <f t="shared" si="267"/>
        <v>0</v>
      </c>
      <c r="M3390">
        <f t="shared" si="268"/>
        <v>0</v>
      </c>
      <c r="N3390">
        <f t="shared" si="269"/>
        <v>0</v>
      </c>
      <c r="O3390">
        <f t="shared" si="270"/>
        <v>1</v>
      </c>
      <c r="P3390" t="str">
        <f t="shared" si="271"/>
        <v/>
      </c>
      <c r="Q3390">
        <f>COUNTIF('責任職　企業局→市長部局'!A:A,SQLデータ!B3390)</f>
        <v>0</v>
      </c>
      <c r="R3390">
        <f>COUNTIF('一般職員　企業局→市長部局'!A:F,SQLデータ!B3390)</f>
        <v>0</v>
      </c>
    </row>
    <row r="3391" spans="1:18" x14ac:dyDescent="0.4">
      <c r="A3391" s="1">
        <v>202650003324</v>
      </c>
      <c r="B3391" s="1">
        <v>1231332</v>
      </c>
      <c r="C3391" s="2">
        <v>46127</v>
      </c>
      <c r="D3391" t="s">
        <v>17</v>
      </c>
      <c r="E3391" t="s">
        <v>8</v>
      </c>
      <c r="G3391" t="s">
        <v>9</v>
      </c>
      <c r="L3391">
        <f t="shared" si="267"/>
        <v>0</v>
      </c>
      <c r="M3391">
        <f t="shared" si="268"/>
        <v>0</v>
      </c>
      <c r="N3391">
        <f t="shared" si="269"/>
        <v>0</v>
      </c>
      <c r="O3391">
        <f t="shared" si="270"/>
        <v>1</v>
      </c>
      <c r="P3391" t="str">
        <f t="shared" si="271"/>
        <v/>
      </c>
      <c r="Q3391">
        <f>COUNTIF('責任職　企業局→市長部局'!A:A,SQLデータ!B3391)</f>
        <v>0</v>
      </c>
      <c r="R3391">
        <f>COUNTIF('一般職員　企業局→市長部局'!A:F,SQLデータ!B3391)</f>
        <v>0</v>
      </c>
    </row>
    <row r="3392" spans="1:18" x14ac:dyDescent="0.4">
      <c r="A3392" s="1">
        <v>202650003326</v>
      </c>
      <c r="B3392" s="1">
        <v>1171413</v>
      </c>
      <c r="C3392" s="2">
        <v>46127</v>
      </c>
      <c r="D3392" t="s">
        <v>17</v>
      </c>
      <c r="E3392" t="s">
        <v>8</v>
      </c>
      <c r="G3392" t="s">
        <v>9</v>
      </c>
      <c r="L3392">
        <f t="shared" si="267"/>
        <v>0</v>
      </c>
      <c r="M3392">
        <f t="shared" si="268"/>
        <v>0</v>
      </c>
      <c r="N3392">
        <f t="shared" si="269"/>
        <v>0</v>
      </c>
      <c r="O3392">
        <f t="shared" si="270"/>
        <v>1</v>
      </c>
      <c r="P3392" t="str">
        <f t="shared" si="271"/>
        <v/>
      </c>
      <c r="Q3392">
        <f>COUNTIF('責任職　企業局→市長部局'!A:A,SQLデータ!B3392)</f>
        <v>0</v>
      </c>
      <c r="R3392">
        <f>COUNTIF('一般職員　企業局→市長部局'!A:F,SQLデータ!B3392)</f>
        <v>0</v>
      </c>
    </row>
    <row r="3393" spans="1:18" x14ac:dyDescent="0.4">
      <c r="A3393" s="1">
        <v>202650003327</v>
      </c>
      <c r="B3393" s="1">
        <v>1263002</v>
      </c>
      <c r="C3393" s="2">
        <v>46127</v>
      </c>
      <c r="D3393" t="s">
        <v>17</v>
      </c>
      <c r="E3393" t="s">
        <v>8</v>
      </c>
      <c r="G3393" t="s">
        <v>9</v>
      </c>
      <c r="L3393">
        <f t="shared" si="267"/>
        <v>0</v>
      </c>
      <c r="M3393">
        <f t="shared" si="268"/>
        <v>0</v>
      </c>
      <c r="N3393">
        <f t="shared" si="269"/>
        <v>0</v>
      </c>
      <c r="O3393">
        <f t="shared" si="270"/>
        <v>1</v>
      </c>
      <c r="P3393" t="str">
        <f t="shared" si="271"/>
        <v/>
      </c>
      <c r="Q3393">
        <f>COUNTIF('責任職　企業局→市長部局'!A:A,SQLデータ!B3393)</f>
        <v>0</v>
      </c>
      <c r="R3393">
        <f>COUNTIF('一般職員　企業局→市長部局'!A:F,SQLデータ!B3393)</f>
        <v>0</v>
      </c>
    </row>
    <row r="3394" spans="1:18" x14ac:dyDescent="0.4">
      <c r="A3394" s="1">
        <v>202650003329</v>
      </c>
      <c r="B3394" s="1">
        <v>1181092</v>
      </c>
      <c r="C3394" s="2">
        <v>46127</v>
      </c>
      <c r="D3394" t="s">
        <v>17</v>
      </c>
      <c r="E3394" t="s">
        <v>8</v>
      </c>
      <c r="G3394" t="s">
        <v>9</v>
      </c>
      <c r="L3394">
        <f t="shared" si="267"/>
        <v>0</v>
      </c>
      <c r="M3394">
        <f t="shared" si="268"/>
        <v>0</v>
      </c>
      <c r="N3394">
        <f t="shared" si="269"/>
        <v>0</v>
      </c>
      <c r="O3394">
        <f t="shared" si="270"/>
        <v>1</v>
      </c>
      <c r="P3394" t="str">
        <f t="shared" si="271"/>
        <v/>
      </c>
      <c r="Q3394">
        <f>COUNTIF('責任職　企業局→市長部局'!A:A,SQLデータ!B3394)</f>
        <v>0</v>
      </c>
      <c r="R3394">
        <f>COUNTIF('一般職員　企業局→市長部局'!A:F,SQLデータ!B3394)</f>
        <v>0</v>
      </c>
    </row>
    <row r="3395" spans="1:18" x14ac:dyDescent="0.4">
      <c r="A3395" s="1">
        <v>202650003330</v>
      </c>
      <c r="B3395" s="1">
        <v>1181282</v>
      </c>
      <c r="C3395" s="2">
        <v>46127</v>
      </c>
      <c r="D3395" t="s">
        <v>17</v>
      </c>
      <c r="E3395" t="s">
        <v>8</v>
      </c>
      <c r="G3395" t="s">
        <v>9</v>
      </c>
      <c r="L3395">
        <f t="shared" si="267"/>
        <v>0</v>
      </c>
      <c r="M3395">
        <f t="shared" si="268"/>
        <v>0</v>
      </c>
      <c r="N3395">
        <f t="shared" si="269"/>
        <v>0</v>
      </c>
      <c r="O3395">
        <f t="shared" si="270"/>
        <v>1</v>
      </c>
      <c r="P3395" t="str">
        <f t="shared" si="271"/>
        <v/>
      </c>
      <c r="Q3395">
        <f>COUNTIF('責任職　企業局→市長部局'!A:A,SQLデータ!B3395)</f>
        <v>0</v>
      </c>
      <c r="R3395">
        <f>COUNTIF('一般職員　企業局→市長部局'!A:F,SQLデータ!B3395)</f>
        <v>0</v>
      </c>
    </row>
    <row r="3396" spans="1:18" x14ac:dyDescent="0.4">
      <c r="A3396" s="1">
        <v>202650003331</v>
      </c>
      <c r="B3396" s="1">
        <v>1141293</v>
      </c>
      <c r="C3396" s="2">
        <v>46127</v>
      </c>
      <c r="D3396" t="s">
        <v>17</v>
      </c>
      <c r="E3396" t="s">
        <v>8</v>
      </c>
      <c r="G3396" t="s">
        <v>9</v>
      </c>
      <c r="L3396">
        <f t="shared" si="267"/>
        <v>0</v>
      </c>
      <c r="M3396">
        <f t="shared" si="268"/>
        <v>0</v>
      </c>
      <c r="N3396">
        <f t="shared" si="269"/>
        <v>0</v>
      </c>
      <c r="O3396">
        <f t="shared" si="270"/>
        <v>1</v>
      </c>
      <c r="P3396" t="str">
        <f t="shared" si="271"/>
        <v/>
      </c>
      <c r="Q3396">
        <f>COUNTIF('責任職　企業局→市長部局'!A:A,SQLデータ!B3396)</f>
        <v>0</v>
      </c>
      <c r="R3396">
        <f>COUNTIF('一般職員　企業局→市長部局'!A:F,SQLデータ!B3396)</f>
        <v>0</v>
      </c>
    </row>
    <row r="3397" spans="1:18" x14ac:dyDescent="0.4">
      <c r="A3397" s="1">
        <v>202650003332</v>
      </c>
      <c r="B3397" s="1">
        <v>1162026</v>
      </c>
      <c r="C3397" s="2">
        <v>46127</v>
      </c>
      <c r="D3397" t="s">
        <v>17</v>
      </c>
      <c r="E3397" t="s">
        <v>8</v>
      </c>
      <c r="G3397" t="s">
        <v>9</v>
      </c>
      <c r="L3397">
        <f t="shared" si="267"/>
        <v>0</v>
      </c>
      <c r="M3397">
        <f t="shared" si="268"/>
        <v>0</v>
      </c>
      <c r="N3397">
        <f t="shared" si="269"/>
        <v>0</v>
      </c>
      <c r="O3397">
        <f t="shared" si="270"/>
        <v>1</v>
      </c>
      <c r="P3397" t="str">
        <f t="shared" si="271"/>
        <v/>
      </c>
      <c r="Q3397">
        <f>COUNTIF('責任職　企業局→市長部局'!A:A,SQLデータ!B3397)</f>
        <v>0</v>
      </c>
      <c r="R3397">
        <f>COUNTIF('一般職員　企業局→市長部局'!A:F,SQLデータ!B3397)</f>
        <v>0</v>
      </c>
    </row>
    <row r="3398" spans="1:18" x14ac:dyDescent="0.4">
      <c r="A3398" s="1">
        <v>202650003333</v>
      </c>
      <c r="B3398" s="1">
        <v>1111415</v>
      </c>
      <c r="C3398" s="2">
        <v>46127</v>
      </c>
      <c r="D3398" t="s">
        <v>17</v>
      </c>
      <c r="E3398" t="s">
        <v>8</v>
      </c>
      <c r="G3398" t="s">
        <v>9</v>
      </c>
      <c r="L3398">
        <f t="shared" si="267"/>
        <v>0</v>
      </c>
      <c r="M3398">
        <f t="shared" si="268"/>
        <v>0</v>
      </c>
      <c r="N3398">
        <f t="shared" si="269"/>
        <v>0</v>
      </c>
      <c r="O3398">
        <f t="shared" si="270"/>
        <v>1</v>
      </c>
      <c r="P3398" t="str">
        <f t="shared" si="271"/>
        <v/>
      </c>
      <c r="Q3398">
        <f>COUNTIF('責任職　企業局→市長部局'!A:A,SQLデータ!B3398)</f>
        <v>0</v>
      </c>
      <c r="R3398">
        <f>COUNTIF('一般職員　企業局→市長部局'!A:F,SQLデータ!B3398)</f>
        <v>0</v>
      </c>
    </row>
    <row r="3399" spans="1:18" x14ac:dyDescent="0.4">
      <c r="A3399" s="1">
        <v>202650003334</v>
      </c>
      <c r="B3399" s="1">
        <v>1201116</v>
      </c>
      <c r="C3399" s="2">
        <v>46127</v>
      </c>
      <c r="D3399" t="s">
        <v>17</v>
      </c>
      <c r="E3399" t="s">
        <v>8</v>
      </c>
      <c r="G3399" t="s">
        <v>9</v>
      </c>
      <c r="L3399">
        <f t="shared" si="267"/>
        <v>0</v>
      </c>
      <c r="M3399">
        <f t="shared" si="268"/>
        <v>0</v>
      </c>
      <c r="N3399">
        <f t="shared" si="269"/>
        <v>0</v>
      </c>
      <c r="O3399">
        <f t="shared" si="270"/>
        <v>1</v>
      </c>
      <c r="P3399" t="str">
        <f t="shared" si="271"/>
        <v/>
      </c>
      <c r="Q3399">
        <f>COUNTIF('責任職　企業局→市長部局'!A:A,SQLデータ!B3399)</f>
        <v>0</v>
      </c>
      <c r="R3399">
        <f>COUNTIF('一般職員　企業局→市長部局'!A:F,SQLデータ!B3399)</f>
        <v>0</v>
      </c>
    </row>
    <row r="3400" spans="1:18" x14ac:dyDescent="0.4">
      <c r="A3400" s="1">
        <v>202650003335</v>
      </c>
      <c r="B3400" s="1">
        <v>1222036</v>
      </c>
      <c r="C3400" s="2">
        <v>46127</v>
      </c>
      <c r="D3400" t="s">
        <v>17</v>
      </c>
      <c r="E3400" t="s">
        <v>8</v>
      </c>
      <c r="G3400" t="s">
        <v>9</v>
      </c>
      <c r="L3400">
        <f t="shared" si="267"/>
        <v>0</v>
      </c>
      <c r="M3400">
        <f t="shared" si="268"/>
        <v>0</v>
      </c>
      <c r="N3400">
        <f t="shared" si="269"/>
        <v>0</v>
      </c>
      <c r="O3400">
        <f t="shared" si="270"/>
        <v>1</v>
      </c>
      <c r="P3400" t="str">
        <f t="shared" si="271"/>
        <v/>
      </c>
      <c r="Q3400">
        <f>COUNTIF('責任職　企業局→市長部局'!A:A,SQLデータ!B3400)</f>
        <v>0</v>
      </c>
      <c r="R3400">
        <f>COUNTIF('一般職員　企業局→市長部局'!A:F,SQLデータ!B3400)</f>
        <v>0</v>
      </c>
    </row>
    <row r="3401" spans="1:18" x14ac:dyDescent="0.4">
      <c r="A3401" s="1">
        <v>202650003336</v>
      </c>
      <c r="B3401" s="1">
        <v>991180</v>
      </c>
      <c r="C3401" s="2">
        <v>46127</v>
      </c>
      <c r="D3401" t="s">
        <v>17</v>
      </c>
      <c r="E3401" t="s">
        <v>8</v>
      </c>
      <c r="G3401" t="s">
        <v>9</v>
      </c>
      <c r="L3401">
        <f t="shared" si="267"/>
        <v>0</v>
      </c>
      <c r="M3401">
        <f t="shared" si="268"/>
        <v>0</v>
      </c>
      <c r="N3401">
        <f t="shared" si="269"/>
        <v>0</v>
      </c>
      <c r="O3401">
        <f t="shared" si="270"/>
        <v>1</v>
      </c>
      <c r="P3401" t="str">
        <f t="shared" si="271"/>
        <v/>
      </c>
      <c r="Q3401">
        <f>COUNTIF('責任職　企業局→市長部局'!A:A,SQLデータ!B3401)</f>
        <v>0</v>
      </c>
      <c r="R3401">
        <f>COUNTIF('一般職員　企業局→市長部局'!A:F,SQLデータ!B3401)</f>
        <v>0</v>
      </c>
    </row>
    <row r="3402" spans="1:18" x14ac:dyDescent="0.4">
      <c r="A3402" s="1">
        <v>202650003337</v>
      </c>
      <c r="B3402" s="1">
        <v>1211489</v>
      </c>
      <c r="C3402" s="2">
        <v>46127</v>
      </c>
      <c r="D3402" t="s">
        <v>17</v>
      </c>
      <c r="E3402" t="s">
        <v>8</v>
      </c>
      <c r="G3402" t="s">
        <v>9</v>
      </c>
      <c r="L3402">
        <f t="shared" si="267"/>
        <v>0</v>
      </c>
      <c r="M3402">
        <f t="shared" si="268"/>
        <v>0</v>
      </c>
      <c r="N3402">
        <f t="shared" si="269"/>
        <v>0</v>
      </c>
      <c r="O3402">
        <f t="shared" si="270"/>
        <v>1</v>
      </c>
      <c r="P3402" t="str">
        <f t="shared" si="271"/>
        <v/>
      </c>
      <c r="Q3402">
        <f>COUNTIF('責任職　企業局→市長部局'!A:A,SQLデータ!B3402)</f>
        <v>0</v>
      </c>
      <c r="R3402">
        <f>COUNTIF('一般職員　企業局→市長部局'!A:F,SQLデータ!B3402)</f>
        <v>0</v>
      </c>
    </row>
    <row r="3403" spans="1:18" x14ac:dyDescent="0.4">
      <c r="A3403" s="1">
        <v>202650003338</v>
      </c>
      <c r="B3403" s="1">
        <v>1211215</v>
      </c>
      <c r="C3403" s="2">
        <v>46127</v>
      </c>
      <c r="D3403" t="s">
        <v>17</v>
      </c>
      <c r="E3403" t="s">
        <v>8</v>
      </c>
      <c r="G3403" t="s">
        <v>9</v>
      </c>
      <c r="L3403">
        <f t="shared" si="267"/>
        <v>0</v>
      </c>
      <c r="M3403">
        <f t="shared" si="268"/>
        <v>0</v>
      </c>
      <c r="N3403">
        <f t="shared" si="269"/>
        <v>0</v>
      </c>
      <c r="O3403">
        <f t="shared" si="270"/>
        <v>1</v>
      </c>
      <c r="P3403" t="str">
        <f t="shared" si="271"/>
        <v/>
      </c>
      <c r="Q3403">
        <f>COUNTIF('責任職　企業局→市長部局'!A:A,SQLデータ!B3403)</f>
        <v>0</v>
      </c>
      <c r="R3403">
        <f>COUNTIF('一般職員　企業局→市長部局'!A:F,SQLデータ!B3403)</f>
        <v>0</v>
      </c>
    </row>
    <row r="3404" spans="1:18" x14ac:dyDescent="0.4">
      <c r="A3404" s="1">
        <v>202650003339</v>
      </c>
      <c r="B3404" s="1">
        <v>1261192</v>
      </c>
      <c r="C3404" s="2">
        <v>46127</v>
      </c>
      <c r="D3404" t="s">
        <v>17</v>
      </c>
      <c r="E3404" t="s">
        <v>8</v>
      </c>
      <c r="G3404" t="s">
        <v>9</v>
      </c>
      <c r="L3404">
        <f t="shared" si="267"/>
        <v>0</v>
      </c>
      <c r="M3404">
        <f t="shared" si="268"/>
        <v>0</v>
      </c>
      <c r="N3404">
        <f t="shared" si="269"/>
        <v>0</v>
      </c>
      <c r="O3404">
        <f t="shared" si="270"/>
        <v>1</v>
      </c>
      <c r="P3404" t="str">
        <f t="shared" si="271"/>
        <v/>
      </c>
      <c r="Q3404">
        <f>COUNTIF('責任職　企業局→市長部局'!A:A,SQLデータ!B3404)</f>
        <v>0</v>
      </c>
      <c r="R3404">
        <f>COUNTIF('一般職員　企業局→市長部局'!A:F,SQLデータ!B3404)</f>
        <v>0</v>
      </c>
    </row>
    <row r="3405" spans="1:18" x14ac:dyDescent="0.4">
      <c r="A3405" s="1">
        <v>202650003340</v>
      </c>
      <c r="B3405" s="1">
        <v>1121325</v>
      </c>
      <c r="C3405" s="2">
        <v>46127</v>
      </c>
      <c r="D3405" t="s">
        <v>17</v>
      </c>
      <c r="E3405" t="s">
        <v>8</v>
      </c>
      <c r="G3405" t="s">
        <v>9</v>
      </c>
      <c r="L3405">
        <f t="shared" si="267"/>
        <v>0</v>
      </c>
      <c r="M3405">
        <f t="shared" si="268"/>
        <v>0</v>
      </c>
      <c r="N3405">
        <f t="shared" si="269"/>
        <v>0</v>
      </c>
      <c r="O3405">
        <f t="shared" si="270"/>
        <v>1</v>
      </c>
      <c r="P3405" t="str">
        <f t="shared" si="271"/>
        <v/>
      </c>
      <c r="Q3405">
        <f>COUNTIF('責任職　企業局→市長部局'!A:A,SQLデータ!B3405)</f>
        <v>0</v>
      </c>
      <c r="R3405">
        <f>COUNTIF('一般職員　企業局→市長部局'!A:F,SQLデータ!B3405)</f>
        <v>0</v>
      </c>
    </row>
    <row r="3406" spans="1:18" x14ac:dyDescent="0.4">
      <c r="A3406" s="1">
        <v>202650003341</v>
      </c>
      <c r="B3406" s="1">
        <v>1221181</v>
      </c>
      <c r="C3406" s="2">
        <v>46127</v>
      </c>
      <c r="D3406" t="s">
        <v>17</v>
      </c>
      <c r="E3406" t="s">
        <v>8</v>
      </c>
      <c r="G3406" t="s">
        <v>9</v>
      </c>
      <c r="L3406">
        <f t="shared" si="267"/>
        <v>0</v>
      </c>
      <c r="M3406">
        <f t="shared" si="268"/>
        <v>0</v>
      </c>
      <c r="N3406">
        <f t="shared" si="269"/>
        <v>0</v>
      </c>
      <c r="O3406">
        <f t="shared" si="270"/>
        <v>1</v>
      </c>
      <c r="P3406" t="str">
        <f t="shared" si="271"/>
        <v/>
      </c>
      <c r="Q3406">
        <f>COUNTIF('責任職　企業局→市長部局'!A:A,SQLデータ!B3406)</f>
        <v>0</v>
      </c>
      <c r="R3406">
        <f>COUNTIF('一般職員　企業局→市長部局'!A:F,SQLデータ!B3406)</f>
        <v>0</v>
      </c>
    </row>
    <row r="3407" spans="1:18" x14ac:dyDescent="0.4">
      <c r="A3407" s="1">
        <v>202650003342</v>
      </c>
      <c r="B3407" s="1">
        <v>1223013</v>
      </c>
      <c r="C3407" s="2">
        <v>46127</v>
      </c>
      <c r="D3407" t="s">
        <v>17</v>
      </c>
      <c r="E3407" t="s">
        <v>8</v>
      </c>
      <c r="G3407" t="s">
        <v>9</v>
      </c>
      <c r="L3407">
        <f t="shared" si="267"/>
        <v>0</v>
      </c>
      <c r="M3407">
        <f t="shared" si="268"/>
        <v>0</v>
      </c>
      <c r="N3407">
        <f t="shared" si="269"/>
        <v>0</v>
      </c>
      <c r="O3407">
        <f t="shared" si="270"/>
        <v>1</v>
      </c>
      <c r="P3407" t="str">
        <f t="shared" si="271"/>
        <v/>
      </c>
      <c r="Q3407">
        <f>COUNTIF('責任職　企業局→市長部局'!A:A,SQLデータ!B3407)</f>
        <v>0</v>
      </c>
      <c r="R3407">
        <f>COUNTIF('一般職員　企業局→市長部局'!A:F,SQLデータ!B3407)</f>
        <v>0</v>
      </c>
    </row>
    <row r="3408" spans="1:18" x14ac:dyDescent="0.4">
      <c r="A3408" s="1">
        <v>202650003343</v>
      </c>
      <c r="B3408" s="1">
        <v>1042074</v>
      </c>
      <c r="C3408" s="2">
        <v>46127</v>
      </c>
      <c r="D3408" t="s">
        <v>17</v>
      </c>
      <c r="E3408" t="s">
        <v>8</v>
      </c>
      <c r="G3408" t="s">
        <v>9</v>
      </c>
      <c r="L3408">
        <f t="shared" si="267"/>
        <v>0</v>
      </c>
      <c r="M3408">
        <f t="shared" si="268"/>
        <v>0</v>
      </c>
      <c r="N3408">
        <f t="shared" si="269"/>
        <v>0</v>
      </c>
      <c r="O3408">
        <f t="shared" si="270"/>
        <v>1</v>
      </c>
      <c r="P3408" t="str">
        <f t="shared" si="271"/>
        <v/>
      </c>
      <c r="Q3408">
        <f>COUNTIF('責任職　企業局→市長部局'!A:A,SQLデータ!B3408)</f>
        <v>0</v>
      </c>
      <c r="R3408">
        <f>COUNTIF('一般職員　企業局→市長部局'!A:F,SQLデータ!B3408)</f>
        <v>0</v>
      </c>
    </row>
    <row r="3409" spans="1:18" x14ac:dyDescent="0.4">
      <c r="A3409" s="1">
        <v>202650003344</v>
      </c>
      <c r="B3409" s="1">
        <v>940547</v>
      </c>
      <c r="C3409" s="2">
        <v>46128</v>
      </c>
      <c r="D3409" t="s">
        <v>17</v>
      </c>
      <c r="E3409" t="s">
        <v>8</v>
      </c>
      <c r="G3409" t="s">
        <v>9</v>
      </c>
      <c r="L3409">
        <f t="shared" si="267"/>
        <v>0</v>
      </c>
      <c r="M3409">
        <f t="shared" si="268"/>
        <v>0</v>
      </c>
      <c r="N3409">
        <f t="shared" si="269"/>
        <v>0</v>
      </c>
      <c r="O3409">
        <f t="shared" si="270"/>
        <v>1</v>
      </c>
      <c r="P3409" t="str">
        <f t="shared" si="271"/>
        <v/>
      </c>
      <c r="Q3409">
        <f>COUNTIF('責任職　企業局→市長部局'!A:A,SQLデータ!B3409)</f>
        <v>0</v>
      </c>
      <c r="R3409">
        <f>COUNTIF('一般職員　企業局→市長部局'!A:F,SQLデータ!B3409)</f>
        <v>0</v>
      </c>
    </row>
    <row r="3410" spans="1:18" x14ac:dyDescent="0.4">
      <c r="A3410" s="1">
        <v>202650003345</v>
      </c>
      <c r="B3410" s="1">
        <v>1221287</v>
      </c>
      <c r="C3410" s="2">
        <v>46127</v>
      </c>
      <c r="D3410" t="s">
        <v>17</v>
      </c>
      <c r="E3410" t="s">
        <v>8</v>
      </c>
      <c r="G3410" t="s">
        <v>9</v>
      </c>
      <c r="L3410">
        <f t="shared" si="267"/>
        <v>0</v>
      </c>
      <c r="M3410">
        <f t="shared" si="268"/>
        <v>0</v>
      </c>
      <c r="N3410">
        <f t="shared" si="269"/>
        <v>0</v>
      </c>
      <c r="O3410">
        <f t="shared" si="270"/>
        <v>1</v>
      </c>
      <c r="P3410" t="str">
        <f t="shared" si="271"/>
        <v/>
      </c>
      <c r="Q3410">
        <f>COUNTIF('責任職　企業局→市長部局'!A:A,SQLデータ!B3410)</f>
        <v>0</v>
      </c>
      <c r="R3410">
        <f>COUNTIF('一般職員　企業局→市長部局'!A:F,SQLデータ!B3410)</f>
        <v>0</v>
      </c>
    </row>
    <row r="3411" spans="1:18" x14ac:dyDescent="0.4">
      <c r="A3411" s="1">
        <v>202650003346</v>
      </c>
      <c r="B3411" s="1">
        <v>1121251</v>
      </c>
      <c r="C3411" s="2">
        <v>46127</v>
      </c>
      <c r="D3411" t="s">
        <v>17</v>
      </c>
      <c r="E3411" t="s">
        <v>8</v>
      </c>
      <c r="G3411" t="s">
        <v>9</v>
      </c>
      <c r="L3411">
        <f t="shared" si="267"/>
        <v>0</v>
      </c>
      <c r="M3411">
        <f t="shared" si="268"/>
        <v>0</v>
      </c>
      <c r="N3411">
        <f t="shared" si="269"/>
        <v>0</v>
      </c>
      <c r="O3411">
        <f t="shared" si="270"/>
        <v>1</v>
      </c>
      <c r="P3411" t="str">
        <f t="shared" si="271"/>
        <v/>
      </c>
      <c r="Q3411">
        <f>COUNTIF('責任職　企業局→市長部局'!A:A,SQLデータ!B3411)</f>
        <v>0</v>
      </c>
      <c r="R3411">
        <f>COUNTIF('一般職員　企業局→市長部局'!A:F,SQLデータ!B3411)</f>
        <v>0</v>
      </c>
    </row>
    <row r="3412" spans="1:18" x14ac:dyDescent="0.4">
      <c r="A3412" s="1">
        <v>202650003347</v>
      </c>
      <c r="B3412" s="1">
        <v>1121011</v>
      </c>
      <c r="C3412" s="2">
        <v>46127</v>
      </c>
      <c r="D3412" t="s">
        <v>17</v>
      </c>
      <c r="E3412" t="s">
        <v>8</v>
      </c>
      <c r="G3412" t="s">
        <v>9</v>
      </c>
      <c r="L3412">
        <f t="shared" si="267"/>
        <v>0</v>
      </c>
      <c r="M3412">
        <f t="shared" si="268"/>
        <v>0</v>
      </c>
      <c r="N3412">
        <f t="shared" si="269"/>
        <v>0</v>
      </c>
      <c r="O3412">
        <f t="shared" si="270"/>
        <v>1</v>
      </c>
      <c r="P3412" t="str">
        <f t="shared" si="271"/>
        <v/>
      </c>
      <c r="Q3412">
        <f>COUNTIF('責任職　企業局→市長部局'!A:A,SQLデータ!B3412)</f>
        <v>0</v>
      </c>
      <c r="R3412">
        <f>COUNTIF('一般職員　企業局→市長部局'!A:F,SQLデータ!B3412)</f>
        <v>0</v>
      </c>
    </row>
    <row r="3413" spans="1:18" x14ac:dyDescent="0.4">
      <c r="A3413" s="1">
        <v>202650003348</v>
      </c>
      <c r="B3413" s="1">
        <v>1191100</v>
      </c>
      <c r="C3413" s="2">
        <v>46127</v>
      </c>
      <c r="D3413" t="s">
        <v>17</v>
      </c>
      <c r="E3413" t="s">
        <v>8</v>
      </c>
      <c r="G3413" t="s">
        <v>9</v>
      </c>
      <c r="L3413">
        <f t="shared" si="267"/>
        <v>0</v>
      </c>
      <c r="M3413">
        <f t="shared" si="268"/>
        <v>0</v>
      </c>
      <c r="N3413">
        <f t="shared" si="269"/>
        <v>0</v>
      </c>
      <c r="O3413">
        <f t="shared" si="270"/>
        <v>1</v>
      </c>
      <c r="P3413" t="str">
        <f t="shared" si="271"/>
        <v/>
      </c>
      <c r="Q3413">
        <f>COUNTIF('責任職　企業局→市長部局'!A:A,SQLデータ!B3413)</f>
        <v>0</v>
      </c>
      <c r="R3413">
        <f>COUNTIF('一般職員　企業局→市長部局'!A:F,SQLデータ!B3413)</f>
        <v>0</v>
      </c>
    </row>
    <row r="3414" spans="1:18" x14ac:dyDescent="0.4">
      <c r="A3414" s="1">
        <v>202650003349</v>
      </c>
      <c r="B3414" s="1">
        <v>1116047</v>
      </c>
      <c r="C3414" s="2">
        <v>46127</v>
      </c>
      <c r="D3414" t="s">
        <v>17</v>
      </c>
      <c r="E3414" t="s">
        <v>8</v>
      </c>
      <c r="G3414" t="s">
        <v>9</v>
      </c>
      <c r="L3414">
        <f t="shared" si="267"/>
        <v>0</v>
      </c>
      <c r="M3414">
        <f t="shared" si="268"/>
        <v>0</v>
      </c>
      <c r="N3414">
        <f t="shared" si="269"/>
        <v>0</v>
      </c>
      <c r="O3414">
        <f t="shared" si="270"/>
        <v>1</v>
      </c>
      <c r="P3414" t="str">
        <f t="shared" si="271"/>
        <v/>
      </c>
      <c r="Q3414">
        <f>COUNTIF('責任職　企業局→市長部局'!A:A,SQLデータ!B3414)</f>
        <v>0</v>
      </c>
      <c r="R3414">
        <f>COUNTIF('一般職員　企業局→市長部局'!A:F,SQLデータ!B3414)</f>
        <v>0</v>
      </c>
    </row>
    <row r="3415" spans="1:18" x14ac:dyDescent="0.4">
      <c r="A3415" s="1">
        <v>202650003350</v>
      </c>
      <c r="B3415" s="1">
        <v>940511</v>
      </c>
      <c r="C3415" s="2">
        <v>46128</v>
      </c>
      <c r="D3415" t="s">
        <v>17</v>
      </c>
      <c r="E3415" t="s">
        <v>8</v>
      </c>
      <c r="G3415" t="s">
        <v>9</v>
      </c>
      <c r="L3415">
        <f t="shared" si="267"/>
        <v>0</v>
      </c>
      <c r="M3415">
        <f t="shared" si="268"/>
        <v>0</v>
      </c>
      <c r="N3415">
        <f t="shared" si="269"/>
        <v>0</v>
      </c>
      <c r="O3415">
        <f t="shared" si="270"/>
        <v>1</v>
      </c>
      <c r="P3415" t="str">
        <f t="shared" si="271"/>
        <v/>
      </c>
      <c r="Q3415">
        <f>COUNTIF('責任職　企業局→市長部局'!A:A,SQLデータ!B3415)</f>
        <v>0</v>
      </c>
      <c r="R3415">
        <f>COUNTIF('一般職員　企業局→市長部局'!A:F,SQLデータ!B3415)</f>
        <v>0</v>
      </c>
    </row>
    <row r="3416" spans="1:18" x14ac:dyDescent="0.4">
      <c r="A3416" s="1">
        <v>202650003351</v>
      </c>
      <c r="B3416" s="1">
        <v>1221161</v>
      </c>
      <c r="C3416" s="2">
        <v>46127</v>
      </c>
      <c r="D3416" t="s">
        <v>17</v>
      </c>
      <c r="E3416" t="s">
        <v>8</v>
      </c>
      <c r="G3416" t="s">
        <v>9</v>
      </c>
      <c r="L3416">
        <f t="shared" si="267"/>
        <v>0</v>
      </c>
      <c r="M3416">
        <f t="shared" si="268"/>
        <v>0</v>
      </c>
      <c r="N3416">
        <f t="shared" si="269"/>
        <v>0</v>
      </c>
      <c r="O3416">
        <f t="shared" si="270"/>
        <v>1</v>
      </c>
      <c r="P3416" t="str">
        <f t="shared" si="271"/>
        <v/>
      </c>
      <c r="Q3416">
        <f>COUNTIF('責任職　企業局→市長部局'!A:A,SQLデータ!B3416)</f>
        <v>0</v>
      </c>
      <c r="R3416">
        <f>COUNTIF('一般職員　企業局→市長部局'!A:F,SQLデータ!B3416)</f>
        <v>0</v>
      </c>
    </row>
    <row r="3417" spans="1:18" x14ac:dyDescent="0.4">
      <c r="A3417" s="1">
        <v>202650003352</v>
      </c>
      <c r="B3417" s="1">
        <v>1031154</v>
      </c>
      <c r="C3417" s="2">
        <v>46127</v>
      </c>
      <c r="D3417" t="s">
        <v>17</v>
      </c>
      <c r="E3417" t="s">
        <v>8</v>
      </c>
      <c r="G3417" t="s">
        <v>9</v>
      </c>
      <c r="L3417">
        <f t="shared" si="267"/>
        <v>0</v>
      </c>
      <c r="M3417">
        <f t="shared" si="268"/>
        <v>0</v>
      </c>
      <c r="N3417">
        <f t="shared" si="269"/>
        <v>0</v>
      </c>
      <c r="O3417">
        <f t="shared" si="270"/>
        <v>1</v>
      </c>
      <c r="P3417" t="str">
        <f t="shared" si="271"/>
        <v/>
      </c>
      <c r="Q3417">
        <f>COUNTIF('責任職　企業局→市長部局'!A:A,SQLデータ!B3417)</f>
        <v>0</v>
      </c>
      <c r="R3417">
        <f>COUNTIF('一般職員　企業局→市長部局'!A:F,SQLデータ!B3417)</f>
        <v>0</v>
      </c>
    </row>
    <row r="3418" spans="1:18" x14ac:dyDescent="0.4">
      <c r="A3418" s="1">
        <v>202650003353</v>
      </c>
      <c r="B3418" s="1">
        <v>1231124</v>
      </c>
      <c r="C3418" s="2">
        <v>46127</v>
      </c>
      <c r="D3418" t="s">
        <v>17</v>
      </c>
      <c r="E3418" t="s">
        <v>8</v>
      </c>
      <c r="G3418" t="s">
        <v>9</v>
      </c>
      <c r="L3418">
        <f t="shared" si="267"/>
        <v>0</v>
      </c>
      <c r="M3418">
        <f t="shared" si="268"/>
        <v>0</v>
      </c>
      <c r="N3418">
        <f t="shared" si="269"/>
        <v>0</v>
      </c>
      <c r="O3418">
        <f t="shared" si="270"/>
        <v>1</v>
      </c>
      <c r="P3418" t="str">
        <f t="shared" si="271"/>
        <v/>
      </c>
      <c r="Q3418">
        <f>COUNTIF('責任職　企業局→市長部局'!A:A,SQLデータ!B3418)</f>
        <v>0</v>
      </c>
      <c r="R3418">
        <f>COUNTIF('一般職員　企業局→市長部局'!A:F,SQLデータ!B3418)</f>
        <v>0</v>
      </c>
    </row>
    <row r="3419" spans="1:18" x14ac:dyDescent="0.4">
      <c r="A3419" s="1">
        <v>202650003354</v>
      </c>
      <c r="B3419" s="1">
        <v>1221452</v>
      </c>
      <c r="C3419" s="2">
        <v>46127</v>
      </c>
      <c r="D3419" t="s">
        <v>17</v>
      </c>
      <c r="E3419" t="s">
        <v>8</v>
      </c>
      <c r="G3419" t="s">
        <v>9</v>
      </c>
      <c r="L3419">
        <f t="shared" si="267"/>
        <v>0</v>
      </c>
      <c r="M3419">
        <f t="shared" si="268"/>
        <v>0</v>
      </c>
      <c r="N3419">
        <f t="shared" si="269"/>
        <v>0</v>
      </c>
      <c r="O3419">
        <f t="shared" si="270"/>
        <v>1</v>
      </c>
      <c r="P3419" t="str">
        <f t="shared" si="271"/>
        <v/>
      </c>
      <c r="Q3419">
        <f>COUNTIF('責任職　企業局→市長部局'!A:A,SQLデータ!B3419)</f>
        <v>0</v>
      </c>
      <c r="R3419">
        <f>COUNTIF('一般職員　企業局→市長部局'!A:F,SQLデータ!B3419)</f>
        <v>0</v>
      </c>
    </row>
    <row r="3420" spans="1:18" x14ac:dyDescent="0.4">
      <c r="A3420" s="1">
        <v>202650003355</v>
      </c>
      <c r="B3420" s="1">
        <v>1061118</v>
      </c>
      <c r="C3420" s="2">
        <v>46127</v>
      </c>
      <c r="D3420" t="s">
        <v>17</v>
      </c>
      <c r="E3420" t="s">
        <v>8</v>
      </c>
      <c r="G3420" t="s">
        <v>9</v>
      </c>
      <c r="L3420">
        <f t="shared" si="267"/>
        <v>0</v>
      </c>
      <c r="M3420">
        <f t="shared" si="268"/>
        <v>0</v>
      </c>
      <c r="N3420">
        <f t="shared" si="269"/>
        <v>0</v>
      </c>
      <c r="O3420">
        <f t="shared" si="270"/>
        <v>1</v>
      </c>
      <c r="P3420" t="str">
        <f t="shared" si="271"/>
        <v/>
      </c>
      <c r="Q3420">
        <f>COUNTIF('責任職　企業局→市長部局'!A:A,SQLデータ!B3420)</f>
        <v>0</v>
      </c>
      <c r="R3420">
        <f>COUNTIF('一般職員　企業局→市長部局'!A:F,SQLデータ!B3420)</f>
        <v>0</v>
      </c>
    </row>
    <row r="3421" spans="1:18" x14ac:dyDescent="0.4">
      <c r="A3421" s="1">
        <v>202650003356</v>
      </c>
      <c r="B3421" s="1">
        <v>1114008</v>
      </c>
      <c r="C3421" s="2">
        <v>46127</v>
      </c>
      <c r="D3421" t="s">
        <v>17</v>
      </c>
      <c r="E3421" t="s">
        <v>8</v>
      </c>
      <c r="G3421" t="s">
        <v>9</v>
      </c>
      <c r="L3421">
        <f t="shared" si="267"/>
        <v>0</v>
      </c>
      <c r="M3421">
        <f t="shared" si="268"/>
        <v>0</v>
      </c>
      <c r="N3421">
        <f t="shared" si="269"/>
        <v>0</v>
      </c>
      <c r="O3421">
        <f t="shared" si="270"/>
        <v>1</v>
      </c>
      <c r="P3421" t="str">
        <f t="shared" si="271"/>
        <v/>
      </c>
      <c r="Q3421">
        <f>COUNTIF('責任職　企業局→市長部局'!A:A,SQLデータ!B3421)</f>
        <v>0</v>
      </c>
      <c r="R3421">
        <f>COUNTIF('一般職員　企業局→市長部局'!A:F,SQLデータ!B3421)</f>
        <v>0</v>
      </c>
    </row>
    <row r="3422" spans="1:18" x14ac:dyDescent="0.4">
      <c r="A3422" s="1">
        <v>202650003357</v>
      </c>
      <c r="B3422" s="1">
        <v>1232066</v>
      </c>
      <c r="C3422" s="2">
        <v>46127</v>
      </c>
      <c r="D3422" t="s">
        <v>17</v>
      </c>
      <c r="E3422" t="s">
        <v>8</v>
      </c>
      <c r="G3422" t="s">
        <v>9</v>
      </c>
      <c r="L3422">
        <f t="shared" si="267"/>
        <v>0</v>
      </c>
      <c r="M3422">
        <f t="shared" si="268"/>
        <v>0</v>
      </c>
      <c r="N3422">
        <f t="shared" si="269"/>
        <v>0</v>
      </c>
      <c r="O3422">
        <f t="shared" si="270"/>
        <v>1</v>
      </c>
      <c r="P3422" t="str">
        <f t="shared" si="271"/>
        <v/>
      </c>
      <c r="Q3422">
        <f>COUNTIF('責任職　企業局→市長部局'!A:A,SQLデータ!B3422)</f>
        <v>0</v>
      </c>
      <c r="R3422">
        <f>COUNTIF('一般職員　企業局→市長部局'!A:F,SQLデータ!B3422)</f>
        <v>0</v>
      </c>
    </row>
    <row r="3423" spans="1:18" x14ac:dyDescent="0.4">
      <c r="A3423" s="1">
        <v>202650003358</v>
      </c>
      <c r="B3423" s="1">
        <v>1193008</v>
      </c>
      <c r="C3423" s="2">
        <v>46127</v>
      </c>
      <c r="D3423" t="s">
        <v>17</v>
      </c>
      <c r="E3423" t="s">
        <v>8</v>
      </c>
      <c r="G3423" t="s">
        <v>9</v>
      </c>
      <c r="L3423">
        <f t="shared" si="267"/>
        <v>0</v>
      </c>
      <c r="M3423">
        <f t="shared" si="268"/>
        <v>0</v>
      </c>
      <c r="N3423">
        <f t="shared" si="269"/>
        <v>0</v>
      </c>
      <c r="O3423">
        <f t="shared" si="270"/>
        <v>1</v>
      </c>
      <c r="P3423" t="str">
        <f t="shared" si="271"/>
        <v/>
      </c>
      <c r="Q3423">
        <f>COUNTIF('責任職　企業局→市長部局'!A:A,SQLデータ!B3423)</f>
        <v>0</v>
      </c>
      <c r="R3423">
        <f>COUNTIF('一般職員　企業局→市長部局'!A:F,SQLデータ!B3423)</f>
        <v>0</v>
      </c>
    </row>
    <row r="3424" spans="1:18" x14ac:dyDescent="0.4">
      <c r="A3424" s="1">
        <v>202650003359</v>
      </c>
      <c r="B3424" s="1">
        <v>1231099</v>
      </c>
      <c r="C3424" s="2">
        <v>46127</v>
      </c>
      <c r="D3424" t="s">
        <v>17</v>
      </c>
      <c r="E3424" t="s">
        <v>8</v>
      </c>
      <c r="G3424" t="s">
        <v>9</v>
      </c>
      <c r="L3424">
        <f t="shared" si="267"/>
        <v>0</v>
      </c>
      <c r="M3424">
        <f t="shared" si="268"/>
        <v>0</v>
      </c>
      <c r="N3424">
        <f t="shared" si="269"/>
        <v>0</v>
      </c>
      <c r="O3424">
        <f t="shared" si="270"/>
        <v>1</v>
      </c>
      <c r="P3424" t="str">
        <f t="shared" si="271"/>
        <v/>
      </c>
      <c r="Q3424">
        <f>COUNTIF('責任職　企業局→市長部局'!A:A,SQLデータ!B3424)</f>
        <v>0</v>
      </c>
      <c r="R3424">
        <f>COUNTIF('一般職員　企業局→市長部局'!A:F,SQLデータ!B3424)</f>
        <v>0</v>
      </c>
    </row>
    <row r="3425" spans="1:18" x14ac:dyDescent="0.4">
      <c r="A3425" s="1">
        <v>202650003360</v>
      </c>
      <c r="B3425" s="1">
        <v>910376</v>
      </c>
      <c r="C3425" s="2">
        <v>46127</v>
      </c>
      <c r="D3425" t="s">
        <v>17</v>
      </c>
      <c r="E3425" t="s">
        <v>8</v>
      </c>
      <c r="G3425" t="s">
        <v>9</v>
      </c>
      <c r="L3425">
        <f t="shared" si="267"/>
        <v>0</v>
      </c>
      <c r="M3425">
        <f t="shared" si="268"/>
        <v>0</v>
      </c>
      <c r="N3425">
        <f t="shared" si="269"/>
        <v>0</v>
      </c>
      <c r="O3425">
        <f t="shared" si="270"/>
        <v>1</v>
      </c>
      <c r="P3425" t="str">
        <f t="shared" si="271"/>
        <v/>
      </c>
      <c r="Q3425">
        <f>COUNTIF('責任職　企業局→市長部局'!A:A,SQLデータ!B3425)</f>
        <v>0</v>
      </c>
      <c r="R3425">
        <f>COUNTIF('一般職員　企業局→市長部局'!A:F,SQLデータ!B3425)</f>
        <v>0</v>
      </c>
    </row>
    <row r="3426" spans="1:18" x14ac:dyDescent="0.4">
      <c r="A3426" s="1">
        <v>202650003361</v>
      </c>
      <c r="B3426" s="1">
        <v>1161483</v>
      </c>
      <c r="C3426" s="2">
        <v>46128</v>
      </c>
      <c r="D3426" t="s">
        <v>17</v>
      </c>
      <c r="E3426" t="s">
        <v>8</v>
      </c>
      <c r="G3426" t="s">
        <v>9</v>
      </c>
      <c r="L3426">
        <f t="shared" ref="L3426:L3489" si="272">IF(ISBLANK(J3426),0,1)</f>
        <v>0</v>
      </c>
      <c r="M3426">
        <f t="shared" ref="M3426:M3489" si="273">IF(AND(L3426=0,I3426&lt;&gt;""),1,0)</f>
        <v>0</v>
      </c>
      <c r="N3426">
        <f t="shared" ref="N3426:N3489" si="274">IF(AND(L3426=0,M3426=0,K3426&lt;&gt;""),1,0)</f>
        <v>0</v>
      </c>
      <c r="O3426">
        <f t="shared" ref="O3426:O3489" si="275">IF(COUNTIF(L3426:N3426,0)=3,1,0)</f>
        <v>1</v>
      </c>
      <c r="P3426" t="str">
        <f t="shared" ref="P3426:P3489" si="276">IF(D3426&lt;&gt;"扶養","",IF(E3426&lt;&gt;"確認待ち",1,IF(OR(AND(G3426="本人の結婚",O3426=1),AND(H3426="減",OR(N3426=1,O3426=1))),1,0)))</f>
        <v/>
      </c>
      <c r="Q3426">
        <f>COUNTIF('責任職　企業局→市長部局'!A:A,SQLデータ!B3426)</f>
        <v>0</v>
      </c>
      <c r="R3426">
        <f>COUNTIF('一般職員　企業局→市長部局'!A:F,SQLデータ!B3426)</f>
        <v>0</v>
      </c>
    </row>
    <row r="3427" spans="1:18" x14ac:dyDescent="0.4">
      <c r="A3427" s="1">
        <v>202650003362</v>
      </c>
      <c r="B3427" s="1">
        <v>1221405</v>
      </c>
      <c r="C3427" s="2">
        <v>46127</v>
      </c>
      <c r="D3427" t="s">
        <v>17</v>
      </c>
      <c r="E3427" t="s">
        <v>8</v>
      </c>
      <c r="G3427" t="s">
        <v>9</v>
      </c>
      <c r="L3427">
        <f t="shared" si="272"/>
        <v>0</v>
      </c>
      <c r="M3427">
        <f t="shared" si="273"/>
        <v>0</v>
      </c>
      <c r="N3427">
        <f t="shared" si="274"/>
        <v>0</v>
      </c>
      <c r="O3427">
        <f t="shared" si="275"/>
        <v>1</v>
      </c>
      <c r="P3427" t="str">
        <f t="shared" si="276"/>
        <v/>
      </c>
      <c r="Q3427">
        <f>COUNTIF('責任職　企業局→市長部局'!A:A,SQLデータ!B3427)</f>
        <v>0</v>
      </c>
      <c r="R3427">
        <f>COUNTIF('一般職員　企業局→市長部局'!A:F,SQLデータ!B3427)</f>
        <v>0</v>
      </c>
    </row>
    <row r="3428" spans="1:18" x14ac:dyDescent="0.4">
      <c r="A3428" s="1">
        <v>202650003363</v>
      </c>
      <c r="B3428" s="1">
        <v>1171460</v>
      </c>
      <c r="C3428" s="2">
        <v>46127</v>
      </c>
      <c r="D3428" t="s">
        <v>17</v>
      </c>
      <c r="E3428" t="s">
        <v>8</v>
      </c>
      <c r="G3428" t="s">
        <v>9</v>
      </c>
      <c r="L3428">
        <f t="shared" si="272"/>
        <v>0</v>
      </c>
      <c r="M3428">
        <f t="shared" si="273"/>
        <v>0</v>
      </c>
      <c r="N3428">
        <f t="shared" si="274"/>
        <v>0</v>
      </c>
      <c r="O3428">
        <f t="shared" si="275"/>
        <v>1</v>
      </c>
      <c r="P3428" t="str">
        <f t="shared" si="276"/>
        <v/>
      </c>
      <c r="Q3428">
        <f>COUNTIF('責任職　企業局→市長部局'!A:A,SQLデータ!B3428)</f>
        <v>0</v>
      </c>
      <c r="R3428">
        <f>COUNTIF('一般職員　企業局→市長部局'!A:F,SQLデータ!B3428)</f>
        <v>0</v>
      </c>
    </row>
    <row r="3429" spans="1:18" x14ac:dyDescent="0.4">
      <c r="A3429" s="1">
        <v>202650003364</v>
      </c>
      <c r="B3429" s="1">
        <v>1220010</v>
      </c>
      <c r="C3429" s="2">
        <v>46127</v>
      </c>
      <c r="D3429" t="s">
        <v>17</v>
      </c>
      <c r="E3429" t="s">
        <v>8</v>
      </c>
      <c r="G3429" t="s">
        <v>9</v>
      </c>
      <c r="L3429">
        <f t="shared" si="272"/>
        <v>0</v>
      </c>
      <c r="M3429">
        <f t="shared" si="273"/>
        <v>0</v>
      </c>
      <c r="N3429">
        <f t="shared" si="274"/>
        <v>0</v>
      </c>
      <c r="O3429">
        <f t="shared" si="275"/>
        <v>1</v>
      </c>
      <c r="P3429" t="str">
        <f t="shared" si="276"/>
        <v/>
      </c>
      <c r="Q3429">
        <f>COUNTIF('責任職　企業局→市長部局'!A:A,SQLデータ!B3429)</f>
        <v>0</v>
      </c>
      <c r="R3429">
        <f>COUNTIF('一般職員　企業局→市長部局'!A:F,SQLデータ!B3429)</f>
        <v>0</v>
      </c>
    </row>
    <row r="3430" spans="1:18" x14ac:dyDescent="0.4">
      <c r="A3430" s="1">
        <v>202650003365</v>
      </c>
      <c r="B3430" s="1">
        <v>930479</v>
      </c>
      <c r="C3430" s="2">
        <v>46127</v>
      </c>
      <c r="D3430" t="s">
        <v>17</v>
      </c>
      <c r="E3430" t="s">
        <v>8</v>
      </c>
      <c r="G3430" t="s">
        <v>9</v>
      </c>
      <c r="L3430">
        <f t="shared" si="272"/>
        <v>0</v>
      </c>
      <c r="M3430">
        <f t="shared" si="273"/>
        <v>0</v>
      </c>
      <c r="N3430">
        <f t="shared" si="274"/>
        <v>0</v>
      </c>
      <c r="O3430">
        <f t="shared" si="275"/>
        <v>1</v>
      </c>
      <c r="P3430" t="str">
        <f t="shared" si="276"/>
        <v/>
      </c>
      <c r="Q3430">
        <f>COUNTIF('責任職　企業局→市長部局'!A:A,SQLデータ!B3430)</f>
        <v>0</v>
      </c>
      <c r="R3430">
        <f>COUNTIF('一般職員　企業局→市長部局'!A:F,SQLデータ!B3430)</f>
        <v>0</v>
      </c>
    </row>
    <row r="3431" spans="1:18" x14ac:dyDescent="0.4">
      <c r="A3431" s="1">
        <v>202650003366</v>
      </c>
      <c r="B3431" s="1">
        <v>1231370</v>
      </c>
      <c r="C3431" s="2">
        <v>46129</v>
      </c>
      <c r="D3431" t="s">
        <v>17</v>
      </c>
      <c r="E3431" t="s">
        <v>8</v>
      </c>
      <c r="G3431" t="s">
        <v>9</v>
      </c>
      <c r="L3431">
        <f t="shared" si="272"/>
        <v>0</v>
      </c>
      <c r="M3431">
        <f t="shared" si="273"/>
        <v>0</v>
      </c>
      <c r="N3431">
        <f t="shared" si="274"/>
        <v>0</v>
      </c>
      <c r="O3431">
        <f t="shared" si="275"/>
        <v>1</v>
      </c>
      <c r="P3431" t="str">
        <f t="shared" si="276"/>
        <v/>
      </c>
      <c r="Q3431">
        <f>COUNTIF('責任職　企業局→市長部局'!A:A,SQLデータ!B3431)</f>
        <v>0</v>
      </c>
      <c r="R3431">
        <f>COUNTIF('一般職員　企業局→市長部局'!A:F,SQLデータ!B3431)</f>
        <v>0</v>
      </c>
    </row>
    <row r="3432" spans="1:18" x14ac:dyDescent="0.4">
      <c r="A3432" s="1">
        <v>202650003367</v>
      </c>
      <c r="B3432" s="1">
        <v>1211057</v>
      </c>
      <c r="C3432" s="2">
        <v>46127</v>
      </c>
      <c r="D3432" t="s">
        <v>17</v>
      </c>
      <c r="E3432" t="s">
        <v>8</v>
      </c>
      <c r="G3432" t="s">
        <v>9</v>
      </c>
      <c r="L3432">
        <f t="shared" si="272"/>
        <v>0</v>
      </c>
      <c r="M3432">
        <f t="shared" si="273"/>
        <v>0</v>
      </c>
      <c r="N3432">
        <f t="shared" si="274"/>
        <v>0</v>
      </c>
      <c r="O3432">
        <f t="shared" si="275"/>
        <v>1</v>
      </c>
      <c r="P3432" t="str">
        <f t="shared" si="276"/>
        <v/>
      </c>
      <c r="Q3432">
        <f>COUNTIF('責任職　企業局→市長部局'!A:A,SQLデータ!B3432)</f>
        <v>0</v>
      </c>
      <c r="R3432">
        <f>COUNTIF('一般職員　企業局→市長部局'!A:F,SQLデータ!B3432)</f>
        <v>0</v>
      </c>
    </row>
    <row r="3433" spans="1:18" x14ac:dyDescent="0.4">
      <c r="A3433" s="1">
        <v>202650003369</v>
      </c>
      <c r="B3433" s="1">
        <v>900209</v>
      </c>
      <c r="C3433" s="2">
        <v>46127</v>
      </c>
      <c r="D3433" t="s">
        <v>17</v>
      </c>
      <c r="E3433" t="s">
        <v>8</v>
      </c>
      <c r="G3433" t="s">
        <v>9</v>
      </c>
      <c r="L3433">
        <f t="shared" si="272"/>
        <v>0</v>
      </c>
      <c r="M3433">
        <f t="shared" si="273"/>
        <v>0</v>
      </c>
      <c r="N3433">
        <f t="shared" si="274"/>
        <v>0</v>
      </c>
      <c r="O3433">
        <f t="shared" si="275"/>
        <v>1</v>
      </c>
      <c r="P3433" t="str">
        <f t="shared" si="276"/>
        <v/>
      </c>
      <c r="Q3433">
        <f>COUNTIF('責任職　企業局→市長部局'!A:A,SQLデータ!B3433)</f>
        <v>0</v>
      </c>
      <c r="R3433">
        <f>COUNTIF('一般職員　企業局→市長部局'!A:F,SQLデータ!B3433)</f>
        <v>0</v>
      </c>
    </row>
    <row r="3434" spans="1:18" x14ac:dyDescent="0.4">
      <c r="A3434" s="1">
        <v>202650003370</v>
      </c>
      <c r="B3434" s="1">
        <v>1081285</v>
      </c>
      <c r="C3434" s="2">
        <v>46127</v>
      </c>
      <c r="D3434" t="s">
        <v>17</v>
      </c>
      <c r="E3434" t="s">
        <v>8</v>
      </c>
      <c r="G3434" t="s">
        <v>9</v>
      </c>
      <c r="L3434">
        <f t="shared" si="272"/>
        <v>0</v>
      </c>
      <c r="M3434">
        <f t="shared" si="273"/>
        <v>0</v>
      </c>
      <c r="N3434">
        <f t="shared" si="274"/>
        <v>0</v>
      </c>
      <c r="O3434">
        <f t="shared" si="275"/>
        <v>1</v>
      </c>
      <c r="P3434" t="str">
        <f t="shared" si="276"/>
        <v/>
      </c>
      <c r="Q3434">
        <f>COUNTIF('責任職　企業局→市長部局'!A:A,SQLデータ!B3434)</f>
        <v>0</v>
      </c>
      <c r="R3434">
        <f>COUNTIF('一般職員　企業局→市長部局'!A:F,SQLデータ!B3434)</f>
        <v>0</v>
      </c>
    </row>
    <row r="3435" spans="1:18" x14ac:dyDescent="0.4">
      <c r="A3435" s="1">
        <v>202650003371</v>
      </c>
      <c r="B3435" s="1">
        <v>920630</v>
      </c>
      <c r="C3435" s="2">
        <v>46127</v>
      </c>
      <c r="D3435" t="s">
        <v>17</v>
      </c>
      <c r="E3435" t="s">
        <v>8</v>
      </c>
      <c r="G3435" t="s">
        <v>9</v>
      </c>
      <c r="L3435">
        <f t="shared" si="272"/>
        <v>0</v>
      </c>
      <c r="M3435">
        <f t="shared" si="273"/>
        <v>0</v>
      </c>
      <c r="N3435">
        <f t="shared" si="274"/>
        <v>0</v>
      </c>
      <c r="O3435">
        <f t="shared" si="275"/>
        <v>1</v>
      </c>
      <c r="P3435" t="str">
        <f t="shared" si="276"/>
        <v/>
      </c>
      <c r="Q3435">
        <f>COUNTIF('責任職　企業局→市長部局'!A:A,SQLデータ!B3435)</f>
        <v>0</v>
      </c>
      <c r="R3435">
        <f>COUNTIF('一般職員　企業局→市長部局'!A:F,SQLデータ!B3435)</f>
        <v>0</v>
      </c>
    </row>
    <row r="3436" spans="1:18" x14ac:dyDescent="0.4">
      <c r="A3436" s="1">
        <v>202650003372</v>
      </c>
      <c r="B3436" s="1">
        <v>1041042</v>
      </c>
      <c r="C3436" s="2">
        <v>46127</v>
      </c>
      <c r="D3436" t="s">
        <v>17</v>
      </c>
      <c r="E3436" t="s">
        <v>8</v>
      </c>
      <c r="G3436" t="s">
        <v>9</v>
      </c>
      <c r="L3436">
        <f t="shared" si="272"/>
        <v>0</v>
      </c>
      <c r="M3436">
        <f t="shared" si="273"/>
        <v>0</v>
      </c>
      <c r="N3436">
        <f t="shared" si="274"/>
        <v>0</v>
      </c>
      <c r="O3436">
        <f t="shared" si="275"/>
        <v>1</v>
      </c>
      <c r="P3436" t="str">
        <f t="shared" si="276"/>
        <v/>
      </c>
      <c r="Q3436">
        <f>COUNTIF('責任職　企業局→市長部局'!A:A,SQLデータ!B3436)</f>
        <v>0</v>
      </c>
      <c r="R3436">
        <f>COUNTIF('一般職員　企業局→市長部局'!A:F,SQLデータ!B3436)</f>
        <v>0</v>
      </c>
    </row>
    <row r="3437" spans="1:18" x14ac:dyDescent="0.4">
      <c r="A3437" s="1">
        <v>202650003373</v>
      </c>
      <c r="B3437" s="1">
        <v>991227</v>
      </c>
      <c r="C3437" s="2">
        <v>46127</v>
      </c>
      <c r="D3437" t="s">
        <v>17</v>
      </c>
      <c r="E3437" t="s">
        <v>8</v>
      </c>
      <c r="G3437" t="s">
        <v>9</v>
      </c>
      <c r="L3437">
        <f t="shared" si="272"/>
        <v>0</v>
      </c>
      <c r="M3437">
        <f t="shared" si="273"/>
        <v>0</v>
      </c>
      <c r="N3437">
        <f t="shared" si="274"/>
        <v>0</v>
      </c>
      <c r="O3437">
        <f t="shared" si="275"/>
        <v>1</v>
      </c>
      <c r="P3437" t="str">
        <f t="shared" si="276"/>
        <v/>
      </c>
      <c r="Q3437">
        <f>COUNTIF('責任職　企業局→市長部局'!A:A,SQLデータ!B3437)</f>
        <v>0</v>
      </c>
      <c r="R3437">
        <f>COUNTIF('一般職員　企業局→市長部局'!A:F,SQLデータ!B3437)</f>
        <v>0</v>
      </c>
    </row>
    <row r="3438" spans="1:18" x14ac:dyDescent="0.4">
      <c r="A3438" s="1">
        <v>202650003374</v>
      </c>
      <c r="B3438" s="1">
        <v>1182030</v>
      </c>
      <c r="C3438" s="2">
        <v>46127</v>
      </c>
      <c r="D3438" t="s">
        <v>17</v>
      </c>
      <c r="E3438" t="s">
        <v>8</v>
      </c>
      <c r="G3438" t="s">
        <v>9</v>
      </c>
      <c r="L3438">
        <f t="shared" si="272"/>
        <v>0</v>
      </c>
      <c r="M3438">
        <f t="shared" si="273"/>
        <v>0</v>
      </c>
      <c r="N3438">
        <f t="shared" si="274"/>
        <v>0</v>
      </c>
      <c r="O3438">
        <f t="shared" si="275"/>
        <v>1</v>
      </c>
      <c r="P3438" t="str">
        <f t="shared" si="276"/>
        <v/>
      </c>
      <c r="Q3438">
        <f>COUNTIF('責任職　企業局→市長部局'!A:A,SQLデータ!B3438)</f>
        <v>0</v>
      </c>
      <c r="R3438">
        <f>COUNTIF('一般職員　企業局→市長部局'!A:F,SQLデータ!B3438)</f>
        <v>0</v>
      </c>
    </row>
    <row r="3439" spans="1:18" x14ac:dyDescent="0.4">
      <c r="A3439" s="1">
        <v>202650003375</v>
      </c>
      <c r="B3439" s="1">
        <v>1014009</v>
      </c>
      <c r="C3439" s="2">
        <v>46127</v>
      </c>
      <c r="D3439" t="s">
        <v>17</v>
      </c>
      <c r="E3439" t="s">
        <v>8</v>
      </c>
      <c r="G3439" t="s">
        <v>9</v>
      </c>
      <c r="L3439">
        <f t="shared" si="272"/>
        <v>0</v>
      </c>
      <c r="M3439">
        <f t="shared" si="273"/>
        <v>0</v>
      </c>
      <c r="N3439">
        <f t="shared" si="274"/>
        <v>0</v>
      </c>
      <c r="O3439">
        <f t="shared" si="275"/>
        <v>1</v>
      </c>
      <c r="P3439" t="str">
        <f t="shared" si="276"/>
        <v/>
      </c>
      <c r="Q3439">
        <f>COUNTIF('責任職　企業局→市長部局'!A:A,SQLデータ!B3439)</f>
        <v>0</v>
      </c>
      <c r="R3439">
        <f>COUNTIF('一般職員　企業局→市長部局'!A:F,SQLデータ!B3439)</f>
        <v>0</v>
      </c>
    </row>
    <row r="3440" spans="1:18" x14ac:dyDescent="0.4">
      <c r="A3440" s="1">
        <v>202650003376</v>
      </c>
      <c r="B3440" s="1">
        <v>1171119</v>
      </c>
      <c r="C3440" s="2">
        <v>46127</v>
      </c>
      <c r="D3440" t="s">
        <v>17</v>
      </c>
      <c r="E3440" t="s">
        <v>8</v>
      </c>
      <c r="G3440" t="s">
        <v>9</v>
      </c>
      <c r="L3440">
        <f t="shared" si="272"/>
        <v>0</v>
      </c>
      <c r="M3440">
        <f t="shared" si="273"/>
        <v>0</v>
      </c>
      <c r="N3440">
        <f t="shared" si="274"/>
        <v>0</v>
      </c>
      <c r="O3440">
        <f t="shared" si="275"/>
        <v>1</v>
      </c>
      <c r="P3440" t="str">
        <f t="shared" si="276"/>
        <v/>
      </c>
      <c r="Q3440">
        <f>COUNTIF('責任職　企業局→市長部局'!A:A,SQLデータ!B3440)</f>
        <v>0</v>
      </c>
      <c r="R3440">
        <f>COUNTIF('一般職員　企業局→市長部局'!A:F,SQLデータ!B3440)</f>
        <v>0</v>
      </c>
    </row>
    <row r="3441" spans="1:18" x14ac:dyDescent="0.4">
      <c r="A3441" s="1">
        <v>202650003377</v>
      </c>
      <c r="B3441" s="1">
        <v>1153008</v>
      </c>
      <c r="C3441" s="2">
        <v>46127</v>
      </c>
      <c r="D3441" t="s">
        <v>17</v>
      </c>
      <c r="E3441" t="s">
        <v>8</v>
      </c>
      <c r="G3441" t="s">
        <v>9</v>
      </c>
      <c r="L3441">
        <f t="shared" si="272"/>
        <v>0</v>
      </c>
      <c r="M3441">
        <f t="shared" si="273"/>
        <v>0</v>
      </c>
      <c r="N3441">
        <f t="shared" si="274"/>
        <v>0</v>
      </c>
      <c r="O3441">
        <f t="shared" si="275"/>
        <v>1</v>
      </c>
      <c r="P3441" t="str">
        <f t="shared" si="276"/>
        <v/>
      </c>
      <c r="Q3441">
        <f>COUNTIF('責任職　企業局→市長部局'!A:A,SQLデータ!B3441)</f>
        <v>0</v>
      </c>
      <c r="R3441">
        <f>COUNTIF('一般職員　企業局→市長部局'!A:F,SQLデータ!B3441)</f>
        <v>0</v>
      </c>
    </row>
    <row r="3442" spans="1:18" x14ac:dyDescent="0.4">
      <c r="A3442" s="1">
        <v>202650003378</v>
      </c>
      <c r="B3442" s="1">
        <v>1241257</v>
      </c>
      <c r="C3442" s="2">
        <v>46127</v>
      </c>
      <c r="D3442" t="s">
        <v>17</v>
      </c>
      <c r="E3442" t="s">
        <v>8</v>
      </c>
      <c r="G3442" t="s">
        <v>9</v>
      </c>
      <c r="L3442">
        <f t="shared" si="272"/>
        <v>0</v>
      </c>
      <c r="M3442">
        <f t="shared" si="273"/>
        <v>0</v>
      </c>
      <c r="N3442">
        <f t="shared" si="274"/>
        <v>0</v>
      </c>
      <c r="O3442">
        <f t="shared" si="275"/>
        <v>1</v>
      </c>
      <c r="P3442" t="str">
        <f t="shared" si="276"/>
        <v/>
      </c>
      <c r="Q3442">
        <f>COUNTIF('責任職　企業局→市長部局'!A:A,SQLデータ!B3442)</f>
        <v>0</v>
      </c>
      <c r="R3442">
        <f>COUNTIF('一般職員　企業局→市長部局'!A:F,SQLデータ!B3442)</f>
        <v>0</v>
      </c>
    </row>
    <row r="3443" spans="1:18" x14ac:dyDescent="0.4">
      <c r="A3443" s="1">
        <v>202650003379</v>
      </c>
      <c r="B3443" s="1">
        <v>1252021</v>
      </c>
      <c r="C3443" s="2">
        <v>46127</v>
      </c>
      <c r="D3443" t="s">
        <v>17</v>
      </c>
      <c r="E3443" t="s">
        <v>8</v>
      </c>
      <c r="G3443" t="s">
        <v>9</v>
      </c>
      <c r="L3443">
        <f t="shared" si="272"/>
        <v>0</v>
      </c>
      <c r="M3443">
        <f t="shared" si="273"/>
        <v>0</v>
      </c>
      <c r="N3443">
        <f t="shared" si="274"/>
        <v>0</v>
      </c>
      <c r="O3443">
        <f t="shared" si="275"/>
        <v>1</v>
      </c>
      <c r="P3443" t="str">
        <f t="shared" si="276"/>
        <v/>
      </c>
      <c r="Q3443">
        <f>COUNTIF('責任職　企業局→市長部局'!A:A,SQLデータ!B3443)</f>
        <v>0</v>
      </c>
      <c r="R3443">
        <f>COUNTIF('一般職員　企業局→市長部局'!A:F,SQLデータ!B3443)</f>
        <v>0</v>
      </c>
    </row>
    <row r="3444" spans="1:18" x14ac:dyDescent="0.4">
      <c r="A3444" s="1">
        <v>202650003380</v>
      </c>
      <c r="B3444" s="1">
        <v>1196126</v>
      </c>
      <c r="C3444" s="2">
        <v>46127</v>
      </c>
      <c r="D3444" t="s">
        <v>17</v>
      </c>
      <c r="E3444" t="s">
        <v>8</v>
      </c>
      <c r="G3444" t="s">
        <v>9</v>
      </c>
      <c r="L3444">
        <f t="shared" si="272"/>
        <v>0</v>
      </c>
      <c r="M3444">
        <f t="shared" si="273"/>
        <v>0</v>
      </c>
      <c r="N3444">
        <f t="shared" si="274"/>
        <v>0</v>
      </c>
      <c r="O3444">
        <f t="shared" si="275"/>
        <v>1</v>
      </c>
      <c r="P3444" t="str">
        <f t="shared" si="276"/>
        <v/>
      </c>
      <c r="Q3444">
        <f>COUNTIF('責任職　企業局→市長部局'!A:A,SQLデータ!B3444)</f>
        <v>0</v>
      </c>
      <c r="R3444">
        <f>COUNTIF('一般職員　企業局→市長部局'!A:F,SQLデータ!B3444)</f>
        <v>0</v>
      </c>
    </row>
    <row r="3445" spans="1:18" x14ac:dyDescent="0.4">
      <c r="A3445" s="1">
        <v>202650003381</v>
      </c>
      <c r="B3445" s="1">
        <v>1141286</v>
      </c>
      <c r="C3445" s="2">
        <v>46127</v>
      </c>
      <c r="D3445" t="s">
        <v>17</v>
      </c>
      <c r="E3445" t="s">
        <v>8</v>
      </c>
      <c r="G3445" t="s">
        <v>9</v>
      </c>
      <c r="L3445">
        <f t="shared" si="272"/>
        <v>0</v>
      </c>
      <c r="M3445">
        <f t="shared" si="273"/>
        <v>0</v>
      </c>
      <c r="N3445">
        <f t="shared" si="274"/>
        <v>0</v>
      </c>
      <c r="O3445">
        <f t="shared" si="275"/>
        <v>1</v>
      </c>
      <c r="P3445" t="str">
        <f t="shared" si="276"/>
        <v/>
      </c>
      <c r="Q3445">
        <f>COUNTIF('責任職　企業局→市長部局'!A:A,SQLデータ!B3445)</f>
        <v>0</v>
      </c>
      <c r="R3445">
        <f>COUNTIF('一般職員　企業局→市長部局'!A:F,SQLデータ!B3445)</f>
        <v>0</v>
      </c>
    </row>
    <row r="3446" spans="1:18" x14ac:dyDescent="0.4">
      <c r="A3446" s="1">
        <v>202650003382</v>
      </c>
      <c r="B3446" s="1">
        <v>1002050</v>
      </c>
      <c r="C3446" s="2">
        <v>46127</v>
      </c>
      <c r="D3446" t="s">
        <v>17</v>
      </c>
      <c r="E3446" t="s">
        <v>8</v>
      </c>
      <c r="G3446" t="s">
        <v>9</v>
      </c>
      <c r="L3446">
        <f t="shared" si="272"/>
        <v>0</v>
      </c>
      <c r="M3446">
        <f t="shared" si="273"/>
        <v>0</v>
      </c>
      <c r="N3446">
        <f t="shared" si="274"/>
        <v>0</v>
      </c>
      <c r="O3446">
        <f t="shared" si="275"/>
        <v>1</v>
      </c>
      <c r="P3446" t="str">
        <f t="shared" si="276"/>
        <v/>
      </c>
      <c r="Q3446">
        <f>COUNTIF('責任職　企業局→市長部局'!A:A,SQLデータ!B3446)</f>
        <v>0</v>
      </c>
      <c r="R3446">
        <f>COUNTIF('一般職員　企業局→市長部局'!A:F,SQLデータ!B3446)</f>
        <v>0</v>
      </c>
    </row>
    <row r="3447" spans="1:18" x14ac:dyDescent="0.4">
      <c r="A3447" s="1">
        <v>202650003383</v>
      </c>
      <c r="B3447" s="1">
        <v>1111132</v>
      </c>
      <c r="C3447" s="2">
        <v>46127</v>
      </c>
      <c r="D3447" t="s">
        <v>17</v>
      </c>
      <c r="E3447" t="s">
        <v>8</v>
      </c>
      <c r="G3447" t="s">
        <v>9</v>
      </c>
      <c r="L3447">
        <f t="shared" si="272"/>
        <v>0</v>
      </c>
      <c r="M3447">
        <f t="shared" si="273"/>
        <v>0</v>
      </c>
      <c r="N3447">
        <f t="shared" si="274"/>
        <v>0</v>
      </c>
      <c r="O3447">
        <f t="shared" si="275"/>
        <v>1</v>
      </c>
      <c r="P3447" t="str">
        <f t="shared" si="276"/>
        <v/>
      </c>
      <c r="Q3447">
        <f>COUNTIF('責任職　企業局→市長部局'!A:A,SQLデータ!B3447)</f>
        <v>0</v>
      </c>
      <c r="R3447">
        <f>COUNTIF('一般職員　企業局→市長部局'!A:F,SQLデータ!B3447)</f>
        <v>0</v>
      </c>
    </row>
    <row r="3448" spans="1:18" x14ac:dyDescent="0.4">
      <c r="A3448" s="1">
        <v>202650003384</v>
      </c>
      <c r="B3448" s="1">
        <v>1131442</v>
      </c>
      <c r="C3448" s="2">
        <v>46127</v>
      </c>
      <c r="D3448" t="s">
        <v>17</v>
      </c>
      <c r="E3448" t="s">
        <v>8</v>
      </c>
      <c r="G3448" t="s">
        <v>9</v>
      </c>
      <c r="L3448">
        <f t="shared" si="272"/>
        <v>0</v>
      </c>
      <c r="M3448">
        <f t="shared" si="273"/>
        <v>0</v>
      </c>
      <c r="N3448">
        <f t="shared" si="274"/>
        <v>0</v>
      </c>
      <c r="O3448">
        <f t="shared" si="275"/>
        <v>1</v>
      </c>
      <c r="P3448" t="str">
        <f t="shared" si="276"/>
        <v/>
      </c>
      <c r="Q3448">
        <f>COUNTIF('責任職　企業局→市長部局'!A:A,SQLデータ!B3448)</f>
        <v>0</v>
      </c>
      <c r="R3448">
        <f>COUNTIF('一般職員　企業局→市長部局'!A:F,SQLデータ!B3448)</f>
        <v>0</v>
      </c>
    </row>
    <row r="3449" spans="1:18" x14ac:dyDescent="0.4">
      <c r="A3449" s="1">
        <v>202650003385</v>
      </c>
      <c r="B3449" s="1">
        <v>940565</v>
      </c>
      <c r="C3449" s="2">
        <v>46127</v>
      </c>
      <c r="D3449" t="s">
        <v>17</v>
      </c>
      <c r="E3449" t="s">
        <v>8</v>
      </c>
      <c r="G3449" t="s">
        <v>9</v>
      </c>
      <c r="L3449">
        <f t="shared" si="272"/>
        <v>0</v>
      </c>
      <c r="M3449">
        <f t="shared" si="273"/>
        <v>0</v>
      </c>
      <c r="N3449">
        <f t="shared" si="274"/>
        <v>0</v>
      </c>
      <c r="O3449">
        <f t="shared" si="275"/>
        <v>1</v>
      </c>
      <c r="P3449" t="str">
        <f t="shared" si="276"/>
        <v/>
      </c>
      <c r="Q3449">
        <f>COUNTIF('責任職　企業局→市長部局'!A:A,SQLデータ!B3449)</f>
        <v>0</v>
      </c>
      <c r="R3449">
        <f>COUNTIF('一般職員　企業局→市長部局'!A:F,SQLデータ!B3449)</f>
        <v>0</v>
      </c>
    </row>
    <row r="3450" spans="1:18" x14ac:dyDescent="0.4">
      <c r="A3450" s="1">
        <v>202650003386</v>
      </c>
      <c r="B3450" s="1">
        <v>920619</v>
      </c>
      <c r="C3450" s="2">
        <v>46127</v>
      </c>
      <c r="D3450" t="s">
        <v>17</v>
      </c>
      <c r="E3450" t="s">
        <v>8</v>
      </c>
      <c r="G3450" t="s">
        <v>9</v>
      </c>
      <c r="L3450">
        <f t="shared" si="272"/>
        <v>0</v>
      </c>
      <c r="M3450">
        <f t="shared" si="273"/>
        <v>0</v>
      </c>
      <c r="N3450">
        <f t="shared" si="274"/>
        <v>0</v>
      </c>
      <c r="O3450">
        <f t="shared" si="275"/>
        <v>1</v>
      </c>
      <c r="P3450" t="str">
        <f t="shared" si="276"/>
        <v/>
      </c>
      <c r="Q3450">
        <f>COUNTIF('責任職　企業局→市長部局'!A:A,SQLデータ!B3450)</f>
        <v>0</v>
      </c>
      <c r="R3450">
        <f>COUNTIF('一般職員　企業局→市長部局'!A:F,SQLデータ!B3450)</f>
        <v>0</v>
      </c>
    </row>
    <row r="3451" spans="1:18" x14ac:dyDescent="0.4">
      <c r="A3451" s="1">
        <v>202650003387</v>
      </c>
      <c r="B3451" s="1">
        <v>1146009</v>
      </c>
      <c r="C3451" s="2">
        <v>46128</v>
      </c>
      <c r="D3451" t="s">
        <v>17</v>
      </c>
      <c r="E3451" t="s">
        <v>8</v>
      </c>
      <c r="G3451" t="s">
        <v>9</v>
      </c>
      <c r="L3451">
        <f t="shared" si="272"/>
        <v>0</v>
      </c>
      <c r="M3451">
        <f t="shared" si="273"/>
        <v>0</v>
      </c>
      <c r="N3451">
        <f t="shared" si="274"/>
        <v>0</v>
      </c>
      <c r="O3451">
        <f t="shared" si="275"/>
        <v>1</v>
      </c>
      <c r="P3451" t="str">
        <f t="shared" si="276"/>
        <v/>
      </c>
      <c r="Q3451">
        <f>COUNTIF('責任職　企業局→市長部局'!A:A,SQLデータ!B3451)</f>
        <v>0</v>
      </c>
      <c r="R3451">
        <f>COUNTIF('一般職員　企業局→市長部局'!A:F,SQLデータ!B3451)</f>
        <v>0</v>
      </c>
    </row>
    <row r="3452" spans="1:18" x14ac:dyDescent="0.4">
      <c r="A3452" s="1">
        <v>202650003388</v>
      </c>
      <c r="B3452" s="1">
        <v>984307</v>
      </c>
      <c r="C3452" s="2">
        <v>46128</v>
      </c>
      <c r="D3452" t="s">
        <v>17</v>
      </c>
      <c r="E3452" t="s">
        <v>8</v>
      </c>
      <c r="G3452" t="s">
        <v>9</v>
      </c>
      <c r="L3452">
        <f t="shared" si="272"/>
        <v>0</v>
      </c>
      <c r="M3452">
        <f t="shared" si="273"/>
        <v>0</v>
      </c>
      <c r="N3452">
        <f t="shared" si="274"/>
        <v>0</v>
      </c>
      <c r="O3452">
        <f t="shared" si="275"/>
        <v>1</v>
      </c>
      <c r="P3452" t="str">
        <f t="shared" si="276"/>
        <v/>
      </c>
      <c r="Q3452">
        <f>COUNTIF('責任職　企業局→市長部局'!A:A,SQLデータ!B3452)</f>
        <v>0</v>
      </c>
      <c r="R3452">
        <f>COUNTIF('一般職員　企業局→市長部局'!A:F,SQLデータ!B3452)</f>
        <v>0</v>
      </c>
    </row>
    <row r="3453" spans="1:18" x14ac:dyDescent="0.4">
      <c r="A3453" s="1">
        <v>202650003389</v>
      </c>
      <c r="B3453" s="1">
        <v>1034027</v>
      </c>
      <c r="C3453" s="2">
        <v>46128</v>
      </c>
      <c r="D3453" t="s">
        <v>17</v>
      </c>
      <c r="E3453" t="s">
        <v>8</v>
      </c>
      <c r="G3453" t="s">
        <v>9</v>
      </c>
      <c r="L3453">
        <f t="shared" si="272"/>
        <v>0</v>
      </c>
      <c r="M3453">
        <f t="shared" si="273"/>
        <v>0</v>
      </c>
      <c r="N3453">
        <f t="shared" si="274"/>
        <v>0</v>
      </c>
      <c r="O3453">
        <f t="shared" si="275"/>
        <v>1</v>
      </c>
      <c r="P3453" t="str">
        <f t="shared" si="276"/>
        <v/>
      </c>
      <c r="Q3453">
        <f>COUNTIF('責任職　企業局→市長部局'!A:A,SQLデータ!B3453)</f>
        <v>0</v>
      </c>
      <c r="R3453">
        <f>COUNTIF('一般職員　企業局→市長部局'!A:F,SQLデータ!B3453)</f>
        <v>0</v>
      </c>
    </row>
    <row r="3454" spans="1:18" x14ac:dyDescent="0.4">
      <c r="A3454" s="1">
        <v>202650003390</v>
      </c>
      <c r="B3454" s="1">
        <v>1004097</v>
      </c>
      <c r="C3454" s="2">
        <v>46128</v>
      </c>
      <c r="D3454" t="s">
        <v>17</v>
      </c>
      <c r="E3454" t="s">
        <v>8</v>
      </c>
      <c r="G3454" t="s">
        <v>9</v>
      </c>
      <c r="L3454">
        <f t="shared" si="272"/>
        <v>0</v>
      </c>
      <c r="M3454">
        <f t="shared" si="273"/>
        <v>0</v>
      </c>
      <c r="N3454">
        <f t="shared" si="274"/>
        <v>0</v>
      </c>
      <c r="O3454">
        <f t="shared" si="275"/>
        <v>1</v>
      </c>
      <c r="P3454" t="str">
        <f t="shared" si="276"/>
        <v/>
      </c>
      <c r="Q3454">
        <f>COUNTIF('責任職　企業局→市長部局'!A:A,SQLデータ!B3454)</f>
        <v>0</v>
      </c>
      <c r="R3454">
        <f>COUNTIF('一般職員　企業局→市長部局'!A:F,SQLデータ!B3454)</f>
        <v>0</v>
      </c>
    </row>
    <row r="3455" spans="1:18" x14ac:dyDescent="0.4">
      <c r="A3455" s="1">
        <v>202650003391</v>
      </c>
      <c r="B3455" s="1">
        <v>1014013</v>
      </c>
      <c r="C3455" s="2">
        <v>46128</v>
      </c>
      <c r="D3455" t="s">
        <v>17</v>
      </c>
      <c r="E3455" t="s">
        <v>8</v>
      </c>
      <c r="G3455" t="s">
        <v>9</v>
      </c>
      <c r="L3455">
        <f t="shared" si="272"/>
        <v>0</v>
      </c>
      <c r="M3455">
        <f t="shared" si="273"/>
        <v>0</v>
      </c>
      <c r="N3455">
        <f t="shared" si="274"/>
        <v>0</v>
      </c>
      <c r="O3455">
        <f t="shared" si="275"/>
        <v>1</v>
      </c>
      <c r="P3455" t="str">
        <f t="shared" si="276"/>
        <v/>
      </c>
      <c r="Q3455">
        <f>COUNTIF('責任職　企業局→市長部局'!A:A,SQLデータ!B3455)</f>
        <v>0</v>
      </c>
      <c r="R3455">
        <f>COUNTIF('一般職員　企業局→市長部局'!A:F,SQLデータ!B3455)</f>
        <v>0</v>
      </c>
    </row>
    <row r="3456" spans="1:18" x14ac:dyDescent="0.4">
      <c r="A3456" s="1">
        <v>202650003392</v>
      </c>
      <c r="B3456" s="1">
        <v>1146102</v>
      </c>
      <c r="C3456" s="2">
        <v>46128</v>
      </c>
      <c r="D3456" t="s">
        <v>17</v>
      </c>
      <c r="E3456" t="s">
        <v>8</v>
      </c>
      <c r="G3456" t="s">
        <v>9</v>
      </c>
      <c r="L3456">
        <f t="shared" si="272"/>
        <v>0</v>
      </c>
      <c r="M3456">
        <f t="shared" si="273"/>
        <v>0</v>
      </c>
      <c r="N3456">
        <f t="shared" si="274"/>
        <v>0</v>
      </c>
      <c r="O3456">
        <f t="shared" si="275"/>
        <v>1</v>
      </c>
      <c r="P3456" t="str">
        <f t="shared" si="276"/>
        <v/>
      </c>
      <c r="Q3456">
        <f>COUNTIF('責任職　企業局→市長部局'!A:A,SQLデータ!B3456)</f>
        <v>0</v>
      </c>
      <c r="R3456">
        <f>COUNTIF('一般職員　企業局→市長部局'!A:F,SQLデータ!B3456)</f>
        <v>0</v>
      </c>
    </row>
    <row r="3457" spans="1:18" x14ac:dyDescent="0.4">
      <c r="A3457" s="1">
        <v>202650003394</v>
      </c>
      <c r="B3457" s="1">
        <v>1191541</v>
      </c>
      <c r="C3457" s="2">
        <v>46128</v>
      </c>
      <c r="D3457" t="s">
        <v>17</v>
      </c>
      <c r="E3457" t="s">
        <v>8</v>
      </c>
      <c r="G3457" t="s">
        <v>9</v>
      </c>
      <c r="L3457">
        <f t="shared" si="272"/>
        <v>0</v>
      </c>
      <c r="M3457">
        <f t="shared" si="273"/>
        <v>0</v>
      </c>
      <c r="N3457">
        <f t="shared" si="274"/>
        <v>0</v>
      </c>
      <c r="O3457">
        <f t="shared" si="275"/>
        <v>1</v>
      </c>
      <c r="P3457" t="str">
        <f t="shared" si="276"/>
        <v/>
      </c>
      <c r="Q3457">
        <f>COUNTIF('責任職　企業局→市長部局'!A:A,SQLデータ!B3457)</f>
        <v>0</v>
      </c>
      <c r="R3457">
        <f>COUNTIF('一般職員　企業局→市長部局'!A:F,SQLデータ!B3457)</f>
        <v>0</v>
      </c>
    </row>
    <row r="3458" spans="1:18" x14ac:dyDescent="0.4">
      <c r="A3458" s="1">
        <v>202650003395</v>
      </c>
      <c r="B3458" s="1">
        <v>1233005</v>
      </c>
      <c r="C3458" s="2">
        <v>46128</v>
      </c>
      <c r="D3458" t="s">
        <v>17</v>
      </c>
      <c r="E3458" t="s">
        <v>8</v>
      </c>
      <c r="G3458" t="s">
        <v>9</v>
      </c>
      <c r="L3458">
        <f t="shared" si="272"/>
        <v>0</v>
      </c>
      <c r="M3458">
        <f t="shared" si="273"/>
        <v>0</v>
      </c>
      <c r="N3458">
        <f t="shared" si="274"/>
        <v>0</v>
      </c>
      <c r="O3458">
        <f t="shared" si="275"/>
        <v>1</v>
      </c>
      <c r="P3458" t="str">
        <f t="shared" si="276"/>
        <v/>
      </c>
      <c r="Q3458">
        <f>COUNTIF('責任職　企業局→市長部局'!A:A,SQLデータ!B3458)</f>
        <v>0</v>
      </c>
      <c r="R3458">
        <f>COUNTIF('一般職員　企業局→市長部局'!A:F,SQLデータ!B3458)</f>
        <v>0</v>
      </c>
    </row>
    <row r="3459" spans="1:18" x14ac:dyDescent="0.4">
      <c r="A3459" s="1">
        <v>202650003396</v>
      </c>
      <c r="B3459" s="1">
        <v>1233018</v>
      </c>
      <c r="C3459" s="2">
        <v>46128</v>
      </c>
      <c r="D3459" t="s">
        <v>17</v>
      </c>
      <c r="E3459" t="s">
        <v>8</v>
      </c>
      <c r="G3459" t="s">
        <v>9</v>
      </c>
      <c r="L3459">
        <f t="shared" si="272"/>
        <v>0</v>
      </c>
      <c r="M3459">
        <f t="shared" si="273"/>
        <v>0</v>
      </c>
      <c r="N3459">
        <f t="shared" si="274"/>
        <v>0</v>
      </c>
      <c r="O3459">
        <f t="shared" si="275"/>
        <v>1</v>
      </c>
      <c r="P3459" t="str">
        <f t="shared" si="276"/>
        <v/>
      </c>
      <c r="Q3459">
        <f>COUNTIF('責任職　企業局→市長部局'!A:A,SQLデータ!B3459)</f>
        <v>0</v>
      </c>
      <c r="R3459">
        <f>COUNTIF('一般職員　企業局→市長部局'!A:F,SQLデータ!B3459)</f>
        <v>0</v>
      </c>
    </row>
    <row r="3460" spans="1:18" x14ac:dyDescent="0.4">
      <c r="A3460" s="1">
        <v>202650003397</v>
      </c>
      <c r="B3460" s="1">
        <v>1031161</v>
      </c>
      <c r="C3460" s="2">
        <v>46128</v>
      </c>
      <c r="D3460" t="s">
        <v>17</v>
      </c>
      <c r="E3460" t="s">
        <v>8</v>
      </c>
      <c r="G3460" t="s">
        <v>9</v>
      </c>
      <c r="L3460">
        <f t="shared" si="272"/>
        <v>0</v>
      </c>
      <c r="M3460">
        <f t="shared" si="273"/>
        <v>0</v>
      </c>
      <c r="N3460">
        <f t="shared" si="274"/>
        <v>0</v>
      </c>
      <c r="O3460">
        <f t="shared" si="275"/>
        <v>1</v>
      </c>
      <c r="P3460" t="str">
        <f t="shared" si="276"/>
        <v/>
      </c>
      <c r="Q3460">
        <f>COUNTIF('責任職　企業局→市長部局'!A:A,SQLデータ!B3460)</f>
        <v>0</v>
      </c>
      <c r="R3460">
        <f>COUNTIF('一般職員　企業局→市長部局'!A:F,SQLデータ!B3460)</f>
        <v>0</v>
      </c>
    </row>
    <row r="3461" spans="1:18" x14ac:dyDescent="0.4">
      <c r="A3461" s="1">
        <v>202650003398</v>
      </c>
      <c r="B3461" s="1">
        <v>1142103</v>
      </c>
      <c r="C3461" s="2">
        <v>46128</v>
      </c>
      <c r="D3461" t="s">
        <v>17</v>
      </c>
      <c r="E3461" t="s">
        <v>8</v>
      </c>
      <c r="G3461" t="s">
        <v>9</v>
      </c>
      <c r="L3461">
        <f t="shared" si="272"/>
        <v>0</v>
      </c>
      <c r="M3461">
        <f t="shared" si="273"/>
        <v>0</v>
      </c>
      <c r="N3461">
        <f t="shared" si="274"/>
        <v>0</v>
      </c>
      <c r="O3461">
        <f t="shared" si="275"/>
        <v>1</v>
      </c>
      <c r="P3461" t="str">
        <f t="shared" si="276"/>
        <v/>
      </c>
      <c r="Q3461">
        <f>COUNTIF('責任職　企業局→市長部局'!A:A,SQLデータ!B3461)</f>
        <v>0</v>
      </c>
      <c r="R3461">
        <f>COUNTIF('一般職員　企業局→市長部局'!A:F,SQLデータ!B3461)</f>
        <v>0</v>
      </c>
    </row>
    <row r="3462" spans="1:18" x14ac:dyDescent="0.4">
      <c r="A3462" s="1">
        <v>202650003399</v>
      </c>
      <c r="B3462" s="1">
        <v>1181324</v>
      </c>
      <c r="C3462" s="2">
        <v>46128</v>
      </c>
      <c r="D3462" t="s">
        <v>17</v>
      </c>
      <c r="E3462" t="s">
        <v>8</v>
      </c>
      <c r="G3462" t="s">
        <v>9</v>
      </c>
      <c r="L3462">
        <f t="shared" si="272"/>
        <v>0</v>
      </c>
      <c r="M3462">
        <f t="shared" si="273"/>
        <v>0</v>
      </c>
      <c r="N3462">
        <f t="shared" si="274"/>
        <v>0</v>
      </c>
      <c r="O3462">
        <f t="shared" si="275"/>
        <v>1</v>
      </c>
      <c r="P3462" t="str">
        <f t="shared" si="276"/>
        <v/>
      </c>
      <c r="Q3462">
        <f>COUNTIF('責任職　企業局→市長部局'!A:A,SQLデータ!B3462)</f>
        <v>0</v>
      </c>
      <c r="R3462">
        <f>COUNTIF('一般職員　企業局→市長部局'!A:F,SQLデータ!B3462)</f>
        <v>0</v>
      </c>
    </row>
    <row r="3463" spans="1:18" x14ac:dyDescent="0.4">
      <c r="A3463" s="1">
        <v>202650003400</v>
      </c>
      <c r="B3463" s="1">
        <v>1201240</v>
      </c>
      <c r="C3463" s="2">
        <v>46128</v>
      </c>
      <c r="D3463" t="s">
        <v>17</v>
      </c>
      <c r="E3463" t="s">
        <v>8</v>
      </c>
      <c r="G3463" t="s">
        <v>9</v>
      </c>
      <c r="L3463">
        <f t="shared" si="272"/>
        <v>0</v>
      </c>
      <c r="M3463">
        <f t="shared" si="273"/>
        <v>0</v>
      </c>
      <c r="N3463">
        <f t="shared" si="274"/>
        <v>0</v>
      </c>
      <c r="O3463">
        <f t="shared" si="275"/>
        <v>1</v>
      </c>
      <c r="P3463" t="str">
        <f t="shared" si="276"/>
        <v/>
      </c>
      <c r="Q3463">
        <f>COUNTIF('責任職　企業局→市長部局'!A:A,SQLデータ!B3463)</f>
        <v>0</v>
      </c>
      <c r="R3463">
        <f>COUNTIF('一般職員　企業局→市長部局'!A:F,SQLデータ!B3463)</f>
        <v>0</v>
      </c>
    </row>
    <row r="3464" spans="1:18" x14ac:dyDescent="0.4">
      <c r="A3464" s="1">
        <v>202650003401</v>
      </c>
      <c r="B3464" s="1">
        <v>1133011</v>
      </c>
      <c r="C3464" s="2">
        <v>46128</v>
      </c>
      <c r="D3464" t="s">
        <v>17</v>
      </c>
      <c r="E3464" t="s">
        <v>8</v>
      </c>
      <c r="G3464" t="s">
        <v>9</v>
      </c>
      <c r="L3464">
        <f t="shared" si="272"/>
        <v>0</v>
      </c>
      <c r="M3464">
        <f t="shared" si="273"/>
        <v>0</v>
      </c>
      <c r="N3464">
        <f t="shared" si="274"/>
        <v>0</v>
      </c>
      <c r="O3464">
        <f t="shared" si="275"/>
        <v>1</v>
      </c>
      <c r="P3464" t="str">
        <f t="shared" si="276"/>
        <v/>
      </c>
      <c r="Q3464">
        <f>COUNTIF('責任職　企業局→市長部局'!A:A,SQLデータ!B3464)</f>
        <v>0</v>
      </c>
      <c r="R3464">
        <f>COUNTIF('一般職員　企業局→市長部局'!A:F,SQLデータ!B3464)</f>
        <v>0</v>
      </c>
    </row>
    <row r="3465" spans="1:18" x14ac:dyDescent="0.4">
      <c r="A3465" s="1">
        <v>202650003402</v>
      </c>
      <c r="B3465" s="1">
        <v>1211119</v>
      </c>
      <c r="C3465" s="2">
        <v>46128</v>
      </c>
      <c r="D3465" t="s">
        <v>17</v>
      </c>
      <c r="E3465" t="s">
        <v>8</v>
      </c>
      <c r="G3465" t="s">
        <v>9</v>
      </c>
      <c r="L3465">
        <f t="shared" si="272"/>
        <v>0</v>
      </c>
      <c r="M3465">
        <f t="shared" si="273"/>
        <v>0</v>
      </c>
      <c r="N3465">
        <f t="shared" si="274"/>
        <v>0</v>
      </c>
      <c r="O3465">
        <f t="shared" si="275"/>
        <v>1</v>
      </c>
      <c r="P3465" t="str">
        <f t="shared" si="276"/>
        <v/>
      </c>
      <c r="Q3465">
        <f>COUNTIF('責任職　企業局→市長部局'!A:A,SQLデータ!B3465)</f>
        <v>0</v>
      </c>
      <c r="R3465">
        <f>COUNTIF('一般職員　企業局→市長部局'!A:F,SQLデータ!B3465)</f>
        <v>0</v>
      </c>
    </row>
    <row r="3466" spans="1:18" x14ac:dyDescent="0.4">
      <c r="A3466" s="1">
        <v>202650003403</v>
      </c>
      <c r="B3466" s="1">
        <v>1221317</v>
      </c>
      <c r="C3466" s="2">
        <v>46129</v>
      </c>
      <c r="D3466" t="s">
        <v>17</v>
      </c>
      <c r="E3466" t="s">
        <v>8</v>
      </c>
      <c r="G3466" t="s">
        <v>9</v>
      </c>
      <c r="L3466">
        <f t="shared" si="272"/>
        <v>0</v>
      </c>
      <c r="M3466">
        <f t="shared" si="273"/>
        <v>0</v>
      </c>
      <c r="N3466">
        <f t="shared" si="274"/>
        <v>0</v>
      </c>
      <c r="O3466">
        <f t="shared" si="275"/>
        <v>1</v>
      </c>
      <c r="P3466" t="str">
        <f t="shared" si="276"/>
        <v/>
      </c>
      <c r="Q3466">
        <f>COUNTIF('責任職　企業局→市長部局'!A:A,SQLデータ!B3466)</f>
        <v>0</v>
      </c>
      <c r="R3466">
        <f>COUNTIF('一般職員　企業局→市長部局'!A:F,SQLデータ!B3466)</f>
        <v>0</v>
      </c>
    </row>
    <row r="3467" spans="1:18" x14ac:dyDescent="0.4">
      <c r="A3467" s="1">
        <v>202650003404</v>
      </c>
      <c r="B3467" s="1">
        <v>1231303</v>
      </c>
      <c r="C3467" s="2">
        <v>46128</v>
      </c>
      <c r="D3467" t="s">
        <v>17</v>
      </c>
      <c r="E3467" t="s">
        <v>8</v>
      </c>
      <c r="G3467" t="s">
        <v>9</v>
      </c>
      <c r="L3467">
        <f t="shared" si="272"/>
        <v>0</v>
      </c>
      <c r="M3467">
        <f t="shared" si="273"/>
        <v>0</v>
      </c>
      <c r="N3467">
        <f t="shared" si="274"/>
        <v>0</v>
      </c>
      <c r="O3467">
        <f t="shared" si="275"/>
        <v>1</v>
      </c>
      <c r="P3467" t="str">
        <f t="shared" si="276"/>
        <v/>
      </c>
      <c r="Q3467">
        <f>COUNTIF('責任職　企業局→市長部局'!A:A,SQLデータ!B3467)</f>
        <v>0</v>
      </c>
      <c r="R3467">
        <f>COUNTIF('一般職員　企業局→市長部局'!A:F,SQLデータ!B3467)</f>
        <v>0</v>
      </c>
    </row>
    <row r="3468" spans="1:18" x14ac:dyDescent="0.4">
      <c r="A3468" s="1">
        <v>202650003405</v>
      </c>
      <c r="B3468" s="1">
        <v>930105</v>
      </c>
      <c r="C3468" s="2">
        <v>46128</v>
      </c>
      <c r="D3468" t="s">
        <v>17</v>
      </c>
      <c r="E3468" t="s">
        <v>8</v>
      </c>
      <c r="G3468" t="s">
        <v>9</v>
      </c>
      <c r="L3468">
        <f t="shared" si="272"/>
        <v>0</v>
      </c>
      <c r="M3468">
        <f t="shared" si="273"/>
        <v>0</v>
      </c>
      <c r="N3468">
        <f t="shared" si="274"/>
        <v>0</v>
      </c>
      <c r="O3468">
        <f t="shared" si="275"/>
        <v>1</v>
      </c>
      <c r="P3468" t="str">
        <f t="shared" si="276"/>
        <v/>
      </c>
      <c r="Q3468">
        <f>COUNTIF('責任職　企業局→市長部局'!A:A,SQLデータ!B3468)</f>
        <v>0</v>
      </c>
      <c r="R3468">
        <f>COUNTIF('一般職員　企業局→市長部局'!A:F,SQLデータ!B3468)</f>
        <v>0</v>
      </c>
    </row>
    <row r="3469" spans="1:18" x14ac:dyDescent="0.4">
      <c r="A3469" s="1">
        <v>202650003407</v>
      </c>
      <c r="B3469" s="1">
        <v>1131171</v>
      </c>
      <c r="C3469" s="2">
        <v>46128</v>
      </c>
      <c r="D3469" t="s">
        <v>17</v>
      </c>
      <c r="E3469" t="s">
        <v>8</v>
      </c>
      <c r="G3469" t="s">
        <v>9</v>
      </c>
      <c r="L3469">
        <f t="shared" si="272"/>
        <v>0</v>
      </c>
      <c r="M3469">
        <f t="shared" si="273"/>
        <v>0</v>
      </c>
      <c r="N3469">
        <f t="shared" si="274"/>
        <v>0</v>
      </c>
      <c r="O3469">
        <f t="shared" si="275"/>
        <v>1</v>
      </c>
      <c r="P3469" t="str">
        <f t="shared" si="276"/>
        <v/>
      </c>
      <c r="Q3469">
        <f>COUNTIF('責任職　企業局→市長部局'!A:A,SQLデータ!B3469)</f>
        <v>0</v>
      </c>
      <c r="R3469">
        <f>COUNTIF('一般職員　企業局→市長部局'!A:F,SQLデータ!B3469)</f>
        <v>0</v>
      </c>
    </row>
    <row r="3470" spans="1:18" x14ac:dyDescent="0.4">
      <c r="A3470" s="1">
        <v>202650003408</v>
      </c>
      <c r="B3470" s="1">
        <v>1172018</v>
      </c>
      <c r="C3470" s="2">
        <v>46128</v>
      </c>
      <c r="D3470" t="s">
        <v>17</v>
      </c>
      <c r="E3470" t="s">
        <v>8</v>
      </c>
      <c r="G3470" t="s">
        <v>9</v>
      </c>
      <c r="L3470">
        <f t="shared" si="272"/>
        <v>0</v>
      </c>
      <c r="M3470">
        <f t="shared" si="273"/>
        <v>0</v>
      </c>
      <c r="N3470">
        <f t="shared" si="274"/>
        <v>0</v>
      </c>
      <c r="O3470">
        <f t="shared" si="275"/>
        <v>1</v>
      </c>
      <c r="P3470" t="str">
        <f t="shared" si="276"/>
        <v/>
      </c>
      <c r="Q3470">
        <f>COUNTIF('責任職　企業局→市長部局'!A:A,SQLデータ!B3470)</f>
        <v>0</v>
      </c>
      <c r="R3470">
        <f>COUNTIF('一般職員　企業局→市長部局'!A:F,SQLデータ!B3470)</f>
        <v>0</v>
      </c>
    </row>
    <row r="3471" spans="1:18" x14ac:dyDescent="0.4">
      <c r="A3471" s="1">
        <v>202650003409</v>
      </c>
      <c r="B3471" s="1">
        <v>1262044</v>
      </c>
      <c r="C3471" s="2">
        <v>46128</v>
      </c>
      <c r="D3471" t="s">
        <v>17</v>
      </c>
      <c r="E3471" t="s">
        <v>8</v>
      </c>
      <c r="G3471" t="s">
        <v>9</v>
      </c>
      <c r="L3471">
        <f t="shared" si="272"/>
        <v>0</v>
      </c>
      <c r="M3471">
        <f t="shared" si="273"/>
        <v>0</v>
      </c>
      <c r="N3471">
        <f t="shared" si="274"/>
        <v>0</v>
      </c>
      <c r="O3471">
        <f t="shared" si="275"/>
        <v>1</v>
      </c>
      <c r="P3471" t="str">
        <f t="shared" si="276"/>
        <v/>
      </c>
      <c r="Q3471">
        <f>COUNTIF('責任職　企業局→市長部局'!A:A,SQLデータ!B3471)</f>
        <v>0</v>
      </c>
      <c r="R3471">
        <f>COUNTIF('一般職員　企業局→市長部局'!A:F,SQLデータ!B3471)</f>
        <v>0</v>
      </c>
    </row>
    <row r="3472" spans="1:18" x14ac:dyDescent="0.4">
      <c r="A3472" s="1">
        <v>202650003410</v>
      </c>
      <c r="B3472" s="1">
        <v>1221022</v>
      </c>
      <c r="C3472" s="2">
        <v>46128</v>
      </c>
      <c r="D3472" t="s">
        <v>17</v>
      </c>
      <c r="E3472" t="s">
        <v>8</v>
      </c>
      <c r="G3472" t="s">
        <v>9</v>
      </c>
      <c r="L3472">
        <f t="shared" si="272"/>
        <v>0</v>
      </c>
      <c r="M3472">
        <f t="shared" si="273"/>
        <v>0</v>
      </c>
      <c r="N3472">
        <f t="shared" si="274"/>
        <v>0</v>
      </c>
      <c r="O3472">
        <f t="shared" si="275"/>
        <v>1</v>
      </c>
      <c r="P3472" t="str">
        <f t="shared" si="276"/>
        <v/>
      </c>
      <c r="Q3472">
        <f>COUNTIF('責任職　企業局→市長部局'!A:A,SQLデータ!B3472)</f>
        <v>0</v>
      </c>
      <c r="R3472">
        <f>COUNTIF('一般職員　企業局→市長部局'!A:F,SQLデータ!B3472)</f>
        <v>0</v>
      </c>
    </row>
    <row r="3473" spans="1:18" x14ac:dyDescent="0.4">
      <c r="A3473" s="1">
        <v>202650003411</v>
      </c>
      <c r="B3473" s="1">
        <v>1223001</v>
      </c>
      <c r="C3473" s="2">
        <v>46128</v>
      </c>
      <c r="D3473" t="s">
        <v>17</v>
      </c>
      <c r="E3473" t="s">
        <v>8</v>
      </c>
      <c r="G3473" t="s">
        <v>9</v>
      </c>
      <c r="L3473">
        <f t="shared" si="272"/>
        <v>0</v>
      </c>
      <c r="M3473">
        <f t="shared" si="273"/>
        <v>0</v>
      </c>
      <c r="N3473">
        <f t="shared" si="274"/>
        <v>0</v>
      </c>
      <c r="O3473">
        <f t="shared" si="275"/>
        <v>1</v>
      </c>
      <c r="P3473" t="str">
        <f t="shared" si="276"/>
        <v/>
      </c>
      <c r="Q3473">
        <f>COUNTIF('責任職　企業局→市長部局'!A:A,SQLデータ!B3473)</f>
        <v>0</v>
      </c>
      <c r="R3473">
        <f>COUNTIF('一般職員　企業局→市長部局'!A:F,SQLデータ!B3473)</f>
        <v>0</v>
      </c>
    </row>
    <row r="3474" spans="1:18" x14ac:dyDescent="0.4">
      <c r="A3474" s="1">
        <v>202650003412</v>
      </c>
      <c r="B3474" s="1">
        <v>1001112</v>
      </c>
      <c r="C3474" s="2">
        <v>46128</v>
      </c>
      <c r="D3474" t="s">
        <v>17</v>
      </c>
      <c r="E3474" t="s">
        <v>8</v>
      </c>
      <c r="G3474" t="s">
        <v>9</v>
      </c>
      <c r="L3474">
        <f t="shared" si="272"/>
        <v>0</v>
      </c>
      <c r="M3474">
        <f t="shared" si="273"/>
        <v>0</v>
      </c>
      <c r="N3474">
        <f t="shared" si="274"/>
        <v>0</v>
      </c>
      <c r="O3474">
        <f t="shared" si="275"/>
        <v>1</v>
      </c>
      <c r="P3474" t="str">
        <f t="shared" si="276"/>
        <v/>
      </c>
      <c r="Q3474">
        <f>COUNTIF('責任職　企業局→市長部局'!A:A,SQLデータ!B3474)</f>
        <v>0</v>
      </c>
      <c r="R3474">
        <f>COUNTIF('一般職員　企業局→市長部局'!A:F,SQLデータ!B3474)</f>
        <v>0</v>
      </c>
    </row>
    <row r="3475" spans="1:18" x14ac:dyDescent="0.4">
      <c r="A3475" s="1">
        <v>202650003414</v>
      </c>
      <c r="B3475" s="1">
        <v>1111252</v>
      </c>
      <c r="C3475" s="2">
        <v>46128</v>
      </c>
      <c r="D3475" t="s">
        <v>17</v>
      </c>
      <c r="E3475" t="s">
        <v>8</v>
      </c>
      <c r="G3475" t="s">
        <v>9</v>
      </c>
      <c r="L3475">
        <f t="shared" si="272"/>
        <v>0</v>
      </c>
      <c r="M3475">
        <f t="shared" si="273"/>
        <v>0</v>
      </c>
      <c r="N3475">
        <f t="shared" si="274"/>
        <v>0</v>
      </c>
      <c r="O3475">
        <f t="shared" si="275"/>
        <v>1</v>
      </c>
      <c r="P3475" t="str">
        <f t="shared" si="276"/>
        <v/>
      </c>
      <c r="Q3475">
        <f>COUNTIF('責任職　企業局→市長部局'!A:A,SQLデータ!B3475)</f>
        <v>0</v>
      </c>
      <c r="R3475">
        <f>COUNTIF('一般職員　企業局→市長部局'!A:F,SQLデータ!B3475)</f>
        <v>0</v>
      </c>
    </row>
    <row r="3476" spans="1:18" x14ac:dyDescent="0.4">
      <c r="A3476" s="1">
        <v>202650003415</v>
      </c>
      <c r="B3476" s="1">
        <v>1161124</v>
      </c>
      <c r="C3476" s="2">
        <v>46128</v>
      </c>
      <c r="D3476" t="s">
        <v>17</v>
      </c>
      <c r="E3476" t="s">
        <v>8</v>
      </c>
      <c r="G3476" t="s">
        <v>9</v>
      </c>
      <c r="L3476">
        <f t="shared" si="272"/>
        <v>0</v>
      </c>
      <c r="M3476">
        <f t="shared" si="273"/>
        <v>0</v>
      </c>
      <c r="N3476">
        <f t="shared" si="274"/>
        <v>0</v>
      </c>
      <c r="O3476">
        <f t="shared" si="275"/>
        <v>1</v>
      </c>
      <c r="P3476" t="str">
        <f t="shared" si="276"/>
        <v/>
      </c>
      <c r="Q3476">
        <f>COUNTIF('責任職　企業局→市長部局'!A:A,SQLデータ!B3476)</f>
        <v>0</v>
      </c>
      <c r="R3476">
        <f>COUNTIF('一般職員　企業局→市長部局'!A:F,SQLデータ!B3476)</f>
        <v>0</v>
      </c>
    </row>
    <row r="3477" spans="1:18" x14ac:dyDescent="0.4">
      <c r="A3477" s="1">
        <v>202650003416</v>
      </c>
      <c r="B3477" s="1">
        <v>1221034</v>
      </c>
      <c r="C3477" s="2">
        <v>46128</v>
      </c>
      <c r="D3477" t="s">
        <v>17</v>
      </c>
      <c r="E3477" t="s">
        <v>8</v>
      </c>
      <c r="G3477" t="s">
        <v>9</v>
      </c>
      <c r="L3477">
        <f t="shared" si="272"/>
        <v>0</v>
      </c>
      <c r="M3477">
        <f t="shared" si="273"/>
        <v>0</v>
      </c>
      <c r="N3477">
        <f t="shared" si="274"/>
        <v>0</v>
      </c>
      <c r="O3477">
        <f t="shared" si="275"/>
        <v>1</v>
      </c>
      <c r="P3477" t="str">
        <f t="shared" si="276"/>
        <v/>
      </c>
      <c r="Q3477">
        <f>COUNTIF('責任職　企業局→市長部局'!A:A,SQLデータ!B3477)</f>
        <v>0</v>
      </c>
      <c r="R3477">
        <f>COUNTIF('一般職員　企業局→市長部局'!A:F,SQLデータ!B3477)</f>
        <v>0</v>
      </c>
    </row>
    <row r="3478" spans="1:18" x14ac:dyDescent="0.4">
      <c r="A3478" s="1">
        <v>202650003417</v>
      </c>
      <c r="B3478" s="1">
        <v>1191205</v>
      </c>
      <c r="C3478" s="2">
        <v>46128</v>
      </c>
      <c r="D3478" t="s">
        <v>17</v>
      </c>
      <c r="E3478" t="s">
        <v>8</v>
      </c>
      <c r="G3478" t="s">
        <v>9</v>
      </c>
      <c r="L3478">
        <f t="shared" si="272"/>
        <v>0</v>
      </c>
      <c r="M3478">
        <f t="shared" si="273"/>
        <v>0</v>
      </c>
      <c r="N3478">
        <f t="shared" si="274"/>
        <v>0</v>
      </c>
      <c r="O3478">
        <f t="shared" si="275"/>
        <v>1</v>
      </c>
      <c r="P3478" t="str">
        <f t="shared" si="276"/>
        <v/>
      </c>
      <c r="Q3478">
        <f>COUNTIF('責任職　企業局→市長部局'!A:A,SQLデータ!B3478)</f>
        <v>0</v>
      </c>
      <c r="R3478">
        <f>COUNTIF('一般職員　企業局→市長部局'!A:F,SQLデータ!B3478)</f>
        <v>0</v>
      </c>
    </row>
    <row r="3479" spans="1:18" x14ac:dyDescent="0.4">
      <c r="A3479" s="1">
        <v>202650003418</v>
      </c>
      <c r="B3479" s="1">
        <v>1231096</v>
      </c>
      <c r="C3479" s="2">
        <v>46128</v>
      </c>
      <c r="D3479" t="s">
        <v>17</v>
      </c>
      <c r="E3479" t="s">
        <v>8</v>
      </c>
      <c r="G3479" t="s">
        <v>9</v>
      </c>
      <c r="L3479">
        <f t="shared" si="272"/>
        <v>0</v>
      </c>
      <c r="M3479">
        <f t="shared" si="273"/>
        <v>0</v>
      </c>
      <c r="N3479">
        <f t="shared" si="274"/>
        <v>0</v>
      </c>
      <c r="O3479">
        <f t="shared" si="275"/>
        <v>1</v>
      </c>
      <c r="P3479" t="str">
        <f t="shared" si="276"/>
        <v/>
      </c>
      <c r="Q3479">
        <f>COUNTIF('責任職　企業局→市長部局'!A:A,SQLデータ!B3479)</f>
        <v>0</v>
      </c>
      <c r="R3479">
        <f>COUNTIF('一般職員　企業局→市長部局'!A:F,SQLデータ!B3479)</f>
        <v>0</v>
      </c>
    </row>
    <row r="3480" spans="1:18" x14ac:dyDescent="0.4">
      <c r="A3480" s="1">
        <v>202650003419</v>
      </c>
      <c r="B3480" s="1">
        <v>900398</v>
      </c>
      <c r="C3480" s="2">
        <v>46128</v>
      </c>
      <c r="D3480" t="s">
        <v>17</v>
      </c>
      <c r="E3480" t="s">
        <v>8</v>
      </c>
      <c r="G3480" t="s">
        <v>9</v>
      </c>
      <c r="L3480">
        <f t="shared" si="272"/>
        <v>0</v>
      </c>
      <c r="M3480">
        <f t="shared" si="273"/>
        <v>0</v>
      </c>
      <c r="N3480">
        <f t="shared" si="274"/>
        <v>0</v>
      </c>
      <c r="O3480">
        <f t="shared" si="275"/>
        <v>1</v>
      </c>
      <c r="P3480" t="str">
        <f t="shared" si="276"/>
        <v/>
      </c>
      <c r="Q3480">
        <f>COUNTIF('責任職　企業局→市長部局'!A:A,SQLデータ!B3480)</f>
        <v>0</v>
      </c>
      <c r="R3480">
        <f>COUNTIF('一般職員　企業局→市長部局'!A:F,SQLデータ!B3480)</f>
        <v>0</v>
      </c>
    </row>
    <row r="3481" spans="1:18" x14ac:dyDescent="0.4">
      <c r="A3481" s="1">
        <v>202650003420</v>
      </c>
      <c r="B3481" s="1">
        <v>960641</v>
      </c>
      <c r="C3481" s="2">
        <v>46128</v>
      </c>
      <c r="D3481" t="s">
        <v>17</v>
      </c>
      <c r="E3481" t="s">
        <v>8</v>
      </c>
      <c r="G3481" t="s">
        <v>9</v>
      </c>
      <c r="L3481">
        <f t="shared" si="272"/>
        <v>0</v>
      </c>
      <c r="M3481">
        <f t="shared" si="273"/>
        <v>0</v>
      </c>
      <c r="N3481">
        <f t="shared" si="274"/>
        <v>0</v>
      </c>
      <c r="O3481">
        <f t="shared" si="275"/>
        <v>1</v>
      </c>
      <c r="P3481" t="str">
        <f t="shared" si="276"/>
        <v/>
      </c>
      <c r="Q3481">
        <f>COUNTIF('責任職　企業局→市長部局'!A:A,SQLデータ!B3481)</f>
        <v>0</v>
      </c>
      <c r="R3481">
        <f>COUNTIF('一般職員　企業局→市長部局'!A:F,SQLデータ!B3481)</f>
        <v>0</v>
      </c>
    </row>
    <row r="3482" spans="1:18" x14ac:dyDescent="0.4">
      <c r="A3482" s="1">
        <v>202650003421</v>
      </c>
      <c r="B3482" s="1">
        <v>1161218</v>
      </c>
      <c r="C3482" s="2">
        <v>46128</v>
      </c>
      <c r="D3482" t="s">
        <v>17</v>
      </c>
      <c r="E3482" t="s">
        <v>8</v>
      </c>
      <c r="G3482" t="s">
        <v>9</v>
      </c>
      <c r="L3482">
        <f t="shared" si="272"/>
        <v>0</v>
      </c>
      <c r="M3482">
        <f t="shared" si="273"/>
        <v>0</v>
      </c>
      <c r="N3482">
        <f t="shared" si="274"/>
        <v>0</v>
      </c>
      <c r="O3482">
        <f t="shared" si="275"/>
        <v>1</v>
      </c>
      <c r="P3482" t="str">
        <f t="shared" si="276"/>
        <v/>
      </c>
      <c r="Q3482">
        <f>COUNTIF('責任職　企業局→市長部局'!A:A,SQLデータ!B3482)</f>
        <v>0</v>
      </c>
      <c r="R3482">
        <f>COUNTIF('一般職員　企業局→市長部局'!A:F,SQLデータ!B3482)</f>
        <v>0</v>
      </c>
    </row>
    <row r="3483" spans="1:18" x14ac:dyDescent="0.4">
      <c r="A3483" s="1">
        <v>202650003422</v>
      </c>
      <c r="B3483" s="1">
        <v>1181347</v>
      </c>
      <c r="C3483" s="2">
        <v>46128</v>
      </c>
      <c r="D3483" t="s">
        <v>17</v>
      </c>
      <c r="E3483" t="s">
        <v>8</v>
      </c>
      <c r="G3483" t="s">
        <v>9</v>
      </c>
      <c r="L3483">
        <f t="shared" si="272"/>
        <v>0</v>
      </c>
      <c r="M3483">
        <f t="shared" si="273"/>
        <v>0</v>
      </c>
      <c r="N3483">
        <f t="shared" si="274"/>
        <v>0</v>
      </c>
      <c r="O3483">
        <f t="shared" si="275"/>
        <v>1</v>
      </c>
      <c r="P3483" t="str">
        <f t="shared" si="276"/>
        <v/>
      </c>
      <c r="Q3483">
        <f>COUNTIF('責任職　企業局→市長部局'!A:A,SQLデータ!B3483)</f>
        <v>0</v>
      </c>
      <c r="R3483">
        <f>COUNTIF('一般職員　企業局→市長部局'!A:F,SQLデータ!B3483)</f>
        <v>0</v>
      </c>
    </row>
    <row r="3484" spans="1:18" x14ac:dyDescent="0.4">
      <c r="A3484" s="1">
        <v>202650003423</v>
      </c>
      <c r="B3484" s="1">
        <v>1231096</v>
      </c>
      <c r="C3484" s="2">
        <v>46128</v>
      </c>
      <c r="D3484" t="s">
        <v>17</v>
      </c>
      <c r="E3484" t="s">
        <v>8</v>
      </c>
      <c r="G3484" t="s">
        <v>9</v>
      </c>
      <c r="L3484">
        <f t="shared" si="272"/>
        <v>0</v>
      </c>
      <c r="M3484">
        <f t="shared" si="273"/>
        <v>0</v>
      </c>
      <c r="N3484">
        <f t="shared" si="274"/>
        <v>0</v>
      </c>
      <c r="O3484">
        <f t="shared" si="275"/>
        <v>1</v>
      </c>
      <c r="P3484" t="str">
        <f t="shared" si="276"/>
        <v/>
      </c>
      <c r="Q3484">
        <f>COUNTIF('責任職　企業局→市長部局'!A:A,SQLデータ!B3484)</f>
        <v>0</v>
      </c>
      <c r="R3484">
        <f>COUNTIF('一般職員　企業局→市長部局'!A:F,SQLデータ!B3484)</f>
        <v>0</v>
      </c>
    </row>
    <row r="3485" spans="1:18" x14ac:dyDescent="0.4">
      <c r="A3485" s="1">
        <v>202650003424</v>
      </c>
      <c r="B3485" s="1">
        <v>1011077</v>
      </c>
      <c r="C3485" s="2">
        <v>46128</v>
      </c>
      <c r="D3485" t="s">
        <v>17</v>
      </c>
      <c r="E3485" t="s">
        <v>8</v>
      </c>
      <c r="G3485" t="s">
        <v>9</v>
      </c>
      <c r="L3485">
        <f t="shared" si="272"/>
        <v>0</v>
      </c>
      <c r="M3485">
        <f t="shared" si="273"/>
        <v>0</v>
      </c>
      <c r="N3485">
        <f t="shared" si="274"/>
        <v>0</v>
      </c>
      <c r="O3485">
        <f t="shared" si="275"/>
        <v>1</v>
      </c>
      <c r="P3485" t="str">
        <f t="shared" si="276"/>
        <v/>
      </c>
      <c r="Q3485">
        <f>COUNTIF('責任職　企業局→市長部局'!A:A,SQLデータ!B3485)</f>
        <v>0</v>
      </c>
      <c r="R3485">
        <f>COUNTIF('一般職員　企業局→市長部局'!A:F,SQLデータ!B3485)</f>
        <v>0</v>
      </c>
    </row>
    <row r="3486" spans="1:18" x14ac:dyDescent="0.4">
      <c r="A3486" s="1">
        <v>202650003425</v>
      </c>
      <c r="B3486" s="1">
        <v>1222031</v>
      </c>
      <c r="C3486" s="2">
        <v>46128</v>
      </c>
      <c r="D3486" t="s">
        <v>17</v>
      </c>
      <c r="E3486" t="s">
        <v>8</v>
      </c>
      <c r="G3486" t="s">
        <v>9</v>
      </c>
      <c r="L3486">
        <f t="shared" si="272"/>
        <v>0</v>
      </c>
      <c r="M3486">
        <f t="shared" si="273"/>
        <v>0</v>
      </c>
      <c r="N3486">
        <f t="shared" si="274"/>
        <v>0</v>
      </c>
      <c r="O3486">
        <f t="shared" si="275"/>
        <v>1</v>
      </c>
      <c r="P3486" t="str">
        <f t="shared" si="276"/>
        <v/>
      </c>
      <c r="Q3486">
        <f>COUNTIF('責任職　企業局→市長部局'!A:A,SQLデータ!B3486)</f>
        <v>0</v>
      </c>
      <c r="R3486">
        <f>COUNTIF('一般職員　企業局→市長部局'!A:F,SQLデータ!B3486)</f>
        <v>0</v>
      </c>
    </row>
    <row r="3487" spans="1:18" x14ac:dyDescent="0.4">
      <c r="A3487" s="1">
        <v>202650003426</v>
      </c>
      <c r="B3487" s="1">
        <v>890215</v>
      </c>
      <c r="C3487" s="2">
        <v>46128</v>
      </c>
      <c r="D3487" t="s">
        <v>17</v>
      </c>
      <c r="E3487" t="s">
        <v>8</v>
      </c>
      <c r="G3487" t="s">
        <v>9</v>
      </c>
      <c r="L3487">
        <f t="shared" si="272"/>
        <v>0</v>
      </c>
      <c r="M3487">
        <f t="shared" si="273"/>
        <v>0</v>
      </c>
      <c r="N3487">
        <f t="shared" si="274"/>
        <v>0</v>
      </c>
      <c r="O3487">
        <f t="shared" si="275"/>
        <v>1</v>
      </c>
      <c r="P3487" t="str">
        <f t="shared" si="276"/>
        <v/>
      </c>
      <c r="Q3487">
        <f>COUNTIF('責任職　企業局→市長部局'!A:A,SQLデータ!B3487)</f>
        <v>0</v>
      </c>
      <c r="R3487">
        <f>COUNTIF('一般職員　企業局→市長部局'!A:F,SQLデータ!B3487)</f>
        <v>0</v>
      </c>
    </row>
    <row r="3488" spans="1:18" x14ac:dyDescent="0.4">
      <c r="A3488" s="1">
        <v>202650003427</v>
      </c>
      <c r="B3488" s="1">
        <v>1031143</v>
      </c>
      <c r="C3488" s="2">
        <v>46128</v>
      </c>
      <c r="D3488" t="s">
        <v>17</v>
      </c>
      <c r="E3488" t="s">
        <v>8</v>
      </c>
      <c r="G3488" t="s">
        <v>9</v>
      </c>
      <c r="L3488">
        <f t="shared" si="272"/>
        <v>0</v>
      </c>
      <c r="M3488">
        <f t="shared" si="273"/>
        <v>0</v>
      </c>
      <c r="N3488">
        <f t="shared" si="274"/>
        <v>0</v>
      </c>
      <c r="O3488">
        <f t="shared" si="275"/>
        <v>1</v>
      </c>
      <c r="P3488" t="str">
        <f t="shared" si="276"/>
        <v/>
      </c>
      <c r="Q3488">
        <f>COUNTIF('責任職　企業局→市長部局'!A:A,SQLデータ!B3488)</f>
        <v>0</v>
      </c>
      <c r="R3488">
        <f>COUNTIF('一般職員　企業局→市長部局'!A:F,SQLデータ!B3488)</f>
        <v>0</v>
      </c>
    </row>
    <row r="3489" spans="1:18" x14ac:dyDescent="0.4">
      <c r="A3489" s="1">
        <v>202650003428</v>
      </c>
      <c r="B3489" s="1">
        <v>1221403</v>
      </c>
      <c r="C3489" s="2">
        <v>46128</v>
      </c>
      <c r="D3489" t="s">
        <v>17</v>
      </c>
      <c r="E3489" t="s">
        <v>8</v>
      </c>
      <c r="G3489" t="s">
        <v>9</v>
      </c>
      <c r="L3489">
        <f t="shared" si="272"/>
        <v>0</v>
      </c>
      <c r="M3489">
        <f t="shared" si="273"/>
        <v>0</v>
      </c>
      <c r="N3489">
        <f t="shared" si="274"/>
        <v>0</v>
      </c>
      <c r="O3489">
        <f t="shared" si="275"/>
        <v>1</v>
      </c>
      <c r="P3489" t="str">
        <f t="shared" si="276"/>
        <v/>
      </c>
      <c r="Q3489">
        <f>COUNTIF('責任職　企業局→市長部局'!A:A,SQLデータ!B3489)</f>
        <v>0</v>
      </c>
      <c r="R3489">
        <f>COUNTIF('一般職員　企業局→市長部局'!A:F,SQLデータ!B3489)</f>
        <v>0</v>
      </c>
    </row>
    <row r="3490" spans="1:18" x14ac:dyDescent="0.4">
      <c r="A3490" s="1">
        <v>202650003429</v>
      </c>
      <c r="B3490" s="1">
        <v>1221086</v>
      </c>
      <c r="C3490" s="2">
        <v>46128</v>
      </c>
      <c r="D3490" t="s">
        <v>17</v>
      </c>
      <c r="E3490" t="s">
        <v>8</v>
      </c>
      <c r="G3490" t="s">
        <v>9</v>
      </c>
      <c r="L3490">
        <f t="shared" ref="L3490:L3553" si="277">IF(ISBLANK(J3490),0,1)</f>
        <v>0</v>
      </c>
      <c r="M3490">
        <f t="shared" ref="M3490:M3553" si="278">IF(AND(L3490=0,I3490&lt;&gt;""),1,0)</f>
        <v>0</v>
      </c>
      <c r="N3490">
        <f t="shared" ref="N3490:N3553" si="279">IF(AND(L3490=0,M3490=0,K3490&lt;&gt;""),1,0)</f>
        <v>0</v>
      </c>
      <c r="O3490">
        <f t="shared" ref="O3490:O3553" si="280">IF(COUNTIF(L3490:N3490,0)=3,1,0)</f>
        <v>1</v>
      </c>
      <c r="P3490" t="str">
        <f t="shared" ref="P3490:P3553" si="281">IF(D3490&lt;&gt;"扶養","",IF(E3490&lt;&gt;"確認待ち",1,IF(OR(AND(G3490="本人の結婚",O3490=1),AND(H3490="減",OR(N3490=1,O3490=1))),1,0)))</f>
        <v/>
      </c>
      <c r="Q3490">
        <f>COUNTIF('責任職　企業局→市長部局'!A:A,SQLデータ!B3490)</f>
        <v>0</v>
      </c>
      <c r="R3490">
        <f>COUNTIF('一般職員　企業局→市長部局'!A:F,SQLデータ!B3490)</f>
        <v>0</v>
      </c>
    </row>
    <row r="3491" spans="1:18" x14ac:dyDescent="0.4">
      <c r="A3491" s="1">
        <v>202650003430</v>
      </c>
      <c r="B3491" s="1">
        <v>950395</v>
      </c>
      <c r="C3491" s="2">
        <v>46128</v>
      </c>
      <c r="D3491" t="s">
        <v>17</v>
      </c>
      <c r="E3491" t="s">
        <v>8</v>
      </c>
      <c r="G3491" t="s">
        <v>9</v>
      </c>
      <c r="L3491">
        <f t="shared" si="277"/>
        <v>0</v>
      </c>
      <c r="M3491">
        <f t="shared" si="278"/>
        <v>0</v>
      </c>
      <c r="N3491">
        <f t="shared" si="279"/>
        <v>0</v>
      </c>
      <c r="O3491">
        <f t="shared" si="280"/>
        <v>1</v>
      </c>
      <c r="P3491" t="str">
        <f t="shared" si="281"/>
        <v/>
      </c>
      <c r="Q3491">
        <f>COUNTIF('責任職　企業局→市長部局'!A:A,SQLデータ!B3491)</f>
        <v>0</v>
      </c>
      <c r="R3491">
        <f>COUNTIF('一般職員　企業局→市長部局'!A:F,SQLデータ!B3491)</f>
        <v>0</v>
      </c>
    </row>
    <row r="3492" spans="1:18" x14ac:dyDescent="0.4">
      <c r="A3492" s="1">
        <v>202650003431</v>
      </c>
      <c r="B3492" s="1">
        <v>940651</v>
      </c>
      <c r="C3492" s="2">
        <v>46128</v>
      </c>
      <c r="D3492" t="s">
        <v>17</v>
      </c>
      <c r="E3492" t="s">
        <v>8</v>
      </c>
      <c r="G3492" t="s">
        <v>9</v>
      </c>
      <c r="L3492">
        <f t="shared" si="277"/>
        <v>0</v>
      </c>
      <c r="M3492">
        <f t="shared" si="278"/>
        <v>0</v>
      </c>
      <c r="N3492">
        <f t="shared" si="279"/>
        <v>0</v>
      </c>
      <c r="O3492">
        <f t="shared" si="280"/>
        <v>1</v>
      </c>
      <c r="P3492" t="str">
        <f t="shared" si="281"/>
        <v/>
      </c>
      <c r="Q3492">
        <f>COUNTIF('責任職　企業局→市長部局'!A:A,SQLデータ!B3492)</f>
        <v>0</v>
      </c>
      <c r="R3492">
        <f>COUNTIF('一般職員　企業局→市長部局'!A:F,SQLデータ!B3492)</f>
        <v>0</v>
      </c>
    </row>
    <row r="3493" spans="1:18" x14ac:dyDescent="0.4">
      <c r="A3493" s="1">
        <v>202650003432</v>
      </c>
      <c r="B3493" s="1">
        <v>1131099</v>
      </c>
      <c r="C3493" s="2">
        <v>46128</v>
      </c>
      <c r="D3493" t="s">
        <v>17</v>
      </c>
      <c r="E3493" t="s">
        <v>8</v>
      </c>
      <c r="G3493" t="s">
        <v>9</v>
      </c>
      <c r="L3493">
        <f t="shared" si="277"/>
        <v>0</v>
      </c>
      <c r="M3493">
        <f t="shared" si="278"/>
        <v>0</v>
      </c>
      <c r="N3493">
        <f t="shared" si="279"/>
        <v>0</v>
      </c>
      <c r="O3493">
        <f t="shared" si="280"/>
        <v>1</v>
      </c>
      <c r="P3493" t="str">
        <f t="shared" si="281"/>
        <v/>
      </c>
      <c r="Q3493">
        <f>COUNTIF('責任職　企業局→市長部局'!A:A,SQLデータ!B3493)</f>
        <v>0</v>
      </c>
      <c r="R3493">
        <f>COUNTIF('一般職員　企業局→市長部局'!A:F,SQLデータ!B3493)</f>
        <v>0</v>
      </c>
    </row>
    <row r="3494" spans="1:18" x14ac:dyDescent="0.4">
      <c r="A3494" s="1">
        <v>202650003433</v>
      </c>
      <c r="B3494" s="1">
        <v>960545</v>
      </c>
      <c r="C3494" s="2">
        <v>46128</v>
      </c>
      <c r="D3494" t="s">
        <v>17</v>
      </c>
      <c r="E3494" t="s">
        <v>8</v>
      </c>
      <c r="G3494" t="s">
        <v>9</v>
      </c>
      <c r="L3494">
        <f t="shared" si="277"/>
        <v>0</v>
      </c>
      <c r="M3494">
        <f t="shared" si="278"/>
        <v>0</v>
      </c>
      <c r="N3494">
        <f t="shared" si="279"/>
        <v>0</v>
      </c>
      <c r="O3494">
        <f t="shared" si="280"/>
        <v>1</v>
      </c>
      <c r="P3494" t="str">
        <f t="shared" si="281"/>
        <v/>
      </c>
      <c r="Q3494">
        <f>COUNTIF('責任職　企業局→市長部局'!A:A,SQLデータ!B3494)</f>
        <v>0</v>
      </c>
      <c r="R3494">
        <f>COUNTIF('一般職員　企業局→市長部局'!A:F,SQLデータ!B3494)</f>
        <v>0</v>
      </c>
    </row>
    <row r="3495" spans="1:18" x14ac:dyDescent="0.4">
      <c r="A3495" s="1">
        <v>202650003434</v>
      </c>
      <c r="B3495" s="1">
        <v>1181432</v>
      </c>
      <c r="C3495" s="2">
        <v>46128</v>
      </c>
      <c r="D3495" t="s">
        <v>17</v>
      </c>
      <c r="E3495" t="s">
        <v>8</v>
      </c>
      <c r="G3495" t="s">
        <v>9</v>
      </c>
      <c r="L3495">
        <f t="shared" si="277"/>
        <v>0</v>
      </c>
      <c r="M3495">
        <f t="shared" si="278"/>
        <v>0</v>
      </c>
      <c r="N3495">
        <f t="shared" si="279"/>
        <v>0</v>
      </c>
      <c r="O3495">
        <f t="shared" si="280"/>
        <v>1</v>
      </c>
      <c r="P3495" t="str">
        <f t="shared" si="281"/>
        <v/>
      </c>
      <c r="Q3495">
        <f>COUNTIF('責任職　企業局→市長部局'!A:A,SQLデータ!B3495)</f>
        <v>0</v>
      </c>
      <c r="R3495">
        <f>COUNTIF('一般職員　企業局→市長部局'!A:F,SQLデータ!B3495)</f>
        <v>0</v>
      </c>
    </row>
    <row r="3496" spans="1:18" x14ac:dyDescent="0.4">
      <c r="A3496" s="1">
        <v>202650003435</v>
      </c>
      <c r="B3496" s="1">
        <v>1151366</v>
      </c>
      <c r="C3496" s="2">
        <v>46128</v>
      </c>
      <c r="D3496" t="s">
        <v>17</v>
      </c>
      <c r="E3496" t="s">
        <v>8</v>
      </c>
      <c r="G3496" t="s">
        <v>9</v>
      </c>
      <c r="L3496">
        <f t="shared" si="277"/>
        <v>0</v>
      </c>
      <c r="M3496">
        <f t="shared" si="278"/>
        <v>0</v>
      </c>
      <c r="N3496">
        <f t="shared" si="279"/>
        <v>0</v>
      </c>
      <c r="O3496">
        <f t="shared" si="280"/>
        <v>1</v>
      </c>
      <c r="P3496" t="str">
        <f t="shared" si="281"/>
        <v/>
      </c>
      <c r="Q3496">
        <f>COUNTIF('責任職　企業局→市長部局'!A:A,SQLデータ!B3496)</f>
        <v>0</v>
      </c>
      <c r="R3496">
        <f>COUNTIF('一般職員　企業局→市長部局'!A:F,SQLデータ!B3496)</f>
        <v>0</v>
      </c>
    </row>
    <row r="3497" spans="1:18" x14ac:dyDescent="0.4">
      <c r="A3497" s="1">
        <v>202650003436</v>
      </c>
      <c r="B3497" s="1">
        <v>1101357</v>
      </c>
      <c r="C3497" s="2">
        <v>46128</v>
      </c>
      <c r="D3497" t="s">
        <v>17</v>
      </c>
      <c r="E3497" t="s">
        <v>8</v>
      </c>
      <c r="G3497" t="s">
        <v>9</v>
      </c>
      <c r="L3497">
        <f t="shared" si="277"/>
        <v>0</v>
      </c>
      <c r="M3497">
        <f t="shared" si="278"/>
        <v>0</v>
      </c>
      <c r="N3497">
        <f t="shared" si="279"/>
        <v>0</v>
      </c>
      <c r="O3497">
        <f t="shared" si="280"/>
        <v>1</v>
      </c>
      <c r="P3497" t="str">
        <f t="shared" si="281"/>
        <v/>
      </c>
      <c r="Q3497">
        <f>COUNTIF('責任職　企業局→市長部局'!A:A,SQLデータ!B3497)</f>
        <v>0</v>
      </c>
      <c r="R3497">
        <f>COUNTIF('一般職員　企業局→市長部局'!A:F,SQLデータ!B3497)</f>
        <v>0</v>
      </c>
    </row>
    <row r="3498" spans="1:18" x14ac:dyDescent="0.4">
      <c r="A3498" s="1">
        <v>202650003437</v>
      </c>
      <c r="B3498" s="1">
        <v>1261022</v>
      </c>
      <c r="C3498" s="2">
        <v>46128</v>
      </c>
      <c r="D3498" t="s">
        <v>17</v>
      </c>
      <c r="E3498" t="s">
        <v>8</v>
      </c>
      <c r="G3498" t="s">
        <v>9</v>
      </c>
      <c r="L3498">
        <f t="shared" si="277"/>
        <v>0</v>
      </c>
      <c r="M3498">
        <f t="shared" si="278"/>
        <v>0</v>
      </c>
      <c r="N3498">
        <f t="shared" si="279"/>
        <v>0</v>
      </c>
      <c r="O3498">
        <f t="shared" si="280"/>
        <v>1</v>
      </c>
      <c r="P3498" t="str">
        <f t="shared" si="281"/>
        <v/>
      </c>
      <c r="Q3498">
        <f>COUNTIF('責任職　企業局→市長部局'!A:A,SQLデータ!B3498)</f>
        <v>0</v>
      </c>
      <c r="R3498">
        <f>COUNTIF('一般職員　企業局→市長部局'!A:F,SQLデータ!B3498)</f>
        <v>0</v>
      </c>
    </row>
    <row r="3499" spans="1:18" x14ac:dyDescent="0.4">
      <c r="A3499" s="1">
        <v>202650003438</v>
      </c>
      <c r="B3499" s="1">
        <v>1212103</v>
      </c>
      <c r="C3499" s="2">
        <v>46129</v>
      </c>
      <c r="D3499" t="s">
        <v>17</v>
      </c>
      <c r="E3499" t="s">
        <v>8</v>
      </c>
      <c r="G3499" t="s">
        <v>9</v>
      </c>
      <c r="L3499">
        <f t="shared" si="277"/>
        <v>0</v>
      </c>
      <c r="M3499">
        <f t="shared" si="278"/>
        <v>0</v>
      </c>
      <c r="N3499">
        <f t="shared" si="279"/>
        <v>0</v>
      </c>
      <c r="O3499">
        <f t="shared" si="280"/>
        <v>1</v>
      </c>
      <c r="P3499" t="str">
        <f t="shared" si="281"/>
        <v/>
      </c>
      <c r="Q3499">
        <f>COUNTIF('責任職　企業局→市長部局'!A:A,SQLデータ!B3499)</f>
        <v>0</v>
      </c>
      <c r="R3499">
        <f>COUNTIF('一般職員　企業局→市長部局'!A:F,SQLデータ!B3499)</f>
        <v>0</v>
      </c>
    </row>
    <row r="3500" spans="1:18" x14ac:dyDescent="0.4">
      <c r="A3500" s="1">
        <v>202650003439</v>
      </c>
      <c r="B3500" s="1">
        <v>830548</v>
      </c>
      <c r="C3500" s="2">
        <v>46128</v>
      </c>
      <c r="D3500" t="s">
        <v>17</v>
      </c>
      <c r="E3500" t="s">
        <v>8</v>
      </c>
      <c r="G3500" t="s">
        <v>9</v>
      </c>
      <c r="L3500">
        <f t="shared" si="277"/>
        <v>0</v>
      </c>
      <c r="M3500">
        <f t="shared" si="278"/>
        <v>0</v>
      </c>
      <c r="N3500">
        <f t="shared" si="279"/>
        <v>0</v>
      </c>
      <c r="O3500">
        <f t="shared" si="280"/>
        <v>1</v>
      </c>
      <c r="P3500" t="str">
        <f t="shared" si="281"/>
        <v/>
      </c>
      <c r="Q3500">
        <f>COUNTIF('責任職　企業局→市長部局'!A:A,SQLデータ!B3500)</f>
        <v>0</v>
      </c>
      <c r="R3500">
        <f>COUNTIF('一般職員　企業局→市長部局'!A:F,SQLデータ!B3500)</f>
        <v>0</v>
      </c>
    </row>
    <row r="3501" spans="1:18" x14ac:dyDescent="0.4">
      <c r="A3501" s="1">
        <v>202650003440</v>
      </c>
      <c r="B3501" s="1">
        <v>1131172</v>
      </c>
      <c r="C3501" s="2">
        <v>46128</v>
      </c>
      <c r="D3501" t="s">
        <v>17</v>
      </c>
      <c r="E3501" t="s">
        <v>8</v>
      </c>
      <c r="G3501" t="s">
        <v>9</v>
      </c>
      <c r="L3501">
        <f t="shared" si="277"/>
        <v>0</v>
      </c>
      <c r="M3501">
        <f t="shared" si="278"/>
        <v>0</v>
      </c>
      <c r="N3501">
        <f t="shared" si="279"/>
        <v>0</v>
      </c>
      <c r="O3501">
        <f t="shared" si="280"/>
        <v>1</v>
      </c>
      <c r="P3501" t="str">
        <f t="shared" si="281"/>
        <v/>
      </c>
      <c r="Q3501">
        <f>COUNTIF('責任職　企業局→市長部局'!A:A,SQLデータ!B3501)</f>
        <v>0</v>
      </c>
      <c r="R3501">
        <f>COUNTIF('一般職員　企業局→市長部局'!A:F,SQLデータ!B3501)</f>
        <v>0</v>
      </c>
    </row>
    <row r="3502" spans="1:18" x14ac:dyDescent="0.4">
      <c r="A3502" s="1">
        <v>202650003441</v>
      </c>
      <c r="B3502" s="1">
        <v>1134058</v>
      </c>
      <c r="C3502" s="2">
        <v>46128</v>
      </c>
      <c r="D3502" t="s">
        <v>17</v>
      </c>
      <c r="E3502" t="s">
        <v>8</v>
      </c>
      <c r="G3502" t="s">
        <v>9</v>
      </c>
      <c r="L3502">
        <f t="shared" si="277"/>
        <v>0</v>
      </c>
      <c r="M3502">
        <f t="shared" si="278"/>
        <v>0</v>
      </c>
      <c r="N3502">
        <f t="shared" si="279"/>
        <v>0</v>
      </c>
      <c r="O3502">
        <f t="shared" si="280"/>
        <v>1</v>
      </c>
      <c r="P3502" t="str">
        <f t="shared" si="281"/>
        <v/>
      </c>
      <c r="Q3502">
        <f>COUNTIF('責任職　企業局→市長部局'!A:A,SQLデータ!B3502)</f>
        <v>0</v>
      </c>
      <c r="R3502">
        <f>COUNTIF('一般職員　企業局→市長部局'!A:F,SQLデータ!B3502)</f>
        <v>0</v>
      </c>
    </row>
    <row r="3503" spans="1:18" x14ac:dyDescent="0.4">
      <c r="A3503" s="1">
        <v>202650003442</v>
      </c>
      <c r="B3503" s="1">
        <v>1102124</v>
      </c>
      <c r="C3503" s="2">
        <v>46128</v>
      </c>
      <c r="D3503" t="s">
        <v>17</v>
      </c>
      <c r="E3503" t="s">
        <v>8</v>
      </c>
      <c r="G3503" t="s">
        <v>9</v>
      </c>
      <c r="L3503">
        <f t="shared" si="277"/>
        <v>0</v>
      </c>
      <c r="M3503">
        <f t="shared" si="278"/>
        <v>0</v>
      </c>
      <c r="N3503">
        <f t="shared" si="279"/>
        <v>0</v>
      </c>
      <c r="O3503">
        <f t="shared" si="280"/>
        <v>1</v>
      </c>
      <c r="P3503" t="str">
        <f t="shared" si="281"/>
        <v/>
      </c>
      <c r="Q3503">
        <f>COUNTIF('責任職　企業局→市長部局'!A:A,SQLデータ!B3503)</f>
        <v>0</v>
      </c>
      <c r="R3503">
        <f>COUNTIF('一般職員　企業局→市長部局'!A:F,SQLデータ!B3503)</f>
        <v>0</v>
      </c>
    </row>
    <row r="3504" spans="1:18" x14ac:dyDescent="0.4">
      <c r="A3504" s="1">
        <v>202650003443</v>
      </c>
      <c r="B3504" s="1">
        <v>1221399</v>
      </c>
      <c r="C3504" s="2">
        <v>46128</v>
      </c>
      <c r="D3504" t="s">
        <v>17</v>
      </c>
      <c r="E3504" t="s">
        <v>8</v>
      </c>
      <c r="G3504" t="s">
        <v>9</v>
      </c>
      <c r="L3504">
        <f t="shared" si="277"/>
        <v>0</v>
      </c>
      <c r="M3504">
        <f t="shared" si="278"/>
        <v>0</v>
      </c>
      <c r="N3504">
        <f t="shared" si="279"/>
        <v>0</v>
      </c>
      <c r="O3504">
        <f t="shared" si="280"/>
        <v>1</v>
      </c>
      <c r="P3504" t="str">
        <f t="shared" si="281"/>
        <v/>
      </c>
      <c r="Q3504">
        <f>COUNTIF('責任職　企業局→市長部局'!A:A,SQLデータ!B3504)</f>
        <v>0</v>
      </c>
      <c r="R3504">
        <f>COUNTIF('一般職員　企業局→市長部局'!A:F,SQLデータ!B3504)</f>
        <v>0</v>
      </c>
    </row>
    <row r="3505" spans="1:18" x14ac:dyDescent="0.4">
      <c r="A3505" s="1">
        <v>202650003444</v>
      </c>
      <c r="B3505" s="1">
        <v>1231333</v>
      </c>
      <c r="C3505" s="2">
        <v>46128</v>
      </c>
      <c r="D3505" t="s">
        <v>17</v>
      </c>
      <c r="E3505" t="s">
        <v>8</v>
      </c>
      <c r="G3505" t="s">
        <v>9</v>
      </c>
      <c r="L3505">
        <f t="shared" si="277"/>
        <v>0</v>
      </c>
      <c r="M3505">
        <f t="shared" si="278"/>
        <v>0</v>
      </c>
      <c r="N3505">
        <f t="shared" si="279"/>
        <v>0</v>
      </c>
      <c r="O3505">
        <f t="shared" si="280"/>
        <v>1</v>
      </c>
      <c r="P3505" t="str">
        <f t="shared" si="281"/>
        <v/>
      </c>
      <c r="Q3505">
        <f>COUNTIF('責任職　企業局→市長部局'!A:A,SQLデータ!B3505)</f>
        <v>0</v>
      </c>
      <c r="R3505">
        <f>COUNTIF('一般職員　企業局→市長部局'!A:F,SQLデータ!B3505)</f>
        <v>0</v>
      </c>
    </row>
    <row r="3506" spans="1:18" x14ac:dyDescent="0.4">
      <c r="A3506" s="1">
        <v>202650003445</v>
      </c>
      <c r="B3506" s="1">
        <v>880274</v>
      </c>
      <c r="C3506" s="2">
        <v>46128</v>
      </c>
      <c r="D3506" t="s">
        <v>17</v>
      </c>
      <c r="E3506" t="s">
        <v>8</v>
      </c>
      <c r="G3506" t="s">
        <v>9</v>
      </c>
      <c r="L3506">
        <f t="shared" si="277"/>
        <v>0</v>
      </c>
      <c r="M3506">
        <f t="shared" si="278"/>
        <v>0</v>
      </c>
      <c r="N3506">
        <f t="shared" si="279"/>
        <v>0</v>
      </c>
      <c r="O3506">
        <f t="shared" si="280"/>
        <v>1</v>
      </c>
      <c r="P3506" t="str">
        <f t="shared" si="281"/>
        <v/>
      </c>
      <c r="Q3506">
        <f>COUNTIF('責任職　企業局→市長部局'!A:A,SQLデータ!B3506)</f>
        <v>0</v>
      </c>
      <c r="R3506">
        <f>COUNTIF('一般職員　企業局→市長部局'!A:F,SQLデータ!B3506)</f>
        <v>0</v>
      </c>
    </row>
    <row r="3507" spans="1:18" x14ac:dyDescent="0.4">
      <c r="A3507" s="1">
        <v>202650003446</v>
      </c>
      <c r="B3507" s="1">
        <v>1122025</v>
      </c>
      <c r="C3507" s="2">
        <v>46128</v>
      </c>
      <c r="D3507" t="s">
        <v>17</v>
      </c>
      <c r="E3507" t="s">
        <v>8</v>
      </c>
      <c r="G3507" t="s">
        <v>9</v>
      </c>
      <c r="L3507">
        <f t="shared" si="277"/>
        <v>0</v>
      </c>
      <c r="M3507">
        <f t="shared" si="278"/>
        <v>0</v>
      </c>
      <c r="N3507">
        <f t="shared" si="279"/>
        <v>0</v>
      </c>
      <c r="O3507">
        <f t="shared" si="280"/>
        <v>1</v>
      </c>
      <c r="P3507" t="str">
        <f t="shared" si="281"/>
        <v/>
      </c>
      <c r="Q3507">
        <f>COUNTIF('責任職　企業局→市長部局'!A:A,SQLデータ!B3507)</f>
        <v>0</v>
      </c>
      <c r="R3507">
        <f>COUNTIF('一般職員　企業局→市長部局'!A:F,SQLデータ!B3507)</f>
        <v>0</v>
      </c>
    </row>
    <row r="3508" spans="1:18" x14ac:dyDescent="0.4">
      <c r="A3508" s="1">
        <v>202650003447</v>
      </c>
      <c r="B3508" s="1">
        <v>1151180</v>
      </c>
      <c r="C3508" s="2">
        <v>46128</v>
      </c>
      <c r="D3508" t="s">
        <v>17</v>
      </c>
      <c r="E3508" t="s">
        <v>8</v>
      </c>
      <c r="G3508" t="s">
        <v>9</v>
      </c>
      <c r="L3508">
        <f t="shared" si="277"/>
        <v>0</v>
      </c>
      <c r="M3508">
        <f t="shared" si="278"/>
        <v>0</v>
      </c>
      <c r="N3508">
        <f t="shared" si="279"/>
        <v>0</v>
      </c>
      <c r="O3508">
        <f t="shared" si="280"/>
        <v>1</v>
      </c>
      <c r="P3508" t="str">
        <f t="shared" si="281"/>
        <v/>
      </c>
      <c r="Q3508">
        <f>COUNTIF('責任職　企業局→市長部局'!A:A,SQLデータ!B3508)</f>
        <v>0</v>
      </c>
      <c r="R3508">
        <f>COUNTIF('一般職員　企業局→市長部局'!A:F,SQLデータ!B3508)</f>
        <v>0</v>
      </c>
    </row>
    <row r="3509" spans="1:18" x14ac:dyDescent="0.4">
      <c r="A3509" s="1">
        <v>202650003448</v>
      </c>
      <c r="B3509" s="1">
        <v>1111209</v>
      </c>
      <c r="C3509" s="2">
        <v>46128</v>
      </c>
      <c r="D3509" t="s">
        <v>17</v>
      </c>
      <c r="E3509" t="s">
        <v>8</v>
      </c>
      <c r="G3509" t="s">
        <v>9</v>
      </c>
      <c r="L3509">
        <f t="shared" si="277"/>
        <v>0</v>
      </c>
      <c r="M3509">
        <f t="shared" si="278"/>
        <v>0</v>
      </c>
      <c r="N3509">
        <f t="shared" si="279"/>
        <v>0</v>
      </c>
      <c r="O3509">
        <f t="shared" si="280"/>
        <v>1</v>
      </c>
      <c r="P3509" t="str">
        <f t="shared" si="281"/>
        <v/>
      </c>
      <c r="Q3509">
        <f>COUNTIF('責任職　企業局→市長部局'!A:A,SQLデータ!B3509)</f>
        <v>0</v>
      </c>
      <c r="R3509">
        <f>COUNTIF('一般職員　企業局→市長部局'!A:F,SQLデータ!B3509)</f>
        <v>0</v>
      </c>
    </row>
    <row r="3510" spans="1:18" x14ac:dyDescent="0.4">
      <c r="A3510" s="1">
        <v>202650003449</v>
      </c>
      <c r="B3510" s="1">
        <v>1170001</v>
      </c>
      <c r="C3510" s="2">
        <v>46128</v>
      </c>
      <c r="D3510" t="s">
        <v>17</v>
      </c>
      <c r="E3510" t="s">
        <v>8</v>
      </c>
      <c r="G3510" t="s">
        <v>9</v>
      </c>
      <c r="L3510">
        <f t="shared" si="277"/>
        <v>0</v>
      </c>
      <c r="M3510">
        <f t="shared" si="278"/>
        <v>0</v>
      </c>
      <c r="N3510">
        <f t="shared" si="279"/>
        <v>0</v>
      </c>
      <c r="O3510">
        <f t="shared" si="280"/>
        <v>1</v>
      </c>
      <c r="P3510" t="str">
        <f t="shared" si="281"/>
        <v/>
      </c>
      <c r="Q3510">
        <f>COUNTIF('責任職　企業局→市長部局'!A:A,SQLデータ!B3510)</f>
        <v>0</v>
      </c>
      <c r="R3510">
        <f>COUNTIF('一般職員　企業局→市長部局'!A:F,SQLデータ!B3510)</f>
        <v>0</v>
      </c>
    </row>
    <row r="3511" spans="1:18" x14ac:dyDescent="0.4">
      <c r="A3511" s="1">
        <v>202650003450</v>
      </c>
      <c r="B3511" s="1">
        <v>1192307</v>
      </c>
      <c r="C3511" s="2">
        <v>46128</v>
      </c>
      <c r="D3511" t="s">
        <v>17</v>
      </c>
      <c r="E3511" t="s">
        <v>8</v>
      </c>
      <c r="G3511" t="s">
        <v>9</v>
      </c>
      <c r="L3511">
        <f t="shared" si="277"/>
        <v>0</v>
      </c>
      <c r="M3511">
        <f t="shared" si="278"/>
        <v>0</v>
      </c>
      <c r="N3511">
        <f t="shared" si="279"/>
        <v>0</v>
      </c>
      <c r="O3511">
        <f t="shared" si="280"/>
        <v>1</v>
      </c>
      <c r="P3511" t="str">
        <f t="shared" si="281"/>
        <v/>
      </c>
      <c r="Q3511">
        <f>COUNTIF('責任職　企業局→市長部局'!A:A,SQLデータ!B3511)</f>
        <v>0</v>
      </c>
      <c r="R3511">
        <f>COUNTIF('一般職員　企業局→市長部局'!A:F,SQLデータ!B3511)</f>
        <v>0</v>
      </c>
    </row>
    <row r="3512" spans="1:18" x14ac:dyDescent="0.4">
      <c r="A3512" s="1">
        <v>202650003451</v>
      </c>
      <c r="B3512" s="1">
        <v>1141303</v>
      </c>
      <c r="C3512" s="2">
        <v>46128</v>
      </c>
      <c r="D3512" t="s">
        <v>17</v>
      </c>
      <c r="E3512" t="s">
        <v>8</v>
      </c>
      <c r="G3512" t="s">
        <v>9</v>
      </c>
      <c r="L3512">
        <f t="shared" si="277"/>
        <v>0</v>
      </c>
      <c r="M3512">
        <f t="shared" si="278"/>
        <v>0</v>
      </c>
      <c r="N3512">
        <f t="shared" si="279"/>
        <v>0</v>
      </c>
      <c r="O3512">
        <f t="shared" si="280"/>
        <v>1</v>
      </c>
      <c r="P3512" t="str">
        <f t="shared" si="281"/>
        <v/>
      </c>
      <c r="Q3512">
        <f>COUNTIF('責任職　企業局→市長部局'!A:A,SQLデータ!B3512)</f>
        <v>0</v>
      </c>
      <c r="R3512">
        <f>COUNTIF('一般職員　企業局→市長部局'!A:F,SQLデータ!B3512)</f>
        <v>0</v>
      </c>
    </row>
    <row r="3513" spans="1:18" x14ac:dyDescent="0.4">
      <c r="A3513" s="1">
        <v>202650003452</v>
      </c>
      <c r="B3513" s="1">
        <v>991250</v>
      </c>
      <c r="C3513" s="2">
        <v>46128</v>
      </c>
      <c r="D3513" t="s">
        <v>17</v>
      </c>
      <c r="E3513" t="s">
        <v>8</v>
      </c>
      <c r="G3513" t="s">
        <v>9</v>
      </c>
      <c r="L3513">
        <f t="shared" si="277"/>
        <v>0</v>
      </c>
      <c r="M3513">
        <f t="shared" si="278"/>
        <v>0</v>
      </c>
      <c r="N3513">
        <f t="shared" si="279"/>
        <v>0</v>
      </c>
      <c r="O3513">
        <f t="shared" si="280"/>
        <v>1</v>
      </c>
      <c r="P3513" t="str">
        <f t="shared" si="281"/>
        <v/>
      </c>
      <c r="Q3513">
        <f>COUNTIF('責任職　企業局→市長部局'!A:A,SQLデータ!B3513)</f>
        <v>0</v>
      </c>
      <c r="R3513">
        <f>COUNTIF('一般職員　企業局→市長部局'!A:F,SQLデータ!B3513)</f>
        <v>0</v>
      </c>
    </row>
    <row r="3514" spans="1:18" x14ac:dyDescent="0.4">
      <c r="A3514" s="1">
        <v>202650003453</v>
      </c>
      <c r="B3514" s="1">
        <v>1191399</v>
      </c>
      <c r="C3514" s="2">
        <v>46128</v>
      </c>
      <c r="D3514" t="s">
        <v>17</v>
      </c>
      <c r="E3514" t="s">
        <v>8</v>
      </c>
      <c r="G3514" t="s">
        <v>9</v>
      </c>
      <c r="L3514">
        <f t="shared" si="277"/>
        <v>0</v>
      </c>
      <c r="M3514">
        <f t="shared" si="278"/>
        <v>0</v>
      </c>
      <c r="N3514">
        <f t="shared" si="279"/>
        <v>0</v>
      </c>
      <c r="O3514">
        <f t="shared" si="280"/>
        <v>1</v>
      </c>
      <c r="P3514" t="str">
        <f t="shared" si="281"/>
        <v/>
      </c>
      <c r="Q3514">
        <f>COUNTIF('責任職　企業局→市長部局'!A:A,SQLデータ!B3514)</f>
        <v>0</v>
      </c>
      <c r="R3514">
        <f>COUNTIF('一般職員　企業局→市長部局'!A:F,SQLデータ!B3514)</f>
        <v>0</v>
      </c>
    </row>
    <row r="3515" spans="1:18" x14ac:dyDescent="0.4">
      <c r="A3515" s="1">
        <v>202650003454</v>
      </c>
      <c r="B3515" s="1">
        <v>1221113</v>
      </c>
      <c r="C3515" s="2">
        <v>46128</v>
      </c>
      <c r="D3515" t="s">
        <v>17</v>
      </c>
      <c r="E3515" t="s">
        <v>8</v>
      </c>
      <c r="G3515" t="s">
        <v>9</v>
      </c>
      <c r="L3515">
        <f t="shared" si="277"/>
        <v>0</v>
      </c>
      <c r="M3515">
        <f t="shared" si="278"/>
        <v>0</v>
      </c>
      <c r="N3515">
        <f t="shared" si="279"/>
        <v>0</v>
      </c>
      <c r="O3515">
        <f t="shared" si="280"/>
        <v>1</v>
      </c>
      <c r="P3515" t="str">
        <f t="shared" si="281"/>
        <v/>
      </c>
      <c r="Q3515">
        <f>COUNTIF('責任職　企業局→市長部局'!A:A,SQLデータ!B3515)</f>
        <v>0</v>
      </c>
      <c r="R3515">
        <f>COUNTIF('一般職員　企業局→市長部局'!A:F,SQLデータ!B3515)</f>
        <v>0</v>
      </c>
    </row>
    <row r="3516" spans="1:18" x14ac:dyDescent="0.4">
      <c r="A3516" s="1">
        <v>202650003455</v>
      </c>
      <c r="B3516" s="1">
        <v>1081002</v>
      </c>
      <c r="C3516" s="2">
        <v>46128</v>
      </c>
      <c r="D3516" t="s">
        <v>17</v>
      </c>
      <c r="E3516" t="s">
        <v>8</v>
      </c>
      <c r="G3516" t="s">
        <v>9</v>
      </c>
      <c r="L3516">
        <f t="shared" si="277"/>
        <v>0</v>
      </c>
      <c r="M3516">
        <f t="shared" si="278"/>
        <v>0</v>
      </c>
      <c r="N3516">
        <f t="shared" si="279"/>
        <v>0</v>
      </c>
      <c r="O3516">
        <f t="shared" si="280"/>
        <v>1</v>
      </c>
      <c r="P3516" t="str">
        <f t="shared" si="281"/>
        <v/>
      </c>
      <c r="Q3516">
        <f>COUNTIF('責任職　企業局→市長部局'!A:A,SQLデータ!B3516)</f>
        <v>0</v>
      </c>
      <c r="R3516">
        <f>COUNTIF('一般職員　企業局→市長部局'!A:F,SQLデータ!B3516)</f>
        <v>0</v>
      </c>
    </row>
    <row r="3517" spans="1:18" x14ac:dyDescent="0.4">
      <c r="A3517" s="1">
        <v>202650003456</v>
      </c>
      <c r="B3517" s="1">
        <v>1142502</v>
      </c>
      <c r="C3517" s="2">
        <v>46128</v>
      </c>
      <c r="D3517" t="s">
        <v>17</v>
      </c>
      <c r="E3517" t="s">
        <v>8</v>
      </c>
      <c r="G3517" t="s">
        <v>9</v>
      </c>
      <c r="L3517">
        <f t="shared" si="277"/>
        <v>0</v>
      </c>
      <c r="M3517">
        <f t="shared" si="278"/>
        <v>0</v>
      </c>
      <c r="N3517">
        <f t="shared" si="279"/>
        <v>0</v>
      </c>
      <c r="O3517">
        <f t="shared" si="280"/>
        <v>1</v>
      </c>
      <c r="P3517" t="str">
        <f t="shared" si="281"/>
        <v/>
      </c>
      <c r="Q3517">
        <f>COUNTIF('責任職　企業局→市長部局'!A:A,SQLデータ!B3517)</f>
        <v>0</v>
      </c>
      <c r="R3517">
        <f>COUNTIF('一般職員　企業局→市長部局'!A:F,SQLデータ!B3517)</f>
        <v>0</v>
      </c>
    </row>
    <row r="3518" spans="1:18" x14ac:dyDescent="0.4">
      <c r="A3518" s="1">
        <v>202650003457</v>
      </c>
      <c r="B3518" s="1">
        <v>910709</v>
      </c>
      <c r="C3518" s="2">
        <v>46128</v>
      </c>
      <c r="D3518" t="s">
        <v>17</v>
      </c>
      <c r="E3518" t="s">
        <v>8</v>
      </c>
      <c r="G3518" t="s">
        <v>9</v>
      </c>
      <c r="L3518">
        <f t="shared" si="277"/>
        <v>0</v>
      </c>
      <c r="M3518">
        <f t="shared" si="278"/>
        <v>0</v>
      </c>
      <c r="N3518">
        <f t="shared" si="279"/>
        <v>0</v>
      </c>
      <c r="O3518">
        <f t="shared" si="280"/>
        <v>1</v>
      </c>
      <c r="P3518" t="str">
        <f t="shared" si="281"/>
        <v/>
      </c>
      <c r="Q3518">
        <f>COUNTIF('責任職　企業局→市長部局'!A:A,SQLデータ!B3518)</f>
        <v>0</v>
      </c>
      <c r="R3518">
        <f>COUNTIF('一般職員　企業局→市長部局'!A:F,SQLデータ!B3518)</f>
        <v>0</v>
      </c>
    </row>
    <row r="3519" spans="1:18" x14ac:dyDescent="0.4">
      <c r="A3519" s="1">
        <v>202650003458</v>
      </c>
      <c r="B3519" s="1">
        <v>1111318</v>
      </c>
      <c r="C3519" s="2">
        <v>46128</v>
      </c>
      <c r="D3519" t="s">
        <v>17</v>
      </c>
      <c r="E3519" t="s">
        <v>8</v>
      </c>
      <c r="G3519" t="s">
        <v>9</v>
      </c>
      <c r="L3519">
        <f t="shared" si="277"/>
        <v>0</v>
      </c>
      <c r="M3519">
        <f t="shared" si="278"/>
        <v>0</v>
      </c>
      <c r="N3519">
        <f t="shared" si="279"/>
        <v>0</v>
      </c>
      <c r="O3519">
        <f t="shared" si="280"/>
        <v>1</v>
      </c>
      <c r="P3519" t="str">
        <f t="shared" si="281"/>
        <v/>
      </c>
      <c r="Q3519">
        <f>COUNTIF('責任職　企業局→市長部局'!A:A,SQLデータ!B3519)</f>
        <v>0</v>
      </c>
      <c r="R3519">
        <f>COUNTIF('一般職員　企業局→市長部局'!A:F,SQLデータ!B3519)</f>
        <v>0</v>
      </c>
    </row>
    <row r="3520" spans="1:18" x14ac:dyDescent="0.4">
      <c r="A3520" s="1">
        <v>202650003459</v>
      </c>
      <c r="B3520" s="1">
        <v>1211436</v>
      </c>
      <c r="C3520" s="2">
        <v>46128</v>
      </c>
      <c r="D3520" t="s">
        <v>17</v>
      </c>
      <c r="E3520" t="s">
        <v>8</v>
      </c>
      <c r="G3520" t="s">
        <v>9</v>
      </c>
      <c r="L3520">
        <f t="shared" si="277"/>
        <v>0</v>
      </c>
      <c r="M3520">
        <f t="shared" si="278"/>
        <v>0</v>
      </c>
      <c r="N3520">
        <f t="shared" si="279"/>
        <v>0</v>
      </c>
      <c r="O3520">
        <f t="shared" si="280"/>
        <v>1</v>
      </c>
      <c r="P3520" t="str">
        <f t="shared" si="281"/>
        <v/>
      </c>
      <c r="Q3520">
        <f>COUNTIF('責任職　企業局→市長部局'!A:A,SQLデータ!B3520)</f>
        <v>0</v>
      </c>
      <c r="R3520">
        <f>COUNTIF('一般職員　企業局→市長部局'!A:F,SQLデータ!B3520)</f>
        <v>0</v>
      </c>
    </row>
    <row r="3521" spans="1:18" x14ac:dyDescent="0.4">
      <c r="A3521" s="1">
        <v>202650003460</v>
      </c>
      <c r="B3521" s="1">
        <v>960312</v>
      </c>
      <c r="C3521" s="2">
        <v>46128</v>
      </c>
      <c r="D3521" t="s">
        <v>17</v>
      </c>
      <c r="E3521" t="s">
        <v>8</v>
      </c>
      <c r="G3521" t="s">
        <v>9</v>
      </c>
      <c r="L3521">
        <f t="shared" si="277"/>
        <v>0</v>
      </c>
      <c r="M3521">
        <f t="shared" si="278"/>
        <v>0</v>
      </c>
      <c r="N3521">
        <f t="shared" si="279"/>
        <v>0</v>
      </c>
      <c r="O3521">
        <f t="shared" si="280"/>
        <v>1</v>
      </c>
      <c r="P3521" t="str">
        <f t="shared" si="281"/>
        <v/>
      </c>
      <c r="Q3521">
        <f>COUNTIF('責任職　企業局→市長部局'!A:A,SQLデータ!B3521)</f>
        <v>0</v>
      </c>
      <c r="R3521">
        <f>COUNTIF('一般職員　企業局→市長部局'!A:F,SQLデータ!B3521)</f>
        <v>0</v>
      </c>
    </row>
    <row r="3522" spans="1:18" x14ac:dyDescent="0.4">
      <c r="A3522" s="1">
        <v>202650003461</v>
      </c>
      <c r="B3522" s="1">
        <v>910355</v>
      </c>
      <c r="C3522" s="2">
        <v>46128</v>
      </c>
      <c r="D3522" t="s">
        <v>17</v>
      </c>
      <c r="E3522" t="s">
        <v>8</v>
      </c>
      <c r="G3522" t="s">
        <v>9</v>
      </c>
      <c r="L3522">
        <f t="shared" si="277"/>
        <v>0</v>
      </c>
      <c r="M3522">
        <f t="shared" si="278"/>
        <v>0</v>
      </c>
      <c r="N3522">
        <f t="shared" si="279"/>
        <v>0</v>
      </c>
      <c r="O3522">
        <f t="shared" si="280"/>
        <v>1</v>
      </c>
      <c r="P3522" t="str">
        <f t="shared" si="281"/>
        <v/>
      </c>
      <c r="Q3522">
        <f>COUNTIF('責任職　企業局→市長部局'!A:A,SQLデータ!B3522)</f>
        <v>0</v>
      </c>
      <c r="R3522">
        <f>COUNTIF('一般職員　企業局→市長部局'!A:F,SQLデータ!B3522)</f>
        <v>0</v>
      </c>
    </row>
    <row r="3523" spans="1:18" x14ac:dyDescent="0.4">
      <c r="A3523" s="1">
        <v>202650003462</v>
      </c>
      <c r="B3523" s="1">
        <v>1011201</v>
      </c>
      <c r="C3523" s="2">
        <v>46128</v>
      </c>
      <c r="D3523" t="s">
        <v>17</v>
      </c>
      <c r="E3523" t="s">
        <v>8</v>
      </c>
      <c r="G3523" t="s">
        <v>9</v>
      </c>
      <c r="L3523">
        <f t="shared" si="277"/>
        <v>0</v>
      </c>
      <c r="M3523">
        <f t="shared" si="278"/>
        <v>0</v>
      </c>
      <c r="N3523">
        <f t="shared" si="279"/>
        <v>0</v>
      </c>
      <c r="O3523">
        <f t="shared" si="280"/>
        <v>1</v>
      </c>
      <c r="P3523" t="str">
        <f t="shared" si="281"/>
        <v/>
      </c>
      <c r="Q3523">
        <f>COUNTIF('責任職　企業局→市長部局'!A:A,SQLデータ!B3523)</f>
        <v>0</v>
      </c>
      <c r="R3523">
        <f>COUNTIF('一般職員　企業局→市長部局'!A:F,SQLデータ!B3523)</f>
        <v>0</v>
      </c>
    </row>
    <row r="3524" spans="1:18" x14ac:dyDescent="0.4">
      <c r="A3524" s="1">
        <v>202650003463</v>
      </c>
      <c r="B3524" s="1">
        <v>1231004</v>
      </c>
      <c r="C3524" s="2">
        <v>46128</v>
      </c>
      <c r="D3524" t="s">
        <v>17</v>
      </c>
      <c r="E3524" t="s">
        <v>8</v>
      </c>
      <c r="G3524" t="s">
        <v>9</v>
      </c>
      <c r="L3524">
        <f t="shared" si="277"/>
        <v>0</v>
      </c>
      <c r="M3524">
        <f t="shared" si="278"/>
        <v>0</v>
      </c>
      <c r="N3524">
        <f t="shared" si="279"/>
        <v>0</v>
      </c>
      <c r="O3524">
        <f t="shared" si="280"/>
        <v>1</v>
      </c>
      <c r="P3524" t="str">
        <f t="shared" si="281"/>
        <v/>
      </c>
      <c r="Q3524">
        <f>COUNTIF('責任職　企業局→市長部局'!A:A,SQLデータ!B3524)</f>
        <v>0</v>
      </c>
      <c r="R3524">
        <f>COUNTIF('一般職員　企業局→市長部局'!A:F,SQLデータ!B3524)</f>
        <v>0</v>
      </c>
    </row>
    <row r="3525" spans="1:18" x14ac:dyDescent="0.4">
      <c r="A3525" s="1">
        <v>202650003464</v>
      </c>
      <c r="B3525" s="1">
        <v>910571</v>
      </c>
      <c r="C3525" s="2">
        <v>46128</v>
      </c>
      <c r="D3525" t="s">
        <v>17</v>
      </c>
      <c r="E3525" t="s">
        <v>8</v>
      </c>
      <c r="G3525" t="s">
        <v>9</v>
      </c>
      <c r="L3525">
        <f t="shared" si="277"/>
        <v>0</v>
      </c>
      <c r="M3525">
        <f t="shared" si="278"/>
        <v>0</v>
      </c>
      <c r="N3525">
        <f t="shared" si="279"/>
        <v>0</v>
      </c>
      <c r="O3525">
        <f t="shared" si="280"/>
        <v>1</v>
      </c>
      <c r="P3525" t="str">
        <f t="shared" si="281"/>
        <v/>
      </c>
      <c r="Q3525">
        <f>COUNTIF('責任職　企業局→市長部局'!A:A,SQLデータ!B3525)</f>
        <v>0</v>
      </c>
      <c r="R3525">
        <f>COUNTIF('一般職員　企業局→市長部局'!A:F,SQLデータ!B3525)</f>
        <v>0</v>
      </c>
    </row>
    <row r="3526" spans="1:18" x14ac:dyDescent="0.4">
      <c r="A3526" s="1">
        <v>202650003465</v>
      </c>
      <c r="B3526" s="1">
        <v>1194076</v>
      </c>
      <c r="C3526" s="2">
        <v>46128</v>
      </c>
      <c r="D3526" t="s">
        <v>17</v>
      </c>
      <c r="E3526" t="s">
        <v>8</v>
      </c>
      <c r="G3526" t="s">
        <v>9</v>
      </c>
      <c r="L3526">
        <f t="shared" si="277"/>
        <v>0</v>
      </c>
      <c r="M3526">
        <f t="shared" si="278"/>
        <v>0</v>
      </c>
      <c r="N3526">
        <f t="shared" si="279"/>
        <v>0</v>
      </c>
      <c r="O3526">
        <f t="shared" si="280"/>
        <v>1</v>
      </c>
      <c r="P3526" t="str">
        <f t="shared" si="281"/>
        <v/>
      </c>
      <c r="Q3526">
        <f>COUNTIF('責任職　企業局→市長部局'!A:A,SQLデータ!B3526)</f>
        <v>0</v>
      </c>
      <c r="R3526">
        <f>COUNTIF('一般職員　企業局→市長部局'!A:F,SQLデータ!B3526)</f>
        <v>0</v>
      </c>
    </row>
    <row r="3527" spans="1:18" x14ac:dyDescent="0.4">
      <c r="A3527" s="1">
        <v>202650003466</v>
      </c>
      <c r="B3527" s="1">
        <v>1151235</v>
      </c>
      <c r="C3527" s="2">
        <v>46128</v>
      </c>
      <c r="D3527" t="s">
        <v>17</v>
      </c>
      <c r="E3527" t="s">
        <v>8</v>
      </c>
      <c r="G3527" t="s">
        <v>9</v>
      </c>
      <c r="L3527">
        <f t="shared" si="277"/>
        <v>0</v>
      </c>
      <c r="M3527">
        <f t="shared" si="278"/>
        <v>0</v>
      </c>
      <c r="N3527">
        <f t="shared" si="279"/>
        <v>0</v>
      </c>
      <c r="O3527">
        <f t="shared" si="280"/>
        <v>1</v>
      </c>
      <c r="P3527" t="str">
        <f t="shared" si="281"/>
        <v/>
      </c>
      <c r="Q3527">
        <f>COUNTIF('責任職　企業局→市長部局'!A:A,SQLデータ!B3527)</f>
        <v>0</v>
      </c>
      <c r="R3527">
        <f>COUNTIF('一般職員　企業局→市長部局'!A:F,SQLデータ!B3527)</f>
        <v>0</v>
      </c>
    </row>
    <row r="3528" spans="1:18" x14ac:dyDescent="0.4">
      <c r="A3528" s="1">
        <v>202650003467</v>
      </c>
      <c r="B3528" s="1">
        <v>1221465</v>
      </c>
      <c r="C3528" s="2">
        <v>46128</v>
      </c>
      <c r="D3528" t="s">
        <v>17</v>
      </c>
      <c r="E3528" t="s">
        <v>8</v>
      </c>
      <c r="G3528" t="s">
        <v>9</v>
      </c>
      <c r="L3528">
        <f t="shared" si="277"/>
        <v>0</v>
      </c>
      <c r="M3528">
        <f t="shared" si="278"/>
        <v>0</v>
      </c>
      <c r="N3528">
        <f t="shared" si="279"/>
        <v>0</v>
      </c>
      <c r="O3528">
        <f t="shared" si="280"/>
        <v>1</v>
      </c>
      <c r="P3528" t="str">
        <f t="shared" si="281"/>
        <v/>
      </c>
      <c r="Q3528">
        <f>COUNTIF('責任職　企業局→市長部局'!A:A,SQLデータ!B3528)</f>
        <v>0</v>
      </c>
      <c r="R3528">
        <f>COUNTIF('一般職員　企業局→市長部局'!A:F,SQLデータ!B3528)</f>
        <v>0</v>
      </c>
    </row>
    <row r="3529" spans="1:18" x14ac:dyDescent="0.4">
      <c r="A3529" s="1">
        <v>202650003468</v>
      </c>
      <c r="B3529" s="1">
        <v>910386</v>
      </c>
      <c r="C3529" s="2">
        <v>46128</v>
      </c>
      <c r="D3529" t="s">
        <v>17</v>
      </c>
      <c r="E3529" t="s">
        <v>8</v>
      </c>
      <c r="G3529" t="s">
        <v>9</v>
      </c>
      <c r="L3529">
        <f t="shared" si="277"/>
        <v>0</v>
      </c>
      <c r="M3529">
        <f t="shared" si="278"/>
        <v>0</v>
      </c>
      <c r="N3529">
        <f t="shared" si="279"/>
        <v>0</v>
      </c>
      <c r="O3529">
        <f t="shared" si="280"/>
        <v>1</v>
      </c>
      <c r="P3529" t="str">
        <f t="shared" si="281"/>
        <v/>
      </c>
      <c r="Q3529">
        <f>COUNTIF('責任職　企業局→市長部局'!A:A,SQLデータ!B3529)</f>
        <v>0</v>
      </c>
      <c r="R3529">
        <f>COUNTIF('一般職員　企業局→市長部局'!A:F,SQLデータ!B3529)</f>
        <v>0</v>
      </c>
    </row>
    <row r="3530" spans="1:18" x14ac:dyDescent="0.4">
      <c r="A3530" s="1">
        <v>202650003469</v>
      </c>
      <c r="B3530" s="1">
        <v>1151213</v>
      </c>
      <c r="C3530" s="2">
        <v>46128</v>
      </c>
      <c r="D3530" t="s">
        <v>17</v>
      </c>
      <c r="E3530" t="s">
        <v>8</v>
      </c>
      <c r="G3530" t="s">
        <v>9</v>
      </c>
      <c r="L3530">
        <f t="shared" si="277"/>
        <v>0</v>
      </c>
      <c r="M3530">
        <f t="shared" si="278"/>
        <v>0</v>
      </c>
      <c r="N3530">
        <f t="shared" si="279"/>
        <v>0</v>
      </c>
      <c r="O3530">
        <f t="shared" si="280"/>
        <v>1</v>
      </c>
      <c r="P3530" t="str">
        <f t="shared" si="281"/>
        <v/>
      </c>
      <c r="Q3530">
        <f>COUNTIF('責任職　企業局→市長部局'!A:A,SQLデータ!B3530)</f>
        <v>0</v>
      </c>
      <c r="R3530">
        <f>COUNTIF('一般職員　企業局→市長部局'!A:F,SQLデータ!B3530)</f>
        <v>0</v>
      </c>
    </row>
    <row r="3531" spans="1:18" x14ac:dyDescent="0.4">
      <c r="A3531" s="1">
        <v>202650003470</v>
      </c>
      <c r="B3531" s="1">
        <v>1131031</v>
      </c>
      <c r="C3531" s="2">
        <v>46128</v>
      </c>
      <c r="D3531" t="s">
        <v>17</v>
      </c>
      <c r="E3531" t="s">
        <v>8</v>
      </c>
      <c r="G3531" t="s">
        <v>9</v>
      </c>
      <c r="L3531">
        <f t="shared" si="277"/>
        <v>0</v>
      </c>
      <c r="M3531">
        <f t="shared" si="278"/>
        <v>0</v>
      </c>
      <c r="N3531">
        <f t="shared" si="279"/>
        <v>0</v>
      </c>
      <c r="O3531">
        <f t="shared" si="280"/>
        <v>1</v>
      </c>
      <c r="P3531" t="str">
        <f t="shared" si="281"/>
        <v/>
      </c>
      <c r="Q3531">
        <f>COUNTIF('責任職　企業局→市長部局'!A:A,SQLデータ!B3531)</f>
        <v>0</v>
      </c>
      <c r="R3531">
        <f>COUNTIF('一般職員　企業局→市長部局'!A:F,SQLデータ!B3531)</f>
        <v>0</v>
      </c>
    </row>
    <row r="3532" spans="1:18" x14ac:dyDescent="0.4">
      <c r="A3532" s="1">
        <v>202650003471</v>
      </c>
      <c r="B3532" s="1">
        <v>1171389</v>
      </c>
      <c r="C3532" s="2">
        <v>46128</v>
      </c>
      <c r="D3532" t="s">
        <v>17</v>
      </c>
      <c r="E3532" t="s">
        <v>8</v>
      </c>
      <c r="G3532" t="s">
        <v>9</v>
      </c>
      <c r="L3532">
        <f t="shared" si="277"/>
        <v>0</v>
      </c>
      <c r="M3532">
        <f t="shared" si="278"/>
        <v>0</v>
      </c>
      <c r="N3532">
        <f t="shared" si="279"/>
        <v>0</v>
      </c>
      <c r="O3532">
        <f t="shared" si="280"/>
        <v>1</v>
      </c>
      <c r="P3532" t="str">
        <f t="shared" si="281"/>
        <v/>
      </c>
      <c r="Q3532">
        <f>COUNTIF('責任職　企業局→市長部局'!A:A,SQLデータ!B3532)</f>
        <v>0</v>
      </c>
      <c r="R3532">
        <f>COUNTIF('一般職員　企業局→市長部局'!A:F,SQLデータ!B3532)</f>
        <v>0</v>
      </c>
    </row>
    <row r="3533" spans="1:18" x14ac:dyDescent="0.4">
      <c r="A3533" s="1">
        <v>202650003472</v>
      </c>
      <c r="B3533" s="1">
        <v>1191136</v>
      </c>
      <c r="C3533" s="2">
        <v>46128</v>
      </c>
      <c r="D3533" t="s">
        <v>17</v>
      </c>
      <c r="E3533" t="s">
        <v>8</v>
      </c>
      <c r="G3533" t="s">
        <v>9</v>
      </c>
      <c r="L3533">
        <f t="shared" si="277"/>
        <v>0</v>
      </c>
      <c r="M3533">
        <f t="shared" si="278"/>
        <v>0</v>
      </c>
      <c r="N3533">
        <f t="shared" si="279"/>
        <v>0</v>
      </c>
      <c r="O3533">
        <f t="shared" si="280"/>
        <v>1</v>
      </c>
      <c r="P3533" t="str">
        <f t="shared" si="281"/>
        <v/>
      </c>
      <c r="Q3533">
        <f>COUNTIF('責任職　企業局→市長部局'!A:A,SQLデータ!B3533)</f>
        <v>0</v>
      </c>
      <c r="R3533">
        <f>COUNTIF('一般職員　企業局→市長部局'!A:F,SQLデータ!B3533)</f>
        <v>0</v>
      </c>
    </row>
    <row r="3534" spans="1:18" x14ac:dyDescent="0.4">
      <c r="A3534" s="1">
        <v>202650003473</v>
      </c>
      <c r="B3534" s="1">
        <v>1201272</v>
      </c>
      <c r="C3534" s="2">
        <v>46128</v>
      </c>
      <c r="D3534" t="s">
        <v>17</v>
      </c>
      <c r="E3534" t="s">
        <v>8</v>
      </c>
      <c r="G3534" t="s">
        <v>9</v>
      </c>
      <c r="L3534">
        <f t="shared" si="277"/>
        <v>0</v>
      </c>
      <c r="M3534">
        <f t="shared" si="278"/>
        <v>0</v>
      </c>
      <c r="N3534">
        <f t="shared" si="279"/>
        <v>0</v>
      </c>
      <c r="O3534">
        <f t="shared" si="280"/>
        <v>1</v>
      </c>
      <c r="P3534" t="str">
        <f t="shared" si="281"/>
        <v/>
      </c>
      <c r="Q3534">
        <f>COUNTIF('責任職　企業局→市長部局'!A:A,SQLデータ!B3534)</f>
        <v>0</v>
      </c>
      <c r="R3534">
        <f>COUNTIF('一般職員　企業局→市長部局'!A:F,SQLデータ!B3534)</f>
        <v>0</v>
      </c>
    </row>
    <row r="3535" spans="1:18" x14ac:dyDescent="0.4">
      <c r="A3535" s="1">
        <v>202650003474</v>
      </c>
      <c r="B3535" s="1">
        <v>1131084</v>
      </c>
      <c r="C3535" s="2">
        <v>46128</v>
      </c>
      <c r="D3535" t="s">
        <v>17</v>
      </c>
      <c r="E3535" t="s">
        <v>8</v>
      </c>
      <c r="G3535" t="s">
        <v>9</v>
      </c>
      <c r="L3535">
        <f t="shared" si="277"/>
        <v>0</v>
      </c>
      <c r="M3535">
        <f t="shared" si="278"/>
        <v>0</v>
      </c>
      <c r="N3535">
        <f t="shared" si="279"/>
        <v>0</v>
      </c>
      <c r="O3535">
        <f t="shared" si="280"/>
        <v>1</v>
      </c>
      <c r="P3535" t="str">
        <f t="shared" si="281"/>
        <v/>
      </c>
      <c r="Q3535">
        <f>COUNTIF('責任職　企業局→市長部局'!A:A,SQLデータ!B3535)</f>
        <v>0</v>
      </c>
      <c r="R3535">
        <f>COUNTIF('一般職員　企業局→市長部局'!A:F,SQLデータ!B3535)</f>
        <v>0</v>
      </c>
    </row>
    <row r="3536" spans="1:18" x14ac:dyDescent="0.4">
      <c r="A3536" s="1">
        <v>202650003475</v>
      </c>
      <c r="B3536" s="1">
        <v>860299</v>
      </c>
      <c r="C3536" s="2">
        <v>46128</v>
      </c>
      <c r="D3536" t="s">
        <v>17</v>
      </c>
      <c r="E3536" t="s">
        <v>8</v>
      </c>
      <c r="G3536" t="s">
        <v>9</v>
      </c>
      <c r="L3536">
        <f t="shared" si="277"/>
        <v>0</v>
      </c>
      <c r="M3536">
        <f t="shared" si="278"/>
        <v>0</v>
      </c>
      <c r="N3536">
        <f t="shared" si="279"/>
        <v>0</v>
      </c>
      <c r="O3536">
        <f t="shared" si="280"/>
        <v>1</v>
      </c>
      <c r="P3536" t="str">
        <f t="shared" si="281"/>
        <v/>
      </c>
      <c r="Q3536">
        <f>COUNTIF('責任職　企業局→市長部局'!A:A,SQLデータ!B3536)</f>
        <v>0</v>
      </c>
      <c r="R3536">
        <f>COUNTIF('一般職員　企業局→市長部局'!A:F,SQLデータ!B3536)</f>
        <v>0</v>
      </c>
    </row>
    <row r="3537" spans="1:18" x14ac:dyDescent="0.4">
      <c r="A3537" s="1">
        <v>202650003476</v>
      </c>
      <c r="B3537" s="1">
        <v>1231078</v>
      </c>
      <c r="C3537" s="2">
        <v>46128</v>
      </c>
      <c r="D3537" t="s">
        <v>17</v>
      </c>
      <c r="E3537" t="s">
        <v>8</v>
      </c>
      <c r="G3537" t="s">
        <v>9</v>
      </c>
      <c r="L3537">
        <f t="shared" si="277"/>
        <v>0</v>
      </c>
      <c r="M3537">
        <f t="shared" si="278"/>
        <v>0</v>
      </c>
      <c r="N3537">
        <f t="shared" si="279"/>
        <v>0</v>
      </c>
      <c r="O3537">
        <f t="shared" si="280"/>
        <v>1</v>
      </c>
      <c r="P3537" t="str">
        <f t="shared" si="281"/>
        <v/>
      </c>
      <c r="Q3537">
        <f>COUNTIF('責任職　企業局→市長部局'!A:A,SQLデータ!B3537)</f>
        <v>0</v>
      </c>
      <c r="R3537">
        <f>COUNTIF('一般職員　企業局→市長部局'!A:F,SQLデータ!B3537)</f>
        <v>0</v>
      </c>
    </row>
    <row r="3538" spans="1:18" x14ac:dyDescent="0.4">
      <c r="A3538" s="1">
        <v>202650003477</v>
      </c>
      <c r="B3538" s="1">
        <v>1151076</v>
      </c>
      <c r="C3538" s="2">
        <v>46128</v>
      </c>
      <c r="D3538" t="s">
        <v>17</v>
      </c>
      <c r="E3538" t="s">
        <v>8</v>
      </c>
      <c r="G3538" t="s">
        <v>9</v>
      </c>
      <c r="L3538">
        <f t="shared" si="277"/>
        <v>0</v>
      </c>
      <c r="M3538">
        <f t="shared" si="278"/>
        <v>0</v>
      </c>
      <c r="N3538">
        <f t="shared" si="279"/>
        <v>0</v>
      </c>
      <c r="O3538">
        <f t="shared" si="280"/>
        <v>1</v>
      </c>
      <c r="P3538" t="str">
        <f t="shared" si="281"/>
        <v/>
      </c>
      <c r="Q3538">
        <f>COUNTIF('責任職　企業局→市長部局'!A:A,SQLデータ!B3538)</f>
        <v>0</v>
      </c>
      <c r="R3538">
        <f>COUNTIF('一般職員　企業局→市長部局'!A:F,SQLデータ!B3538)</f>
        <v>0</v>
      </c>
    </row>
    <row r="3539" spans="1:18" x14ac:dyDescent="0.4">
      <c r="A3539" s="1">
        <v>202650003478</v>
      </c>
      <c r="B3539" s="1">
        <v>1151399</v>
      </c>
      <c r="C3539" s="2">
        <v>46128</v>
      </c>
      <c r="D3539" t="s">
        <v>17</v>
      </c>
      <c r="E3539" t="s">
        <v>8</v>
      </c>
      <c r="G3539" t="s">
        <v>9</v>
      </c>
      <c r="L3539">
        <f t="shared" si="277"/>
        <v>0</v>
      </c>
      <c r="M3539">
        <f t="shared" si="278"/>
        <v>0</v>
      </c>
      <c r="N3539">
        <f t="shared" si="279"/>
        <v>0</v>
      </c>
      <c r="O3539">
        <f t="shared" si="280"/>
        <v>1</v>
      </c>
      <c r="P3539" t="str">
        <f t="shared" si="281"/>
        <v/>
      </c>
      <c r="Q3539">
        <f>COUNTIF('責任職　企業局→市長部局'!A:A,SQLデータ!B3539)</f>
        <v>0</v>
      </c>
      <c r="R3539">
        <f>COUNTIF('一般職員　企業局→市長部局'!A:F,SQLデータ!B3539)</f>
        <v>0</v>
      </c>
    </row>
    <row r="3540" spans="1:18" x14ac:dyDescent="0.4">
      <c r="A3540" s="1">
        <v>202650003479</v>
      </c>
      <c r="B3540" s="1">
        <v>1181086</v>
      </c>
      <c r="C3540" s="2">
        <v>46128</v>
      </c>
      <c r="D3540" t="s">
        <v>17</v>
      </c>
      <c r="E3540" t="s">
        <v>8</v>
      </c>
      <c r="G3540" t="s">
        <v>9</v>
      </c>
      <c r="L3540">
        <f t="shared" si="277"/>
        <v>0</v>
      </c>
      <c r="M3540">
        <f t="shared" si="278"/>
        <v>0</v>
      </c>
      <c r="N3540">
        <f t="shared" si="279"/>
        <v>0</v>
      </c>
      <c r="O3540">
        <f t="shared" si="280"/>
        <v>1</v>
      </c>
      <c r="P3540" t="str">
        <f t="shared" si="281"/>
        <v/>
      </c>
      <c r="Q3540">
        <f>COUNTIF('責任職　企業局→市長部局'!A:A,SQLデータ!B3540)</f>
        <v>0</v>
      </c>
      <c r="R3540">
        <f>COUNTIF('一般職員　企業局→市長部局'!A:F,SQLデータ!B3540)</f>
        <v>0</v>
      </c>
    </row>
    <row r="3541" spans="1:18" x14ac:dyDescent="0.4">
      <c r="A3541" s="1">
        <v>202650003480</v>
      </c>
      <c r="B3541" s="1">
        <v>877820</v>
      </c>
      <c r="C3541" s="2">
        <v>46128</v>
      </c>
      <c r="D3541" t="s">
        <v>17</v>
      </c>
      <c r="E3541" t="s">
        <v>8</v>
      </c>
      <c r="G3541" t="s">
        <v>9</v>
      </c>
      <c r="L3541">
        <f t="shared" si="277"/>
        <v>0</v>
      </c>
      <c r="M3541">
        <f t="shared" si="278"/>
        <v>0</v>
      </c>
      <c r="N3541">
        <f t="shared" si="279"/>
        <v>0</v>
      </c>
      <c r="O3541">
        <f t="shared" si="280"/>
        <v>1</v>
      </c>
      <c r="P3541" t="str">
        <f t="shared" si="281"/>
        <v/>
      </c>
      <c r="Q3541">
        <f>COUNTIF('責任職　企業局→市長部局'!A:A,SQLデータ!B3541)</f>
        <v>0</v>
      </c>
      <c r="R3541">
        <f>COUNTIF('一般職員　企業局→市長部局'!A:F,SQLデータ!B3541)</f>
        <v>0</v>
      </c>
    </row>
    <row r="3542" spans="1:18" x14ac:dyDescent="0.4">
      <c r="A3542" s="1">
        <v>202650003481</v>
      </c>
      <c r="B3542" s="1">
        <v>960484</v>
      </c>
      <c r="C3542" s="2">
        <v>46128</v>
      </c>
      <c r="D3542" t="s">
        <v>17</v>
      </c>
      <c r="E3542" t="s">
        <v>8</v>
      </c>
      <c r="G3542" t="s">
        <v>9</v>
      </c>
      <c r="L3542">
        <f t="shared" si="277"/>
        <v>0</v>
      </c>
      <c r="M3542">
        <f t="shared" si="278"/>
        <v>0</v>
      </c>
      <c r="N3542">
        <f t="shared" si="279"/>
        <v>0</v>
      </c>
      <c r="O3542">
        <f t="shared" si="280"/>
        <v>1</v>
      </c>
      <c r="P3542" t="str">
        <f t="shared" si="281"/>
        <v/>
      </c>
      <c r="Q3542">
        <f>COUNTIF('責任職　企業局→市長部局'!A:A,SQLデータ!B3542)</f>
        <v>0</v>
      </c>
      <c r="R3542">
        <f>COUNTIF('一般職員　企業局→市長部局'!A:F,SQLデータ!B3542)</f>
        <v>0</v>
      </c>
    </row>
    <row r="3543" spans="1:18" x14ac:dyDescent="0.4">
      <c r="A3543" s="1">
        <v>202650003482</v>
      </c>
      <c r="B3543" s="1">
        <v>1112513</v>
      </c>
      <c r="C3543" s="2">
        <v>46128</v>
      </c>
      <c r="D3543" t="s">
        <v>17</v>
      </c>
      <c r="E3543" t="s">
        <v>8</v>
      </c>
      <c r="G3543" t="s">
        <v>9</v>
      </c>
      <c r="L3543">
        <f t="shared" si="277"/>
        <v>0</v>
      </c>
      <c r="M3543">
        <f t="shared" si="278"/>
        <v>0</v>
      </c>
      <c r="N3543">
        <f t="shared" si="279"/>
        <v>0</v>
      </c>
      <c r="O3543">
        <f t="shared" si="280"/>
        <v>1</v>
      </c>
      <c r="P3543" t="str">
        <f t="shared" si="281"/>
        <v/>
      </c>
      <c r="Q3543">
        <f>COUNTIF('責任職　企業局→市長部局'!A:A,SQLデータ!B3543)</f>
        <v>0</v>
      </c>
      <c r="R3543">
        <f>COUNTIF('一般職員　企業局→市長部局'!A:F,SQLデータ!B3543)</f>
        <v>0</v>
      </c>
    </row>
    <row r="3544" spans="1:18" x14ac:dyDescent="0.4">
      <c r="A3544" s="1">
        <v>202650003483</v>
      </c>
      <c r="B3544" s="1">
        <v>1183022</v>
      </c>
      <c r="C3544" s="2">
        <v>46128</v>
      </c>
      <c r="D3544" t="s">
        <v>17</v>
      </c>
      <c r="E3544" t="s">
        <v>8</v>
      </c>
      <c r="G3544" t="s">
        <v>9</v>
      </c>
      <c r="L3544">
        <f t="shared" si="277"/>
        <v>0</v>
      </c>
      <c r="M3544">
        <f t="shared" si="278"/>
        <v>0</v>
      </c>
      <c r="N3544">
        <f t="shared" si="279"/>
        <v>0</v>
      </c>
      <c r="O3544">
        <f t="shared" si="280"/>
        <v>1</v>
      </c>
      <c r="P3544" t="str">
        <f t="shared" si="281"/>
        <v/>
      </c>
      <c r="Q3544">
        <f>COUNTIF('責任職　企業局→市長部局'!A:A,SQLデータ!B3544)</f>
        <v>0</v>
      </c>
      <c r="R3544">
        <f>COUNTIF('一般職員　企業局→市長部局'!A:F,SQLデータ!B3544)</f>
        <v>0</v>
      </c>
    </row>
    <row r="3545" spans="1:18" x14ac:dyDescent="0.4">
      <c r="A3545" s="1">
        <v>202650003484</v>
      </c>
      <c r="B3545" s="1">
        <v>1222072</v>
      </c>
      <c r="C3545" s="2">
        <v>46128</v>
      </c>
      <c r="D3545" t="s">
        <v>17</v>
      </c>
      <c r="E3545" t="s">
        <v>8</v>
      </c>
      <c r="G3545" t="s">
        <v>9</v>
      </c>
      <c r="L3545">
        <f t="shared" si="277"/>
        <v>0</v>
      </c>
      <c r="M3545">
        <f t="shared" si="278"/>
        <v>0</v>
      </c>
      <c r="N3545">
        <f t="shared" si="279"/>
        <v>0</v>
      </c>
      <c r="O3545">
        <f t="shared" si="280"/>
        <v>1</v>
      </c>
      <c r="P3545" t="str">
        <f t="shared" si="281"/>
        <v/>
      </c>
      <c r="Q3545">
        <f>COUNTIF('責任職　企業局→市長部局'!A:A,SQLデータ!B3545)</f>
        <v>0</v>
      </c>
      <c r="R3545">
        <f>COUNTIF('一般職員　企業局→市長部局'!A:F,SQLデータ!B3545)</f>
        <v>0</v>
      </c>
    </row>
    <row r="3546" spans="1:18" x14ac:dyDescent="0.4">
      <c r="A3546" s="1">
        <v>202650003485</v>
      </c>
      <c r="B3546" s="1">
        <v>1201400</v>
      </c>
      <c r="C3546" s="2">
        <v>46128</v>
      </c>
      <c r="D3546" t="s">
        <v>17</v>
      </c>
      <c r="E3546" t="s">
        <v>8</v>
      </c>
      <c r="G3546" t="s">
        <v>9</v>
      </c>
      <c r="L3546">
        <f t="shared" si="277"/>
        <v>0</v>
      </c>
      <c r="M3546">
        <f t="shared" si="278"/>
        <v>0</v>
      </c>
      <c r="N3546">
        <f t="shared" si="279"/>
        <v>0</v>
      </c>
      <c r="O3546">
        <f t="shared" si="280"/>
        <v>1</v>
      </c>
      <c r="P3546" t="str">
        <f t="shared" si="281"/>
        <v/>
      </c>
      <c r="Q3546">
        <f>COUNTIF('責任職　企業局→市長部局'!A:A,SQLデータ!B3546)</f>
        <v>0</v>
      </c>
      <c r="R3546">
        <f>COUNTIF('一般職員　企業局→市長部局'!A:F,SQLデータ!B3546)</f>
        <v>0</v>
      </c>
    </row>
    <row r="3547" spans="1:18" x14ac:dyDescent="0.4">
      <c r="A3547" s="1">
        <v>202650003486</v>
      </c>
      <c r="B3547" s="1">
        <v>1221093</v>
      </c>
      <c r="C3547" s="2">
        <v>46128</v>
      </c>
      <c r="D3547" t="s">
        <v>17</v>
      </c>
      <c r="E3547" t="s">
        <v>8</v>
      </c>
      <c r="G3547" t="s">
        <v>9</v>
      </c>
      <c r="L3547">
        <f t="shared" si="277"/>
        <v>0</v>
      </c>
      <c r="M3547">
        <f t="shared" si="278"/>
        <v>0</v>
      </c>
      <c r="N3547">
        <f t="shared" si="279"/>
        <v>0</v>
      </c>
      <c r="O3547">
        <f t="shared" si="280"/>
        <v>1</v>
      </c>
      <c r="P3547" t="str">
        <f t="shared" si="281"/>
        <v/>
      </c>
      <c r="Q3547">
        <f>COUNTIF('責任職　企業局→市長部局'!A:A,SQLデータ!B3547)</f>
        <v>0</v>
      </c>
      <c r="R3547">
        <f>COUNTIF('一般職員　企業局→市長部局'!A:F,SQLデータ!B3547)</f>
        <v>0</v>
      </c>
    </row>
    <row r="3548" spans="1:18" x14ac:dyDescent="0.4">
      <c r="A3548" s="1">
        <v>202650003487</v>
      </c>
      <c r="B3548" s="1">
        <v>1014149</v>
      </c>
      <c r="C3548" s="2">
        <v>46128</v>
      </c>
      <c r="D3548" t="s">
        <v>17</v>
      </c>
      <c r="E3548" t="s">
        <v>8</v>
      </c>
      <c r="G3548" t="s">
        <v>9</v>
      </c>
      <c r="L3548">
        <f t="shared" si="277"/>
        <v>0</v>
      </c>
      <c r="M3548">
        <f t="shared" si="278"/>
        <v>0</v>
      </c>
      <c r="N3548">
        <f t="shared" si="279"/>
        <v>0</v>
      </c>
      <c r="O3548">
        <f t="shared" si="280"/>
        <v>1</v>
      </c>
      <c r="P3548" t="str">
        <f t="shared" si="281"/>
        <v/>
      </c>
      <c r="Q3548">
        <f>COUNTIF('責任職　企業局→市長部局'!A:A,SQLデータ!B3548)</f>
        <v>0</v>
      </c>
      <c r="R3548">
        <f>COUNTIF('一般職員　企業局→市長部局'!A:F,SQLデータ!B3548)</f>
        <v>0</v>
      </c>
    </row>
    <row r="3549" spans="1:18" x14ac:dyDescent="0.4">
      <c r="A3549" s="1">
        <v>202650003488</v>
      </c>
      <c r="B3549" s="1">
        <v>1152509</v>
      </c>
      <c r="C3549" s="2">
        <v>46128</v>
      </c>
      <c r="D3549" t="s">
        <v>17</v>
      </c>
      <c r="E3549" t="s">
        <v>8</v>
      </c>
      <c r="G3549" t="s">
        <v>9</v>
      </c>
      <c r="L3549">
        <f t="shared" si="277"/>
        <v>0</v>
      </c>
      <c r="M3549">
        <f t="shared" si="278"/>
        <v>0</v>
      </c>
      <c r="N3549">
        <f t="shared" si="279"/>
        <v>0</v>
      </c>
      <c r="O3549">
        <f t="shared" si="280"/>
        <v>1</v>
      </c>
      <c r="P3549" t="str">
        <f t="shared" si="281"/>
        <v/>
      </c>
      <c r="Q3549">
        <f>COUNTIF('責任職　企業局→市長部局'!A:A,SQLデータ!B3549)</f>
        <v>0</v>
      </c>
      <c r="R3549">
        <f>COUNTIF('一般職員　企業局→市長部局'!A:F,SQLデータ!B3549)</f>
        <v>0</v>
      </c>
    </row>
    <row r="3550" spans="1:18" x14ac:dyDescent="0.4">
      <c r="A3550" s="1">
        <v>202650003489</v>
      </c>
      <c r="B3550" s="1">
        <v>1086101</v>
      </c>
      <c r="C3550" s="2">
        <v>46128</v>
      </c>
      <c r="D3550" t="s">
        <v>17</v>
      </c>
      <c r="E3550" t="s">
        <v>8</v>
      </c>
      <c r="G3550" t="s">
        <v>9</v>
      </c>
      <c r="L3550">
        <f t="shared" si="277"/>
        <v>0</v>
      </c>
      <c r="M3550">
        <f t="shared" si="278"/>
        <v>0</v>
      </c>
      <c r="N3550">
        <f t="shared" si="279"/>
        <v>0</v>
      </c>
      <c r="O3550">
        <f t="shared" si="280"/>
        <v>1</v>
      </c>
      <c r="P3550" t="str">
        <f t="shared" si="281"/>
        <v/>
      </c>
      <c r="Q3550">
        <f>COUNTIF('責任職　企業局→市長部局'!A:A,SQLデータ!B3550)</f>
        <v>0</v>
      </c>
      <c r="R3550">
        <f>COUNTIF('一般職員　企業局→市長部局'!A:F,SQLデータ!B3550)</f>
        <v>0</v>
      </c>
    </row>
    <row r="3551" spans="1:18" x14ac:dyDescent="0.4">
      <c r="A3551" s="1">
        <v>202650003490</v>
      </c>
      <c r="B3551" s="1">
        <v>920269</v>
      </c>
      <c r="C3551" s="2">
        <v>46128</v>
      </c>
      <c r="D3551" t="s">
        <v>17</v>
      </c>
      <c r="E3551" t="s">
        <v>8</v>
      </c>
      <c r="G3551" t="s">
        <v>9</v>
      </c>
      <c r="L3551">
        <f t="shared" si="277"/>
        <v>0</v>
      </c>
      <c r="M3551">
        <f t="shared" si="278"/>
        <v>0</v>
      </c>
      <c r="N3551">
        <f t="shared" si="279"/>
        <v>0</v>
      </c>
      <c r="O3551">
        <f t="shared" si="280"/>
        <v>1</v>
      </c>
      <c r="P3551" t="str">
        <f t="shared" si="281"/>
        <v/>
      </c>
      <c r="Q3551">
        <f>COUNTIF('責任職　企業局→市長部局'!A:A,SQLデータ!B3551)</f>
        <v>0</v>
      </c>
      <c r="R3551">
        <f>COUNTIF('一般職員　企業局→市長部局'!A:F,SQLデータ!B3551)</f>
        <v>0</v>
      </c>
    </row>
    <row r="3552" spans="1:18" x14ac:dyDescent="0.4">
      <c r="A3552" s="1">
        <v>202650003491</v>
      </c>
      <c r="B3552" s="1">
        <v>950283</v>
      </c>
      <c r="C3552" s="2">
        <v>46128</v>
      </c>
      <c r="D3552" t="s">
        <v>17</v>
      </c>
      <c r="E3552" t="s">
        <v>8</v>
      </c>
      <c r="G3552" t="s">
        <v>9</v>
      </c>
      <c r="L3552">
        <f t="shared" si="277"/>
        <v>0</v>
      </c>
      <c r="M3552">
        <f t="shared" si="278"/>
        <v>0</v>
      </c>
      <c r="N3552">
        <f t="shared" si="279"/>
        <v>0</v>
      </c>
      <c r="O3552">
        <f t="shared" si="280"/>
        <v>1</v>
      </c>
      <c r="P3552" t="str">
        <f t="shared" si="281"/>
        <v/>
      </c>
      <c r="Q3552">
        <f>COUNTIF('責任職　企業局→市長部局'!A:A,SQLデータ!B3552)</f>
        <v>0</v>
      </c>
      <c r="R3552">
        <f>COUNTIF('一般職員　企業局→市長部局'!A:F,SQLデータ!B3552)</f>
        <v>0</v>
      </c>
    </row>
    <row r="3553" spans="1:18" x14ac:dyDescent="0.4">
      <c r="A3553" s="1">
        <v>202650003492</v>
      </c>
      <c r="B3553" s="1">
        <v>1171590</v>
      </c>
      <c r="C3553" s="2">
        <v>46128</v>
      </c>
      <c r="D3553" t="s">
        <v>17</v>
      </c>
      <c r="E3553" t="s">
        <v>8</v>
      </c>
      <c r="G3553" t="s">
        <v>9</v>
      </c>
      <c r="L3553">
        <f t="shared" si="277"/>
        <v>0</v>
      </c>
      <c r="M3553">
        <f t="shared" si="278"/>
        <v>0</v>
      </c>
      <c r="N3553">
        <f t="shared" si="279"/>
        <v>0</v>
      </c>
      <c r="O3553">
        <f t="shared" si="280"/>
        <v>1</v>
      </c>
      <c r="P3553" t="str">
        <f t="shared" si="281"/>
        <v/>
      </c>
      <c r="Q3553">
        <f>COUNTIF('責任職　企業局→市長部局'!A:A,SQLデータ!B3553)</f>
        <v>0</v>
      </c>
      <c r="R3553">
        <f>COUNTIF('一般職員　企業局→市長部局'!A:F,SQLデータ!B3553)</f>
        <v>0</v>
      </c>
    </row>
    <row r="3554" spans="1:18" x14ac:dyDescent="0.4">
      <c r="A3554" s="1">
        <v>202650003493</v>
      </c>
      <c r="B3554" s="1">
        <v>1053015</v>
      </c>
      <c r="C3554" s="2">
        <v>46128</v>
      </c>
      <c r="D3554" t="s">
        <v>17</v>
      </c>
      <c r="E3554" t="s">
        <v>8</v>
      </c>
      <c r="G3554" t="s">
        <v>9</v>
      </c>
      <c r="L3554">
        <f t="shared" ref="L3554:L3617" si="282">IF(ISBLANK(J3554),0,1)</f>
        <v>0</v>
      </c>
      <c r="M3554">
        <f t="shared" ref="M3554:M3617" si="283">IF(AND(L3554=0,I3554&lt;&gt;""),1,0)</f>
        <v>0</v>
      </c>
      <c r="N3554">
        <f t="shared" ref="N3554:N3617" si="284">IF(AND(L3554=0,M3554=0,K3554&lt;&gt;""),1,0)</f>
        <v>0</v>
      </c>
      <c r="O3554">
        <f t="shared" ref="O3554:O3617" si="285">IF(COUNTIF(L3554:N3554,0)=3,1,0)</f>
        <v>1</v>
      </c>
      <c r="P3554" t="str">
        <f t="shared" ref="P3554:P3617" si="286">IF(D3554&lt;&gt;"扶養","",IF(E3554&lt;&gt;"確認待ち",1,IF(OR(AND(G3554="本人の結婚",O3554=1),AND(H3554="減",OR(N3554=1,O3554=1))),1,0)))</f>
        <v/>
      </c>
      <c r="Q3554">
        <f>COUNTIF('責任職　企業局→市長部局'!A:A,SQLデータ!B3554)</f>
        <v>0</v>
      </c>
      <c r="R3554">
        <f>COUNTIF('一般職員　企業局→市長部局'!A:F,SQLデータ!B3554)</f>
        <v>0</v>
      </c>
    </row>
    <row r="3555" spans="1:18" x14ac:dyDescent="0.4">
      <c r="A3555" s="1">
        <v>202650003494</v>
      </c>
      <c r="B3555" s="1">
        <v>1231170</v>
      </c>
      <c r="C3555" s="2">
        <v>46128</v>
      </c>
      <c r="D3555" t="s">
        <v>17</v>
      </c>
      <c r="E3555" t="s">
        <v>8</v>
      </c>
      <c r="G3555" t="s">
        <v>9</v>
      </c>
      <c r="L3555">
        <f t="shared" si="282"/>
        <v>0</v>
      </c>
      <c r="M3555">
        <f t="shared" si="283"/>
        <v>0</v>
      </c>
      <c r="N3555">
        <f t="shared" si="284"/>
        <v>0</v>
      </c>
      <c r="O3555">
        <f t="shared" si="285"/>
        <v>1</v>
      </c>
      <c r="P3555" t="str">
        <f t="shared" si="286"/>
        <v/>
      </c>
      <c r="Q3555">
        <f>COUNTIF('責任職　企業局→市長部局'!A:A,SQLデータ!B3555)</f>
        <v>0</v>
      </c>
      <c r="R3555">
        <f>COUNTIF('一般職員　企業局→市長部局'!A:F,SQLデータ!B3555)</f>
        <v>0</v>
      </c>
    </row>
    <row r="3556" spans="1:18" x14ac:dyDescent="0.4">
      <c r="A3556" s="1">
        <v>202650003495</v>
      </c>
      <c r="B3556" s="1">
        <v>1221398</v>
      </c>
      <c r="C3556" s="2">
        <v>46128</v>
      </c>
      <c r="D3556" t="s">
        <v>17</v>
      </c>
      <c r="E3556" t="s">
        <v>8</v>
      </c>
      <c r="G3556" t="s">
        <v>9</v>
      </c>
      <c r="L3556">
        <f t="shared" si="282"/>
        <v>0</v>
      </c>
      <c r="M3556">
        <f t="shared" si="283"/>
        <v>0</v>
      </c>
      <c r="N3556">
        <f t="shared" si="284"/>
        <v>0</v>
      </c>
      <c r="O3556">
        <f t="shared" si="285"/>
        <v>1</v>
      </c>
      <c r="P3556" t="str">
        <f t="shared" si="286"/>
        <v/>
      </c>
      <c r="Q3556">
        <f>COUNTIF('責任職　企業局→市長部局'!A:A,SQLデータ!B3556)</f>
        <v>0</v>
      </c>
      <c r="R3556">
        <f>COUNTIF('一般職員　企業局→市長部局'!A:F,SQLデータ!B3556)</f>
        <v>0</v>
      </c>
    </row>
    <row r="3557" spans="1:18" x14ac:dyDescent="0.4">
      <c r="A3557" s="1">
        <v>202650003496</v>
      </c>
      <c r="B3557" s="1">
        <v>1221259</v>
      </c>
      <c r="C3557" s="2">
        <v>46128</v>
      </c>
      <c r="D3557" t="s">
        <v>17</v>
      </c>
      <c r="E3557" t="s">
        <v>8</v>
      </c>
      <c r="G3557" t="s">
        <v>9</v>
      </c>
      <c r="L3557">
        <f t="shared" si="282"/>
        <v>0</v>
      </c>
      <c r="M3557">
        <f t="shared" si="283"/>
        <v>0</v>
      </c>
      <c r="N3557">
        <f t="shared" si="284"/>
        <v>0</v>
      </c>
      <c r="O3557">
        <f t="shared" si="285"/>
        <v>1</v>
      </c>
      <c r="P3557" t="str">
        <f t="shared" si="286"/>
        <v/>
      </c>
      <c r="Q3557">
        <f>COUNTIF('責任職　企業局→市長部局'!A:A,SQLデータ!B3557)</f>
        <v>0</v>
      </c>
      <c r="R3557">
        <f>COUNTIF('一般職員　企業局→市長部局'!A:F,SQLデータ!B3557)</f>
        <v>0</v>
      </c>
    </row>
    <row r="3558" spans="1:18" x14ac:dyDescent="0.4">
      <c r="A3558" s="1">
        <v>202650003497</v>
      </c>
      <c r="B3558" s="1">
        <v>1112102</v>
      </c>
      <c r="C3558" s="2">
        <v>46128</v>
      </c>
      <c r="D3558" t="s">
        <v>17</v>
      </c>
      <c r="E3558" t="s">
        <v>8</v>
      </c>
      <c r="G3558" t="s">
        <v>9</v>
      </c>
      <c r="L3558">
        <f t="shared" si="282"/>
        <v>0</v>
      </c>
      <c r="M3558">
        <f t="shared" si="283"/>
        <v>0</v>
      </c>
      <c r="N3558">
        <f t="shared" si="284"/>
        <v>0</v>
      </c>
      <c r="O3558">
        <f t="shared" si="285"/>
        <v>1</v>
      </c>
      <c r="P3558" t="str">
        <f t="shared" si="286"/>
        <v/>
      </c>
      <c r="Q3558">
        <f>COUNTIF('責任職　企業局→市長部局'!A:A,SQLデータ!B3558)</f>
        <v>0</v>
      </c>
      <c r="R3558">
        <f>COUNTIF('一般職員　企業局→市長部局'!A:F,SQLデータ!B3558)</f>
        <v>0</v>
      </c>
    </row>
    <row r="3559" spans="1:18" x14ac:dyDescent="0.4">
      <c r="A3559" s="1">
        <v>202650003498</v>
      </c>
      <c r="B3559" s="1">
        <v>1182506</v>
      </c>
      <c r="C3559" s="2">
        <v>46128</v>
      </c>
      <c r="D3559" t="s">
        <v>17</v>
      </c>
      <c r="E3559" t="s">
        <v>8</v>
      </c>
      <c r="G3559" t="s">
        <v>9</v>
      </c>
      <c r="L3559">
        <f t="shared" si="282"/>
        <v>0</v>
      </c>
      <c r="M3559">
        <f t="shared" si="283"/>
        <v>0</v>
      </c>
      <c r="N3559">
        <f t="shared" si="284"/>
        <v>0</v>
      </c>
      <c r="O3559">
        <f t="shared" si="285"/>
        <v>1</v>
      </c>
      <c r="P3559" t="str">
        <f t="shared" si="286"/>
        <v/>
      </c>
      <c r="Q3559">
        <f>COUNTIF('責任職　企業局→市長部局'!A:A,SQLデータ!B3559)</f>
        <v>0</v>
      </c>
      <c r="R3559">
        <f>COUNTIF('一般職員　企業局→市長部局'!A:F,SQLデータ!B3559)</f>
        <v>0</v>
      </c>
    </row>
    <row r="3560" spans="1:18" x14ac:dyDescent="0.4">
      <c r="A3560" s="1">
        <v>202650003499</v>
      </c>
      <c r="B3560" s="1">
        <v>1004146</v>
      </c>
      <c r="C3560" s="2">
        <v>46128</v>
      </c>
      <c r="D3560" t="s">
        <v>17</v>
      </c>
      <c r="E3560" t="s">
        <v>8</v>
      </c>
      <c r="G3560" t="s">
        <v>9</v>
      </c>
      <c r="L3560">
        <f t="shared" si="282"/>
        <v>0</v>
      </c>
      <c r="M3560">
        <f t="shared" si="283"/>
        <v>0</v>
      </c>
      <c r="N3560">
        <f t="shared" si="284"/>
        <v>0</v>
      </c>
      <c r="O3560">
        <f t="shared" si="285"/>
        <v>1</v>
      </c>
      <c r="P3560" t="str">
        <f t="shared" si="286"/>
        <v/>
      </c>
      <c r="Q3560">
        <f>COUNTIF('責任職　企業局→市長部局'!A:A,SQLデータ!B3560)</f>
        <v>0</v>
      </c>
      <c r="R3560">
        <f>COUNTIF('一般職員　企業局→市長部局'!A:F,SQLデータ!B3560)</f>
        <v>0</v>
      </c>
    </row>
    <row r="3561" spans="1:18" x14ac:dyDescent="0.4">
      <c r="A3561" s="1">
        <v>202650003501</v>
      </c>
      <c r="B3561" s="1">
        <v>1186135</v>
      </c>
      <c r="C3561" s="2">
        <v>46128</v>
      </c>
      <c r="D3561" t="s">
        <v>17</v>
      </c>
      <c r="E3561" t="s">
        <v>8</v>
      </c>
      <c r="G3561" t="s">
        <v>9</v>
      </c>
      <c r="L3561">
        <f t="shared" si="282"/>
        <v>0</v>
      </c>
      <c r="M3561">
        <f t="shared" si="283"/>
        <v>0</v>
      </c>
      <c r="N3561">
        <f t="shared" si="284"/>
        <v>0</v>
      </c>
      <c r="O3561">
        <f t="shared" si="285"/>
        <v>1</v>
      </c>
      <c r="P3561" t="str">
        <f t="shared" si="286"/>
        <v/>
      </c>
      <c r="Q3561">
        <f>COUNTIF('責任職　企業局→市長部局'!A:A,SQLデータ!B3561)</f>
        <v>0</v>
      </c>
      <c r="R3561">
        <f>COUNTIF('一般職員　企業局→市長部局'!A:F,SQLデータ!B3561)</f>
        <v>0</v>
      </c>
    </row>
    <row r="3562" spans="1:18" x14ac:dyDescent="0.4">
      <c r="A3562" s="1">
        <v>202650003502</v>
      </c>
      <c r="B3562" s="1">
        <v>1183004</v>
      </c>
      <c r="C3562" s="2">
        <v>46128</v>
      </c>
      <c r="D3562" t="s">
        <v>17</v>
      </c>
      <c r="E3562" t="s">
        <v>8</v>
      </c>
      <c r="G3562" t="s">
        <v>9</v>
      </c>
      <c r="L3562">
        <f t="shared" si="282"/>
        <v>0</v>
      </c>
      <c r="M3562">
        <f t="shared" si="283"/>
        <v>0</v>
      </c>
      <c r="N3562">
        <f t="shared" si="284"/>
        <v>0</v>
      </c>
      <c r="O3562">
        <f t="shared" si="285"/>
        <v>1</v>
      </c>
      <c r="P3562" t="str">
        <f t="shared" si="286"/>
        <v/>
      </c>
      <c r="Q3562">
        <f>COUNTIF('責任職　企業局→市長部局'!A:A,SQLデータ!B3562)</f>
        <v>0</v>
      </c>
      <c r="R3562">
        <f>COUNTIF('一般職員　企業局→市長部局'!A:F,SQLデータ!B3562)</f>
        <v>0</v>
      </c>
    </row>
    <row r="3563" spans="1:18" x14ac:dyDescent="0.4">
      <c r="A3563" s="1">
        <v>202650003503</v>
      </c>
      <c r="B3563" s="1">
        <v>1212309</v>
      </c>
      <c r="C3563" s="2">
        <v>46128</v>
      </c>
      <c r="D3563" t="s">
        <v>17</v>
      </c>
      <c r="E3563" t="s">
        <v>8</v>
      </c>
      <c r="G3563" t="s">
        <v>9</v>
      </c>
      <c r="L3563">
        <f t="shared" si="282"/>
        <v>0</v>
      </c>
      <c r="M3563">
        <f t="shared" si="283"/>
        <v>0</v>
      </c>
      <c r="N3563">
        <f t="shared" si="284"/>
        <v>0</v>
      </c>
      <c r="O3563">
        <f t="shared" si="285"/>
        <v>1</v>
      </c>
      <c r="P3563" t="str">
        <f t="shared" si="286"/>
        <v/>
      </c>
      <c r="Q3563">
        <f>COUNTIF('責任職　企業局→市長部局'!A:A,SQLデータ!B3563)</f>
        <v>0</v>
      </c>
      <c r="R3563">
        <f>COUNTIF('一般職員　企業局→市長部局'!A:F,SQLデータ!B3563)</f>
        <v>0</v>
      </c>
    </row>
    <row r="3564" spans="1:18" x14ac:dyDescent="0.4">
      <c r="A3564" s="1">
        <v>202650003504</v>
      </c>
      <c r="B3564" s="1">
        <v>1002507</v>
      </c>
      <c r="C3564" s="2">
        <v>46128</v>
      </c>
      <c r="D3564" t="s">
        <v>17</v>
      </c>
      <c r="E3564" t="s">
        <v>8</v>
      </c>
      <c r="G3564" t="s">
        <v>9</v>
      </c>
      <c r="L3564">
        <f t="shared" si="282"/>
        <v>0</v>
      </c>
      <c r="M3564">
        <f t="shared" si="283"/>
        <v>0</v>
      </c>
      <c r="N3564">
        <f t="shared" si="284"/>
        <v>0</v>
      </c>
      <c r="O3564">
        <f t="shared" si="285"/>
        <v>1</v>
      </c>
      <c r="P3564" t="str">
        <f t="shared" si="286"/>
        <v/>
      </c>
      <c r="Q3564">
        <f>COUNTIF('責任職　企業局→市長部局'!A:A,SQLデータ!B3564)</f>
        <v>0</v>
      </c>
      <c r="R3564">
        <f>COUNTIF('一般職員　企業局→市長部局'!A:F,SQLデータ!B3564)</f>
        <v>0</v>
      </c>
    </row>
    <row r="3565" spans="1:18" x14ac:dyDescent="0.4">
      <c r="A3565" s="1">
        <v>202650003505</v>
      </c>
      <c r="B3565" s="1">
        <v>1221104</v>
      </c>
      <c r="C3565" s="2">
        <v>46128</v>
      </c>
      <c r="D3565" t="s">
        <v>17</v>
      </c>
      <c r="E3565" t="s">
        <v>8</v>
      </c>
      <c r="G3565" t="s">
        <v>9</v>
      </c>
      <c r="L3565">
        <f t="shared" si="282"/>
        <v>0</v>
      </c>
      <c r="M3565">
        <f t="shared" si="283"/>
        <v>0</v>
      </c>
      <c r="N3565">
        <f t="shared" si="284"/>
        <v>0</v>
      </c>
      <c r="O3565">
        <f t="shared" si="285"/>
        <v>1</v>
      </c>
      <c r="P3565" t="str">
        <f t="shared" si="286"/>
        <v/>
      </c>
      <c r="Q3565">
        <f>COUNTIF('責任職　企業局→市長部局'!A:A,SQLデータ!B3565)</f>
        <v>0</v>
      </c>
      <c r="R3565">
        <f>COUNTIF('一般職員　企業局→市長部局'!A:F,SQLデータ!B3565)</f>
        <v>0</v>
      </c>
    </row>
    <row r="3566" spans="1:18" x14ac:dyDescent="0.4">
      <c r="A3566" s="1">
        <v>202650003506</v>
      </c>
      <c r="B3566" s="1">
        <v>1196074</v>
      </c>
      <c r="C3566" s="2">
        <v>46128</v>
      </c>
      <c r="D3566" t="s">
        <v>17</v>
      </c>
      <c r="E3566" t="s">
        <v>8</v>
      </c>
      <c r="G3566" t="s">
        <v>9</v>
      </c>
      <c r="L3566">
        <f t="shared" si="282"/>
        <v>0</v>
      </c>
      <c r="M3566">
        <f t="shared" si="283"/>
        <v>0</v>
      </c>
      <c r="N3566">
        <f t="shared" si="284"/>
        <v>0</v>
      </c>
      <c r="O3566">
        <f t="shared" si="285"/>
        <v>1</v>
      </c>
      <c r="P3566" t="str">
        <f t="shared" si="286"/>
        <v/>
      </c>
      <c r="Q3566">
        <f>COUNTIF('責任職　企業局→市長部局'!A:A,SQLデータ!B3566)</f>
        <v>0</v>
      </c>
      <c r="R3566">
        <f>COUNTIF('一般職員　企業局→市長部局'!A:F,SQLデータ!B3566)</f>
        <v>0</v>
      </c>
    </row>
    <row r="3567" spans="1:18" x14ac:dyDescent="0.4">
      <c r="A3567" s="1">
        <v>202650003507</v>
      </c>
      <c r="B3567" s="1">
        <v>1131017</v>
      </c>
      <c r="C3567" s="2">
        <v>46128</v>
      </c>
      <c r="D3567" t="s">
        <v>17</v>
      </c>
      <c r="E3567" t="s">
        <v>8</v>
      </c>
      <c r="G3567" t="s">
        <v>9</v>
      </c>
      <c r="L3567">
        <f t="shared" si="282"/>
        <v>0</v>
      </c>
      <c r="M3567">
        <f t="shared" si="283"/>
        <v>0</v>
      </c>
      <c r="N3567">
        <f t="shared" si="284"/>
        <v>0</v>
      </c>
      <c r="O3567">
        <f t="shared" si="285"/>
        <v>1</v>
      </c>
      <c r="P3567" t="str">
        <f t="shared" si="286"/>
        <v/>
      </c>
      <c r="Q3567">
        <f>COUNTIF('責任職　企業局→市長部局'!A:A,SQLデータ!B3567)</f>
        <v>0</v>
      </c>
      <c r="R3567">
        <f>COUNTIF('一般職員　企業局→市長部局'!A:F,SQLデータ!B3567)</f>
        <v>0</v>
      </c>
    </row>
    <row r="3568" spans="1:18" x14ac:dyDescent="0.4">
      <c r="A3568" s="1">
        <v>202650003508</v>
      </c>
      <c r="B3568" s="1">
        <v>1221031</v>
      </c>
      <c r="C3568" s="2">
        <v>46128</v>
      </c>
      <c r="D3568" t="s">
        <v>17</v>
      </c>
      <c r="E3568" t="s">
        <v>8</v>
      </c>
      <c r="G3568" t="s">
        <v>9</v>
      </c>
      <c r="L3568">
        <f t="shared" si="282"/>
        <v>0</v>
      </c>
      <c r="M3568">
        <f t="shared" si="283"/>
        <v>0</v>
      </c>
      <c r="N3568">
        <f t="shared" si="284"/>
        <v>0</v>
      </c>
      <c r="O3568">
        <f t="shared" si="285"/>
        <v>1</v>
      </c>
      <c r="P3568" t="str">
        <f t="shared" si="286"/>
        <v/>
      </c>
      <c r="Q3568">
        <f>COUNTIF('責任職　企業局→市長部局'!A:A,SQLデータ!B3568)</f>
        <v>0</v>
      </c>
      <c r="R3568">
        <f>COUNTIF('一般職員　企業局→市長部局'!A:F,SQLデータ!B3568)</f>
        <v>0</v>
      </c>
    </row>
    <row r="3569" spans="1:18" x14ac:dyDescent="0.4">
      <c r="A3569" s="1">
        <v>202650003509</v>
      </c>
      <c r="B3569" s="1">
        <v>1172144</v>
      </c>
      <c r="C3569" s="2">
        <v>46128</v>
      </c>
      <c r="D3569" t="s">
        <v>17</v>
      </c>
      <c r="E3569" t="s">
        <v>8</v>
      </c>
      <c r="G3569" t="s">
        <v>9</v>
      </c>
      <c r="L3569">
        <f t="shared" si="282"/>
        <v>0</v>
      </c>
      <c r="M3569">
        <f t="shared" si="283"/>
        <v>0</v>
      </c>
      <c r="N3569">
        <f t="shared" si="284"/>
        <v>0</v>
      </c>
      <c r="O3569">
        <f t="shared" si="285"/>
        <v>1</v>
      </c>
      <c r="P3569" t="str">
        <f t="shared" si="286"/>
        <v/>
      </c>
      <c r="Q3569">
        <f>COUNTIF('責任職　企業局→市長部局'!A:A,SQLデータ!B3569)</f>
        <v>0</v>
      </c>
      <c r="R3569">
        <f>COUNTIF('一般職員　企業局→市長部局'!A:F,SQLデータ!B3569)</f>
        <v>0</v>
      </c>
    </row>
    <row r="3570" spans="1:18" x14ac:dyDescent="0.4">
      <c r="A3570" s="1">
        <v>202650003510</v>
      </c>
      <c r="B3570" s="1">
        <v>1231349</v>
      </c>
      <c r="C3570" s="2">
        <v>46128</v>
      </c>
      <c r="D3570" t="s">
        <v>17</v>
      </c>
      <c r="E3570" t="s">
        <v>8</v>
      </c>
      <c r="G3570" t="s">
        <v>9</v>
      </c>
      <c r="L3570">
        <f t="shared" si="282"/>
        <v>0</v>
      </c>
      <c r="M3570">
        <f t="shared" si="283"/>
        <v>0</v>
      </c>
      <c r="N3570">
        <f t="shared" si="284"/>
        <v>0</v>
      </c>
      <c r="O3570">
        <f t="shared" si="285"/>
        <v>1</v>
      </c>
      <c r="P3570" t="str">
        <f t="shared" si="286"/>
        <v/>
      </c>
      <c r="Q3570">
        <f>COUNTIF('責任職　企業局→市長部局'!A:A,SQLデータ!B3570)</f>
        <v>0</v>
      </c>
      <c r="R3570">
        <f>COUNTIF('一般職員　企業局→市長部局'!A:F,SQLデータ!B3570)</f>
        <v>0</v>
      </c>
    </row>
    <row r="3571" spans="1:18" x14ac:dyDescent="0.4">
      <c r="A3571" s="1">
        <v>202650003511</v>
      </c>
      <c r="B3571" s="1">
        <v>1171595</v>
      </c>
      <c r="C3571" s="2">
        <v>46128</v>
      </c>
      <c r="D3571" t="s">
        <v>17</v>
      </c>
      <c r="E3571" t="s">
        <v>8</v>
      </c>
      <c r="G3571" t="s">
        <v>9</v>
      </c>
      <c r="L3571">
        <f t="shared" si="282"/>
        <v>0</v>
      </c>
      <c r="M3571">
        <f t="shared" si="283"/>
        <v>0</v>
      </c>
      <c r="N3571">
        <f t="shared" si="284"/>
        <v>0</v>
      </c>
      <c r="O3571">
        <f t="shared" si="285"/>
        <v>1</v>
      </c>
      <c r="P3571" t="str">
        <f t="shared" si="286"/>
        <v/>
      </c>
      <c r="Q3571">
        <f>COUNTIF('責任職　企業局→市長部局'!A:A,SQLデータ!B3571)</f>
        <v>0</v>
      </c>
      <c r="R3571">
        <f>COUNTIF('一般職員　企業局→市長部局'!A:F,SQLデータ!B3571)</f>
        <v>0</v>
      </c>
    </row>
    <row r="3572" spans="1:18" x14ac:dyDescent="0.4">
      <c r="A3572" s="1">
        <v>202650003513</v>
      </c>
      <c r="B3572" s="1">
        <v>1261378</v>
      </c>
      <c r="C3572" s="2">
        <v>46128</v>
      </c>
      <c r="D3572" t="s">
        <v>17</v>
      </c>
      <c r="E3572" t="s">
        <v>8</v>
      </c>
      <c r="G3572" t="s">
        <v>9</v>
      </c>
      <c r="L3572">
        <f t="shared" si="282"/>
        <v>0</v>
      </c>
      <c r="M3572">
        <f t="shared" si="283"/>
        <v>0</v>
      </c>
      <c r="N3572">
        <f t="shared" si="284"/>
        <v>0</v>
      </c>
      <c r="O3572">
        <f t="shared" si="285"/>
        <v>1</v>
      </c>
      <c r="P3572" t="str">
        <f t="shared" si="286"/>
        <v/>
      </c>
      <c r="Q3572">
        <f>COUNTIF('責任職　企業局→市長部局'!A:A,SQLデータ!B3572)</f>
        <v>0</v>
      </c>
      <c r="R3572">
        <f>COUNTIF('一般職員　企業局→市長部局'!A:F,SQLデータ!B3572)</f>
        <v>0</v>
      </c>
    </row>
    <row r="3573" spans="1:18" x14ac:dyDescent="0.4">
      <c r="A3573" s="1">
        <v>202650003514</v>
      </c>
      <c r="B3573" s="1">
        <v>1261335</v>
      </c>
      <c r="C3573" s="2">
        <v>46128</v>
      </c>
      <c r="D3573" t="s">
        <v>17</v>
      </c>
      <c r="E3573" t="s">
        <v>8</v>
      </c>
      <c r="G3573" t="s">
        <v>9</v>
      </c>
      <c r="L3573">
        <f t="shared" si="282"/>
        <v>0</v>
      </c>
      <c r="M3573">
        <f t="shared" si="283"/>
        <v>0</v>
      </c>
      <c r="N3573">
        <f t="shared" si="284"/>
        <v>0</v>
      </c>
      <c r="O3573">
        <f t="shared" si="285"/>
        <v>1</v>
      </c>
      <c r="P3573" t="str">
        <f t="shared" si="286"/>
        <v/>
      </c>
      <c r="Q3573">
        <f>COUNTIF('責任職　企業局→市長部局'!A:A,SQLデータ!B3573)</f>
        <v>0</v>
      </c>
      <c r="R3573">
        <f>COUNTIF('一般職員　企業局→市長部局'!A:F,SQLデータ!B3573)</f>
        <v>0</v>
      </c>
    </row>
    <row r="3574" spans="1:18" x14ac:dyDescent="0.4">
      <c r="A3574" s="1">
        <v>202650003515</v>
      </c>
      <c r="B3574" s="1">
        <v>1181377</v>
      </c>
      <c r="C3574" s="2">
        <v>46128</v>
      </c>
      <c r="D3574" t="s">
        <v>17</v>
      </c>
      <c r="E3574" t="s">
        <v>8</v>
      </c>
      <c r="G3574" t="s">
        <v>9</v>
      </c>
      <c r="L3574">
        <f t="shared" si="282"/>
        <v>0</v>
      </c>
      <c r="M3574">
        <f t="shared" si="283"/>
        <v>0</v>
      </c>
      <c r="N3574">
        <f t="shared" si="284"/>
        <v>0</v>
      </c>
      <c r="O3574">
        <f t="shared" si="285"/>
        <v>1</v>
      </c>
      <c r="P3574" t="str">
        <f t="shared" si="286"/>
        <v/>
      </c>
      <c r="Q3574">
        <f>COUNTIF('責任職　企業局→市長部局'!A:A,SQLデータ!B3574)</f>
        <v>0</v>
      </c>
      <c r="R3574">
        <f>COUNTIF('一般職員　企業局→市長部局'!A:F,SQLデータ!B3574)</f>
        <v>0</v>
      </c>
    </row>
    <row r="3575" spans="1:18" x14ac:dyDescent="0.4">
      <c r="A3575" s="1">
        <v>202650003516</v>
      </c>
      <c r="B3575" s="1">
        <v>940293</v>
      </c>
      <c r="C3575" s="2">
        <v>46128</v>
      </c>
      <c r="D3575" t="s">
        <v>17</v>
      </c>
      <c r="E3575" t="s">
        <v>8</v>
      </c>
      <c r="G3575" t="s">
        <v>9</v>
      </c>
      <c r="L3575">
        <f t="shared" si="282"/>
        <v>0</v>
      </c>
      <c r="M3575">
        <f t="shared" si="283"/>
        <v>0</v>
      </c>
      <c r="N3575">
        <f t="shared" si="284"/>
        <v>0</v>
      </c>
      <c r="O3575">
        <f t="shared" si="285"/>
        <v>1</v>
      </c>
      <c r="P3575" t="str">
        <f t="shared" si="286"/>
        <v/>
      </c>
      <c r="Q3575">
        <f>COUNTIF('責任職　企業局→市長部局'!A:A,SQLデータ!B3575)</f>
        <v>0</v>
      </c>
      <c r="R3575">
        <f>COUNTIF('一般職員　企業局→市長部局'!A:F,SQLデータ!B3575)</f>
        <v>0</v>
      </c>
    </row>
    <row r="3576" spans="1:18" x14ac:dyDescent="0.4">
      <c r="A3576" s="1">
        <v>202650003517</v>
      </c>
      <c r="B3576" s="1">
        <v>1023008</v>
      </c>
      <c r="C3576" s="2">
        <v>46128</v>
      </c>
      <c r="D3576" t="s">
        <v>17</v>
      </c>
      <c r="E3576" t="s">
        <v>8</v>
      </c>
      <c r="G3576" t="s">
        <v>9</v>
      </c>
      <c r="L3576">
        <f t="shared" si="282"/>
        <v>0</v>
      </c>
      <c r="M3576">
        <f t="shared" si="283"/>
        <v>0</v>
      </c>
      <c r="N3576">
        <f t="shared" si="284"/>
        <v>0</v>
      </c>
      <c r="O3576">
        <f t="shared" si="285"/>
        <v>1</v>
      </c>
      <c r="P3576" t="str">
        <f t="shared" si="286"/>
        <v/>
      </c>
      <c r="Q3576">
        <f>COUNTIF('責任職　企業局→市長部局'!A:A,SQLデータ!B3576)</f>
        <v>0</v>
      </c>
      <c r="R3576">
        <f>COUNTIF('一般職員　企業局→市長部局'!A:F,SQLデータ!B3576)</f>
        <v>0</v>
      </c>
    </row>
    <row r="3577" spans="1:18" x14ac:dyDescent="0.4">
      <c r="A3577" s="1">
        <v>202650003518</v>
      </c>
      <c r="B3577" s="1">
        <v>1221202</v>
      </c>
      <c r="C3577" s="2">
        <v>46128</v>
      </c>
      <c r="D3577" t="s">
        <v>17</v>
      </c>
      <c r="E3577" t="s">
        <v>8</v>
      </c>
      <c r="G3577" t="s">
        <v>9</v>
      </c>
      <c r="L3577">
        <f t="shared" si="282"/>
        <v>0</v>
      </c>
      <c r="M3577">
        <f t="shared" si="283"/>
        <v>0</v>
      </c>
      <c r="N3577">
        <f t="shared" si="284"/>
        <v>0</v>
      </c>
      <c r="O3577">
        <f t="shared" si="285"/>
        <v>1</v>
      </c>
      <c r="P3577" t="str">
        <f t="shared" si="286"/>
        <v/>
      </c>
      <c r="Q3577">
        <f>COUNTIF('責任職　企業局→市長部局'!A:A,SQLデータ!B3577)</f>
        <v>0</v>
      </c>
      <c r="R3577">
        <f>COUNTIF('一般職員　企業局→市長部局'!A:F,SQLデータ!B3577)</f>
        <v>0</v>
      </c>
    </row>
    <row r="3578" spans="1:18" x14ac:dyDescent="0.4">
      <c r="A3578" s="1">
        <v>202650003519</v>
      </c>
      <c r="B3578" s="1">
        <v>1011203</v>
      </c>
      <c r="C3578" s="2">
        <v>46128</v>
      </c>
      <c r="D3578" t="s">
        <v>17</v>
      </c>
      <c r="E3578" t="s">
        <v>8</v>
      </c>
      <c r="G3578" t="s">
        <v>9</v>
      </c>
      <c r="L3578">
        <f t="shared" si="282"/>
        <v>0</v>
      </c>
      <c r="M3578">
        <f t="shared" si="283"/>
        <v>0</v>
      </c>
      <c r="N3578">
        <f t="shared" si="284"/>
        <v>0</v>
      </c>
      <c r="O3578">
        <f t="shared" si="285"/>
        <v>1</v>
      </c>
      <c r="P3578" t="str">
        <f t="shared" si="286"/>
        <v/>
      </c>
      <c r="Q3578">
        <f>COUNTIF('責任職　企業局→市長部局'!A:A,SQLデータ!B3578)</f>
        <v>0</v>
      </c>
      <c r="R3578">
        <f>COUNTIF('一般職員　企業局→市長部局'!A:F,SQLデータ!B3578)</f>
        <v>0</v>
      </c>
    </row>
    <row r="3579" spans="1:18" x14ac:dyDescent="0.4">
      <c r="A3579" s="1">
        <v>202650003520</v>
      </c>
      <c r="B3579" s="1">
        <v>1221476</v>
      </c>
      <c r="C3579" s="2">
        <v>46128</v>
      </c>
      <c r="D3579" t="s">
        <v>17</v>
      </c>
      <c r="E3579" t="s">
        <v>8</v>
      </c>
      <c r="G3579" t="s">
        <v>9</v>
      </c>
      <c r="L3579">
        <f t="shared" si="282"/>
        <v>0</v>
      </c>
      <c r="M3579">
        <f t="shared" si="283"/>
        <v>0</v>
      </c>
      <c r="N3579">
        <f t="shared" si="284"/>
        <v>0</v>
      </c>
      <c r="O3579">
        <f t="shared" si="285"/>
        <v>1</v>
      </c>
      <c r="P3579" t="str">
        <f t="shared" si="286"/>
        <v/>
      </c>
      <c r="Q3579">
        <f>COUNTIF('責任職　企業局→市長部局'!A:A,SQLデータ!B3579)</f>
        <v>0</v>
      </c>
      <c r="R3579">
        <f>COUNTIF('一般職員　企業局→市長部局'!A:F,SQLデータ!B3579)</f>
        <v>0</v>
      </c>
    </row>
    <row r="3580" spans="1:18" x14ac:dyDescent="0.4">
      <c r="A3580" s="1">
        <v>202650003521</v>
      </c>
      <c r="B3580" s="1">
        <v>1221248</v>
      </c>
      <c r="C3580" s="2">
        <v>46128</v>
      </c>
      <c r="D3580" t="s">
        <v>17</v>
      </c>
      <c r="E3580" t="s">
        <v>8</v>
      </c>
      <c r="G3580" t="s">
        <v>9</v>
      </c>
      <c r="L3580">
        <f t="shared" si="282"/>
        <v>0</v>
      </c>
      <c r="M3580">
        <f t="shared" si="283"/>
        <v>0</v>
      </c>
      <c r="N3580">
        <f t="shared" si="284"/>
        <v>0</v>
      </c>
      <c r="O3580">
        <f t="shared" si="285"/>
        <v>1</v>
      </c>
      <c r="P3580" t="str">
        <f t="shared" si="286"/>
        <v/>
      </c>
      <c r="Q3580">
        <f>COUNTIF('責任職　企業局→市長部局'!A:A,SQLデータ!B3580)</f>
        <v>0</v>
      </c>
      <c r="R3580">
        <f>COUNTIF('一般職員　企業局→市長部局'!A:F,SQLデータ!B3580)</f>
        <v>0</v>
      </c>
    </row>
    <row r="3581" spans="1:18" x14ac:dyDescent="0.4">
      <c r="A3581" s="1">
        <v>202650003522</v>
      </c>
      <c r="B3581" s="1">
        <v>1143018</v>
      </c>
      <c r="C3581" s="2">
        <v>46128</v>
      </c>
      <c r="D3581" t="s">
        <v>17</v>
      </c>
      <c r="E3581" t="s">
        <v>8</v>
      </c>
      <c r="G3581" t="s">
        <v>9</v>
      </c>
      <c r="L3581">
        <f t="shared" si="282"/>
        <v>0</v>
      </c>
      <c r="M3581">
        <f t="shared" si="283"/>
        <v>0</v>
      </c>
      <c r="N3581">
        <f t="shared" si="284"/>
        <v>0</v>
      </c>
      <c r="O3581">
        <f t="shared" si="285"/>
        <v>1</v>
      </c>
      <c r="P3581" t="str">
        <f t="shared" si="286"/>
        <v/>
      </c>
      <c r="Q3581">
        <f>COUNTIF('責任職　企業局→市長部局'!A:A,SQLデータ!B3581)</f>
        <v>0</v>
      </c>
      <c r="R3581">
        <f>COUNTIF('一般職員　企業局→市長部局'!A:F,SQLデータ!B3581)</f>
        <v>0</v>
      </c>
    </row>
    <row r="3582" spans="1:18" x14ac:dyDescent="0.4">
      <c r="A3582" s="1">
        <v>202650003523</v>
      </c>
      <c r="B3582" s="1">
        <v>960171</v>
      </c>
      <c r="C3582" s="2">
        <v>46128</v>
      </c>
      <c r="D3582" t="s">
        <v>17</v>
      </c>
      <c r="E3582" t="s">
        <v>8</v>
      </c>
      <c r="G3582" t="s">
        <v>9</v>
      </c>
      <c r="L3582">
        <f t="shared" si="282"/>
        <v>0</v>
      </c>
      <c r="M3582">
        <f t="shared" si="283"/>
        <v>0</v>
      </c>
      <c r="N3582">
        <f t="shared" si="284"/>
        <v>0</v>
      </c>
      <c r="O3582">
        <f t="shared" si="285"/>
        <v>1</v>
      </c>
      <c r="P3582" t="str">
        <f t="shared" si="286"/>
        <v/>
      </c>
      <c r="Q3582">
        <f>COUNTIF('責任職　企業局→市長部局'!A:A,SQLデータ!B3582)</f>
        <v>0</v>
      </c>
      <c r="R3582">
        <f>COUNTIF('一般職員　企業局→市長部局'!A:F,SQLデータ!B3582)</f>
        <v>0</v>
      </c>
    </row>
    <row r="3583" spans="1:18" x14ac:dyDescent="0.4">
      <c r="A3583" s="1">
        <v>202650003524</v>
      </c>
      <c r="B3583" s="1">
        <v>1192055</v>
      </c>
      <c r="C3583" s="2">
        <v>46128</v>
      </c>
      <c r="D3583" t="s">
        <v>17</v>
      </c>
      <c r="E3583" t="s">
        <v>8</v>
      </c>
      <c r="G3583" t="s">
        <v>9</v>
      </c>
      <c r="L3583">
        <f t="shared" si="282"/>
        <v>0</v>
      </c>
      <c r="M3583">
        <f t="shared" si="283"/>
        <v>0</v>
      </c>
      <c r="N3583">
        <f t="shared" si="284"/>
        <v>0</v>
      </c>
      <c r="O3583">
        <f t="shared" si="285"/>
        <v>1</v>
      </c>
      <c r="P3583" t="str">
        <f t="shared" si="286"/>
        <v/>
      </c>
      <c r="Q3583">
        <f>COUNTIF('責任職　企業局→市長部局'!A:A,SQLデータ!B3583)</f>
        <v>0</v>
      </c>
      <c r="R3583">
        <f>COUNTIF('一般職員　企業局→市長部局'!A:F,SQLデータ!B3583)</f>
        <v>0</v>
      </c>
    </row>
    <row r="3584" spans="1:18" x14ac:dyDescent="0.4">
      <c r="A3584" s="1">
        <v>202650003525</v>
      </c>
      <c r="B3584" s="1">
        <v>880386</v>
      </c>
      <c r="C3584" s="2">
        <v>46128</v>
      </c>
      <c r="D3584" t="s">
        <v>17</v>
      </c>
      <c r="E3584" t="s">
        <v>8</v>
      </c>
      <c r="G3584" t="s">
        <v>9</v>
      </c>
      <c r="L3584">
        <f t="shared" si="282"/>
        <v>0</v>
      </c>
      <c r="M3584">
        <f t="shared" si="283"/>
        <v>0</v>
      </c>
      <c r="N3584">
        <f t="shared" si="284"/>
        <v>0</v>
      </c>
      <c r="O3584">
        <f t="shared" si="285"/>
        <v>1</v>
      </c>
      <c r="P3584" t="str">
        <f t="shared" si="286"/>
        <v/>
      </c>
      <c r="Q3584">
        <f>COUNTIF('責任職　企業局→市長部局'!A:A,SQLデータ!B3584)</f>
        <v>0</v>
      </c>
      <c r="R3584">
        <f>COUNTIF('一般職員　企業局→市長部局'!A:F,SQLデータ!B3584)</f>
        <v>0</v>
      </c>
    </row>
    <row r="3585" spans="1:18" x14ac:dyDescent="0.4">
      <c r="A3585" s="1">
        <v>202650003526</v>
      </c>
      <c r="B3585" s="1">
        <v>1192306</v>
      </c>
      <c r="C3585" s="2">
        <v>46128</v>
      </c>
      <c r="D3585" t="s">
        <v>17</v>
      </c>
      <c r="E3585" t="s">
        <v>8</v>
      </c>
      <c r="G3585" t="s">
        <v>9</v>
      </c>
      <c r="L3585">
        <f t="shared" si="282"/>
        <v>0</v>
      </c>
      <c r="M3585">
        <f t="shared" si="283"/>
        <v>0</v>
      </c>
      <c r="N3585">
        <f t="shared" si="284"/>
        <v>0</v>
      </c>
      <c r="O3585">
        <f t="shared" si="285"/>
        <v>1</v>
      </c>
      <c r="P3585" t="str">
        <f t="shared" si="286"/>
        <v/>
      </c>
      <c r="Q3585">
        <f>COUNTIF('責任職　企業局→市長部局'!A:A,SQLデータ!B3585)</f>
        <v>0</v>
      </c>
      <c r="R3585">
        <f>COUNTIF('一般職員　企業局→市長部局'!A:F,SQLデータ!B3585)</f>
        <v>0</v>
      </c>
    </row>
    <row r="3586" spans="1:18" x14ac:dyDescent="0.4">
      <c r="A3586" s="1">
        <v>202650003528</v>
      </c>
      <c r="B3586" s="1">
        <v>1121155</v>
      </c>
      <c r="C3586" s="2">
        <v>46128</v>
      </c>
      <c r="D3586" t="s">
        <v>17</v>
      </c>
      <c r="E3586" t="s">
        <v>8</v>
      </c>
      <c r="G3586" t="s">
        <v>9</v>
      </c>
      <c r="L3586">
        <f t="shared" si="282"/>
        <v>0</v>
      </c>
      <c r="M3586">
        <f t="shared" si="283"/>
        <v>0</v>
      </c>
      <c r="N3586">
        <f t="shared" si="284"/>
        <v>0</v>
      </c>
      <c r="O3586">
        <f t="shared" si="285"/>
        <v>1</v>
      </c>
      <c r="P3586" t="str">
        <f t="shared" si="286"/>
        <v/>
      </c>
      <c r="Q3586">
        <f>COUNTIF('責任職　企業局→市長部局'!A:A,SQLデータ!B3586)</f>
        <v>0</v>
      </c>
      <c r="R3586">
        <f>COUNTIF('一般職員　企業局→市長部局'!A:F,SQLデータ!B3586)</f>
        <v>0</v>
      </c>
    </row>
    <row r="3587" spans="1:18" x14ac:dyDescent="0.4">
      <c r="A3587" s="1">
        <v>202650003530</v>
      </c>
      <c r="B3587" s="1">
        <v>1132001</v>
      </c>
      <c r="C3587" s="2">
        <v>46128</v>
      </c>
      <c r="D3587" t="s">
        <v>17</v>
      </c>
      <c r="E3587" t="s">
        <v>8</v>
      </c>
      <c r="G3587" t="s">
        <v>9</v>
      </c>
      <c r="L3587">
        <f t="shared" si="282"/>
        <v>0</v>
      </c>
      <c r="M3587">
        <f t="shared" si="283"/>
        <v>0</v>
      </c>
      <c r="N3587">
        <f t="shared" si="284"/>
        <v>0</v>
      </c>
      <c r="O3587">
        <f t="shared" si="285"/>
        <v>1</v>
      </c>
      <c r="P3587" t="str">
        <f t="shared" si="286"/>
        <v/>
      </c>
      <c r="Q3587">
        <f>COUNTIF('責任職　企業局→市長部局'!A:A,SQLデータ!B3587)</f>
        <v>0</v>
      </c>
      <c r="R3587">
        <f>COUNTIF('一般職員　企業局→市長部局'!A:F,SQLデータ!B3587)</f>
        <v>0</v>
      </c>
    </row>
    <row r="3588" spans="1:18" x14ac:dyDescent="0.4">
      <c r="A3588" s="1">
        <v>202650003531</v>
      </c>
      <c r="B3588" s="1">
        <v>1222095</v>
      </c>
      <c r="C3588" s="2">
        <v>46128</v>
      </c>
      <c r="D3588" t="s">
        <v>17</v>
      </c>
      <c r="E3588" t="s">
        <v>8</v>
      </c>
      <c r="G3588" t="s">
        <v>9</v>
      </c>
      <c r="L3588">
        <f t="shared" si="282"/>
        <v>0</v>
      </c>
      <c r="M3588">
        <f t="shared" si="283"/>
        <v>0</v>
      </c>
      <c r="N3588">
        <f t="shared" si="284"/>
        <v>0</v>
      </c>
      <c r="O3588">
        <f t="shared" si="285"/>
        <v>1</v>
      </c>
      <c r="P3588" t="str">
        <f t="shared" si="286"/>
        <v/>
      </c>
      <c r="Q3588">
        <f>COUNTIF('責任職　企業局→市長部局'!A:A,SQLデータ!B3588)</f>
        <v>0</v>
      </c>
      <c r="R3588">
        <f>COUNTIF('一般職員　企業局→市長部局'!A:F,SQLデータ!B3588)</f>
        <v>0</v>
      </c>
    </row>
    <row r="3589" spans="1:18" x14ac:dyDescent="0.4">
      <c r="A3589" s="1">
        <v>202650003532</v>
      </c>
      <c r="B3589" s="1">
        <v>1131474</v>
      </c>
      <c r="C3589" s="2">
        <v>46128</v>
      </c>
      <c r="D3589" t="s">
        <v>17</v>
      </c>
      <c r="E3589" t="s">
        <v>8</v>
      </c>
      <c r="G3589" t="s">
        <v>9</v>
      </c>
      <c r="L3589">
        <f t="shared" si="282"/>
        <v>0</v>
      </c>
      <c r="M3589">
        <f t="shared" si="283"/>
        <v>0</v>
      </c>
      <c r="N3589">
        <f t="shared" si="284"/>
        <v>0</v>
      </c>
      <c r="O3589">
        <f t="shared" si="285"/>
        <v>1</v>
      </c>
      <c r="P3589" t="str">
        <f t="shared" si="286"/>
        <v/>
      </c>
      <c r="Q3589">
        <f>COUNTIF('責任職　企業局→市長部局'!A:A,SQLデータ!B3589)</f>
        <v>0</v>
      </c>
      <c r="R3589">
        <f>COUNTIF('一般職員　企業局→市長部局'!A:F,SQLデータ!B3589)</f>
        <v>0</v>
      </c>
    </row>
    <row r="3590" spans="1:18" x14ac:dyDescent="0.4">
      <c r="A3590" s="1">
        <v>202650003533</v>
      </c>
      <c r="B3590" s="1">
        <v>1081303</v>
      </c>
      <c r="C3590" s="2">
        <v>46128</v>
      </c>
      <c r="D3590" t="s">
        <v>17</v>
      </c>
      <c r="E3590" t="s">
        <v>8</v>
      </c>
      <c r="G3590" t="s">
        <v>9</v>
      </c>
      <c r="L3590">
        <f t="shared" si="282"/>
        <v>0</v>
      </c>
      <c r="M3590">
        <f t="shared" si="283"/>
        <v>0</v>
      </c>
      <c r="N3590">
        <f t="shared" si="284"/>
        <v>0</v>
      </c>
      <c r="O3590">
        <f t="shared" si="285"/>
        <v>1</v>
      </c>
      <c r="P3590" t="str">
        <f t="shared" si="286"/>
        <v/>
      </c>
      <c r="Q3590">
        <f>COUNTIF('責任職　企業局→市長部局'!A:A,SQLデータ!B3590)</f>
        <v>0</v>
      </c>
      <c r="R3590">
        <f>COUNTIF('一般職員　企業局→市長部局'!A:F,SQLデータ!B3590)</f>
        <v>0</v>
      </c>
    </row>
    <row r="3591" spans="1:18" x14ac:dyDescent="0.4">
      <c r="A3591" s="1">
        <v>202650003534</v>
      </c>
      <c r="B3591" s="1">
        <v>1221525</v>
      </c>
      <c r="C3591" s="2">
        <v>46128</v>
      </c>
      <c r="D3591" t="s">
        <v>17</v>
      </c>
      <c r="E3591" t="s">
        <v>8</v>
      </c>
      <c r="G3591" t="s">
        <v>9</v>
      </c>
      <c r="L3591">
        <f t="shared" si="282"/>
        <v>0</v>
      </c>
      <c r="M3591">
        <f t="shared" si="283"/>
        <v>0</v>
      </c>
      <c r="N3591">
        <f t="shared" si="284"/>
        <v>0</v>
      </c>
      <c r="O3591">
        <f t="shared" si="285"/>
        <v>1</v>
      </c>
      <c r="P3591" t="str">
        <f t="shared" si="286"/>
        <v/>
      </c>
      <c r="Q3591">
        <f>COUNTIF('責任職　企業局→市長部局'!A:A,SQLデータ!B3591)</f>
        <v>0</v>
      </c>
      <c r="R3591">
        <f>COUNTIF('一般職員　企業局→市長部局'!A:F,SQLデータ!B3591)</f>
        <v>0</v>
      </c>
    </row>
    <row r="3592" spans="1:18" x14ac:dyDescent="0.4">
      <c r="A3592" s="1">
        <v>202650003535</v>
      </c>
      <c r="B3592" s="1">
        <v>1031281</v>
      </c>
      <c r="C3592" s="2">
        <v>46128</v>
      </c>
      <c r="D3592" t="s">
        <v>17</v>
      </c>
      <c r="E3592" t="s">
        <v>8</v>
      </c>
      <c r="G3592" t="s">
        <v>9</v>
      </c>
      <c r="L3592">
        <f t="shared" si="282"/>
        <v>0</v>
      </c>
      <c r="M3592">
        <f t="shared" si="283"/>
        <v>0</v>
      </c>
      <c r="N3592">
        <f t="shared" si="284"/>
        <v>0</v>
      </c>
      <c r="O3592">
        <f t="shared" si="285"/>
        <v>1</v>
      </c>
      <c r="P3592" t="str">
        <f t="shared" si="286"/>
        <v/>
      </c>
      <c r="Q3592">
        <f>COUNTIF('責任職　企業局→市長部局'!A:A,SQLデータ!B3592)</f>
        <v>0</v>
      </c>
      <c r="R3592">
        <f>COUNTIF('一般職員　企業局→市長部局'!A:F,SQLデータ!B3592)</f>
        <v>0</v>
      </c>
    </row>
    <row r="3593" spans="1:18" x14ac:dyDescent="0.4">
      <c r="A3593" s="1">
        <v>202650003536</v>
      </c>
      <c r="B3593" s="1">
        <v>1072006</v>
      </c>
      <c r="C3593" s="2">
        <v>46128</v>
      </c>
      <c r="D3593" t="s">
        <v>17</v>
      </c>
      <c r="E3593" t="s">
        <v>8</v>
      </c>
      <c r="G3593" t="s">
        <v>9</v>
      </c>
      <c r="L3593">
        <f t="shared" si="282"/>
        <v>0</v>
      </c>
      <c r="M3593">
        <f t="shared" si="283"/>
        <v>0</v>
      </c>
      <c r="N3593">
        <f t="shared" si="284"/>
        <v>0</v>
      </c>
      <c r="O3593">
        <f t="shared" si="285"/>
        <v>1</v>
      </c>
      <c r="P3593" t="str">
        <f t="shared" si="286"/>
        <v/>
      </c>
      <c r="Q3593">
        <f>COUNTIF('責任職　企業局→市長部局'!A:A,SQLデータ!B3593)</f>
        <v>0</v>
      </c>
      <c r="R3593">
        <f>COUNTIF('一般職員　企業局→市長部局'!A:F,SQLデータ!B3593)</f>
        <v>1</v>
      </c>
    </row>
    <row r="3594" spans="1:18" x14ac:dyDescent="0.4">
      <c r="A3594" s="1">
        <v>202650003537</v>
      </c>
      <c r="B3594" s="1">
        <v>950468</v>
      </c>
      <c r="C3594" s="2">
        <v>46128</v>
      </c>
      <c r="D3594" t="s">
        <v>17</v>
      </c>
      <c r="E3594" t="s">
        <v>8</v>
      </c>
      <c r="G3594" t="s">
        <v>9</v>
      </c>
      <c r="L3594">
        <f t="shared" si="282"/>
        <v>0</v>
      </c>
      <c r="M3594">
        <f t="shared" si="283"/>
        <v>0</v>
      </c>
      <c r="N3594">
        <f t="shared" si="284"/>
        <v>0</v>
      </c>
      <c r="O3594">
        <f t="shared" si="285"/>
        <v>1</v>
      </c>
      <c r="P3594" t="str">
        <f t="shared" si="286"/>
        <v/>
      </c>
      <c r="Q3594">
        <f>COUNTIF('責任職　企業局→市長部局'!A:A,SQLデータ!B3594)</f>
        <v>0</v>
      </c>
      <c r="R3594">
        <f>COUNTIF('一般職員　企業局→市長部局'!A:F,SQLデータ!B3594)</f>
        <v>0</v>
      </c>
    </row>
    <row r="3595" spans="1:18" x14ac:dyDescent="0.4">
      <c r="A3595" s="1">
        <v>202650003538</v>
      </c>
      <c r="B3595" s="1">
        <v>1002505</v>
      </c>
      <c r="C3595" s="2">
        <v>46128</v>
      </c>
      <c r="D3595" t="s">
        <v>17</v>
      </c>
      <c r="E3595" t="s">
        <v>8</v>
      </c>
      <c r="G3595" t="s">
        <v>9</v>
      </c>
      <c r="L3595">
        <f t="shared" si="282"/>
        <v>0</v>
      </c>
      <c r="M3595">
        <f t="shared" si="283"/>
        <v>0</v>
      </c>
      <c r="N3595">
        <f t="shared" si="284"/>
        <v>0</v>
      </c>
      <c r="O3595">
        <f t="shared" si="285"/>
        <v>1</v>
      </c>
      <c r="P3595" t="str">
        <f t="shared" si="286"/>
        <v/>
      </c>
      <c r="Q3595">
        <f>COUNTIF('責任職　企業局→市長部局'!A:A,SQLデータ!B3595)</f>
        <v>0</v>
      </c>
      <c r="R3595">
        <f>COUNTIF('一般職員　企業局→市長部局'!A:F,SQLデータ!B3595)</f>
        <v>0</v>
      </c>
    </row>
    <row r="3596" spans="1:18" x14ac:dyDescent="0.4">
      <c r="A3596" s="1">
        <v>202650003539</v>
      </c>
      <c r="B3596" s="1">
        <v>930698</v>
      </c>
      <c r="C3596" s="2">
        <v>46128</v>
      </c>
      <c r="D3596" t="s">
        <v>17</v>
      </c>
      <c r="E3596" t="s">
        <v>8</v>
      </c>
      <c r="G3596" t="s">
        <v>9</v>
      </c>
      <c r="L3596">
        <f t="shared" si="282"/>
        <v>0</v>
      </c>
      <c r="M3596">
        <f t="shared" si="283"/>
        <v>0</v>
      </c>
      <c r="N3596">
        <f t="shared" si="284"/>
        <v>0</v>
      </c>
      <c r="O3596">
        <f t="shared" si="285"/>
        <v>1</v>
      </c>
      <c r="P3596" t="str">
        <f t="shared" si="286"/>
        <v/>
      </c>
      <c r="Q3596">
        <f>COUNTIF('責任職　企業局→市長部局'!A:A,SQLデータ!B3596)</f>
        <v>0</v>
      </c>
      <c r="R3596">
        <f>COUNTIF('一般職員　企業局→市長部局'!A:F,SQLデータ!B3596)</f>
        <v>0</v>
      </c>
    </row>
    <row r="3597" spans="1:18" x14ac:dyDescent="0.4">
      <c r="A3597" s="1">
        <v>202650003540</v>
      </c>
      <c r="B3597" s="1">
        <v>981064</v>
      </c>
      <c r="C3597" s="2">
        <v>46128</v>
      </c>
      <c r="D3597" t="s">
        <v>17</v>
      </c>
      <c r="E3597" t="s">
        <v>8</v>
      </c>
      <c r="G3597" t="s">
        <v>9</v>
      </c>
      <c r="L3597">
        <f t="shared" si="282"/>
        <v>0</v>
      </c>
      <c r="M3597">
        <f t="shared" si="283"/>
        <v>0</v>
      </c>
      <c r="N3597">
        <f t="shared" si="284"/>
        <v>0</v>
      </c>
      <c r="O3597">
        <f t="shared" si="285"/>
        <v>1</v>
      </c>
      <c r="P3597" t="str">
        <f t="shared" si="286"/>
        <v/>
      </c>
      <c r="Q3597">
        <f>COUNTIF('責任職　企業局→市長部局'!A:A,SQLデータ!B3597)</f>
        <v>0</v>
      </c>
      <c r="R3597">
        <f>COUNTIF('一般職員　企業局→市長部局'!A:F,SQLデータ!B3597)</f>
        <v>0</v>
      </c>
    </row>
    <row r="3598" spans="1:18" x14ac:dyDescent="0.4">
      <c r="A3598" s="1">
        <v>202650003542</v>
      </c>
      <c r="B3598" s="1">
        <v>1221147</v>
      </c>
      <c r="C3598" s="2">
        <v>46128</v>
      </c>
      <c r="D3598" t="s">
        <v>17</v>
      </c>
      <c r="E3598" t="s">
        <v>8</v>
      </c>
      <c r="G3598" t="s">
        <v>9</v>
      </c>
      <c r="L3598">
        <f t="shared" si="282"/>
        <v>0</v>
      </c>
      <c r="M3598">
        <f t="shared" si="283"/>
        <v>0</v>
      </c>
      <c r="N3598">
        <f t="shared" si="284"/>
        <v>0</v>
      </c>
      <c r="O3598">
        <f t="shared" si="285"/>
        <v>1</v>
      </c>
      <c r="P3598" t="str">
        <f t="shared" si="286"/>
        <v/>
      </c>
      <c r="Q3598">
        <f>COUNTIF('責任職　企業局→市長部局'!A:A,SQLデータ!B3598)</f>
        <v>0</v>
      </c>
      <c r="R3598">
        <f>COUNTIF('一般職員　企業局→市長部局'!A:F,SQLデータ!B3598)</f>
        <v>0</v>
      </c>
    </row>
    <row r="3599" spans="1:18" x14ac:dyDescent="0.4">
      <c r="A3599" s="1">
        <v>202650003543</v>
      </c>
      <c r="B3599" s="1">
        <v>1151413</v>
      </c>
      <c r="C3599" s="2">
        <v>46129</v>
      </c>
      <c r="D3599" t="s">
        <v>17</v>
      </c>
      <c r="E3599" t="s">
        <v>8</v>
      </c>
      <c r="G3599" t="s">
        <v>9</v>
      </c>
      <c r="L3599">
        <f t="shared" si="282"/>
        <v>0</v>
      </c>
      <c r="M3599">
        <f t="shared" si="283"/>
        <v>0</v>
      </c>
      <c r="N3599">
        <f t="shared" si="284"/>
        <v>0</v>
      </c>
      <c r="O3599">
        <f t="shared" si="285"/>
        <v>1</v>
      </c>
      <c r="P3599" t="str">
        <f t="shared" si="286"/>
        <v/>
      </c>
      <c r="Q3599">
        <f>COUNTIF('責任職　企業局→市長部局'!A:A,SQLデータ!B3599)</f>
        <v>0</v>
      </c>
      <c r="R3599">
        <f>COUNTIF('一般職員　企業局→市長部局'!A:F,SQLデータ!B3599)</f>
        <v>0</v>
      </c>
    </row>
    <row r="3600" spans="1:18" x14ac:dyDescent="0.4">
      <c r="A3600" s="1">
        <v>202650003544</v>
      </c>
      <c r="B3600" s="1">
        <v>940328</v>
      </c>
      <c r="C3600" s="2">
        <v>46128</v>
      </c>
      <c r="D3600" t="s">
        <v>17</v>
      </c>
      <c r="E3600" t="s">
        <v>8</v>
      </c>
      <c r="G3600" t="s">
        <v>9</v>
      </c>
      <c r="L3600">
        <f t="shared" si="282"/>
        <v>0</v>
      </c>
      <c r="M3600">
        <f t="shared" si="283"/>
        <v>0</v>
      </c>
      <c r="N3600">
        <f t="shared" si="284"/>
        <v>0</v>
      </c>
      <c r="O3600">
        <f t="shared" si="285"/>
        <v>1</v>
      </c>
      <c r="P3600" t="str">
        <f t="shared" si="286"/>
        <v/>
      </c>
      <c r="Q3600">
        <f>COUNTIF('責任職　企業局→市長部局'!A:A,SQLデータ!B3600)</f>
        <v>0</v>
      </c>
      <c r="R3600">
        <f>COUNTIF('一般職員　企業局→市長部局'!A:F,SQLデータ!B3600)</f>
        <v>0</v>
      </c>
    </row>
    <row r="3601" spans="1:18" x14ac:dyDescent="0.4">
      <c r="A3601" s="1">
        <v>202650003545</v>
      </c>
      <c r="B3601" s="1">
        <v>1161165</v>
      </c>
      <c r="C3601" s="2">
        <v>46128</v>
      </c>
      <c r="D3601" t="s">
        <v>17</v>
      </c>
      <c r="E3601" t="s">
        <v>8</v>
      </c>
      <c r="G3601" t="s">
        <v>9</v>
      </c>
      <c r="L3601">
        <f t="shared" si="282"/>
        <v>0</v>
      </c>
      <c r="M3601">
        <f t="shared" si="283"/>
        <v>0</v>
      </c>
      <c r="N3601">
        <f t="shared" si="284"/>
        <v>0</v>
      </c>
      <c r="O3601">
        <f t="shared" si="285"/>
        <v>1</v>
      </c>
      <c r="P3601" t="str">
        <f t="shared" si="286"/>
        <v/>
      </c>
      <c r="Q3601">
        <f>COUNTIF('責任職　企業局→市長部局'!A:A,SQLデータ!B3601)</f>
        <v>0</v>
      </c>
      <c r="R3601">
        <f>COUNTIF('一般職員　企業局→市長部局'!A:F,SQLデータ!B3601)</f>
        <v>0</v>
      </c>
    </row>
    <row r="3602" spans="1:18" x14ac:dyDescent="0.4">
      <c r="A3602" s="1">
        <v>202650003546</v>
      </c>
      <c r="B3602" s="1">
        <v>1133033</v>
      </c>
      <c r="C3602" s="2">
        <v>46128</v>
      </c>
      <c r="D3602" t="s">
        <v>17</v>
      </c>
      <c r="E3602" t="s">
        <v>8</v>
      </c>
      <c r="G3602" t="s">
        <v>9</v>
      </c>
      <c r="L3602">
        <f t="shared" si="282"/>
        <v>0</v>
      </c>
      <c r="M3602">
        <f t="shared" si="283"/>
        <v>0</v>
      </c>
      <c r="N3602">
        <f t="shared" si="284"/>
        <v>0</v>
      </c>
      <c r="O3602">
        <f t="shared" si="285"/>
        <v>1</v>
      </c>
      <c r="P3602" t="str">
        <f t="shared" si="286"/>
        <v/>
      </c>
      <c r="Q3602">
        <f>COUNTIF('責任職　企業局→市長部局'!A:A,SQLデータ!B3602)</f>
        <v>0</v>
      </c>
      <c r="R3602">
        <f>COUNTIF('一般職員　企業局→市長部局'!A:F,SQLデータ!B3602)</f>
        <v>0</v>
      </c>
    </row>
    <row r="3603" spans="1:18" x14ac:dyDescent="0.4">
      <c r="A3603" s="1">
        <v>202650003547</v>
      </c>
      <c r="B3603" s="1">
        <v>1212313</v>
      </c>
      <c r="C3603" s="2">
        <v>46128</v>
      </c>
      <c r="D3603" t="s">
        <v>17</v>
      </c>
      <c r="E3603" t="s">
        <v>8</v>
      </c>
      <c r="G3603" t="s">
        <v>9</v>
      </c>
      <c r="L3603">
        <f t="shared" si="282"/>
        <v>0</v>
      </c>
      <c r="M3603">
        <f t="shared" si="283"/>
        <v>0</v>
      </c>
      <c r="N3603">
        <f t="shared" si="284"/>
        <v>0</v>
      </c>
      <c r="O3603">
        <f t="shared" si="285"/>
        <v>1</v>
      </c>
      <c r="P3603" t="str">
        <f t="shared" si="286"/>
        <v/>
      </c>
      <c r="Q3603">
        <f>COUNTIF('責任職　企業局→市長部局'!A:A,SQLデータ!B3603)</f>
        <v>0</v>
      </c>
      <c r="R3603">
        <f>COUNTIF('一般職員　企業局→市長部局'!A:F,SQLデータ!B3603)</f>
        <v>0</v>
      </c>
    </row>
    <row r="3604" spans="1:18" x14ac:dyDescent="0.4">
      <c r="A3604" s="1">
        <v>202650003548</v>
      </c>
      <c r="B3604" s="1">
        <v>1222097</v>
      </c>
      <c r="C3604" s="2">
        <v>46128</v>
      </c>
      <c r="D3604" t="s">
        <v>17</v>
      </c>
      <c r="E3604" t="s">
        <v>8</v>
      </c>
      <c r="G3604" t="s">
        <v>9</v>
      </c>
      <c r="L3604">
        <f t="shared" si="282"/>
        <v>0</v>
      </c>
      <c r="M3604">
        <f t="shared" si="283"/>
        <v>0</v>
      </c>
      <c r="N3604">
        <f t="shared" si="284"/>
        <v>0</v>
      </c>
      <c r="O3604">
        <f t="shared" si="285"/>
        <v>1</v>
      </c>
      <c r="P3604" t="str">
        <f t="shared" si="286"/>
        <v/>
      </c>
      <c r="Q3604">
        <f>COUNTIF('責任職　企業局→市長部局'!A:A,SQLデータ!B3604)</f>
        <v>0</v>
      </c>
      <c r="R3604">
        <f>COUNTIF('一般職員　企業局→市長部局'!A:F,SQLデータ!B3604)</f>
        <v>0</v>
      </c>
    </row>
    <row r="3605" spans="1:18" x14ac:dyDescent="0.4">
      <c r="A3605" s="1">
        <v>202650003549</v>
      </c>
      <c r="B3605" s="1">
        <v>1151317</v>
      </c>
      <c r="C3605" s="2">
        <v>46128</v>
      </c>
      <c r="D3605" t="s">
        <v>17</v>
      </c>
      <c r="E3605" t="s">
        <v>8</v>
      </c>
      <c r="G3605" t="s">
        <v>9</v>
      </c>
      <c r="L3605">
        <f t="shared" si="282"/>
        <v>0</v>
      </c>
      <c r="M3605">
        <f t="shared" si="283"/>
        <v>0</v>
      </c>
      <c r="N3605">
        <f t="shared" si="284"/>
        <v>0</v>
      </c>
      <c r="O3605">
        <f t="shared" si="285"/>
        <v>1</v>
      </c>
      <c r="P3605" t="str">
        <f t="shared" si="286"/>
        <v/>
      </c>
      <c r="Q3605">
        <f>COUNTIF('責任職　企業局→市長部局'!A:A,SQLデータ!B3605)</f>
        <v>0</v>
      </c>
      <c r="R3605">
        <f>COUNTIF('一般職員　企業局→市長部局'!A:F,SQLデータ!B3605)</f>
        <v>1</v>
      </c>
    </row>
    <row r="3606" spans="1:18" x14ac:dyDescent="0.4">
      <c r="A3606" s="1">
        <v>202650003550</v>
      </c>
      <c r="B3606" s="1">
        <v>1212509</v>
      </c>
      <c r="C3606" s="2">
        <v>46128</v>
      </c>
      <c r="D3606" t="s">
        <v>17</v>
      </c>
      <c r="E3606" t="s">
        <v>8</v>
      </c>
      <c r="G3606" t="s">
        <v>9</v>
      </c>
      <c r="L3606">
        <f t="shared" si="282"/>
        <v>0</v>
      </c>
      <c r="M3606">
        <f t="shared" si="283"/>
        <v>0</v>
      </c>
      <c r="N3606">
        <f t="shared" si="284"/>
        <v>0</v>
      </c>
      <c r="O3606">
        <f t="shared" si="285"/>
        <v>1</v>
      </c>
      <c r="P3606" t="str">
        <f t="shared" si="286"/>
        <v/>
      </c>
      <c r="Q3606">
        <f>COUNTIF('責任職　企業局→市長部局'!A:A,SQLデータ!B3606)</f>
        <v>0</v>
      </c>
      <c r="R3606">
        <f>COUNTIF('一般職員　企業局→市長部局'!A:F,SQLデータ!B3606)</f>
        <v>0</v>
      </c>
    </row>
    <row r="3607" spans="1:18" x14ac:dyDescent="0.4">
      <c r="A3607" s="1">
        <v>202650003551</v>
      </c>
      <c r="B3607" s="1">
        <v>890855</v>
      </c>
      <c r="C3607" s="2">
        <v>46128</v>
      </c>
      <c r="D3607" t="s">
        <v>17</v>
      </c>
      <c r="E3607" t="s">
        <v>8</v>
      </c>
      <c r="G3607" t="s">
        <v>9</v>
      </c>
      <c r="L3607">
        <f t="shared" si="282"/>
        <v>0</v>
      </c>
      <c r="M3607">
        <f t="shared" si="283"/>
        <v>0</v>
      </c>
      <c r="N3607">
        <f t="shared" si="284"/>
        <v>0</v>
      </c>
      <c r="O3607">
        <f t="shared" si="285"/>
        <v>1</v>
      </c>
      <c r="P3607" t="str">
        <f t="shared" si="286"/>
        <v/>
      </c>
      <c r="Q3607">
        <f>COUNTIF('責任職　企業局→市長部局'!A:A,SQLデータ!B3607)</f>
        <v>0</v>
      </c>
      <c r="R3607">
        <f>COUNTIF('一般職員　企業局→市長部局'!A:F,SQLデータ!B3607)</f>
        <v>0</v>
      </c>
    </row>
    <row r="3608" spans="1:18" x14ac:dyDescent="0.4">
      <c r="A3608" s="1">
        <v>202650003553</v>
      </c>
      <c r="B3608" s="1">
        <v>1173028</v>
      </c>
      <c r="C3608" s="2">
        <v>46128</v>
      </c>
      <c r="D3608" t="s">
        <v>17</v>
      </c>
      <c r="E3608" t="s">
        <v>8</v>
      </c>
      <c r="G3608" t="s">
        <v>9</v>
      </c>
      <c r="L3608">
        <f t="shared" si="282"/>
        <v>0</v>
      </c>
      <c r="M3608">
        <f t="shared" si="283"/>
        <v>0</v>
      </c>
      <c r="N3608">
        <f t="shared" si="284"/>
        <v>0</v>
      </c>
      <c r="O3608">
        <f t="shared" si="285"/>
        <v>1</v>
      </c>
      <c r="P3608" t="str">
        <f t="shared" si="286"/>
        <v/>
      </c>
      <c r="Q3608">
        <f>COUNTIF('責任職　企業局→市長部局'!A:A,SQLデータ!B3608)</f>
        <v>0</v>
      </c>
      <c r="R3608">
        <f>COUNTIF('一般職員　企業局→市長部局'!A:F,SQLデータ!B3608)</f>
        <v>0</v>
      </c>
    </row>
    <row r="3609" spans="1:18" x14ac:dyDescent="0.4">
      <c r="A3609" s="1">
        <v>202650003554</v>
      </c>
      <c r="B3609" s="1">
        <v>1171071</v>
      </c>
      <c r="C3609" s="2">
        <v>46128</v>
      </c>
      <c r="D3609" t="s">
        <v>17</v>
      </c>
      <c r="E3609" t="s">
        <v>8</v>
      </c>
      <c r="G3609" t="s">
        <v>9</v>
      </c>
      <c r="L3609">
        <f t="shared" si="282"/>
        <v>0</v>
      </c>
      <c r="M3609">
        <f t="shared" si="283"/>
        <v>0</v>
      </c>
      <c r="N3609">
        <f t="shared" si="284"/>
        <v>0</v>
      </c>
      <c r="O3609">
        <f t="shared" si="285"/>
        <v>1</v>
      </c>
      <c r="P3609" t="str">
        <f t="shared" si="286"/>
        <v/>
      </c>
      <c r="Q3609">
        <f>COUNTIF('責任職　企業局→市長部局'!A:A,SQLデータ!B3609)</f>
        <v>0</v>
      </c>
      <c r="R3609">
        <f>COUNTIF('一般職員　企業局→市長部局'!A:F,SQLデータ!B3609)</f>
        <v>0</v>
      </c>
    </row>
    <row r="3610" spans="1:18" x14ac:dyDescent="0.4">
      <c r="A3610" s="1">
        <v>202650003555</v>
      </c>
      <c r="B3610" s="1">
        <v>920314</v>
      </c>
      <c r="C3610" s="2">
        <v>46128</v>
      </c>
      <c r="D3610" t="s">
        <v>17</v>
      </c>
      <c r="E3610" t="s">
        <v>8</v>
      </c>
      <c r="G3610" t="s">
        <v>9</v>
      </c>
      <c r="L3610">
        <f t="shared" si="282"/>
        <v>0</v>
      </c>
      <c r="M3610">
        <f t="shared" si="283"/>
        <v>0</v>
      </c>
      <c r="N3610">
        <f t="shared" si="284"/>
        <v>0</v>
      </c>
      <c r="O3610">
        <f t="shared" si="285"/>
        <v>1</v>
      </c>
      <c r="P3610" t="str">
        <f t="shared" si="286"/>
        <v/>
      </c>
      <c r="Q3610">
        <f>COUNTIF('責任職　企業局→市長部局'!A:A,SQLデータ!B3610)</f>
        <v>0</v>
      </c>
      <c r="R3610">
        <f>COUNTIF('一般職員　企業局→市長部局'!A:F,SQLデータ!B3610)</f>
        <v>0</v>
      </c>
    </row>
    <row r="3611" spans="1:18" x14ac:dyDescent="0.4">
      <c r="A3611" s="1">
        <v>202650003556</v>
      </c>
      <c r="B3611" s="1">
        <v>920596</v>
      </c>
      <c r="C3611" s="2">
        <v>46128</v>
      </c>
      <c r="D3611" t="s">
        <v>17</v>
      </c>
      <c r="E3611" t="s">
        <v>8</v>
      </c>
      <c r="G3611" t="s">
        <v>9</v>
      </c>
      <c r="L3611">
        <f t="shared" si="282"/>
        <v>0</v>
      </c>
      <c r="M3611">
        <f t="shared" si="283"/>
        <v>0</v>
      </c>
      <c r="N3611">
        <f t="shared" si="284"/>
        <v>0</v>
      </c>
      <c r="O3611">
        <f t="shared" si="285"/>
        <v>1</v>
      </c>
      <c r="P3611" t="str">
        <f t="shared" si="286"/>
        <v/>
      </c>
      <c r="Q3611">
        <f>COUNTIF('責任職　企業局→市長部局'!A:A,SQLデータ!B3611)</f>
        <v>0</v>
      </c>
      <c r="R3611">
        <f>COUNTIF('一般職員　企業局→市長部局'!A:F,SQLデータ!B3611)</f>
        <v>0</v>
      </c>
    </row>
    <row r="3612" spans="1:18" x14ac:dyDescent="0.4">
      <c r="A3612" s="1">
        <v>202650003557</v>
      </c>
      <c r="B3612" s="1">
        <v>1222046</v>
      </c>
      <c r="C3612" s="2">
        <v>46128</v>
      </c>
      <c r="D3612" t="s">
        <v>17</v>
      </c>
      <c r="E3612" t="s">
        <v>8</v>
      </c>
      <c r="G3612" t="s">
        <v>9</v>
      </c>
      <c r="L3612">
        <f t="shared" si="282"/>
        <v>0</v>
      </c>
      <c r="M3612">
        <f t="shared" si="283"/>
        <v>0</v>
      </c>
      <c r="N3612">
        <f t="shared" si="284"/>
        <v>0</v>
      </c>
      <c r="O3612">
        <f t="shared" si="285"/>
        <v>1</v>
      </c>
      <c r="P3612" t="str">
        <f t="shared" si="286"/>
        <v/>
      </c>
      <c r="Q3612">
        <f>COUNTIF('責任職　企業局→市長部局'!A:A,SQLデータ!B3612)</f>
        <v>0</v>
      </c>
      <c r="R3612">
        <f>COUNTIF('一般職員　企業局→市長部局'!A:F,SQLデータ!B3612)</f>
        <v>0</v>
      </c>
    </row>
    <row r="3613" spans="1:18" x14ac:dyDescent="0.4">
      <c r="A3613" s="1">
        <v>202650003558</v>
      </c>
      <c r="B3613" s="1">
        <v>1071277</v>
      </c>
      <c r="C3613" s="2">
        <v>46128</v>
      </c>
      <c r="D3613" t="s">
        <v>17</v>
      </c>
      <c r="E3613" t="s">
        <v>8</v>
      </c>
      <c r="G3613" t="s">
        <v>9</v>
      </c>
      <c r="L3613">
        <f t="shared" si="282"/>
        <v>0</v>
      </c>
      <c r="M3613">
        <f t="shared" si="283"/>
        <v>0</v>
      </c>
      <c r="N3613">
        <f t="shared" si="284"/>
        <v>0</v>
      </c>
      <c r="O3613">
        <f t="shared" si="285"/>
        <v>1</v>
      </c>
      <c r="P3613" t="str">
        <f t="shared" si="286"/>
        <v/>
      </c>
      <c r="Q3613">
        <f>COUNTIF('責任職　企業局→市長部局'!A:A,SQLデータ!B3613)</f>
        <v>0</v>
      </c>
      <c r="R3613">
        <f>COUNTIF('一般職員　企業局→市長部局'!A:F,SQLデータ!B3613)</f>
        <v>0</v>
      </c>
    </row>
    <row r="3614" spans="1:18" x14ac:dyDescent="0.4">
      <c r="A3614" s="1">
        <v>202650003559</v>
      </c>
      <c r="B3614" s="1">
        <v>1191183</v>
      </c>
      <c r="C3614" s="2">
        <v>46128</v>
      </c>
      <c r="D3614" t="s">
        <v>17</v>
      </c>
      <c r="E3614" t="s">
        <v>8</v>
      </c>
      <c r="G3614" t="s">
        <v>9</v>
      </c>
      <c r="L3614">
        <f t="shared" si="282"/>
        <v>0</v>
      </c>
      <c r="M3614">
        <f t="shared" si="283"/>
        <v>0</v>
      </c>
      <c r="N3614">
        <f t="shared" si="284"/>
        <v>0</v>
      </c>
      <c r="O3614">
        <f t="shared" si="285"/>
        <v>1</v>
      </c>
      <c r="P3614" t="str">
        <f t="shared" si="286"/>
        <v/>
      </c>
      <c r="Q3614">
        <f>COUNTIF('責任職　企業局→市長部局'!A:A,SQLデータ!B3614)</f>
        <v>0</v>
      </c>
      <c r="R3614">
        <f>COUNTIF('一般職員　企業局→市長部局'!A:F,SQLデータ!B3614)</f>
        <v>0</v>
      </c>
    </row>
    <row r="3615" spans="1:18" x14ac:dyDescent="0.4">
      <c r="A3615" s="1">
        <v>202650003560</v>
      </c>
      <c r="B3615" s="1">
        <v>1221098</v>
      </c>
      <c r="C3615" s="2">
        <v>46128</v>
      </c>
      <c r="D3615" t="s">
        <v>17</v>
      </c>
      <c r="E3615" t="s">
        <v>8</v>
      </c>
      <c r="G3615" t="s">
        <v>9</v>
      </c>
      <c r="L3615">
        <f t="shared" si="282"/>
        <v>0</v>
      </c>
      <c r="M3615">
        <f t="shared" si="283"/>
        <v>0</v>
      </c>
      <c r="N3615">
        <f t="shared" si="284"/>
        <v>0</v>
      </c>
      <c r="O3615">
        <f t="shared" si="285"/>
        <v>1</v>
      </c>
      <c r="P3615" t="str">
        <f t="shared" si="286"/>
        <v/>
      </c>
      <c r="Q3615">
        <f>COUNTIF('責任職　企業局→市長部局'!A:A,SQLデータ!B3615)</f>
        <v>0</v>
      </c>
      <c r="R3615">
        <f>COUNTIF('一般職員　企業局→市長部局'!A:F,SQLデータ!B3615)</f>
        <v>0</v>
      </c>
    </row>
    <row r="3616" spans="1:18" x14ac:dyDescent="0.4">
      <c r="A3616" s="1">
        <v>202650003562</v>
      </c>
      <c r="B3616" s="1">
        <v>1181454</v>
      </c>
      <c r="C3616" s="2">
        <v>46128</v>
      </c>
      <c r="D3616" t="s">
        <v>17</v>
      </c>
      <c r="E3616" t="s">
        <v>8</v>
      </c>
      <c r="G3616" t="s">
        <v>9</v>
      </c>
      <c r="L3616">
        <f t="shared" si="282"/>
        <v>0</v>
      </c>
      <c r="M3616">
        <f t="shared" si="283"/>
        <v>0</v>
      </c>
      <c r="N3616">
        <f t="shared" si="284"/>
        <v>0</v>
      </c>
      <c r="O3616">
        <f t="shared" si="285"/>
        <v>1</v>
      </c>
      <c r="P3616" t="str">
        <f t="shared" si="286"/>
        <v/>
      </c>
      <c r="Q3616">
        <f>COUNTIF('責任職　企業局→市長部局'!A:A,SQLデータ!B3616)</f>
        <v>0</v>
      </c>
      <c r="R3616">
        <f>COUNTIF('一般職員　企業局→市長部局'!A:F,SQLデータ!B3616)</f>
        <v>0</v>
      </c>
    </row>
    <row r="3617" spans="1:18" x14ac:dyDescent="0.4">
      <c r="A3617" s="1">
        <v>202650003563</v>
      </c>
      <c r="B3617" s="1">
        <v>1133040</v>
      </c>
      <c r="C3617" s="2">
        <v>46128</v>
      </c>
      <c r="D3617" t="s">
        <v>17</v>
      </c>
      <c r="E3617" t="s">
        <v>8</v>
      </c>
      <c r="G3617" t="s">
        <v>9</v>
      </c>
      <c r="L3617">
        <f t="shared" si="282"/>
        <v>0</v>
      </c>
      <c r="M3617">
        <f t="shared" si="283"/>
        <v>0</v>
      </c>
      <c r="N3617">
        <f t="shared" si="284"/>
        <v>0</v>
      </c>
      <c r="O3617">
        <f t="shared" si="285"/>
        <v>1</v>
      </c>
      <c r="P3617" t="str">
        <f t="shared" si="286"/>
        <v/>
      </c>
      <c r="Q3617">
        <f>COUNTIF('責任職　企業局→市長部局'!A:A,SQLデータ!B3617)</f>
        <v>0</v>
      </c>
      <c r="R3617">
        <f>COUNTIF('一般職員　企業局→市長部局'!A:F,SQLデータ!B3617)</f>
        <v>0</v>
      </c>
    </row>
    <row r="3618" spans="1:18" x14ac:dyDescent="0.4">
      <c r="A3618" s="1">
        <v>202650003564</v>
      </c>
      <c r="B3618" s="1">
        <v>1221219</v>
      </c>
      <c r="C3618" s="2">
        <v>46128</v>
      </c>
      <c r="D3618" t="s">
        <v>17</v>
      </c>
      <c r="E3618" t="s">
        <v>8</v>
      </c>
      <c r="G3618" t="s">
        <v>9</v>
      </c>
      <c r="L3618">
        <f t="shared" ref="L3618:L3681" si="287">IF(ISBLANK(J3618),0,1)</f>
        <v>0</v>
      </c>
      <c r="M3618">
        <f t="shared" ref="M3618:M3681" si="288">IF(AND(L3618=0,I3618&lt;&gt;""),1,0)</f>
        <v>0</v>
      </c>
      <c r="N3618">
        <f t="shared" ref="N3618:N3681" si="289">IF(AND(L3618=0,M3618=0,K3618&lt;&gt;""),1,0)</f>
        <v>0</v>
      </c>
      <c r="O3618">
        <f t="shared" ref="O3618:O3681" si="290">IF(COUNTIF(L3618:N3618,0)=3,1,0)</f>
        <v>1</v>
      </c>
      <c r="P3618" t="str">
        <f t="shared" ref="P3618:P3681" si="291">IF(D3618&lt;&gt;"扶養","",IF(E3618&lt;&gt;"確認待ち",1,IF(OR(AND(G3618="本人の結婚",O3618=1),AND(H3618="減",OR(N3618=1,O3618=1))),1,0)))</f>
        <v/>
      </c>
      <c r="Q3618">
        <f>COUNTIF('責任職　企業局→市長部局'!A:A,SQLデータ!B3618)</f>
        <v>0</v>
      </c>
      <c r="R3618">
        <f>COUNTIF('一般職員　企業局→市長部局'!A:F,SQLデータ!B3618)</f>
        <v>0</v>
      </c>
    </row>
    <row r="3619" spans="1:18" x14ac:dyDescent="0.4">
      <c r="A3619" s="1">
        <v>202650003566</v>
      </c>
      <c r="B3619" s="1">
        <v>1191028</v>
      </c>
      <c r="C3619" s="2">
        <v>46128</v>
      </c>
      <c r="D3619" t="s">
        <v>17</v>
      </c>
      <c r="E3619" t="s">
        <v>8</v>
      </c>
      <c r="G3619" t="s">
        <v>9</v>
      </c>
      <c r="L3619">
        <f t="shared" si="287"/>
        <v>0</v>
      </c>
      <c r="M3619">
        <f t="shared" si="288"/>
        <v>0</v>
      </c>
      <c r="N3619">
        <f t="shared" si="289"/>
        <v>0</v>
      </c>
      <c r="O3619">
        <f t="shared" si="290"/>
        <v>1</v>
      </c>
      <c r="P3619" t="str">
        <f t="shared" si="291"/>
        <v/>
      </c>
      <c r="Q3619">
        <f>COUNTIF('責任職　企業局→市長部局'!A:A,SQLデータ!B3619)</f>
        <v>0</v>
      </c>
      <c r="R3619">
        <f>COUNTIF('一般職員　企業局→市長部局'!A:F,SQLデータ!B3619)</f>
        <v>0</v>
      </c>
    </row>
    <row r="3620" spans="1:18" x14ac:dyDescent="0.4">
      <c r="A3620" s="1">
        <v>202650003567</v>
      </c>
      <c r="B3620" s="1">
        <v>890357</v>
      </c>
      <c r="C3620" s="2">
        <v>46128</v>
      </c>
      <c r="D3620" t="s">
        <v>17</v>
      </c>
      <c r="E3620" t="s">
        <v>8</v>
      </c>
      <c r="G3620" t="s">
        <v>9</v>
      </c>
      <c r="L3620">
        <f t="shared" si="287"/>
        <v>0</v>
      </c>
      <c r="M3620">
        <f t="shared" si="288"/>
        <v>0</v>
      </c>
      <c r="N3620">
        <f t="shared" si="289"/>
        <v>0</v>
      </c>
      <c r="O3620">
        <f t="shared" si="290"/>
        <v>1</v>
      </c>
      <c r="P3620" t="str">
        <f t="shared" si="291"/>
        <v/>
      </c>
      <c r="Q3620">
        <f>COUNTIF('責任職　企業局→市長部局'!A:A,SQLデータ!B3620)</f>
        <v>0</v>
      </c>
      <c r="R3620">
        <f>COUNTIF('一般職員　企業局→市長部局'!A:F,SQLデータ!B3620)</f>
        <v>0</v>
      </c>
    </row>
    <row r="3621" spans="1:18" x14ac:dyDescent="0.4">
      <c r="A3621" s="1">
        <v>202650003568</v>
      </c>
      <c r="B3621" s="1">
        <v>900670</v>
      </c>
      <c r="C3621" s="2">
        <v>46128</v>
      </c>
      <c r="D3621" t="s">
        <v>17</v>
      </c>
      <c r="E3621" t="s">
        <v>8</v>
      </c>
      <c r="G3621" t="s">
        <v>9</v>
      </c>
      <c r="L3621">
        <f t="shared" si="287"/>
        <v>0</v>
      </c>
      <c r="M3621">
        <f t="shared" si="288"/>
        <v>0</v>
      </c>
      <c r="N3621">
        <f t="shared" si="289"/>
        <v>0</v>
      </c>
      <c r="O3621">
        <f t="shared" si="290"/>
        <v>1</v>
      </c>
      <c r="P3621" t="str">
        <f t="shared" si="291"/>
        <v/>
      </c>
      <c r="Q3621">
        <f>COUNTIF('責任職　企業局→市長部局'!A:A,SQLデータ!B3621)</f>
        <v>0</v>
      </c>
      <c r="R3621">
        <f>COUNTIF('一般職員　企業局→市長部局'!A:F,SQLデータ!B3621)</f>
        <v>0</v>
      </c>
    </row>
    <row r="3622" spans="1:18" x14ac:dyDescent="0.4">
      <c r="A3622" s="1">
        <v>202650003569</v>
      </c>
      <c r="B3622" s="1">
        <v>1221373</v>
      </c>
      <c r="C3622" s="2">
        <v>46128</v>
      </c>
      <c r="D3622" t="s">
        <v>17</v>
      </c>
      <c r="E3622" t="s">
        <v>8</v>
      </c>
      <c r="G3622" t="s">
        <v>9</v>
      </c>
      <c r="L3622">
        <f t="shared" si="287"/>
        <v>0</v>
      </c>
      <c r="M3622">
        <f t="shared" si="288"/>
        <v>0</v>
      </c>
      <c r="N3622">
        <f t="shared" si="289"/>
        <v>0</v>
      </c>
      <c r="O3622">
        <f t="shared" si="290"/>
        <v>1</v>
      </c>
      <c r="P3622" t="str">
        <f t="shared" si="291"/>
        <v/>
      </c>
      <c r="Q3622">
        <f>COUNTIF('責任職　企業局→市長部局'!A:A,SQLデータ!B3622)</f>
        <v>0</v>
      </c>
      <c r="R3622">
        <f>COUNTIF('一般職員　企業局→市長部局'!A:F,SQLデータ!B3622)</f>
        <v>0</v>
      </c>
    </row>
    <row r="3623" spans="1:18" x14ac:dyDescent="0.4">
      <c r="A3623" s="1">
        <v>202650003570</v>
      </c>
      <c r="B3623" s="1">
        <v>1221083</v>
      </c>
      <c r="C3623" s="2">
        <v>46128</v>
      </c>
      <c r="D3623" t="s">
        <v>17</v>
      </c>
      <c r="E3623" t="s">
        <v>8</v>
      </c>
      <c r="G3623" t="s">
        <v>9</v>
      </c>
      <c r="L3623">
        <f t="shared" si="287"/>
        <v>0</v>
      </c>
      <c r="M3623">
        <f t="shared" si="288"/>
        <v>0</v>
      </c>
      <c r="N3623">
        <f t="shared" si="289"/>
        <v>0</v>
      </c>
      <c r="O3623">
        <f t="shared" si="290"/>
        <v>1</v>
      </c>
      <c r="P3623" t="str">
        <f t="shared" si="291"/>
        <v/>
      </c>
      <c r="Q3623">
        <f>COUNTIF('責任職　企業局→市長部局'!A:A,SQLデータ!B3623)</f>
        <v>0</v>
      </c>
      <c r="R3623">
        <f>COUNTIF('一般職員　企業局→市長部局'!A:F,SQLデータ!B3623)</f>
        <v>0</v>
      </c>
    </row>
    <row r="3624" spans="1:18" x14ac:dyDescent="0.4">
      <c r="A3624" s="1">
        <v>202650003571</v>
      </c>
      <c r="B3624" s="1">
        <v>1161280</v>
      </c>
      <c r="C3624" s="2">
        <v>46128</v>
      </c>
      <c r="D3624" t="s">
        <v>17</v>
      </c>
      <c r="E3624" t="s">
        <v>8</v>
      </c>
      <c r="G3624" t="s">
        <v>9</v>
      </c>
      <c r="L3624">
        <f t="shared" si="287"/>
        <v>0</v>
      </c>
      <c r="M3624">
        <f t="shared" si="288"/>
        <v>0</v>
      </c>
      <c r="N3624">
        <f t="shared" si="289"/>
        <v>0</v>
      </c>
      <c r="O3624">
        <f t="shared" si="290"/>
        <v>1</v>
      </c>
      <c r="P3624" t="str">
        <f t="shared" si="291"/>
        <v/>
      </c>
      <c r="Q3624">
        <f>COUNTIF('責任職　企業局→市長部局'!A:A,SQLデータ!B3624)</f>
        <v>0</v>
      </c>
      <c r="R3624">
        <f>COUNTIF('一般職員　企業局→市長部局'!A:F,SQLデータ!B3624)</f>
        <v>0</v>
      </c>
    </row>
    <row r="3625" spans="1:18" x14ac:dyDescent="0.4">
      <c r="A3625" s="1">
        <v>202650003572</v>
      </c>
      <c r="B3625" s="1">
        <v>1211315</v>
      </c>
      <c r="C3625" s="2">
        <v>46128</v>
      </c>
      <c r="D3625" t="s">
        <v>17</v>
      </c>
      <c r="E3625" t="s">
        <v>8</v>
      </c>
      <c r="G3625" t="s">
        <v>9</v>
      </c>
      <c r="L3625">
        <f t="shared" si="287"/>
        <v>0</v>
      </c>
      <c r="M3625">
        <f t="shared" si="288"/>
        <v>0</v>
      </c>
      <c r="N3625">
        <f t="shared" si="289"/>
        <v>0</v>
      </c>
      <c r="O3625">
        <f t="shared" si="290"/>
        <v>1</v>
      </c>
      <c r="P3625" t="str">
        <f t="shared" si="291"/>
        <v/>
      </c>
      <c r="Q3625">
        <f>COUNTIF('責任職　企業局→市長部局'!A:A,SQLデータ!B3625)</f>
        <v>0</v>
      </c>
      <c r="R3625">
        <f>COUNTIF('一般職員　企業局→市長部局'!A:F,SQLデータ!B3625)</f>
        <v>0</v>
      </c>
    </row>
    <row r="3626" spans="1:18" x14ac:dyDescent="0.4">
      <c r="A3626" s="1">
        <v>202650003573</v>
      </c>
      <c r="B3626" s="1">
        <v>940410</v>
      </c>
      <c r="C3626" s="2">
        <v>46128</v>
      </c>
      <c r="D3626" t="s">
        <v>17</v>
      </c>
      <c r="E3626" t="s">
        <v>8</v>
      </c>
      <c r="G3626" t="s">
        <v>9</v>
      </c>
      <c r="L3626">
        <f t="shared" si="287"/>
        <v>0</v>
      </c>
      <c r="M3626">
        <f t="shared" si="288"/>
        <v>0</v>
      </c>
      <c r="N3626">
        <f t="shared" si="289"/>
        <v>0</v>
      </c>
      <c r="O3626">
        <f t="shared" si="290"/>
        <v>1</v>
      </c>
      <c r="P3626" t="str">
        <f t="shared" si="291"/>
        <v/>
      </c>
      <c r="Q3626">
        <f>COUNTIF('責任職　企業局→市長部局'!A:A,SQLデータ!B3626)</f>
        <v>0</v>
      </c>
      <c r="R3626">
        <f>COUNTIF('一般職員　企業局→市長部局'!A:F,SQLデータ!B3626)</f>
        <v>0</v>
      </c>
    </row>
    <row r="3627" spans="1:18" x14ac:dyDescent="0.4">
      <c r="A3627" s="1">
        <v>202650003574</v>
      </c>
      <c r="B3627" s="1">
        <v>910456</v>
      </c>
      <c r="C3627" s="2">
        <v>46128</v>
      </c>
      <c r="D3627" t="s">
        <v>17</v>
      </c>
      <c r="E3627" t="s">
        <v>8</v>
      </c>
      <c r="G3627" t="s">
        <v>9</v>
      </c>
      <c r="L3627">
        <f t="shared" si="287"/>
        <v>0</v>
      </c>
      <c r="M3627">
        <f t="shared" si="288"/>
        <v>0</v>
      </c>
      <c r="N3627">
        <f t="shared" si="289"/>
        <v>0</v>
      </c>
      <c r="O3627">
        <f t="shared" si="290"/>
        <v>1</v>
      </c>
      <c r="P3627" t="str">
        <f t="shared" si="291"/>
        <v/>
      </c>
      <c r="Q3627">
        <f>COUNTIF('責任職　企業局→市長部局'!A:A,SQLデータ!B3627)</f>
        <v>0</v>
      </c>
      <c r="R3627">
        <f>COUNTIF('一般職員　企業局→市長部局'!A:F,SQLデータ!B3627)</f>
        <v>0</v>
      </c>
    </row>
    <row r="3628" spans="1:18" x14ac:dyDescent="0.4">
      <c r="A3628" s="1">
        <v>202650003575</v>
      </c>
      <c r="B3628" s="1">
        <v>1091226</v>
      </c>
      <c r="C3628" s="2">
        <v>46128</v>
      </c>
      <c r="D3628" t="s">
        <v>17</v>
      </c>
      <c r="E3628" t="s">
        <v>8</v>
      </c>
      <c r="G3628" t="s">
        <v>9</v>
      </c>
      <c r="L3628">
        <f t="shared" si="287"/>
        <v>0</v>
      </c>
      <c r="M3628">
        <f t="shared" si="288"/>
        <v>0</v>
      </c>
      <c r="N3628">
        <f t="shared" si="289"/>
        <v>0</v>
      </c>
      <c r="O3628">
        <f t="shared" si="290"/>
        <v>1</v>
      </c>
      <c r="P3628" t="str">
        <f t="shared" si="291"/>
        <v/>
      </c>
      <c r="Q3628">
        <f>COUNTIF('責任職　企業局→市長部局'!A:A,SQLデータ!B3628)</f>
        <v>0</v>
      </c>
      <c r="R3628">
        <f>COUNTIF('一般職員　企業局→市長部局'!A:F,SQLデータ!B3628)</f>
        <v>0</v>
      </c>
    </row>
    <row r="3629" spans="1:18" x14ac:dyDescent="0.4">
      <c r="A3629" s="1">
        <v>202650003576</v>
      </c>
      <c r="B3629" s="1">
        <v>991199</v>
      </c>
      <c r="C3629" s="2">
        <v>46128</v>
      </c>
      <c r="D3629" t="s">
        <v>17</v>
      </c>
      <c r="E3629" t="s">
        <v>8</v>
      </c>
      <c r="G3629" t="s">
        <v>9</v>
      </c>
      <c r="L3629">
        <f t="shared" si="287"/>
        <v>0</v>
      </c>
      <c r="M3629">
        <f t="shared" si="288"/>
        <v>0</v>
      </c>
      <c r="N3629">
        <f t="shared" si="289"/>
        <v>0</v>
      </c>
      <c r="O3629">
        <f t="shared" si="290"/>
        <v>1</v>
      </c>
      <c r="P3629" t="str">
        <f t="shared" si="291"/>
        <v/>
      </c>
      <c r="Q3629">
        <f>COUNTIF('責任職　企業局→市長部局'!A:A,SQLデータ!B3629)</f>
        <v>0</v>
      </c>
      <c r="R3629">
        <f>COUNTIF('一般職員　企業局→市長部局'!A:F,SQLデータ!B3629)</f>
        <v>0</v>
      </c>
    </row>
    <row r="3630" spans="1:18" x14ac:dyDescent="0.4">
      <c r="A3630" s="1">
        <v>202650003577</v>
      </c>
      <c r="B3630" s="1">
        <v>1201283</v>
      </c>
      <c r="C3630" s="2">
        <v>46128</v>
      </c>
      <c r="D3630" t="s">
        <v>17</v>
      </c>
      <c r="E3630" t="s">
        <v>8</v>
      </c>
      <c r="G3630" t="s">
        <v>9</v>
      </c>
      <c r="L3630">
        <f t="shared" si="287"/>
        <v>0</v>
      </c>
      <c r="M3630">
        <f t="shared" si="288"/>
        <v>0</v>
      </c>
      <c r="N3630">
        <f t="shared" si="289"/>
        <v>0</v>
      </c>
      <c r="O3630">
        <f t="shared" si="290"/>
        <v>1</v>
      </c>
      <c r="P3630" t="str">
        <f t="shared" si="291"/>
        <v/>
      </c>
      <c r="Q3630">
        <f>COUNTIF('責任職　企業局→市長部局'!A:A,SQLデータ!B3630)</f>
        <v>0</v>
      </c>
      <c r="R3630">
        <f>COUNTIF('一般職員　企業局→市長部局'!A:F,SQLデータ!B3630)</f>
        <v>0</v>
      </c>
    </row>
    <row r="3631" spans="1:18" x14ac:dyDescent="0.4">
      <c r="A3631" s="1">
        <v>202650003578</v>
      </c>
      <c r="B3631" s="1">
        <v>1081452</v>
      </c>
      <c r="C3631" s="2">
        <v>46128</v>
      </c>
      <c r="D3631" t="s">
        <v>17</v>
      </c>
      <c r="E3631" t="s">
        <v>8</v>
      </c>
      <c r="G3631" t="s">
        <v>9</v>
      </c>
      <c r="L3631">
        <f t="shared" si="287"/>
        <v>0</v>
      </c>
      <c r="M3631">
        <f t="shared" si="288"/>
        <v>0</v>
      </c>
      <c r="N3631">
        <f t="shared" si="289"/>
        <v>0</v>
      </c>
      <c r="O3631">
        <f t="shared" si="290"/>
        <v>1</v>
      </c>
      <c r="P3631" t="str">
        <f t="shared" si="291"/>
        <v/>
      </c>
      <c r="Q3631">
        <f>COUNTIF('責任職　企業局→市長部局'!A:A,SQLデータ!B3631)</f>
        <v>0</v>
      </c>
      <c r="R3631">
        <f>COUNTIF('一般職員　企業局→市長部局'!A:F,SQLデータ!B3631)</f>
        <v>0</v>
      </c>
    </row>
    <row r="3632" spans="1:18" x14ac:dyDescent="0.4">
      <c r="A3632" s="1">
        <v>202650003579</v>
      </c>
      <c r="B3632" s="1">
        <v>993017</v>
      </c>
      <c r="C3632" s="2">
        <v>46128</v>
      </c>
      <c r="D3632" t="s">
        <v>17</v>
      </c>
      <c r="E3632" t="s">
        <v>8</v>
      </c>
      <c r="G3632" t="s">
        <v>9</v>
      </c>
      <c r="L3632">
        <f t="shared" si="287"/>
        <v>0</v>
      </c>
      <c r="M3632">
        <f t="shared" si="288"/>
        <v>0</v>
      </c>
      <c r="N3632">
        <f t="shared" si="289"/>
        <v>0</v>
      </c>
      <c r="O3632">
        <f t="shared" si="290"/>
        <v>1</v>
      </c>
      <c r="P3632" t="str">
        <f t="shared" si="291"/>
        <v/>
      </c>
      <c r="Q3632">
        <f>COUNTIF('責任職　企業局→市長部局'!A:A,SQLデータ!B3632)</f>
        <v>0</v>
      </c>
      <c r="R3632">
        <f>COUNTIF('一般職員　企業局→市長部局'!A:F,SQLデータ!B3632)</f>
        <v>0</v>
      </c>
    </row>
    <row r="3633" spans="1:18" x14ac:dyDescent="0.4">
      <c r="A3633" s="1">
        <v>202650003580</v>
      </c>
      <c r="B3633" s="1">
        <v>950390</v>
      </c>
      <c r="C3633" s="2">
        <v>46128</v>
      </c>
      <c r="D3633" t="s">
        <v>17</v>
      </c>
      <c r="E3633" t="s">
        <v>8</v>
      </c>
      <c r="G3633" t="s">
        <v>9</v>
      </c>
      <c r="L3633">
        <f t="shared" si="287"/>
        <v>0</v>
      </c>
      <c r="M3633">
        <f t="shared" si="288"/>
        <v>0</v>
      </c>
      <c r="N3633">
        <f t="shared" si="289"/>
        <v>0</v>
      </c>
      <c r="O3633">
        <f t="shared" si="290"/>
        <v>1</v>
      </c>
      <c r="P3633" t="str">
        <f t="shared" si="291"/>
        <v/>
      </c>
      <c r="Q3633">
        <f>COUNTIF('責任職　企業局→市長部局'!A:A,SQLデータ!B3633)</f>
        <v>0</v>
      </c>
      <c r="R3633">
        <f>COUNTIF('一般職員　企業局→市長部局'!A:F,SQLデータ!B3633)</f>
        <v>0</v>
      </c>
    </row>
    <row r="3634" spans="1:18" x14ac:dyDescent="0.4">
      <c r="A3634" s="1">
        <v>202650003581</v>
      </c>
      <c r="B3634" s="1">
        <v>1222306</v>
      </c>
      <c r="C3634" s="2">
        <v>46128</v>
      </c>
      <c r="D3634" t="s">
        <v>17</v>
      </c>
      <c r="E3634" t="s">
        <v>8</v>
      </c>
      <c r="G3634" t="s">
        <v>9</v>
      </c>
      <c r="L3634">
        <f t="shared" si="287"/>
        <v>0</v>
      </c>
      <c r="M3634">
        <f t="shared" si="288"/>
        <v>0</v>
      </c>
      <c r="N3634">
        <f t="shared" si="289"/>
        <v>0</v>
      </c>
      <c r="O3634">
        <f t="shared" si="290"/>
        <v>1</v>
      </c>
      <c r="P3634" t="str">
        <f t="shared" si="291"/>
        <v/>
      </c>
      <c r="Q3634">
        <f>COUNTIF('責任職　企業局→市長部局'!A:A,SQLデータ!B3634)</f>
        <v>0</v>
      </c>
      <c r="R3634">
        <f>COUNTIF('一般職員　企業局→市長部局'!A:F,SQLデータ!B3634)</f>
        <v>0</v>
      </c>
    </row>
    <row r="3635" spans="1:18" x14ac:dyDescent="0.4">
      <c r="A3635" s="1">
        <v>202650003582</v>
      </c>
      <c r="B3635" s="1">
        <v>960332</v>
      </c>
      <c r="C3635" s="2">
        <v>46128</v>
      </c>
      <c r="D3635" t="s">
        <v>17</v>
      </c>
      <c r="E3635" t="s">
        <v>8</v>
      </c>
      <c r="G3635" t="s">
        <v>9</v>
      </c>
      <c r="L3635">
        <f t="shared" si="287"/>
        <v>0</v>
      </c>
      <c r="M3635">
        <f t="shared" si="288"/>
        <v>0</v>
      </c>
      <c r="N3635">
        <f t="shared" si="289"/>
        <v>0</v>
      </c>
      <c r="O3635">
        <f t="shared" si="290"/>
        <v>1</v>
      </c>
      <c r="P3635" t="str">
        <f t="shared" si="291"/>
        <v/>
      </c>
      <c r="Q3635">
        <f>COUNTIF('責任職　企業局→市長部局'!A:A,SQLデータ!B3635)</f>
        <v>0</v>
      </c>
      <c r="R3635">
        <f>COUNTIF('一般職員　企業局→市長部局'!A:F,SQLデータ!B3635)</f>
        <v>0</v>
      </c>
    </row>
    <row r="3636" spans="1:18" x14ac:dyDescent="0.4">
      <c r="A3636" s="1">
        <v>202650003583</v>
      </c>
      <c r="B3636" s="1">
        <v>1231063</v>
      </c>
      <c r="C3636" s="2">
        <v>46128</v>
      </c>
      <c r="D3636" t="s">
        <v>17</v>
      </c>
      <c r="E3636" t="s">
        <v>8</v>
      </c>
      <c r="G3636" t="s">
        <v>9</v>
      </c>
      <c r="L3636">
        <f t="shared" si="287"/>
        <v>0</v>
      </c>
      <c r="M3636">
        <f t="shared" si="288"/>
        <v>0</v>
      </c>
      <c r="N3636">
        <f t="shared" si="289"/>
        <v>0</v>
      </c>
      <c r="O3636">
        <f t="shared" si="290"/>
        <v>1</v>
      </c>
      <c r="P3636" t="str">
        <f t="shared" si="291"/>
        <v/>
      </c>
      <c r="Q3636">
        <f>COUNTIF('責任職　企業局→市長部局'!A:A,SQLデータ!B3636)</f>
        <v>0</v>
      </c>
      <c r="R3636">
        <f>COUNTIF('一般職員　企業局→市長部局'!A:F,SQLデータ!B3636)</f>
        <v>0</v>
      </c>
    </row>
    <row r="3637" spans="1:18" x14ac:dyDescent="0.4">
      <c r="A3637" s="1">
        <v>202650003584</v>
      </c>
      <c r="B3637" s="1">
        <v>1233003</v>
      </c>
      <c r="C3637" s="2">
        <v>46128</v>
      </c>
      <c r="D3637" t="s">
        <v>17</v>
      </c>
      <c r="E3637" t="s">
        <v>8</v>
      </c>
      <c r="G3637" t="s">
        <v>9</v>
      </c>
      <c r="L3637">
        <f t="shared" si="287"/>
        <v>0</v>
      </c>
      <c r="M3637">
        <f t="shared" si="288"/>
        <v>0</v>
      </c>
      <c r="N3637">
        <f t="shared" si="289"/>
        <v>0</v>
      </c>
      <c r="O3637">
        <f t="shared" si="290"/>
        <v>1</v>
      </c>
      <c r="P3637" t="str">
        <f t="shared" si="291"/>
        <v/>
      </c>
      <c r="Q3637">
        <f>COUNTIF('責任職　企業局→市長部局'!A:A,SQLデータ!B3637)</f>
        <v>0</v>
      </c>
      <c r="R3637">
        <f>COUNTIF('一般職員　企業局→市長部局'!A:F,SQLデータ!B3637)</f>
        <v>0</v>
      </c>
    </row>
    <row r="3638" spans="1:18" x14ac:dyDescent="0.4">
      <c r="A3638" s="1">
        <v>202650003585</v>
      </c>
      <c r="B3638" s="1">
        <v>1111217</v>
      </c>
      <c r="C3638" s="2">
        <v>46128</v>
      </c>
      <c r="D3638" t="s">
        <v>17</v>
      </c>
      <c r="E3638" t="s">
        <v>8</v>
      </c>
      <c r="G3638" t="s">
        <v>9</v>
      </c>
      <c r="L3638">
        <f t="shared" si="287"/>
        <v>0</v>
      </c>
      <c r="M3638">
        <f t="shared" si="288"/>
        <v>0</v>
      </c>
      <c r="N3638">
        <f t="shared" si="289"/>
        <v>0</v>
      </c>
      <c r="O3638">
        <f t="shared" si="290"/>
        <v>1</v>
      </c>
      <c r="P3638" t="str">
        <f t="shared" si="291"/>
        <v/>
      </c>
      <c r="Q3638">
        <f>COUNTIF('責任職　企業局→市長部局'!A:A,SQLデータ!B3638)</f>
        <v>0</v>
      </c>
      <c r="R3638">
        <f>COUNTIF('一般職員　企業局→市長部局'!A:F,SQLデータ!B3638)</f>
        <v>0</v>
      </c>
    </row>
    <row r="3639" spans="1:18" x14ac:dyDescent="0.4">
      <c r="A3639" s="1">
        <v>202650003586</v>
      </c>
      <c r="B3639" s="1">
        <v>1241100</v>
      </c>
      <c r="C3639" s="2">
        <v>46128</v>
      </c>
      <c r="D3639" t="s">
        <v>17</v>
      </c>
      <c r="E3639" t="s">
        <v>8</v>
      </c>
      <c r="G3639" t="s">
        <v>9</v>
      </c>
      <c r="L3639">
        <f t="shared" si="287"/>
        <v>0</v>
      </c>
      <c r="M3639">
        <f t="shared" si="288"/>
        <v>0</v>
      </c>
      <c r="N3639">
        <f t="shared" si="289"/>
        <v>0</v>
      </c>
      <c r="O3639">
        <f t="shared" si="290"/>
        <v>1</v>
      </c>
      <c r="P3639" t="str">
        <f t="shared" si="291"/>
        <v/>
      </c>
      <c r="Q3639">
        <f>COUNTIF('責任職　企業局→市長部局'!A:A,SQLデータ!B3639)</f>
        <v>0</v>
      </c>
      <c r="R3639">
        <f>COUNTIF('一般職員　企業局→市長部局'!A:F,SQLデータ!B3639)</f>
        <v>0</v>
      </c>
    </row>
    <row r="3640" spans="1:18" x14ac:dyDescent="0.4">
      <c r="A3640" s="1">
        <v>202650003587</v>
      </c>
      <c r="B3640" s="1">
        <v>1171170</v>
      </c>
      <c r="C3640" s="2">
        <v>46128</v>
      </c>
      <c r="D3640" t="s">
        <v>17</v>
      </c>
      <c r="E3640" t="s">
        <v>8</v>
      </c>
      <c r="G3640" t="s">
        <v>9</v>
      </c>
      <c r="L3640">
        <f t="shared" si="287"/>
        <v>0</v>
      </c>
      <c r="M3640">
        <f t="shared" si="288"/>
        <v>0</v>
      </c>
      <c r="N3640">
        <f t="shared" si="289"/>
        <v>0</v>
      </c>
      <c r="O3640">
        <f t="shared" si="290"/>
        <v>1</v>
      </c>
      <c r="P3640" t="str">
        <f t="shared" si="291"/>
        <v/>
      </c>
      <c r="Q3640">
        <f>COUNTIF('責任職　企業局→市長部局'!A:A,SQLデータ!B3640)</f>
        <v>0</v>
      </c>
      <c r="R3640">
        <f>COUNTIF('一般職員　企業局→市長部局'!A:F,SQLデータ!B3640)</f>
        <v>0</v>
      </c>
    </row>
    <row r="3641" spans="1:18" x14ac:dyDescent="0.4">
      <c r="A3641" s="1">
        <v>202650003588</v>
      </c>
      <c r="B3641" s="1">
        <v>1072026</v>
      </c>
      <c r="C3641" s="2">
        <v>46128</v>
      </c>
      <c r="D3641" t="s">
        <v>17</v>
      </c>
      <c r="E3641" t="s">
        <v>8</v>
      </c>
      <c r="G3641" t="s">
        <v>9</v>
      </c>
      <c r="L3641">
        <f t="shared" si="287"/>
        <v>0</v>
      </c>
      <c r="M3641">
        <f t="shared" si="288"/>
        <v>0</v>
      </c>
      <c r="N3641">
        <f t="shared" si="289"/>
        <v>0</v>
      </c>
      <c r="O3641">
        <f t="shared" si="290"/>
        <v>1</v>
      </c>
      <c r="P3641" t="str">
        <f t="shared" si="291"/>
        <v/>
      </c>
      <c r="Q3641">
        <f>COUNTIF('責任職　企業局→市長部局'!A:A,SQLデータ!B3641)</f>
        <v>0</v>
      </c>
      <c r="R3641">
        <f>COUNTIF('一般職員　企業局→市長部局'!A:F,SQLデータ!B3641)</f>
        <v>0</v>
      </c>
    </row>
    <row r="3642" spans="1:18" x14ac:dyDescent="0.4">
      <c r="A3642" s="1">
        <v>202650003590</v>
      </c>
      <c r="B3642" s="1">
        <v>1212112</v>
      </c>
      <c r="C3642" s="2">
        <v>46128</v>
      </c>
      <c r="D3642" t="s">
        <v>17</v>
      </c>
      <c r="E3642" t="s">
        <v>8</v>
      </c>
      <c r="G3642" t="s">
        <v>9</v>
      </c>
      <c r="L3642">
        <f t="shared" si="287"/>
        <v>0</v>
      </c>
      <c r="M3642">
        <f t="shared" si="288"/>
        <v>0</v>
      </c>
      <c r="N3642">
        <f t="shared" si="289"/>
        <v>0</v>
      </c>
      <c r="O3642">
        <f t="shared" si="290"/>
        <v>1</v>
      </c>
      <c r="P3642" t="str">
        <f t="shared" si="291"/>
        <v/>
      </c>
      <c r="Q3642">
        <f>COUNTIF('責任職　企業局→市長部局'!A:A,SQLデータ!B3642)</f>
        <v>0</v>
      </c>
      <c r="R3642">
        <f>COUNTIF('一般職員　企業局→市長部局'!A:F,SQLデータ!B3642)</f>
        <v>0</v>
      </c>
    </row>
    <row r="3643" spans="1:18" x14ac:dyDescent="0.4">
      <c r="A3643" s="1">
        <v>202650003591</v>
      </c>
      <c r="B3643" s="1">
        <v>1161245</v>
      </c>
      <c r="C3643" s="2">
        <v>46128</v>
      </c>
      <c r="D3643" t="s">
        <v>17</v>
      </c>
      <c r="E3643" t="s">
        <v>8</v>
      </c>
      <c r="G3643" t="s">
        <v>9</v>
      </c>
      <c r="L3643">
        <f t="shared" si="287"/>
        <v>0</v>
      </c>
      <c r="M3643">
        <f t="shared" si="288"/>
        <v>0</v>
      </c>
      <c r="N3643">
        <f t="shared" si="289"/>
        <v>0</v>
      </c>
      <c r="O3643">
        <f t="shared" si="290"/>
        <v>1</v>
      </c>
      <c r="P3643" t="str">
        <f t="shared" si="291"/>
        <v/>
      </c>
      <c r="Q3643">
        <f>COUNTIF('責任職　企業局→市長部局'!A:A,SQLデータ!B3643)</f>
        <v>0</v>
      </c>
      <c r="R3643">
        <f>COUNTIF('一般職員　企業局→市長部局'!A:F,SQLデータ!B3643)</f>
        <v>0</v>
      </c>
    </row>
    <row r="3644" spans="1:18" x14ac:dyDescent="0.4">
      <c r="A3644" s="1">
        <v>202650003592</v>
      </c>
      <c r="B3644" s="1">
        <v>1121258</v>
      </c>
      <c r="C3644" s="2">
        <v>46128</v>
      </c>
      <c r="D3644" t="s">
        <v>17</v>
      </c>
      <c r="E3644" t="s">
        <v>8</v>
      </c>
      <c r="G3644" t="s">
        <v>9</v>
      </c>
      <c r="L3644">
        <f t="shared" si="287"/>
        <v>0</v>
      </c>
      <c r="M3644">
        <f t="shared" si="288"/>
        <v>0</v>
      </c>
      <c r="N3644">
        <f t="shared" si="289"/>
        <v>0</v>
      </c>
      <c r="O3644">
        <f t="shared" si="290"/>
        <v>1</v>
      </c>
      <c r="P3644" t="str">
        <f t="shared" si="291"/>
        <v/>
      </c>
      <c r="Q3644">
        <f>COUNTIF('責任職　企業局→市長部局'!A:A,SQLデータ!B3644)</f>
        <v>0</v>
      </c>
      <c r="R3644">
        <f>COUNTIF('一般職員　企業局→市長部局'!A:F,SQLデータ!B3644)</f>
        <v>0</v>
      </c>
    </row>
    <row r="3645" spans="1:18" x14ac:dyDescent="0.4">
      <c r="A3645" s="1">
        <v>202650003593</v>
      </c>
      <c r="B3645" s="1">
        <v>1163017</v>
      </c>
      <c r="C3645" s="2">
        <v>46128</v>
      </c>
      <c r="D3645" t="s">
        <v>17</v>
      </c>
      <c r="E3645" t="s">
        <v>8</v>
      </c>
      <c r="G3645" t="s">
        <v>9</v>
      </c>
      <c r="L3645">
        <f t="shared" si="287"/>
        <v>0</v>
      </c>
      <c r="M3645">
        <f t="shared" si="288"/>
        <v>0</v>
      </c>
      <c r="N3645">
        <f t="shared" si="289"/>
        <v>0</v>
      </c>
      <c r="O3645">
        <f t="shared" si="290"/>
        <v>1</v>
      </c>
      <c r="P3645" t="str">
        <f t="shared" si="291"/>
        <v/>
      </c>
      <c r="Q3645">
        <f>COUNTIF('責任職　企業局→市長部局'!A:A,SQLデータ!B3645)</f>
        <v>0</v>
      </c>
      <c r="R3645">
        <f>COUNTIF('一般職員　企業局→市長部局'!A:F,SQLデータ!B3645)</f>
        <v>0</v>
      </c>
    </row>
    <row r="3646" spans="1:18" x14ac:dyDescent="0.4">
      <c r="A3646" s="1">
        <v>202650003595</v>
      </c>
      <c r="B3646" s="1">
        <v>1261344</v>
      </c>
      <c r="C3646" s="2">
        <v>46128</v>
      </c>
      <c r="D3646" t="s">
        <v>17</v>
      </c>
      <c r="E3646" t="s">
        <v>8</v>
      </c>
      <c r="G3646" t="s">
        <v>9</v>
      </c>
      <c r="L3646">
        <f t="shared" si="287"/>
        <v>0</v>
      </c>
      <c r="M3646">
        <f t="shared" si="288"/>
        <v>0</v>
      </c>
      <c r="N3646">
        <f t="shared" si="289"/>
        <v>0</v>
      </c>
      <c r="O3646">
        <f t="shared" si="290"/>
        <v>1</v>
      </c>
      <c r="P3646" t="str">
        <f t="shared" si="291"/>
        <v/>
      </c>
      <c r="Q3646">
        <f>COUNTIF('責任職　企業局→市長部局'!A:A,SQLデータ!B3646)</f>
        <v>0</v>
      </c>
      <c r="R3646">
        <f>COUNTIF('一般職員　企業局→市長部局'!A:F,SQLデータ!B3646)</f>
        <v>0</v>
      </c>
    </row>
    <row r="3647" spans="1:18" x14ac:dyDescent="0.4">
      <c r="A3647" s="1">
        <v>202650003596</v>
      </c>
      <c r="B3647" s="1">
        <v>1201057</v>
      </c>
      <c r="C3647" s="2">
        <v>46128</v>
      </c>
      <c r="D3647" t="s">
        <v>17</v>
      </c>
      <c r="E3647" t="s">
        <v>8</v>
      </c>
      <c r="G3647" t="s">
        <v>9</v>
      </c>
      <c r="L3647">
        <f t="shared" si="287"/>
        <v>0</v>
      </c>
      <c r="M3647">
        <f t="shared" si="288"/>
        <v>0</v>
      </c>
      <c r="N3647">
        <f t="shared" si="289"/>
        <v>0</v>
      </c>
      <c r="O3647">
        <f t="shared" si="290"/>
        <v>1</v>
      </c>
      <c r="P3647" t="str">
        <f t="shared" si="291"/>
        <v/>
      </c>
      <c r="Q3647">
        <f>COUNTIF('責任職　企業局→市長部局'!A:A,SQLデータ!B3647)</f>
        <v>0</v>
      </c>
      <c r="R3647">
        <f>COUNTIF('一般職員　企業局→市長部局'!A:F,SQLデータ!B3647)</f>
        <v>0</v>
      </c>
    </row>
    <row r="3648" spans="1:18" x14ac:dyDescent="0.4">
      <c r="A3648" s="1">
        <v>202650003597</v>
      </c>
      <c r="B3648" s="1">
        <v>1261330</v>
      </c>
      <c r="C3648" s="2">
        <v>46128</v>
      </c>
      <c r="D3648" t="s">
        <v>17</v>
      </c>
      <c r="E3648" t="s">
        <v>8</v>
      </c>
      <c r="G3648" t="s">
        <v>9</v>
      </c>
      <c r="L3648">
        <f t="shared" si="287"/>
        <v>0</v>
      </c>
      <c r="M3648">
        <f t="shared" si="288"/>
        <v>0</v>
      </c>
      <c r="N3648">
        <f t="shared" si="289"/>
        <v>0</v>
      </c>
      <c r="O3648">
        <f t="shared" si="290"/>
        <v>1</v>
      </c>
      <c r="P3648" t="str">
        <f t="shared" si="291"/>
        <v/>
      </c>
      <c r="Q3648">
        <f>COUNTIF('責任職　企業局→市長部局'!A:A,SQLデータ!B3648)</f>
        <v>0</v>
      </c>
      <c r="R3648">
        <f>COUNTIF('一般職員　企業局→市長部局'!A:F,SQLデータ!B3648)</f>
        <v>0</v>
      </c>
    </row>
    <row r="3649" spans="1:18" x14ac:dyDescent="0.4">
      <c r="A3649" s="1">
        <v>202650003598</v>
      </c>
      <c r="B3649" s="1">
        <v>1003010</v>
      </c>
      <c r="C3649" s="2">
        <v>46128</v>
      </c>
      <c r="D3649" t="s">
        <v>17</v>
      </c>
      <c r="E3649" t="s">
        <v>8</v>
      </c>
      <c r="G3649" t="s">
        <v>9</v>
      </c>
      <c r="L3649">
        <f t="shared" si="287"/>
        <v>0</v>
      </c>
      <c r="M3649">
        <f t="shared" si="288"/>
        <v>0</v>
      </c>
      <c r="N3649">
        <f t="shared" si="289"/>
        <v>0</v>
      </c>
      <c r="O3649">
        <f t="shared" si="290"/>
        <v>1</v>
      </c>
      <c r="P3649" t="str">
        <f t="shared" si="291"/>
        <v/>
      </c>
      <c r="Q3649">
        <f>COUNTIF('責任職　企業局→市長部局'!A:A,SQLデータ!B3649)</f>
        <v>0</v>
      </c>
      <c r="R3649">
        <f>COUNTIF('一般職員　企業局→市長部局'!A:F,SQLデータ!B3649)</f>
        <v>0</v>
      </c>
    </row>
    <row r="3650" spans="1:18" x14ac:dyDescent="0.4">
      <c r="A3650" s="1">
        <v>202650003599</v>
      </c>
      <c r="B3650" s="1">
        <v>1081258</v>
      </c>
      <c r="C3650" s="2">
        <v>46128</v>
      </c>
      <c r="D3650" t="s">
        <v>17</v>
      </c>
      <c r="E3650" t="s">
        <v>8</v>
      </c>
      <c r="G3650" t="s">
        <v>9</v>
      </c>
      <c r="L3650">
        <f t="shared" si="287"/>
        <v>0</v>
      </c>
      <c r="M3650">
        <f t="shared" si="288"/>
        <v>0</v>
      </c>
      <c r="N3650">
        <f t="shared" si="289"/>
        <v>0</v>
      </c>
      <c r="O3650">
        <f t="shared" si="290"/>
        <v>1</v>
      </c>
      <c r="P3650" t="str">
        <f t="shared" si="291"/>
        <v/>
      </c>
      <c r="Q3650">
        <f>COUNTIF('責任職　企業局→市長部局'!A:A,SQLデータ!B3650)</f>
        <v>0</v>
      </c>
      <c r="R3650">
        <f>COUNTIF('一般職員　企業局→市長部局'!A:F,SQLデータ!B3650)</f>
        <v>0</v>
      </c>
    </row>
    <row r="3651" spans="1:18" x14ac:dyDescent="0.4">
      <c r="A3651" s="1">
        <v>202650003600</v>
      </c>
      <c r="B3651" s="1">
        <v>1161255</v>
      </c>
      <c r="C3651" s="2">
        <v>46129</v>
      </c>
      <c r="D3651" t="s">
        <v>17</v>
      </c>
      <c r="E3651" t="s">
        <v>8</v>
      </c>
      <c r="G3651" t="s">
        <v>9</v>
      </c>
      <c r="L3651">
        <f t="shared" si="287"/>
        <v>0</v>
      </c>
      <c r="M3651">
        <f t="shared" si="288"/>
        <v>0</v>
      </c>
      <c r="N3651">
        <f t="shared" si="289"/>
        <v>0</v>
      </c>
      <c r="O3651">
        <f t="shared" si="290"/>
        <v>1</v>
      </c>
      <c r="P3651" t="str">
        <f t="shared" si="291"/>
        <v/>
      </c>
      <c r="Q3651">
        <f>COUNTIF('責任職　企業局→市長部局'!A:A,SQLデータ!B3651)</f>
        <v>0</v>
      </c>
      <c r="R3651">
        <f>COUNTIF('一般職員　企業局→市長部局'!A:F,SQLデータ!B3651)</f>
        <v>0</v>
      </c>
    </row>
    <row r="3652" spans="1:18" x14ac:dyDescent="0.4">
      <c r="A3652" s="1">
        <v>202650003601</v>
      </c>
      <c r="B3652" s="1">
        <v>1231106</v>
      </c>
      <c r="C3652" s="2">
        <v>46128</v>
      </c>
      <c r="D3652" t="s">
        <v>17</v>
      </c>
      <c r="E3652" t="s">
        <v>8</v>
      </c>
      <c r="G3652" t="s">
        <v>9</v>
      </c>
      <c r="L3652">
        <f t="shared" si="287"/>
        <v>0</v>
      </c>
      <c r="M3652">
        <f t="shared" si="288"/>
        <v>0</v>
      </c>
      <c r="N3652">
        <f t="shared" si="289"/>
        <v>0</v>
      </c>
      <c r="O3652">
        <f t="shared" si="290"/>
        <v>1</v>
      </c>
      <c r="P3652" t="str">
        <f t="shared" si="291"/>
        <v/>
      </c>
      <c r="Q3652">
        <f>COUNTIF('責任職　企業局→市長部局'!A:A,SQLデータ!B3652)</f>
        <v>0</v>
      </c>
      <c r="R3652">
        <f>COUNTIF('一般職員　企業局→市長部局'!A:F,SQLデータ!B3652)</f>
        <v>0</v>
      </c>
    </row>
    <row r="3653" spans="1:18" x14ac:dyDescent="0.4">
      <c r="A3653" s="1">
        <v>202650003602</v>
      </c>
      <c r="B3653" s="1">
        <v>1071039</v>
      </c>
      <c r="C3653" s="2">
        <v>46128</v>
      </c>
      <c r="D3653" t="s">
        <v>17</v>
      </c>
      <c r="E3653" t="s">
        <v>8</v>
      </c>
      <c r="G3653" t="s">
        <v>9</v>
      </c>
      <c r="L3653">
        <f t="shared" si="287"/>
        <v>0</v>
      </c>
      <c r="M3653">
        <f t="shared" si="288"/>
        <v>0</v>
      </c>
      <c r="N3653">
        <f t="shared" si="289"/>
        <v>0</v>
      </c>
      <c r="O3653">
        <f t="shared" si="290"/>
        <v>1</v>
      </c>
      <c r="P3653" t="str">
        <f t="shared" si="291"/>
        <v/>
      </c>
      <c r="Q3653">
        <f>COUNTIF('責任職　企業局→市長部局'!A:A,SQLデータ!B3653)</f>
        <v>0</v>
      </c>
      <c r="R3653">
        <f>COUNTIF('一般職員　企業局→市長部局'!A:F,SQLデータ!B3653)</f>
        <v>0</v>
      </c>
    </row>
    <row r="3654" spans="1:18" x14ac:dyDescent="0.4">
      <c r="A3654" s="1">
        <v>202650003603</v>
      </c>
      <c r="B3654" s="1">
        <v>1234027</v>
      </c>
      <c r="C3654" s="2">
        <v>46113</v>
      </c>
      <c r="D3654" t="s">
        <v>17</v>
      </c>
      <c r="E3654" t="s">
        <v>8</v>
      </c>
      <c r="G3654" t="s">
        <v>9</v>
      </c>
      <c r="L3654">
        <f t="shared" si="287"/>
        <v>0</v>
      </c>
      <c r="M3654">
        <f t="shared" si="288"/>
        <v>0</v>
      </c>
      <c r="N3654">
        <f t="shared" si="289"/>
        <v>0</v>
      </c>
      <c r="O3654">
        <f t="shared" si="290"/>
        <v>1</v>
      </c>
      <c r="P3654" t="str">
        <f t="shared" si="291"/>
        <v/>
      </c>
      <c r="Q3654">
        <f>COUNTIF('責任職　企業局→市長部局'!A:A,SQLデータ!B3654)</f>
        <v>0</v>
      </c>
      <c r="R3654">
        <f>COUNTIF('一般職員　企業局→市長部局'!A:F,SQLデータ!B3654)</f>
        <v>0</v>
      </c>
    </row>
    <row r="3655" spans="1:18" x14ac:dyDescent="0.4">
      <c r="A3655" s="1">
        <v>202650003604</v>
      </c>
      <c r="B3655" s="1">
        <v>940428</v>
      </c>
      <c r="C3655" s="2">
        <v>46129</v>
      </c>
      <c r="D3655" t="s">
        <v>17</v>
      </c>
      <c r="E3655" t="s">
        <v>8</v>
      </c>
      <c r="G3655" t="s">
        <v>9</v>
      </c>
      <c r="L3655">
        <f t="shared" si="287"/>
        <v>0</v>
      </c>
      <c r="M3655">
        <f t="shared" si="288"/>
        <v>0</v>
      </c>
      <c r="N3655">
        <f t="shared" si="289"/>
        <v>0</v>
      </c>
      <c r="O3655">
        <f t="shared" si="290"/>
        <v>1</v>
      </c>
      <c r="P3655" t="str">
        <f t="shared" si="291"/>
        <v/>
      </c>
      <c r="Q3655">
        <f>COUNTIF('責任職　企業局→市長部局'!A:A,SQLデータ!B3655)</f>
        <v>0</v>
      </c>
      <c r="R3655">
        <f>COUNTIF('一般職員　企業局→市長部局'!A:F,SQLデータ!B3655)</f>
        <v>0</v>
      </c>
    </row>
    <row r="3656" spans="1:18" x14ac:dyDescent="0.4">
      <c r="A3656" s="1">
        <v>202650003605</v>
      </c>
      <c r="B3656" s="1">
        <v>1201211</v>
      </c>
      <c r="C3656" s="2">
        <v>46129</v>
      </c>
      <c r="D3656" t="s">
        <v>17</v>
      </c>
      <c r="E3656" t="s">
        <v>8</v>
      </c>
      <c r="G3656" t="s">
        <v>9</v>
      </c>
      <c r="L3656">
        <f t="shared" si="287"/>
        <v>0</v>
      </c>
      <c r="M3656">
        <f t="shared" si="288"/>
        <v>0</v>
      </c>
      <c r="N3656">
        <f t="shared" si="289"/>
        <v>0</v>
      </c>
      <c r="O3656">
        <f t="shared" si="290"/>
        <v>1</v>
      </c>
      <c r="P3656" t="str">
        <f t="shared" si="291"/>
        <v/>
      </c>
      <c r="Q3656">
        <f>COUNTIF('責任職　企業局→市長部局'!A:A,SQLデータ!B3656)</f>
        <v>0</v>
      </c>
      <c r="R3656">
        <f>COUNTIF('一般職員　企業局→市長部局'!A:F,SQLデータ!B3656)</f>
        <v>0</v>
      </c>
    </row>
    <row r="3657" spans="1:18" x14ac:dyDescent="0.4">
      <c r="A3657" s="1">
        <v>202650003606</v>
      </c>
      <c r="B3657" s="1">
        <v>1221218</v>
      </c>
      <c r="C3657" s="2">
        <v>46129</v>
      </c>
      <c r="D3657" t="s">
        <v>17</v>
      </c>
      <c r="E3657" t="s">
        <v>8</v>
      </c>
      <c r="G3657" t="s">
        <v>9</v>
      </c>
      <c r="L3657">
        <f t="shared" si="287"/>
        <v>0</v>
      </c>
      <c r="M3657">
        <f t="shared" si="288"/>
        <v>0</v>
      </c>
      <c r="N3657">
        <f t="shared" si="289"/>
        <v>0</v>
      </c>
      <c r="O3657">
        <f t="shared" si="290"/>
        <v>1</v>
      </c>
      <c r="P3657" t="str">
        <f t="shared" si="291"/>
        <v/>
      </c>
      <c r="Q3657">
        <f>COUNTIF('責任職　企業局→市長部局'!A:A,SQLデータ!B3657)</f>
        <v>0</v>
      </c>
      <c r="R3657">
        <f>COUNTIF('一般職員　企業局→市長部局'!A:F,SQLデータ!B3657)</f>
        <v>0</v>
      </c>
    </row>
    <row r="3658" spans="1:18" x14ac:dyDescent="0.4">
      <c r="A3658" s="1">
        <v>202650003607</v>
      </c>
      <c r="B3658" s="1">
        <v>1132016</v>
      </c>
      <c r="C3658" s="2">
        <v>46129</v>
      </c>
      <c r="D3658" t="s">
        <v>17</v>
      </c>
      <c r="E3658" t="s">
        <v>8</v>
      </c>
      <c r="G3658" t="s">
        <v>9</v>
      </c>
      <c r="L3658">
        <f t="shared" si="287"/>
        <v>0</v>
      </c>
      <c r="M3658">
        <f t="shared" si="288"/>
        <v>0</v>
      </c>
      <c r="N3658">
        <f t="shared" si="289"/>
        <v>0</v>
      </c>
      <c r="O3658">
        <f t="shared" si="290"/>
        <v>1</v>
      </c>
      <c r="P3658" t="str">
        <f t="shared" si="291"/>
        <v/>
      </c>
      <c r="Q3658">
        <f>COUNTIF('責任職　企業局→市長部局'!A:A,SQLデータ!B3658)</f>
        <v>0</v>
      </c>
      <c r="R3658">
        <f>COUNTIF('一般職員　企業局→市長部局'!A:F,SQLデータ!B3658)</f>
        <v>0</v>
      </c>
    </row>
    <row r="3659" spans="1:18" x14ac:dyDescent="0.4">
      <c r="A3659" s="1">
        <v>202650003608</v>
      </c>
      <c r="B3659" s="1">
        <v>1061079</v>
      </c>
      <c r="C3659" s="2">
        <v>46129</v>
      </c>
      <c r="D3659" t="s">
        <v>17</v>
      </c>
      <c r="E3659" t="s">
        <v>8</v>
      </c>
      <c r="G3659" t="s">
        <v>9</v>
      </c>
      <c r="L3659">
        <f t="shared" si="287"/>
        <v>0</v>
      </c>
      <c r="M3659">
        <f t="shared" si="288"/>
        <v>0</v>
      </c>
      <c r="N3659">
        <f t="shared" si="289"/>
        <v>0</v>
      </c>
      <c r="O3659">
        <f t="shared" si="290"/>
        <v>1</v>
      </c>
      <c r="P3659" t="str">
        <f t="shared" si="291"/>
        <v/>
      </c>
      <c r="Q3659">
        <f>COUNTIF('責任職　企業局→市長部局'!A:A,SQLデータ!B3659)</f>
        <v>0</v>
      </c>
      <c r="R3659">
        <f>COUNTIF('一般職員　企業局→市長部局'!A:F,SQLデータ!B3659)</f>
        <v>0</v>
      </c>
    </row>
    <row r="3660" spans="1:18" x14ac:dyDescent="0.4">
      <c r="A3660" s="1">
        <v>202650003609</v>
      </c>
      <c r="B3660" s="1">
        <v>1121200</v>
      </c>
      <c r="C3660" s="2">
        <v>46129</v>
      </c>
      <c r="D3660" t="s">
        <v>17</v>
      </c>
      <c r="E3660" t="s">
        <v>8</v>
      </c>
      <c r="G3660" t="s">
        <v>9</v>
      </c>
      <c r="L3660">
        <f t="shared" si="287"/>
        <v>0</v>
      </c>
      <c r="M3660">
        <f t="shared" si="288"/>
        <v>0</v>
      </c>
      <c r="N3660">
        <f t="shared" si="289"/>
        <v>0</v>
      </c>
      <c r="O3660">
        <f t="shared" si="290"/>
        <v>1</v>
      </c>
      <c r="P3660" t="str">
        <f t="shared" si="291"/>
        <v/>
      </c>
      <c r="Q3660">
        <f>COUNTIF('責任職　企業局→市長部局'!A:A,SQLデータ!B3660)</f>
        <v>0</v>
      </c>
      <c r="R3660">
        <f>COUNTIF('一般職員　企業局→市長部局'!A:F,SQLデータ!B3660)</f>
        <v>0</v>
      </c>
    </row>
    <row r="3661" spans="1:18" x14ac:dyDescent="0.4">
      <c r="A3661" s="1">
        <v>202650003610</v>
      </c>
      <c r="B3661" s="1">
        <v>1024184</v>
      </c>
      <c r="C3661" s="2">
        <v>46129</v>
      </c>
      <c r="D3661" t="s">
        <v>17</v>
      </c>
      <c r="E3661" t="s">
        <v>8</v>
      </c>
      <c r="G3661" t="s">
        <v>9</v>
      </c>
      <c r="L3661">
        <f t="shared" si="287"/>
        <v>0</v>
      </c>
      <c r="M3661">
        <f t="shared" si="288"/>
        <v>0</v>
      </c>
      <c r="N3661">
        <f t="shared" si="289"/>
        <v>0</v>
      </c>
      <c r="O3661">
        <f t="shared" si="290"/>
        <v>1</v>
      </c>
      <c r="P3661" t="str">
        <f t="shared" si="291"/>
        <v/>
      </c>
      <c r="Q3661">
        <f>COUNTIF('責任職　企業局→市長部局'!A:A,SQLデータ!B3661)</f>
        <v>0</v>
      </c>
      <c r="R3661">
        <f>COUNTIF('一般職員　企業局→市長部局'!A:F,SQLデータ!B3661)</f>
        <v>0</v>
      </c>
    </row>
    <row r="3662" spans="1:18" x14ac:dyDescent="0.4">
      <c r="A3662" s="1">
        <v>202650003611</v>
      </c>
      <c r="B3662" s="1">
        <v>1122088</v>
      </c>
      <c r="C3662" s="2">
        <v>46129</v>
      </c>
      <c r="D3662" t="s">
        <v>17</v>
      </c>
      <c r="E3662" t="s">
        <v>8</v>
      </c>
      <c r="G3662" t="s">
        <v>9</v>
      </c>
      <c r="L3662">
        <f t="shared" si="287"/>
        <v>0</v>
      </c>
      <c r="M3662">
        <f t="shared" si="288"/>
        <v>0</v>
      </c>
      <c r="N3662">
        <f t="shared" si="289"/>
        <v>0</v>
      </c>
      <c r="O3662">
        <f t="shared" si="290"/>
        <v>1</v>
      </c>
      <c r="P3662" t="str">
        <f t="shared" si="291"/>
        <v/>
      </c>
      <c r="Q3662">
        <f>COUNTIF('責任職　企業局→市長部局'!A:A,SQLデータ!B3662)</f>
        <v>0</v>
      </c>
      <c r="R3662">
        <f>COUNTIF('一般職員　企業局→市長部局'!A:F,SQLデータ!B3662)</f>
        <v>0</v>
      </c>
    </row>
    <row r="3663" spans="1:18" x14ac:dyDescent="0.4">
      <c r="A3663" s="1">
        <v>202650003612</v>
      </c>
      <c r="B3663" s="1">
        <v>1211480</v>
      </c>
      <c r="C3663" s="2">
        <v>46129</v>
      </c>
      <c r="D3663" t="s">
        <v>17</v>
      </c>
      <c r="E3663" t="s">
        <v>8</v>
      </c>
      <c r="G3663" t="s">
        <v>9</v>
      </c>
      <c r="L3663">
        <f t="shared" si="287"/>
        <v>0</v>
      </c>
      <c r="M3663">
        <f t="shared" si="288"/>
        <v>0</v>
      </c>
      <c r="N3663">
        <f t="shared" si="289"/>
        <v>0</v>
      </c>
      <c r="O3663">
        <f t="shared" si="290"/>
        <v>1</v>
      </c>
      <c r="P3663" t="str">
        <f t="shared" si="291"/>
        <v/>
      </c>
      <c r="Q3663">
        <f>COUNTIF('責任職　企業局→市長部局'!A:A,SQLデータ!B3663)</f>
        <v>0</v>
      </c>
      <c r="R3663">
        <f>COUNTIF('一般職員　企業局→市長部局'!A:F,SQLデータ!B3663)</f>
        <v>0</v>
      </c>
    </row>
    <row r="3664" spans="1:18" x14ac:dyDescent="0.4">
      <c r="A3664" s="1">
        <v>202650003613</v>
      </c>
      <c r="B3664" s="1">
        <v>1182060</v>
      </c>
      <c r="C3664" s="2">
        <v>46129</v>
      </c>
      <c r="D3664" t="s">
        <v>17</v>
      </c>
      <c r="E3664" t="s">
        <v>8</v>
      </c>
      <c r="G3664" t="s">
        <v>9</v>
      </c>
      <c r="L3664">
        <f t="shared" si="287"/>
        <v>0</v>
      </c>
      <c r="M3664">
        <f t="shared" si="288"/>
        <v>0</v>
      </c>
      <c r="N3664">
        <f t="shared" si="289"/>
        <v>0</v>
      </c>
      <c r="O3664">
        <f t="shared" si="290"/>
        <v>1</v>
      </c>
      <c r="P3664" t="str">
        <f t="shared" si="291"/>
        <v/>
      </c>
      <c r="Q3664">
        <f>COUNTIF('責任職　企業局→市長部局'!A:A,SQLデータ!B3664)</f>
        <v>0</v>
      </c>
      <c r="R3664">
        <f>COUNTIF('一般職員　企業局→市長部局'!A:F,SQLデータ!B3664)</f>
        <v>1</v>
      </c>
    </row>
    <row r="3665" spans="1:18" x14ac:dyDescent="0.4">
      <c r="A3665" s="1">
        <v>202650003614</v>
      </c>
      <c r="B3665" s="1">
        <v>940283</v>
      </c>
      <c r="C3665" s="2">
        <v>46129</v>
      </c>
      <c r="D3665" t="s">
        <v>17</v>
      </c>
      <c r="E3665" t="s">
        <v>8</v>
      </c>
      <c r="G3665" t="s">
        <v>9</v>
      </c>
      <c r="L3665">
        <f t="shared" si="287"/>
        <v>0</v>
      </c>
      <c r="M3665">
        <f t="shared" si="288"/>
        <v>0</v>
      </c>
      <c r="N3665">
        <f t="shared" si="289"/>
        <v>0</v>
      </c>
      <c r="O3665">
        <f t="shared" si="290"/>
        <v>1</v>
      </c>
      <c r="P3665" t="str">
        <f t="shared" si="291"/>
        <v/>
      </c>
      <c r="Q3665">
        <f>COUNTIF('責任職　企業局→市長部局'!A:A,SQLデータ!B3665)</f>
        <v>0</v>
      </c>
      <c r="R3665">
        <f>COUNTIF('一般職員　企業局→市長部局'!A:F,SQLデータ!B3665)</f>
        <v>0</v>
      </c>
    </row>
    <row r="3666" spans="1:18" x14ac:dyDescent="0.4">
      <c r="A3666" s="1">
        <v>202650003615</v>
      </c>
      <c r="B3666" s="1">
        <v>1011021</v>
      </c>
      <c r="C3666" s="2">
        <v>46129</v>
      </c>
      <c r="D3666" t="s">
        <v>17</v>
      </c>
      <c r="E3666" t="s">
        <v>8</v>
      </c>
      <c r="G3666" t="s">
        <v>9</v>
      </c>
      <c r="L3666">
        <f t="shared" si="287"/>
        <v>0</v>
      </c>
      <c r="M3666">
        <f t="shared" si="288"/>
        <v>0</v>
      </c>
      <c r="N3666">
        <f t="shared" si="289"/>
        <v>0</v>
      </c>
      <c r="O3666">
        <f t="shared" si="290"/>
        <v>1</v>
      </c>
      <c r="P3666" t="str">
        <f t="shared" si="291"/>
        <v/>
      </c>
      <c r="Q3666">
        <f>COUNTIF('責任職　企業局→市長部局'!A:A,SQLデータ!B3666)</f>
        <v>0</v>
      </c>
      <c r="R3666">
        <f>COUNTIF('一般職員　企業局→市長部局'!A:F,SQLデータ!B3666)</f>
        <v>0</v>
      </c>
    </row>
    <row r="3667" spans="1:18" x14ac:dyDescent="0.4">
      <c r="A3667" s="1">
        <v>202650003616</v>
      </c>
      <c r="B3667" s="1">
        <v>1230009</v>
      </c>
      <c r="C3667" s="2">
        <v>46129</v>
      </c>
      <c r="D3667" t="s">
        <v>17</v>
      </c>
      <c r="E3667" t="s">
        <v>8</v>
      </c>
      <c r="G3667" t="s">
        <v>9</v>
      </c>
      <c r="L3667">
        <f t="shared" si="287"/>
        <v>0</v>
      </c>
      <c r="M3667">
        <f t="shared" si="288"/>
        <v>0</v>
      </c>
      <c r="N3667">
        <f t="shared" si="289"/>
        <v>0</v>
      </c>
      <c r="O3667">
        <f t="shared" si="290"/>
        <v>1</v>
      </c>
      <c r="P3667" t="str">
        <f t="shared" si="291"/>
        <v/>
      </c>
      <c r="Q3667">
        <f>COUNTIF('責任職　企業局→市長部局'!A:A,SQLデータ!B3667)</f>
        <v>0</v>
      </c>
      <c r="R3667">
        <f>COUNTIF('一般職員　企業局→市長部局'!A:F,SQLデータ!B3667)</f>
        <v>0</v>
      </c>
    </row>
    <row r="3668" spans="1:18" x14ac:dyDescent="0.4">
      <c r="A3668" s="1">
        <v>202650003617</v>
      </c>
      <c r="B3668" s="1">
        <v>1171402</v>
      </c>
      <c r="C3668" s="2">
        <v>46129</v>
      </c>
      <c r="D3668" t="s">
        <v>17</v>
      </c>
      <c r="E3668" t="s">
        <v>8</v>
      </c>
      <c r="G3668" t="s">
        <v>9</v>
      </c>
      <c r="L3668">
        <f t="shared" si="287"/>
        <v>0</v>
      </c>
      <c r="M3668">
        <f t="shared" si="288"/>
        <v>0</v>
      </c>
      <c r="N3668">
        <f t="shared" si="289"/>
        <v>0</v>
      </c>
      <c r="O3668">
        <f t="shared" si="290"/>
        <v>1</v>
      </c>
      <c r="P3668" t="str">
        <f t="shared" si="291"/>
        <v/>
      </c>
      <c r="Q3668">
        <f>COUNTIF('責任職　企業局→市長部局'!A:A,SQLデータ!B3668)</f>
        <v>0</v>
      </c>
      <c r="R3668">
        <f>COUNTIF('一般職員　企業局→市長部局'!A:F,SQLデータ!B3668)</f>
        <v>0</v>
      </c>
    </row>
    <row r="3669" spans="1:18" x14ac:dyDescent="0.4">
      <c r="A3669" s="1">
        <v>202650003619</v>
      </c>
      <c r="B3669" s="1">
        <v>1231348</v>
      </c>
      <c r="C3669" s="2">
        <v>46129</v>
      </c>
      <c r="D3669" t="s">
        <v>17</v>
      </c>
      <c r="E3669" t="s">
        <v>8</v>
      </c>
      <c r="G3669" t="s">
        <v>9</v>
      </c>
      <c r="L3669">
        <f t="shared" si="287"/>
        <v>0</v>
      </c>
      <c r="M3669">
        <f t="shared" si="288"/>
        <v>0</v>
      </c>
      <c r="N3669">
        <f t="shared" si="289"/>
        <v>0</v>
      </c>
      <c r="O3669">
        <f t="shared" si="290"/>
        <v>1</v>
      </c>
      <c r="P3669" t="str">
        <f t="shared" si="291"/>
        <v/>
      </c>
      <c r="Q3669">
        <f>COUNTIF('責任職　企業局→市長部局'!A:A,SQLデータ!B3669)</f>
        <v>0</v>
      </c>
      <c r="R3669">
        <f>COUNTIF('一般職員　企業局→市長部局'!A:F,SQLデータ!B3669)</f>
        <v>0</v>
      </c>
    </row>
    <row r="3670" spans="1:18" x14ac:dyDescent="0.4">
      <c r="A3670" s="1">
        <v>202650003620</v>
      </c>
      <c r="B3670" s="1">
        <v>860381</v>
      </c>
      <c r="C3670" s="2">
        <v>46129</v>
      </c>
      <c r="D3670" t="s">
        <v>17</v>
      </c>
      <c r="E3670" t="s">
        <v>8</v>
      </c>
      <c r="G3670" t="s">
        <v>9</v>
      </c>
      <c r="L3670">
        <f t="shared" si="287"/>
        <v>0</v>
      </c>
      <c r="M3670">
        <f t="shared" si="288"/>
        <v>0</v>
      </c>
      <c r="N3670">
        <f t="shared" si="289"/>
        <v>0</v>
      </c>
      <c r="O3670">
        <f t="shared" si="290"/>
        <v>1</v>
      </c>
      <c r="P3670" t="str">
        <f t="shared" si="291"/>
        <v/>
      </c>
      <c r="Q3670">
        <f>COUNTIF('責任職　企業局→市長部局'!A:A,SQLデータ!B3670)</f>
        <v>0</v>
      </c>
      <c r="R3670">
        <f>COUNTIF('一般職員　企業局→市長部局'!A:F,SQLデータ!B3670)</f>
        <v>0</v>
      </c>
    </row>
    <row r="3671" spans="1:18" x14ac:dyDescent="0.4">
      <c r="A3671" s="1">
        <v>202650003621</v>
      </c>
      <c r="B3671" s="1">
        <v>1241050</v>
      </c>
      <c r="C3671" s="2">
        <v>46129</v>
      </c>
      <c r="D3671" t="s">
        <v>17</v>
      </c>
      <c r="E3671" t="s">
        <v>8</v>
      </c>
      <c r="G3671" t="s">
        <v>9</v>
      </c>
      <c r="L3671">
        <f t="shared" si="287"/>
        <v>0</v>
      </c>
      <c r="M3671">
        <f t="shared" si="288"/>
        <v>0</v>
      </c>
      <c r="N3671">
        <f t="shared" si="289"/>
        <v>0</v>
      </c>
      <c r="O3671">
        <f t="shared" si="290"/>
        <v>1</v>
      </c>
      <c r="P3671" t="str">
        <f t="shared" si="291"/>
        <v/>
      </c>
      <c r="Q3671">
        <f>COUNTIF('責任職　企業局→市長部局'!A:A,SQLデータ!B3671)</f>
        <v>0</v>
      </c>
      <c r="R3671">
        <f>COUNTIF('一般職員　企業局→市長部局'!A:F,SQLデータ!B3671)</f>
        <v>0</v>
      </c>
    </row>
    <row r="3672" spans="1:18" x14ac:dyDescent="0.4">
      <c r="A3672" s="1">
        <v>202650003623</v>
      </c>
      <c r="B3672" s="1">
        <v>910884</v>
      </c>
      <c r="C3672" s="2">
        <v>46129</v>
      </c>
      <c r="D3672" t="s">
        <v>17</v>
      </c>
      <c r="E3672" t="s">
        <v>8</v>
      </c>
      <c r="G3672" t="s">
        <v>9</v>
      </c>
      <c r="L3672">
        <f t="shared" si="287"/>
        <v>0</v>
      </c>
      <c r="M3672">
        <f t="shared" si="288"/>
        <v>0</v>
      </c>
      <c r="N3672">
        <f t="shared" si="289"/>
        <v>0</v>
      </c>
      <c r="O3672">
        <f t="shared" si="290"/>
        <v>1</v>
      </c>
      <c r="P3672" t="str">
        <f t="shared" si="291"/>
        <v/>
      </c>
      <c r="Q3672">
        <f>COUNTIF('責任職　企業局→市長部局'!A:A,SQLデータ!B3672)</f>
        <v>0</v>
      </c>
      <c r="R3672">
        <f>COUNTIF('一般職員　企業局→市長部局'!A:F,SQLデータ!B3672)</f>
        <v>0</v>
      </c>
    </row>
    <row r="3673" spans="1:18" x14ac:dyDescent="0.4">
      <c r="A3673" s="1">
        <v>202650003624</v>
      </c>
      <c r="B3673" s="1">
        <v>1191268</v>
      </c>
      <c r="C3673" s="2">
        <v>46129</v>
      </c>
      <c r="D3673" t="s">
        <v>17</v>
      </c>
      <c r="E3673" t="s">
        <v>8</v>
      </c>
      <c r="G3673" t="s">
        <v>9</v>
      </c>
      <c r="L3673">
        <f t="shared" si="287"/>
        <v>0</v>
      </c>
      <c r="M3673">
        <f t="shared" si="288"/>
        <v>0</v>
      </c>
      <c r="N3673">
        <f t="shared" si="289"/>
        <v>0</v>
      </c>
      <c r="O3673">
        <f t="shared" si="290"/>
        <v>1</v>
      </c>
      <c r="P3673" t="str">
        <f t="shared" si="291"/>
        <v/>
      </c>
      <c r="Q3673">
        <f>COUNTIF('責任職　企業局→市長部局'!A:A,SQLデータ!B3673)</f>
        <v>0</v>
      </c>
      <c r="R3673">
        <f>COUNTIF('一般職員　企業局→市長部局'!A:F,SQLデータ!B3673)</f>
        <v>0</v>
      </c>
    </row>
    <row r="3674" spans="1:18" x14ac:dyDescent="0.4">
      <c r="A3674" s="1">
        <v>202650003625</v>
      </c>
      <c r="B3674" s="1">
        <v>1191368</v>
      </c>
      <c r="C3674" s="2">
        <v>46129</v>
      </c>
      <c r="D3674" t="s">
        <v>17</v>
      </c>
      <c r="E3674" t="s">
        <v>8</v>
      </c>
      <c r="G3674" t="s">
        <v>9</v>
      </c>
      <c r="L3674">
        <f t="shared" si="287"/>
        <v>0</v>
      </c>
      <c r="M3674">
        <f t="shared" si="288"/>
        <v>0</v>
      </c>
      <c r="N3674">
        <f t="shared" si="289"/>
        <v>0</v>
      </c>
      <c r="O3674">
        <f t="shared" si="290"/>
        <v>1</v>
      </c>
      <c r="P3674" t="str">
        <f t="shared" si="291"/>
        <v/>
      </c>
      <c r="Q3674">
        <f>COUNTIF('責任職　企業局→市長部局'!A:A,SQLデータ!B3674)</f>
        <v>0</v>
      </c>
      <c r="R3674">
        <f>COUNTIF('一般職員　企業局→市長部局'!A:F,SQLデータ!B3674)</f>
        <v>0</v>
      </c>
    </row>
    <row r="3675" spans="1:18" x14ac:dyDescent="0.4">
      <c r="A3675" s="1">
        <v>202650003626</v>
      </c>
      <c r="B3675" s="1">
        <v>1154035</v>
      </c>
      <c r="C3675" s="2">
        <v>46129</v>
      </c>
      <c r="D3675" t="s">
        <v>17</v>
      </c>
      <c r="E3675" t="s">
        <v>8</v>
      </c>
      <c r="G3675" t="s">
        <v>9</v>
      </c>
      <c r="L3675">
        <f t="shared" si="287"/>
        <v>0</v>
      </c>
      <c r="M3675">
        <f t="shared" si="288"/>
        <v>0</v>
      </c>
      <c r="N3675">
        <f t="shared" si="289"/>
        <v>0</v>
      </c>
      <c r="O3675">
        <f t="shared" si="290"/>
        <v>1</v>
      </c>
      <c r="P3675" t="str">
        <f t="shared" si="291"/>
        <v/>
      </c>
      <c r="Q3675">
        <f>COUNTIF('責任職　企業局→市長部局'!A:A,SQLデータ!B3675)</f>
        <v>0</v>
      </c>
      <c r="R3675">
        <f>COUNTIF('一般職員　企業局→市長部局'!A:F,SQLデータ!B3675)</f>
        <v>0</v>
      </c>
    </row>
    <row r="3676" spans="1:18" x14ac:dyDescent="0.4">
      <c r="A3676" s="1">
        <v>202650003627</v>
      </c>
      <c r="B3676" s="1">
        <v>1122069</v>
      </c>
      <c r="C3676" s="2">
        <v>46129</v>
      </c>
      <c r="D3676" t="s">
        <v>17</v>
      </c>
      <c r="E3676" t="s">
        <v>8</v>
      </c>
      <c r="G3676" t="s">
        <v>9</v>
      </c>
      <c r="L3676">
        <f t="shared" si="287"/>
        <v>0</v>
      </c>
      <c r="M3676">
        <f t="shared" si="288"/>
        <v>0</v>
      </c>
      <c r="N3676">
        <f t="shared" si="289"/>
        <v>0</v>
      </c>
      <c r="O3676">
        <f t="shared" si="290"/>
        <v>1</v>
      </c>
      <c r="P3676" t="str">
        <f t="shared" si="291"/>
        <v/>
      </c>
      <c r="Q3676">
        <f>COUNTIF('責任職　企業局→市長部局'!A:A,SQLデータ!B3676)</f>
        <v>0</v>
      </c>
      <c r="R3676">
        <f>COUNTIF('一般職員　企業局→市長部局'!A:F,SQLデータ!B3676)</f>
        <v>0</v>
      </c>
    </row>
    <row r="3677" spans="1:18" x14ac:dyDescent="0.4">
      <c r="A3677" s="1">
        <v>202650003628</v>
      </c>
      <c r="B3677" s="1">
        <v>1161284</v>
      </c>
      <c r="C3677" s="2">
        <v>46129</v>
      </c>
      <c r="D3677" t="s">
        <v>17</v>
      </c>
      <c r="E3677" t="s">
        <v>8</v>
      </c>
      <c r="G3677" t="s">
        <v>9</v>
      </c>
      <c r="L3677">
        <f t="shared" si="287"/>
        <v>0</v>
      </c>
      <c r="M3677">
        <f t="shared" si="288"/>
        <v>0</v>
      </c>
      <c r="N3677">
        <f t="shared" si="289"/>
        <v>0</v>
      </c>
      <c r="O3677">
        <f t="shared" si="290"/>
        <v>1</v>
      </c>
      <c r="P3677" t="str">
        <f t="shared" si="291"/>
        <v/>
      </c>
      <c r="Q3677">
        <f>COUNTIF('責任職　企業局→市長部局'!A:A,SQLデータ!B3677)</f>
        <v>0</v>
      </c>
      <c r="R3677">
        <f>COUNTIF('一般職員　企業局→市長部局'!A:F,SQLデータ!B3677)</f>
        <v>0</v>
      </c>
    </row>
    <row r="3678" spans="1:18" x14ac:dyDescent="0.4">
      <c r="A3678" s="1">
        <v>202650003629</v>
      </c>
      <c r="B3678" s="1">
        <v>1062014</v>
      </c>
      <c r="C3678" s="2">
        <v>46129</v>
      </c>
      <c r="D3678" t="s">
        <v>17</v>
      </c>
      <c r="E3678" t="s">
        <v>8</v>
      </c>
      <c r="G3678" t="s">
        <v>9</v>
      </c>
      <c r="L3678">
        <f t="shared" si="287"/>
        <v>0</v>
      </c>
      <c r="M3678">
        <f t="shared" si="288"/>
        <v>0</v>
      </c>
      <c r="N3678">
        <f t="shared" si="289"/>
        <v>0</v>
      </c>
      <c r="O3678">
        <f t="shared" si="290"/>
        <v>1</v>
      </c>
      <c r="P3678" t="str">
        <f t="shared" si="291"/>
        <v/>
      </c>
      <c r="Q3678">
        <f>COUNTIF('責任職　企業局→市長部局'!A:A,SQLデータ!B3678)</f>
        <v>0</v>
      </c>
      <c r="R3678">
        <f>COUNTIF('一般職員　企業局→市長部局'!A:F,SQLデータ!B3678)</f>
        <v>0</v>
      </c>
    </row>
    <row r="3679" spans="1:18" x14ac:dyDescent="0.4">
      <c r="A3679" s="1">
        <v>202650003630</v>
      </c>
      <c r="B3679" s="1">
        <v>1231398</v>
      </c>
      <c r="C3679" s="2">
        <v>46129</v>
      </c>
      <c r="D3679" t="s">
        <v>17</v>
      </c>
      <c r="E3679" t="s">
        <v>8</v>
      </c>
      <c r="G3679" t="s">
        <v>9</v>
      </c>
      <c r="L3679">
        <f t="shared" si="287"/>
        <v>0</v>
      </c>
      <c r="M3679">
        <f t="shared" si="288"/>
        <v>0</v>
      </c>
      <c r="N3679">
        <f t="shared" si="289"/>
        <v>0</v>
      </c>
      <c r="O3679">
        <f t="shared" si="290"/>
        <v>1</v>
      </c>
      <c r="P3679" t="str">
        <f t="shared" si="291"/>
        <v/>
      </c>
      <c r="Q3679">
        <f>COUNTIF('責任職　企業局→市長部局'!A:A,SQLデータ!B3679)</f>
        <v>0</v>
      </c>
      <c r="R3679">
        <f>COUNTIF('一般職員　企業局→市長部局'!A:F,SQLデータ!B3679)</f>
        <v>0</v>
      </c>
    </row>
    <row r="3680" spans="1:18" x14ac:dyDescent="0.4">
      <c r="A3680" s="1">
        <v>202650003632</v>
      </c>
      <c r="B3680" s="1">
        <v>1231095</v>
      </c>
      <c r="C3680" s="2">
        <v>46129</v>
      </c>
      <c r="D3680" t="s">
        <v>17</v>
      </c>
      <c r="E3680" t="s">
        <v>8</v>
      </c>
      <c r="G3680" t="s">
        <v>9</v>
      </c>
      <c r="L3680">
        <f t="shared" si="287"/>
        <v>0</v>
      </c>
      <c r="M3680">
        <f t="shared" si="288"/>
        <v>0</v>
      </c>
      <c r="N3680">
        <f t="shared" si="289"/>
        <v>0</v>
      </c>
      <c r="O3680">
        <f t="shared" si="290"/>
        <v>1</v>
      </c>
      <c r="P3680" t="str">
        <f t="shared" si="291"/>
        <v/>
      </c>
      <c r="Q3680">
        <f>COUNTIF('責任職　企業局→市長部局'!A:A,SQLデータ!B3680)</f>
        <v>0</v>
      </c>
      <c r="R3680">
        <f>COUNTIF('一般職員　企業局→市長部局'!A:F,SQLデータ!B3680)</f>
        <v>0</v>
      </c>
    </row>
    <row r="3681" spans="1:18" x14ac:dyDescent="0.4">
      <c r="A3681" s="1">
        <v>202650003633</v>
      </c>
      <c r="B3681" s="1">
        <v>1231292</v>
      </c>
      <c r="C3681" s="2">
        <v>46129</v>
      </c>
      <c r="D3681" t="s">
        <v>17</v>
      </c>
      <c r="E3681" t="s">
        <v>8</v>
      </c>
      <c r="G3681" t="s">
        <v>9</v>
      </c>
      <c r="L3681">
        <f t="shared" si="287"/>
        <v>0</v>
      </c>
      <c r="M3681">
        <f t="shared" si="288"/>
        <v>0</v>
      </c>
      <c r="N3681">
        <f t="shared" si="289"/>
        <v>0</v>
      </c>
      <c r="O3681">
        <f t="shared" si="290"/>
        <v>1</v>
      </c>
      <c r="P3681" t="str">
        <f t="shared" si="291"/>
        <v/>
      </c>
      <c r="Q3681">
        <f>COUNTIF('責任職　企業局→市長部局'!A:A,SQLデータ!B3681)</f>
        <v>0</v>
      </c>
      <c r="R3681">
        <f>COUNTIF('一般職員　企業局→市長部局'!A:F,SQLデータ!B3681)</f>
        <v>0</v>
      </c>
    </row>
    <row r="3682" spans="1:18" x14ac:dyDescent="0.4">
      <c r="A3682" s="1">
        <v>202650003634</v>
      </c>
      <c r="B3682" s="1">
        <v>860257</v>
      </c>
      <c r="C3682" s="2">
        <v>46129</v>
      </c>
      <c r="D3682" t="s">
        <v>17</v>
      </c>
      <c r="E3682" t="s">
        <v>8</v>
      </c>
      <c r="G3682" t="s">
        <v>9</v>
      </c>
      <c r="L3682">
        <f t="shared" ref="L3682:L3745" si="292">IF(ISBLANK(J3682),0,1)</f>
        <v>0</v>
      </c>
      <c r="M3682">
        <f t="shared" ref="M3682:M3745" si="293">IF(AND(L3682=0,I3682&lt;&gt;""),1,0)</f>
        <v>0</v>
      </c>
      <c r="N3682">
        <f t="shared" ref="N3682:N3745" si="294">IF(AND(L3682=0,M3682=0,K3682&lt;&gt;""),1,0)</f>
        <v>0</v>
      </c>
      <c r="O3682">
        <f t="shared" ref="O3682:O3745" si="295">IF(COUNTIF(L3682:N3682,0)=3,1,0)</f>
        <v>1</v>
      </c>
      <c r="P3682" t="str">
        <f t="shared" ref="P3682:P3745" si="296">IF(D3682&lt;&gt;"扶養","",IF(E3682&lt;&gt;"確認待ち",1,IF(OR(AND(G3682="本人の結婚",O3682=1),AND(H3682="減",OR(N3682=1,O3682=1))),1,0)))</f>
        <v/>
      </c>
      <c r="Q3682">
        <f>COUNTIF('責任職　企業局→市長部局'!A:A,SQLデータ!B3682)</f>
        <v>0</v>
      </c>
      <c r="R3682">
        <f>COUNTIF('一般職員　企業局→市長部局'!A:F,SQLデータ!B3682)</f>
        <v>0</v>
      </c>
    </row>
    <row r="3683" spans="1:18" x14ac:dyDescent="0.4">
      <c r="A3683" s="1">
        <v>202650003636</v>
      </c>
      <c r="B3683" s="1">
        <v>1101385</v>
      </c>
      <c r="C3683" s="2">
        <v>46129</v>
      </c>
      <c r="D3683" t="s">
        <v>17</v>
      </c>
      <c r="E3683" t="s">
        <v>8</v>
      </c>
      <c r="G3683" t="s">
        <v>9</v>
      </c>
      <c r="L3683">
        <f t="shared" si="292"/>
        <v>0</v>
      </c>
      <c r="M3683">
        <f t="shared" si="293"/>
        <v>0</v>
      </c>
      <c r="N3683">
        <f t="shared" si="294"/>
        <v>0</v>
      </c>
      <c r="O3683">
        <f t="shared" si="295"/>
        <v>1</v>
      </c>
      <c r="P3683" t="str">
        <f t="shared" si="296"/>
        <v/>
      </c>
      <c r="Q3683">
        <f>COUNTIF('責任職　企業局→市長部局'!A:A,SQLデータ!B3683)</f>
        <v>0</v>
      </c>
      <c r="R3683">
        <f>COUNTIF('一般職員　企業局→市長部局'!A:F,SQLデータ!B3683)</f>
        <v>0</v>
      </c>
    </row>
    <row r="3684" spans="1:18" x14ac:dyDescent="0.4">
      <c r="A3684" s="1">
        <v>202650003637</v>
      </c>
      <c r="B3684" s="1">
        <v>1081024</v>
      </c>
      <c r="C3684" s="2">
        <v>46129</v>
      </c>
      <c r="D3684" t="s">
        <v>17</v>
      </c>
      <c r="E3684" t="s">
        <v>8</v>
      </c>
      <c r="G3684" t="s">
        <v>9</v>
      </c>
      <c r="L3684">
        <f t="shared" si="292"/>
        <v>0</v>
      </c>
      <c r="M3684">
        <f t="shared" si="293"/>
        <v>0</v>
      </c>
      <c r="N3684">
        <f t="shared" si="294"/>
        <v>0</v>
      </c>
      <c r="O3684">
        <f t="shared" si="295"/>
        <v>1</v>
      </c>
      <c r="P3684" t="str">
        <f t="shared" si="296"/>
        <v/>
      </c>
      <c r="Q3684">
        <f>COUNTIF('責任職　企業局→市長部局'!A:A,SQLデータ!B3684)</f>
        <v>0</v>
      </c>
      <c r="R3684">
        <f>COUNTIF('一般職員　企業局→市長部局'!A:F,SQLデータ!B3684)</f>
        <v>0</v>
      </c>
    </row>
    <row r="3685" spans="1:18" x14ac:dyDescent="0.4">
      <c r="A3685" s="1">
        <v>202650003638</v>
      </c>
      <c r="B3685" s="1">
        <v>1091118</v>
      </c>
      <c r="C3685" s="2">
        <v>46129</v>
      </c>
      <c r="D3685" t="s">
        <v>17</v>
      </c>
      <c r="E3685" t="s">
        <v>8</v>
      </c>
      <c r="G3685" t="s">
        <v>9</v>
      </c>
      <c r="L3685">
        <f t="shared" si="292"/>
        <v>0</v>
      </c>
      <c r="M3685">
        <f t="shared" si="293"/>
        <v>0</v>
      </c>
      <c r="N3685">
        <f t="shared" si="294"/>
        <v>0</v>
      </c>
      <c r="O3685">
        <f t="shared" si="295"/>
        <v>1</v>
      </c>
      <c r="P3685" t="str">
        <f t="shared" si="296"/>
        <v/>
      </c>
      <c r="Q3685">
        <f>COUNTIF('責任職　企業局→市長部局'!A:A,SQLデータ!B3685)</f>
        <v>0</v>
      </c>
      <c r="R3685">
        <f>COUNTIF('一般職員　企業局→市長部局'!A:F,SQLデータ!B3685)</f>
        <v>0</v>
      </c>
    </row>
    <row r="3686" spans="1:18" x14ac:dyDescent="0.4">
      <c r="A3686" s="1">
        <v>202650003639</v>
      </c>
      <c r="B3686" s="1">
        <v>1221155</v>
      </c>
      <c r="C3686" s="2">
        <v>46129</v>
      </c>
      <c r="D3686" t="s">
        <v>17</v>
      </c>
      <c r="E3686" t="s">
        <v>8</v>
      </c>
      <c r="G3686" t="s">
        <v>9</v>
      </c>
      <c r="L3686">
        <f t="shared" si="292"/>
        <v>0</v>
      </c>
      <c r="M3686">
        <f t="shared" si="293"/>
        <v>0</v>
      </c>
      <c r="N3686">
        <f t="shared" si="294"/>
        <v>0</v>
      </c>
      <c r="O3686">
        <f t="shared" si="295"/>
        <v>1</v>
      </c>
      <c r="P3686" t="str">
        <f t="shared" si="296"/>
        <v/>
      </c>
      <c r="Q3686">
        <f>COUNTIF('責任職　企業局→市長部局'!A:A,SQLデータ!B3686)</f>
        <v>0</v>
      </c>
      <c r="R3686">
        <f>COUNTIF('一般職員　企業局→市長部局'!A:F,SQLデータ!B3686)</f>
        <v>0</v>
      </c>
    </row>
    <row r="3687" spans="1:18" x14ac:dyDescent="0.4">
      <c r="A3687" s="1">
        <v>202650003640</v>
      </c>
      <c r="B3687" s="1">
        <v>930568</v>
      </c>
      <c r="C3687" s="2">
        <v>46129</v>
      </c>
      <c r="D3687" t="s">
        <v>17</v>
      </c>
      <c r="E3687" t="s">
        <v>8</v>
      </c>
      <c r="G3687" t="s">
        <v>9</v>
      </c>
      <c r="L3687">
        <f t="shared" si="292"/>
        <v>0</v>
      </c>
      <c r="M3687">
        <f t="shared" si="293"/>
        <v>0</v>
      </c>
      <c r="N3687">
        <f t="shared" si="294"/>
        <v>0</v>
      </c>
      <c r="O3687">
        <f t="shared" si="295"/>
        <v>1</v>
      </c>
      <c r="P3687" t="str">
        <f t="shared" si="296"/>
        <v/>
      </c>
      <c r="Q3687">
        <f>COUNTIF('責任職　企業局→市長部局'!A:A,SQLデータ!B3687)</f>
        <v>0</v>
      </c>
      <c r="R3687">
        <f>COUNTIF('一般職員　企業局→市長部局'!A:F,SQLデータ!B3687)</f>
        <v>0</v>
      </c>
    </row>
    <row r="3688" spans="1:18" x14ac:dyDescent="0.4">
      <c r="A3688" s="1">
        <v>202650003641</v>
      </c>
      <c r="B3688" s="1">
        <v>1201173</v>
      </c>
      <c r="C3688" s="2">
        <v>46129</v>
      </c>
      <c r="D3688" t="s">
        <v>17</v>
      </c>
      <c r="E3688" t="s">
        <v>8</v>
      </c>
      <c r="G3688" t="s">
        <v>9</v>
      </c>
      <c r="L3688">
        <f t="shared" si="292"/>
        <v>0</v>
      </c>
      <c r="M3688">
        <f t="shared" si="293"/>
        <v>0</v>
      </c>
      <c r="N3688">
        <f t="shared" si="294"/>
        <v>0</v>
      </c>
      <c r="O3688">
        <f t="shared" si="295"/>
        <v>1</v>
      </c>
      <c r="P3688" t="str">
        <f t="shared" si="296"/>
        <v/>
      </c>
      <c r="Q3688">
        <f>COUNTIF('責任職　企業局→市長部局'!A:A,SQLデータ!B3688)</f>
        <v>0</v>
      </c>
      <c r="R3688">
        <f>COUNTIF('一般職員　企業局→市長部局'!A:F,SQLデータ!B3688)</f>
        <v>0</v>
      </c>
    </row>
    <row r="3689" spans="1:18" x14ac:dyDescent="0.4">
      <c r="A3689" s="1">
        <v>202650003642</v>
      </c>
      <c r="B3689" s="1">
        <v>1221158</v>
      </c>
      <c r="C3689" s="2">
        <v>46129</v>
      </c>
      <c r="D3689" t="s">
        <v>17</v>
      </c>
      <c r="E3689" t="s">
        <v>8</v>
      </c>
      <c r="G3689" t="s">
        <v>9</v>
      </c>
      <c r="L3689">
        <f t="shared" si="292"/>
        <v>0</v>
      </c>
      <c r="M3689">
        <f t="shared" si="293"/>
        <v>0</v>
      </c>
      <c r="N3689">
        <f t="shared" si="294"/>
        <v>0</v>
      </c>
      <c r="O3689">
        <f t="shared" si="295"/>
        <v>1</v>
      </c>
      <c r="P3689" t="str">
        <f t="shared" si="296"/>
        <v/>
      </c>
      <c r="Q3689">
        <f>COUNTIF('責任職　企業局→市長部局'!A:A,SQLデータ!B3689)</f>
        <v>0</v>
      </c>
      <c r="R3689">
        <f>COUNTIF('一般職員　企業局→市長部局'!A:F,SQLデータ!B3689)</f>
        <v>0</v>
      </c>
    </row>
    <row r="3690" spans="1:18" x14ac:dyDescent="0.4">
      <c r="A3690" s="1">
        <v>202650003643</v>
      </c>
      <c r="B3690" s="1">
        <v>1231062</v>
      </c>
      <c r="C3690" s="2">
        <v>46129</v>
      </c>
      <c r="D3690" t="s">
        <v>17</v>
      </c>
      <c r="E3690" t="s">
        <v>8</v>
      </c>
      <c r="G3690" t="s">
        <v>9</v>
      </c>
      <c r="L3690">
        <f t="shared" si="292"/>
        <v>0</v>
      </c>
      <c r="M3690">
        <f t="shared" si="293"/>
        <v>0</v>
      </c>
      <c r="N3690">
        <f t="shared" si="294"/>
        <v>0</v>
      </c>
      <c r="O3690">
        <f t="shared" si="295"/>
        <v>1</v>
      </c>
      <c r="P3690" t="str">
        <f t="shared" si="296"/>
        <v/>
      </c>
      <c r="Q3690">
        <f>COUNTIF('責任職　企業局→市長部局'!A:A,SQLデータ!B3690)</f>
        <v>0</v>
      </c>
      <c r="R3690">
        <f>COUNTIF('一般職員　企業局→市長部局'!A:F,SQLデータ!B3690)</f>
        <v>0</v>
      </c>
    </row>
    <row r="3691" spans="1:18" x14ac:dyDescent="0.4">
      <c r="A3691" s="1">
        <v>202650003644</v>
      </c>
      <c r="B3691" s="1">
        <v>1231144</v>
      </c>
      <c r="C3691" s="2">
        <v>46129</v>
      </c>
      <c r="D3691" t="s">
        <v>17</v>
      </c>
      <c r="E3691" t="s">
        <v>8</v>
      </c>
      <c r="G3691" t="s">
        <v>9</v>
      </c>
      <c r="L3691">
        <f t="shared" si="292"/>
        <v>0</v>
      </c>
      <c r="M3691">
        <f t="shared" si="293"/>
        <v>0</v>
      </c>
      <c r="N3691">
        <f t="shared" si="294"/>
        <v>0</v>
      </c>
      <c r="O3691">
        <f t="shared" si="295"/>
        <v>1</v>
      </c>
      <c r="P3691" t="str">
        <f t="shared" si="296"/>
        <v/>
      </c>
      <c r="Q3691">
        <f>COUNTIF('責任職　企業局→市長部局'!A:A,SQLデータ!B3691)</f>
        <v>0</v>
      </c>
      <c r="R3691">
        <f>COUNTIF('一般職員　企業局→市長部局'!A:F,SQLデータ!B3691)</f>
        <v>0</v>
      </c>
    </row>
    <row r="3692" spans="1:18" x14ac:dyDescent="0.4">
      <c r="A3692" s="1">
        <v>202650003645</v>
      </c>
      <c r="B3692" s="1">
        <v>1232024</v>
      </c>
      <c r="C3692" s="2">
        <v>46129</v>
      </c>
      <c r="D3692" t="s">
        <v>17</v>
      </c>
      <c r="E3692" t="s">
        <v>8</v>
      </c>
      <c r="G3692" t="s">
        <v>9</v>
      </c>
      <c r="L3692">
        <f t="shared" si="292"/>
        <v>0</v>
      </c>
      <c r="M3692">
        <f t="shared" si="293"/>
        <v>0</v>
      </c>
      <c r="N3692">
        <f t="shared" si="294"/>
        <v>0</v>
      </c>
      <c r="O3692">
        <f t="shared" si="295"/>
        <v>1</v>
      </c>
      <c r="P3692" t="str">
        <f t="shared" si="296"/>
        <v/>
      </c>
      <c r="Q3692">
        <f>COUNTIF('責任職　企業局→市長部局'!A:A,SQLデータ!B3692)</f>
        <v>0</v>
      </c>
      <c r="R3692">
        <f>COUNTIF('一般職員　企業局→市長部局'!A:F,SQLデータ!B3692)</f>
        <v>0</v>
      </c>
    </row>
    <row r="3693" spans="1:18" x14ac:dyDescent="0.4">
      <c r="A3693" s="1">
        <v>202650003646</v>
      </c>
      <c r="B3693" s="1">
        <v>960314</v>
      </c>
      <c r="C3693" s="2">
        <v>46129</v>
      </c>
      <c r="D3693" t="s">
        <v>17</v>
      </c>
      <c r="E3693" t="s">
        <v>8</v>
      </c>
      <c r="G3693" t="s">
        <v>9</v>
      </c>
      <c r="L3693">
        <f t="shared" si="292"/>
        <v>0</v>
      </c>
      <c r="M3693">
        <f t="shared" si="293"/>
        <v>0</v>
      </c>
      <c r="N3693">
        <f t="shared" si="294"/>
        <v>0</v>
      </c>
      <c r="O3693">
        <f t="shared" si="295"/>
        <v>1</v>
      </c>
      <c r="P3693" t="str">
        <f t="shared" si="296"/>
        <v/>
      </c>
      <c r="Q3693">
        <f>COUNTIF('責任職　企業局→市長部局'!A:A,SQLデータ!B3693)</f>
        <v>0</v>
      </c>
      <c r="R3693">
        <f>COUNTIF('一般職員　企業局→市長部局'!A:F,SQLデータ!B3693)</f>
        <v>0</v>
      </c>
    </row>
    <row r="3694" spans="1:18" x14ac:dyDescent="0.4">
      <c r="A3694" s="1">
        <v>202650003649</v>
      </c>
      <c r="B3694" s="1">
        <v>1141149</v>
      </c>
      <c r="C3694" s="2">
        <v>46129</v>
      </c>
      <c r="D3694" t="s">
        <v>17</v>
      </c>
      <c r="E3694" t="s">
        <v>8</v>
      </c>
      <c r="G3694" t="s">
        <v>9</v>
      </c>
      <c r="L3694">
        <f t="shared" si="292"/>
        <v>0</v>
      </c>
      <c r="M3694">
        <f t="shared" si="293"/>
        <v>0</v>
      </c>
      <c r="N3694">
        <f t="shared" si="294"/>
        <v>0</v>
      </c>
      <c r="O3694">
        <f t="shared" si="295"/>
        <v>1</v>
      </c>
      <c r="P3694" t="str">
        <f t="shared" si="296"/>
        <v/>
      </c>
      <c r="Q3694">
        <f>COUNTIF('責任職　企業局→市長部局'!A:A,SQLデータ!B3694)</f>
        <v>0</v>
      </c>
      <c r="R3694">
        <f>COUNTIF('一般職員　企業局→市長部局'!A:F,SQLデータ!B3694)</f>
        <v>0</v>
      </c>
    </row>
    <row r="3695" spans="1:18" x14ac:dyDescent="0.4">
      <c r="A3695" s="1">
        <v>202650003650</v>
      </c>
      <c r="B3695" s="1">
        <v>1202112</v>
      </c>
      <c r="C3695" s="2">
        <v>46129</v>
      </c>
      <c r="D3695" t="s">
        <v>17</v>
      </c>
      <c r="E3695" t="s">
        <v>8</v>
      </c>
      <c r="G3695" t="s">
        <v>9</v>
      </c>
      <c r="L3695">
        <f t="shared" si="292"/>
        <v>0</v>
      </c>
      <c r="M3695">
        <f t="shared" si="293"/>
        <v>0</v>
      </c>
      <c r="N3695">
        <f t="shared" si="294"/>
        <v>0</v>
      </c>
      <c r="O3695">
        <f t="shared" si="295"/>
        <v>1</v>
      </c>
      <c r="P3695" t="str">
        <f t="shared" si="296"/>
        <v/>
      </c>
      <c r="Q3695">
        <f>COUNTIF('責任職　企業局→市長部局'!A:A,SQLデータ!B3695)</f>
        <v>0</v>
      </c>
      <c r="R3695">
        <f>COUNTIF('一般職員　企業局→市長部局'!A:F,SQLデータ!B3695)</f>
        <v>0</v>
      </c>
    </row>
    <row r="3696" spans="1:18" x14ac:dyDescent="0.4">
      <c r="A3696" s="1">
        <v>202650003651</v>
      </c>
      <c r="B3696" s="1">
        <v>1042085</v>
      </c>
      <c r="C3696" s="2">
        <v>46129</v>
      </c>
      <c r="D3696" t="s">
        <v>17</v>
      </c>
      <c r="E3696" t="s">
        <v>8</v>
      </c>
      <c r="G3696" t="s">
        <v>9</v>
      </c>
      <c r="L3696">
        <f t="shared" si="292"/>
        <v>0</v>
      </c>
      <c r="M3696">
        <f t="shared" si="293"/>
        <v>0</v>
      </c>
      <c r="N3696">
        <f t="shared" si="294"/>
        <v>0</v>
      </c>
      <c r="O3696">
        <f t="shared" si="295"/>
        <v>1</v>
      </c>
      <c r="P3696" t="str">
        <f t="shared" si="296"/>
        <v/>
      </c>
      <c r="Q3696">
        <f>COUNTIF('責任職　企業局→市長部局'!A:A,SQLデータ!B3696)</f>
        <v>0</v>
      </c>
      <c r="R3696">
        <f>COUNTIF('一般職員　企業局→市長部局'!A:F,SQLデータ!B3696)</f>
        <v>0</v>
      </c>
    </row>
    <row r="3697" spans="1:18" x14ac:dyDescent="0.4">
      <c r="A3697" s="1">
        <v>202650003652</v>
      </c>
      <c r="B3697" s="1">
        <v>1222109</v>
      </c>
      <c r="C3697" s="2">
        <v>46129</v>
      </c>
      <c r="D3697" t="s">
        <v>17</v>
      </c>
      <c r="E3697" t="s">
        <v>8</v>
      </c>
      <c r="G3697" t="s">
        <v>9</v>
      </c>
      <c r="L3697">
        <f t="shared" si="292"/>
        <v>0</v>
      </c>
      <c r="M3697">
        <f t="shared" si="293"/>
        <v>0</v>
      </c>
      <c r="N3697">
        <f t="shared" si="294"/>
        <v>0</v>
      </c>
      <c r="O3697">
        <f t="shared" si="295"/>
        <v>1</v>
      </c>
      <c r="P3697" t="str">
        <f t="shared" si="296"/>
        <v/>
      </c>
      <c r="Q3697">
        <f>COUNTIF('責任職　企業局→市長部局'!A:A,SQLデータ!B3697)</f>
        <v>0</v>
      </c>
      <c r="R3697">
        <f>COUNTIF('一般職員　企業局→市長部局'!A:F,SQLデータ!B3697)</f>
        <v>0</v>
      </c>
    </row>
    <row r="3698" spans="1:18" x14ac:dyDescent="0.4">
      <c r="A3698" s="1">
        <v>202650003653</v>
      </c>
      <c r="B3698" s="1">
        <v>1231051</v>
      </c>
      <c r="C3698" s="2">
        <v>46129</v>
      </c>
      <c r="D3698" t="s">
        <v>17</v>
      </c>
      <c r="E3698" t="s">
        <v>8</v>
      </c>
      <c r="G3698" t="s">
        <v>9</v>
      </c>
      <c r="L3698">
        <f t="shared" si="292"/>
        <v>0</v>
      </c>
      <c r="M3698">
        <f t="shared" si="293"/>
        <v>0</v>
      </c>
      <c r="N3698">
        <f t="shared" si="294"/>
        <v>0</v>
      </c>
      <c r="O3698">
        <f t="shared" si="295"/>
        <v>1</v>
      </c>
      <c r="P3698" t="str">
        <f t="shared" si="296"/>
        <v/>
      </c>
      <c r="Q3698">
        <f>COUNTIF('責任職　企業局→市長部局'!A:A,SQLデータ!B3698)</f>
        <v>0</v>
      </c>
      <c r="R3698">
        <f>COUNTIF('一般職員　企業局→市長部局'!A:F,SQLデータ!B3698)</f>
        <v>0</v>
      </c>
    </row>
    <row r="3699" spans="1:18" x14ac:dyDescent="0.4">
      <c r="A3699" s="1">
        <v>202650003654</v>
      </c>
      <c r="B3699" s="1">
        <v>1212120</v>
      </c>
      <c r="C3699" s="2">
        <v>46129</v>
      </c>
      <c r="D3699" t="s">
        <v>17</v>
      </c>
      <c r="E3699" t="s">
        <v>8</v>
      </c>
      <c r="G3699" t="s">
        <v>9</v>
      </c>
      <c r="L3699">
        <f t="shared" si="292"/>
        <v>0</v>
      </c>
      <c r="M3699">
        <f t="shared" si="293"/>
        <v>0</v>
      </c>
      <c r="N3699">
        <f t="shared" si="294"/>
        <v>0</v>
      </c>
      <c r="O3699">
        <f t="shared" si="295"/>
        <v>1</v>
      </c>
      <c r="P3699" t="str">
        <f t="shared" si="296"/>
        <v/>
      </c>
      <c r="Q3699">
        <f>COUNTIF('責任職　企業局→市長部局'!A:A,SQLデータ!B3699)</f>
        <v>0</v>
      </c>
      <c r="R3699">
        <f>COUNTIF('一般職員　企業局→市長部局'!A:F,SQLデータ!B3699)</f>
        <v>0</v>
      </c>
    </row>
    <row r="3700" spans="1:18" x14ac:dyDescent="0.4">
      <c r="A3700" s="1">
        <v>202650003655</v>
      </c>
      <c r="B3700" s="1">
        <v>1042085</v>
      </c>
      <c r="C3700" s="2">
        <v>46129</v>
      </c>
      <c r="D3700" t="s">
        <v>17</v>
      </c>
      <c r="E3700" t="s">
        <v>8</v>
      </c>
      <c r="G3700" t="s">
        <v>9</v>
      </c>
      <c r="L3700">
        <f t="shared" si="292"/>
        <v>0</v>
      </c>
      <c r="M3700">
        <f t="shared" si="293"/>
        <v>0</v>
      </c>
      <c r="N3700">
        <f t="shared" si="294"/>
        <v>0</v>
      </c>
      <c r="O3700">
        <f t="shared" si="295"/>
        <v>1</v>
      </c>
      <c r="P3700" t="str">
        <f t="shared" si="296"/>
        <v/>
      </c>
      <c r="Q3700">
        <f>COUNTIF('責任職　企業局→市長部局'!A:A,SQLデータ!B3700)</f>
        <v>0</v>
      </c>
      <c r="R3700">
        <f>COUNTIF('一般職員　企業局→市長部局'!A:F,SQLデータ!B3700)</f>
        <v>0</v>
      </c>
    </row>
    <row r="3701" spans="1:18" x14ac:dyDescent="0.4">
      <c r="A3701" s="1">
        <v>202650003656</v>
      </c>
      <c r="B3701" s="1">
        <v>1111250</v>
      </c>
      <c r="C3701" s="2">
        <v>46129</v>
      </c>
      <c r="D3701" t="s">
        <v>17</v>
      </c>
      <c r="E3701" t="s">
        <v>8</v>
      </c>
      <c r="G3701" t="s">
        <v>9</v>
      </c>
      <c r="L3701">
        <f t="shared" si="292"/>
        <v>0</v>
      </c>
      <c r="M3701">
        <f t="shared" si="293"/>
        <v>0</v>
      </c>
      <c r="N3701">
        <f t="shared" si="294"/>
        <v>0</v>
      </c>
      <c r="O3701">
        <f t="shared" si="295"/>
        <v>1</v>
      </c>
      <c r="P3701" t="str">
        <f t="shared" si="296"/>
        <v/>
      </c>
      <c r="Q3701">
        <f>COUNTIF('責任職　企業局→市長部局'!A:A,SQLデータ!B3701)</f>
        <v>0</v>
      </c>
      <c r="R3701">
        <f>COUNTIF('一般職員　企業局→市長部局'!A:F,SQLデータ!B3701)</f>
        <v>0</v>
      </c>
    </row>
    <row r="3702" spans="1:18" x14ac:dyDescent="0.4">
      <c r="A3702" s="1">
        <v>202650003657</v>
      </c>
      <c r="B3702" s="1">
        <v>1211448</v>
      </c>
      <c r="C3702" s="2">
        <v>46129</v>
      </c>
      <c r="D3702" t="s">
        <v>17</v>
      </c>
      <c r="E3702" t="s">
        <v>8</v>
      </c>
      <c r="G3702" t="s">
        <v>9</v>
      </c>
      <c r="L3702">
        <f t="shared" si="292"/>
        <v>0</v>
      </c>
      <c r="M3702">
        <f t="shared" si="293"/>
        <v>0</v>
      </c>
      <c r="N3702">
        <f t="shared" si="294"/>
        <v>0</v>
      </c>
      <c r="O3702">
        <f t="shared" si="295"/>
        <v>1</v>
      </c>
      <c r="P3702" t="str">
        <f t="shared" si="296"/>
        <v/>
      </c>
      <c r="Q3702">
        <f>COUNTIF('責任職　企業局→市長部局'!A:A,SQLデータ!B3702)</f>
        <v>0</v>
      </c>
      <c r="R3702">
        <f>COUNTIF('一般職員　企業局→市長部局'!A:F,SQLデータ!B3702)</f>
        <v>0</v>
      </c>
    </row>
    <row r="3703" spans="1:18" x14ac:dyDescent="0.4">
      <c r="A3703" s="1">
        <v>202650003658</v>
      </c>
      <c r="B3703" s="1">
        <v>1131208</v>
      </c>
      <c r="C3703" s="2">
        <v>46120</v>
      </c>
      <c r="D3703" t="s">
        <v>17</v>
      </c>
      <c r="E3703" t="s">
        <v>8</v>
      </c>
      <c r="G3703" t="s">
        <v>9</v>
      </c>
      <c r="L3703">
        <f t="shared" si="292"/>
        <v>0</v>
      </c>
      <c r="M3703">
        <f t="shared" si="293"/>
        <v>0</v>
      </c>
      <c r="N3703">
        <f t="shared" si="294"/>
        <v>0</v>
      </c>
      <c r="O3703">
        <f t="shared" si="295"/>
        <v>1</v>
      </c>
      <c r="P3703" t="str">
        <f t="shared" si="296"/>
        <v/>
      </c>
      <c r="Q3703">
        <f>COUNTIF('責任職　企業局→市長部局'!A:A,SQLデータ!B3703)</f>
        <v>0</v>
      </c>
      <c r="R3703">
        <f>COUNTIF('一般職員　企業局→市長部局'!A:F,SQLデータ!B3703)</f>
        <v>0</v>
      </c>
    </row>
    <row r="3704" spans="1:18" x14ac:dyDescent="0.4">
      <c r="A3704" s="1">
        <v>202650003659</v>
      </c>
      <c r="B3704" s="1">
        <v>1021169</v>
      </c>
      <c r="C3704" s="2">
        <v>46129</v>
      </c>
      <c r="D3704" t="s">
        <v>17</v>
      </c>
      <c r="E3704" t="s">
        <v>8</v>
      </c>
      <c r="G3704" t="s">
        <v>9</v>
      </c>
      <c r="L3704">
        <f t="shared" si="292"/>
        <v>0</v>
      </c>
      <c r="M3704">
        <f t="shared" si="293"/>
        <v>0</v>
      </c>
      <c r="N3704">
        <f t="shared" si="294"/>
        <v>0</v>
      </c>
      <c r="O3704">
        <f t="shared" si="295"/>
        <v>1</v>
      </c>
      <c r="P3704" t="str">
        <f t="shared" si="296"/>
        <v/>
      </c>
      <c r="Q3704">
        <f>COUNTIF('責任職　企業局→市長部局'!A:A,SQLデータ!B3704)</f>
        <v>0</v>
      </c>
      <c r="R3704">
        <f>COUNTIF('一般職員　企業局→市長部局'!A:F,SQLデータ!B3704)</f>
        <v>0</v>
      </c>
    </row>
    <row r="3705" spans="1:18" x14ac:dyDescent="0.4">
      <c r="A3705" s="1">
        <v>202650003661</v>
      </c>
      <c r="B3705" s="1">
        <v>1201125</v>
      </c>
      <c r="C3705" s="2">
        <v>46129</v>
      </c>
      <c r="D3705" t="s">
        <v>17</v>
      </c>
      <c r="E3705" t="s">
        <v>8</v>
      </c>
      <c r="G3705" t="s">
        <v>9</v>
      </c>
      <c r="L3705">
        <f t="shared" si="292"/>
        <v>0</v>
      </c>
      <c r="M3705">
        <f t="shared" si="293"/>
        <v>0</v>
      </c>
      <c r="N3705">
        <f t="shared" si="294"/>
        <v>0</v>
      </c>
      <c r="O3705">
        <f t="shared" si="295"/>
        <v>1</v>
      </c>
      <c r="P3705" t="str">
        <f t="shared" si="296"/>
        <v/>
      </c>
      <c r="Q3705">
        <f>COUNTIF('責任職　企業局→市長部局'!A:A,SQLデータ!B3705)</f>
        <v>0</v>
      </c>
      <c r="R3705">
        <f>COUNTIF('一般職員　企業局→市長部局'!A:F,SQLデータ!B3705)</f>
        <v>0</v>
      </c>
    </row>
    <row r="3706" spans="1:18" x14ac:dyDescent="0.4">
      <c r="A3706" s="1">
        <v>202650003662</v>
      </c>
      <c r="B3706" s="1">
        <v>1131470</v>
      </c>
      <c r="C3706" s="2">
        <v>46129</v>
      </c>
      <c r="D3706" t="s">
        <v>17</v>
      </c>
      <c r="E3706" t="s">
        <v>8</v>
      </c>
      <c r="G3706" t="s">
        <v>9</v>
      </c>
      <c r="L3706">
        <f t="shared" si="292"/>
        <v>0</v>
      </c>
      <c r="M3706">
        <f t="shared" si="293"/>
        <v>0</v>
      </c>
      <c r="N3706">
        <f t="shared" si="294"/>
        <v>0</v>
      </c>
      <c r="O3706">
        <f t="shared" si="295"/>
        <v>1</v>
      </c>
      <c r="P3706" t="str">
        <f t="shared" si="296"/>
        <v/>
      </c>
      <c r="Q3706">
        <f>COUNTIF('責任職　企業局→市長部局'!A:A,SQLデータ!B3706)</f>
        <v>0</v>
      </c>
      <c r="R3706">
        <f>COUNTIF('一般職員　企業局→市長部局'!A:F,SQLデータ!B3706)</f>
        <v>0</v>
      </c>
    </row>
    <row r="3707" spans="1:18" x14ac:dyDescent="0.4">
      <c r="A3707" s="1">
        <v>202650003663</v>
      </c>
      <c r="B3707" s="1">
        <v>1171114</v>
      </c>
      <c r="C3707" s="2">
        <v>46129</v>
      </c>
      <c r="D3707" t="s">
        <v>17</v>
      </c>
      <c r="E3707" t="s">
        <v>8</v>
      </c>
      <c r="G3707" t="s">
        <v>9</v>
      </c>
      <c r="L3707">
        <f t="shared" si="292"/>
        <v>0</v>
      </c>
      <c r="M3707">
        <f t="shared" si="293"/>
        <v>0</v>
      </c>
      <c r="N3707">
        <f t="shared" si="294"/>
        <v>0</v>
      </c>
      <c r="O3707">
        <f t="shared" si="295"/>
        <v>1</v>
      </c>
      <c r="P3707" t="str">
        <f t="shared" si="296"/>
        <v/>
      </c>
      <c r="Q3707">
        <f>COUNTIF('責任職　企業局→市長部局'!A:A,SQLデータ!B3707)</f>
        <v>0</v>
      </c>
      <c r="R3707">
        <f>COUNTIF('一般職員　企業局→市長部局'!A:F,SQLデータ!B3707)</f>
        <v>0</v>
      </c>
    </row>
    <row r="3708" spans="1:18" x14ac:dyDescent="0.4">
      <c r="A3708" s="1">
        <v>202650003664</v>
      </c>
      <c r="B3708" s="1">
        <v>1230004</v>
      </c>
      <c r="C3708" s="2">
        <v>46129</v>
      </c>
      <c r="D3708" t="s">
        <v>17</v>
      </c>
      <c r="E3708" t="s">
        <v>8</v>
      </c>
      <c r="G3708" t="s">
        <v>9</v>
      </c>
      <c r="L3708">
        <f t="shared" si="292"/>
        <v>0</v>
      </c>
      <c r="M3708">
        <f t="shared" si="293"/>
        <v>0</v>
      </c>
      <c r="N3708">
        <f t="shared" si="294"/>
        <v>0</v>
      </c>
      <c r="O3708">
        <f t="shared" si="295"/>
        <v>1</v>
      </c>
      <c r="P3708" t="str">
        <f t="shared" si="296"/>
        <v/>
      </c>
      <c r="Q3708">
        <f>COUNTIF('責任職　企業局→市長部局'!A:A,SQLデータ!B3708)</f>
        <v>0</v>
      </c>
      <c r="R3708">
        <f>COUNTIF('一般職員　企業局→市長部局'!A:F,SQLデータ!B3708)</f>
        <v>0</v>
      </c>
    </row>
    <row r="3709" spans="1:18" x14ac:dyDescent="0.4">
      <c r="A3709" s="1">
        <v>202650003666</v>
      </c>
      <c r="B3709" s="1">
        <v>1152031</v>
      </c>
      <c r="C3709" s="2">
        <v>46129</v>
      </c>
      <c r="D3709" t="s">
        <v>17</v>
      </c>
      <c r="E3709" t="s">
        <v>8</v>
      </c>
      <c r="G3709" t="s">
        <v>9</v>
      </c>
      <c r="L3709">
        <f t="shared" si="292"/>
        <v>0</v>
      </c>
      <c r="M3709">
        <f t="shared" si="293"/>
        <v>0</v>
      </c>
      <c r="N3709">
        <f t="shared" si="294"/>
        <v>0</v>
      </c>
      <c r="O3709">
        <f t="shared" si="295"/>
        <v>1</v>
      </c>
      <c r="P3709" t="str">
        <f t="shared" si="296"/>
        <v/>
      </c>
      <c r="Q3709">
        <f>COUNTIF('責任職　企業局→市長部局'!A:A,SQLデータ!B3709)</f>
        <v>0</v>
      </c>
      <c r="R3709">
        <f>COUNTIF('一般職員　企業局→市長部局'!A:F,SQLデータ!B3709)</f>
        <v>0</v>
      </c>
    </row>
    <row r="3710" spans="1:18" x14ac:dyDescent="0.4">
      <c r="A3710" s="1">
        <v>202650003667</v>
      </c>
      <c r="B3710" s="1">
        <v>1201257</v>
      </c>
      <c r="C3710" s="2">
        <v>46129</v>
      </c>
      <c r="D3710" t="s">
        <v>17</v>
      </c>
      <c r="E3710" t="s">
        <v>8</v>
      </c>
      <c r="G3710" t="s">
        <v>9</v>
      </c>
      <c r="L3710">
        <f t="shared" si="292"/>
        <v>0</v>
      </c>
      <c r="M3710">
        <f t="shared" si="293"/>
        <v>0</v>
      </c>
      <c r="N3710">
        <f t="shared" si="294"/>
        <v>0</v>
      </c>
      <c r="O3710">
        <f t="shared" si="295"/>
        <v>1</v>
      </c>
      <c r="P3710" t="str">
        <f t="shared" si="296"/>
        <v/>
      </c>
      <c r="Q3710">
        <f>COUNTIF('責任職　企業局→市長部局'!A:A,SQLデータ!B3710)</f>
        <v>0</v>
      </c>
      <c r="R3710">
        <f>COUNTIF('一般職員　企業局→市長部局'!A:F,SQLデータ!B3710)</f>
        <v>0</v>
      </c>
    </row>
    <row r="3711" spans="1:18" x14ac:dyDescent="0.4">
      <c r="A3711" s="1">
        <v>202650003668</v>
      </c>
      <c r="B3711" s="1">
        <v>1101109</v>
      </c>
      <c r="C3711" s="2">
        <v>46129</v>
      </c>
      <c r="D3711" t="s">
        <v>17</v>
      </c>
      <c r="E3711" t="s">
        <v>8</v>
      </c>
      <c r="G3711" t="s">
        <v>9</v>
      </c>
      <c r="L3711">
        <f t="shared" si="292"/>
        <v>0</v>
      </c>
      <c r="M3711">
        <f t="shared" si="293"/>
        <v>0</v>
      </c>
      <c r="N3711">
        <f t="shared" si="294"/>
        <v>0</v>
      </c>
      <c r="O3711">
        <f t="shared" si="295"/>
        <v>1</v>
      </c>
      <c r="P3711" t="str">
        <f t="shared" si="296"/>
        <v/>
      </c>
      <c r="Q3711">
        <f>COUNTIF('責任職　企業局→市長部局'!A:A,SQLデータ!B3711)</f>
        <v>0</v>
      </c>
      <c r="R3711">
        <f>COUNTIF('一般職員　企業局→市長部局'!A:F,SQLデータ!B3711)</f>
        <v>0</v>
      </c>
    </row>
    <row r="3712" spans="1:18" x14ac:dyDescent="0.4">
      <c r="A3712" s="1">
        <v>202650003669</v>
      </c>
      <c r="B3712" s="1">
        <v>1101115</v>
      </c>
      <c r="C3712" s="2">
        <v>46129</v>
      </c>
      <c r="D3712" t="s">
        <v>17</v>
      </c>
      <c r="E3712" t="s">
        <v>8</v>
      </c>
      <c r="G3712" t="s">
        <v>9</v>
      </c>
      <c r="L3712">
        <f t="shared" si="292"/>
        <v>0</v>
      </c>
      <c r="M3712">
        <f t="shared" si="293"/>
        <v>0</v>
      </c>
      <c r="N3712">
        <f t="shared" si="294"/>
        <v>0</v>
      </c>
      <c r="O3712">
        <f t="shared" si="295"/>
        <v>1</v>
      </c>
      <c r="P3712" t="str">
        <f t="shared" si="296"/>
        <v/>
      </c>
      <c r="Q3712">
        <f>COUNTIF('責任職　企業局→市長部局'!A:A,SQLデータ!B3712)</f>
        <v>0</v>
      </c>
      <c r="R3712">
        <f>COUNTIF('一般職員　企業局→市長部局'!A:F,SQLデータ!B3712)</f>
        <v>0</v>
      </c>
    </row>
    <row r="3713" spans="1:18" x14ac:dyDescent="0.4">
      <c r="A3713" s="1">
        <v>202650003670</v>
      </c>
      <c r="B3713" s="1">
        <v>1161106</v>
      </c>
      <c r="C3713" s="2">
        <v>46129</v>
      </c>
      <c r="D3713" t="s">
        <v>17</v>
      </c>
      <c r="E3713" t="s">
        <v>8</v>
      </c>
      <c r="G3713" t="s">
        <v>9</v>
      </c>
      <c r="L3713">
        <f t="shared" si="292"/>
        <v>0</v>
      </c>
      <c r="M3713">
        <f t="shared" si="293"/>
        <v>0</v>
      </c>
      <c r="N3713">
        <f t="shared" si="294"/>
        <v>0</v>
      </c>
      <c r="O3713">
        <f t="shared" si="295"/>
        <v>1</v>
      </c>
      <c r="P3713" t="str">
        <f t="shared" si="296"/>
        <v/>
      </c>
      <c r="Q3713">
        <f>COUNTIF('責任職　企業局→市長部局'!A:A,SQLデータ!B3713)</f>
        <v>0</v>
      </c>
      <c r="R3713">
        <f>COUNTIF('一般職員　企業局→市長部局'!A:F,SQLデータ!B3713)</f>
        <v>0</v>
      </c>
    </row>
    <row r="3714" spans="1:18" x14ac:dyDescent="0.4">
      <c r="A3714" s="1">
        <v>202650003672</v>
      </c>
      <c r="B3714" s="1">
        <v>1211422</v>
      </c>
      <c r="C3714" s="2">
        <v>46129</v>
      </c>
      <c r="D3714" t="s">
        <v>17</v>
      </c>
      <c r="E3714" t="s">
        <v>8</v>
      </c>
      <c r="G3714" t="s">
        <v>9</v>
      </c>
      <c r="L3714">
        <f t="shared" si="292"/>
        <v>0</v>
      </c>
      <c r="M3714">
        <f t="shared" si="293"/>
        <v>0</v>
      </c>
      <c r="N3714">
        <f t="shared" si="294"/>
        <v>0</v>
      </c>
      <c r="O3714">
        <f t="shared" si="295"/>
        <v>1</v>
      </c>
      <c r="P3714" t="str">
        <f t="shared" si="296"/>
        <v/>
      </c>
      <c r="Q3714">
        <f>COUNTIF('責任職　企業局→市長部局'!A:A,SQLデータ!B3714)</f>
        <v>0</v>
      </c>
      <c r="R3714">
        <f>COUNTIF('一般職員　企業局→市長部局'!A:F,SQLデータ!B3714)</f>
        <v>0</v>
      </c>
    </row>
    <row r="3715" spans="1:18" x14ac:dyDescent="0.4">
      <c r="A3715" s="1">
        <v>202650003673</v>
      </c>
      <c r="B3715" s="1">
        <v>1221160</v>
      </c>
      <c r="C3715" s="2">
        <v>46129</v>
      </c>
      <c r="D3715" t="s">
        <v>17</v>
      </c>
      <c r="E3715" t="s">
        <v>8</v>
      </c>
      <c r="G3715" t="s">
        <v>9</v>
      </c>
      <c r="L3715">
        <f t="shared" si="292"/>
        <v>0</v>
      </c>
      <c r="M3715">
        <f t="shared" si="293"/>
        <v>0</v>
      </c>
      <c r="N3715">
        <f t="shared" si="294"/>
        <v>0</v>
      </c>
      <c r="O3715">
        <f t="shared" si="295"/>
        <v>1</v>
      </c>
      <c r="P3715" t="str">
        <f t="shared" si="296"/>
        <v/>
      </c>
      <c r="Q3715">
        <f>COUNTIF('責任職　企業局→市長部局'!A:A,SQLデータ!B3715)</f>
        <v>0</v>
      </c>
      <c r="R3715">
        <f>COUNTIF('一般職員　企業局→市長部局'!A:F,SQLデータ!B3715)</f>
        <v>0</v>
      </c>
    </row>
    <row r="3716" spans="1:18" x14ac:dyDescent="0.4">
      <c r="A3716" s="1">
        <v>202650003674</v>
      </c>
      <c r="B3716" s="1">
        <v>1191434</v>
      </c>
      <c r="C3716" s="2">
        <v>46129</v>
      </c>
      <c r="D3716" t="s">
        <v>17</v>
      </c>
      <c r="E3716" t="s">
        <v>8</v>
      </c>
      <c r="G3716" t="s">
        <v>9</v>
      </c>
      <c r="L3716">
        <f t="shared" si="292"/>
        <v>0</v>
      </c>
      <c r="M3716">
        <f t="shared" si="293"/>
        <v>0</v>
      </c>
      <c r="N3716">
        <f t="shared" si="294"/>
        <v>0</v>
      </c>
      <c r="O3716">
        <f t="shared" si="295"/>
        <v>1</v>
      </c>
      <c r="P3716" t="str">
        <f t="shared" si="296"/>
        <v/>
      </c>
      <c r="Q3716">
        <f>COUNTIF('責任職　企業局→市長部局'!A:A,SQLデータ!B3716)</f>
        <v>0</v>
      </c>
      <c r="R3716">
        <f>COUNTIF('一般職員　企業局→市長部局'!A:F,SQLデータ!B3716)</f>
        <v>0</v>
      </c>
    </row>
    <row r="3717" spans="1:18" x14ac:dyDescent="0.4">
      <c r="A3717" s="1">
        <v>202650003675</v>
      </c>
      <c r="B3717" s="1">
        <v>1171010</v>
      </c>
      <c r="C3717" s="2">
        <v>46129</v>
      </c>
      <c r="D3717" t="s">
        <v>17</v>
      </c>
      <c r="E3717" t="s">
        <v>8</v>
      </c>
      <c r="G3717" t="s">
        <v>9</v>
      </c>
      <c r="L3717">
        <f t="shared" si="292"/>
        <v>0</v>
      </c>
      <c r="M3717">
        <f t="shared" si="293"/>
        <v>0</v>
      </c>
      <c r="N3717">
        <f t="shared" si="294"/>
        <v>0</v>
      </c>
      <c r="O3717">
        <f t="shared" si="295"/>
        <v>1</v>
      </c>
      <c r="P3717" t="str">
        <f t="shared" si="296"/>
        <v/>
      </c>
      <c r="Q3717">
        <f>COUNTIF('責任職　企業局→市長部局'!A:A,SQLデータ!B3717)</f>
        <v>0</v>
      </c>
      <c r="R3717">
        <f>COUNTIF('一般職員　企業局→市長部局'!A:F,SQLデータ!B3717)</f>
        <v>0</v>
      </c>
    </row>
    <row r="3718" spans="1:18" x14ac:dyDescent="0.4">
      <c r="A3718" s="1">
        <v>202650003676</v>
      </c>
      <c r="B3718" s="1">
        <v>930466</v>
      </c>
      <c r="C3718" s="2">
        <v>46129</v>
      </c>
      <c r="D3718" t="s">
        <v>17</v>
      </c>
      <c r="E3718" t="s">
        <v>8</v>
      </c>
      <c r="G3718" t="s">
        <v>9</v>
      </c>
      <c r="L3718">
        <f t="shared" si="292"/>
        <v>0</v>
      </c>
      <c r="M3718">
        <f t="shared" si="293"/>
        <v>0</v>
      </c>
      <c r="N3718">
        <f t="shared" si="294"/>
        <v>0</v>
      </c>
      <c r="O3718">
        <f t="shared" si="295"/>
        <v>1</v>
      </c>
      <c r="P3718" t="str">
        <f t="shared" si="296"/>
        <v/>
      </c>
      <c r="Q3718">
        <f>COUNTIF('責任職　企業局→市長部局'!A:A,SQLデータ!B3718)</f>
        <v>0</v>
      </c>
      <c r="R3718">
        <f>COUNTIF('一般職員　企業局→市長部局'!A:F,SQLデータ!B3718)</f>
        <v>0</v>
      </c>
    </row>
    <row r="3719" spans="1:18" x14ac:dyDescent="0.4">
      <c r="A3719" s="1">
        <v>202650003677</v>
      </c>
      <c r="B3719" s="1">
        <v>1171464</v>
      </c>
      <c r="C3719" s="2">
        <v>46129</v>
      </c>
      <c r="D3719" t="s">
        <v>17</v>
      </c>
      <c r="E3719" t="s">
        <v>8</v>
      </c>
      <c r="G3719" t="s">
        <v>9</v>
      </c>
      <c r="L3719">
        <f t="shared" si="292"/>
        <v>0</v>
      </c>
      <c r="M3719">
        <f t="shared" si="293"/>
        <v>0</v>
      </c>
      <c r="N3719">
        <f t="shared" si="294"/>
        <v>0</v>
      </c>
      <c r="O3719">
        <f t="shared" si="295"/>
        <v>1</v>
      </c>
      <c r="P3719" t="str">
        <f t="shared" si="296"/>
        <v/>
      </c>
      <c r="Q3719">
        <f>COUNTIF('責任職　企業局→市長部局'!A:A,SQLデータ!B3719)</f>
        <v>0</v>
      </c>
      <c r="R3719">
        <f>COUNTIF('一般職員　企業局→市長部局'!A:F,SQLデータ!B3719)</f>
        <v>0</v>
      </c>
    </row>
    <row r="3720" spans="1:18" x14ac:dyDescent="0.4">
      <c r="A3720" s="1">
        <v>202650003678</v>
      </c>
      <c r="B3720" s="1">
        <v>1111180</v>
      </c>
      <c r="C3720" s="2">
        <v>46129</v>
      </c>
      <c r="D3720" t="s">
        <v>17</v>
      </c>
      <c r="E3720" t="s">
        <v>8</v>
      </c>
      <c r="G3720" t="s">
        <v>9</v>
      </c>
      <c r="L3720">
        <f t="shared" si="292"/>
        <v>0</v>
      </c>
      <c r="M3720">
        <f t="shared" si="293"/>
        <v>0</v>
      </c>
      <c r="N3720">
        <f t="shared" si="294"/>
        <v>0</v>
      </c>
      <c r="O3720">
        <f t="shared" si="295"/>
        <v>1</v>
      </c>
      <c r="P3720" t="str">
        <f t="shared" si="296"/>
        <v/>
      </c>
      <c r="Q3720">
        <f>COUNTIF('責任職　企業局→市長部局'!A:A,SQLデータ!B3720)</f>
        <v>0</v>
      </c>
      <c r="R3720">
        <f>COUNTIF('一般職員　企業局→市長部局'!A:F,SQLデータ!B3720)</f>
        <v>0</v>
      </c>
    </row>
    <row r="3721" spans="1:18" x14ac:dyDescent="0.4">
      <c r="A3721" s="1">
        <v>202650003679</v>
      </c>
      <c r="B3721" s="1">
        <v>1161385</v>
      </c>
      <c r="C3721" s="2">
        <v>46129</v>
      </c>
      <c r="D3721" t="s">
        <v>17</v>
      </c>
      <c r="E3721" t="s">
        <v>8</v>
      </c>
      <c r="G3721" t="s">
        <v>9</v>
      </c>
      <c r="L3721">
        <f t="shared" si="292"/>
        <v>0</v>
      </c>
      <c r="M3721">
        <f t="shared" si="293"/>
        <v>0</v>
      </c>
      <c r="N3721">
        <f t="shared" si="294"/>
        <v>0</v>
      </c>
      <c r="O3721">
        <f t="shared" si="295"/>
        <v>1</v>
      </c>
      <c r="P3721" t="str">
        <f t="shared" si="296"/>
        <v/>
      </c>
      <c r="Q3721">
        <f>COUNTIF('責任職　企業局→市長部局'!A:A,SQLデータ!B3721)</f>
        <v>0</v>
      </c>
      <c r="R3721">
        <f>COUNTIF('一般職員　企業局→市長部局'!A:F,SQLデータ!B3721)</f>
        <v>0</v>
      </c>
    </row>
    <row r="3722" spans="1:18" x14ac:dyDescent="0.4">
      <c r="A3722" s="1">
        <v>202650003680</v>
      </c>
      <c r="B3722" s="1">
        <v>1211263</v>
      </c>
      <c r="C3722" s="2">
        <v>46129</v>
      </c>
      <c r="D3722" t="s">
        <v>17</v>
      </c>
      <c r="E3722" t="s">
        <v>8</v>
      </c>
      <c r="G3722" t="s">
        <v>9</v>
      </c>
      <c r="L3722">
        <f t="shared" si="292"/>
        <v>0</v>
      </c>
      <c r="M3722">
        <f t="shared" si="293"/>
        <v>0</v>
      </c>
      <c r="N3722">
        <f t="shared" si="294"/>
        <v>0</v>
      </c>
      <c r="O3722">
        <f t="shared" si="295"/>
        <v>1</v>
      </c>
      <c r="P3722" t="str">
        <f t="shared" si="296"/>
        <v/>
      </c>
      <c r="Q3722">
        <f>COUNTIF('責任職　企業局→市長部局'!A:A,SQLデータ!B3722)</f>
        <v>0</v>
      </c>
      <c r="R3722">
        <f>COUNTIF('一般職員　企業局→市長部局'!A:F,SQLデータ!B3722)</f>
        <v>0</v>
      </c>
    </row>
    <row r="3723" spans="1:18" x14ac:dyDescent="0.4">
      <c r="A3723" s="1">
        <v>202650003681</v>
      </c>
      <c r="B3723" s="1">
        <v>1092021</v>
      </c>
      <c r="C3723" s="2">
        <v>46129</v>
      </c>
      <c r="D3723" t="s">
        <v>17</v>
      </c>
      <c r="E3723" t="s">
        <v>8</v>
      </c>
      <c r="G3723" t="s">
        <v>9</v>
      </c>
      <c r="L3723">
        <f t="shared" si="292"/>
        <v>0</v>
      </c>
      <c r="M3723">
        <f t="shared" si="293"/>
        <v>0</v>
      </c>
      <c r="N3723">
        <f t="shared" si="294"/>
        <v>0</v>
      </c>
      <c r="O3723">
        <f t="shared" si="295"/>
        <v>1</v>
      </c>
      <c r="P3723" t="str">
        <f t="shared" si="296"/>
        <v/>
      </c>
      <c r="Q3723">
        <f>COUNTIF('責任職　企業局→市長部局'!A:A,SQLデータ!B3723)</f>
        <v>0</v>
      </c>
      <c r="R3723">
        <f>COUNTIF('一般職員　企業局→市長部局'!A:F,SQLデータ!B3723)</f>
        <v>0</v>
      </c>
    </row>
    <row r="3724" spans="1:18" x14ac:dyDescent="0.4">
      <c r="A3724" s="1">
        <v>202650003682</v>
      </c>
      <c r="B3724" s="1">
        <v>1181019</v>
      </c>
      <c r="C3724" s="2">
        <v>46129</v>
      </c>
      <c r="D3724" t="s">
        <v>17</v>
      </c>
      <c r="E3724" t="s">
        <v>8</v>
      </c>
      <c r="G3724" t="s">
        <v>9</v>
      </c>
      <c r="L3724">
        <f t="shared" si="292"/>
        <v>0</v>
      </c>
      <c r="M3724">
        <f t="shared" si="293"/>
        <v>0</v>
      </c>
      <c r="N3724">
        <f t="shared" si="294"/>
        <v>0</v>
      </c>
      <c r="O3724">
        <f t="shared" si="295"/>
        <v>1</v>
      </c>
      <c r="P3724" t="str">
        <f t="shared" si="296"/>
        <v/>
      </c>
      <c r="Q3724">
        <f>COUNTIF('責任職　企業局→市長部局'!A:A,SQLデータ!B3724)</f>
        <v>0</v>
      </c>
      <c r="R3724">
        <f>COUNTIF('一般職員　企業局→市長部局'!A:F,SQLデータ!B3724)</f>
        <v>0</v>
      </c>
    </row>
    <row r="3725" spans="1:18" x14ac:dyDescent="0.4">
      <c r="A3725" s="1">
        <v>202650003683</v>
      </c>
      <c r="B3725" s="1">
        <v>1261381</v>
      </c>
      <c r="C3725" s="2">
        <v>46129</v>
      </c>
      <c r="D3725" t="s">
        <v>17</v>
      </c>
      <c r="E3725" t="s">
        <v>8</v>
      </c>
      <c r="G3725" t="s">
        <v>9</v>
      </c>
      <c r="L3725">
        <f t="shared" si="292"/>
        <v>0</v>
      </c>
      <c r="M3725">
        <f t="shared" si="293"/>
        <v>0</v>
      </c>
      <c r="N3725">
        <f t="shared" si="294"/>
        <v>0</v>
      </c>
      <c r="O3725">
        <f t="shared" si="295"/>
        <v>1</v>
      </c>
      <c r="P3725" t="str">
        <f t="shared" si="296"/>
        <v/>
      </c>
      <c r="Q3725">
        <f>COUNTIF('責任職　企業局→市長部局'!A:A,SQLデータ!B3725)</f>
        <v>0</v>
      </c>
      <c r="R3725">
        <f>COUNTIF('一般職員　企業局→市長部局'!A:F,SQLデータ!B3725)</f>
        <v>0</v>
      </c>
    </row>
    <row r="3726" spans="1:18" x14ac:dyDescent="0.4">
      <c r="A3726" s="1">
        <v>202650003684</v>
      </c>
      <c r="B3726" s="1">
        <v>1221208</v>
      </c>
      <c r="C3726" s="2">
        <v>46129</v>
      </c>
      <c r="D3726" t="s">
        <v>17</v>
      </c>
      <c r="E3726" t="s">
        <v>8</v>
      </c>
      <c r="G3726" t="s">
        <v>9</v>
      </c>
      <c r="L3726">
        <f t="shared" si="292"/>
        <v>0</v>
      </c>
      <c r="M3726">
        <f t="shared" si="293"/>
        <v>0</v>
      </c>
      <c r="N3726">
        <f t="shared" si="294"/>
        <v>0</v>
      </c>
      <c r="O3726">
        <f t="shared" si="295"/>
        <v>1</v>
      </c>
      <c r="P3726" t="str">
        <f t="shared" si="296"/>
        <v/>
      </c>
      <c r="Q3726">
        <f>COUNTIF('責任職　企業局→市長部局'!A:A,SQLデータ!B3726)</f>
        <v>0</v>
      </c>
      <c r="R3726">
        <f>COUNTIF('一般職員　企業局→市長部局'!A:F,SQLデータ!B3726)</f>
        <v>0</v>
      </c>
    </row>
    <row r="3727" spans="1:18" x14ac:dyDescent="0.4">
      <c r="A3727" s="1">
        <v>202650003685</v>
      </c>
      <c r="B3727" s="1">
        <v>981145</v>
      </c>
      <c r="C3727" s="2">
        <v>46129</v>
      </c>
      <c r="D3727" t="s">
        <v>17</v>
      </c>
      <c r="E3727" t="s">
        <v>8</v>
      </c>
      <c r="G3727" t="s">
        <v>9</v>
      </c>
      <c r="L3727">
        <f t="shared" si="292"/>
        <v>0</v>
      </c>
      <c r="M3727">
        <f t="shared" si="293"/>
        <v>0</v>
      </c>
      <c r="N3727">
        <f t="shared" si="294"/>
        <v>0</v>
      </c>
      <c r="O3727">
        <f t="shared" si="295"/>
        <v>1</v>
      </c>
      <c r="P3727" t="str">
        <f t="shared" si="296"/>
        <v/>
      </c>
      <c r="Q3727">
        <f>COUNTIF('責任職　企業局→市長部局'!A:A,SQLデータ!B3727)</f>
        <v>0</v>
      </c>
      <c r="R3727">
        <f>COUNTIF('一般職員　企業局→市長部局'!A:F,SQLデータ!B3727)</f>
        <v>0</v>
      </c>
    </row>
    <row r="3728" spans="1:18" x14ac:dyDescent="0.4">
      <c r="A3728" s="1">
        <v>202650003686</v>
      </c>
      <c r="B3728" s="1">
        <v>1231109</v>
      </c>
      <c r="C3728" s="2">
        <v>46129</v>
      </c>
      <c r="D3728" t="s">
        <v>17</v>
      </c>
      <c r="E3728" t="s">
        <v>8</v>
      </c>
      <c r="G3728" t="s">
        <v>9</v>
      </c>
      <c r="L3728">
        <f t="shared" si="292"/>
        <v>0</v>
      </c>
      <c r="M3728">
        <f t="shared" si="293"/>
        <v>0</v>
      </c>
      <c r="N3728">
        <f t="shared" si="294"/>
        <v>0</v>
      </c>
      <c r="O3728">
        <f t="shared" si="295"/>
        <v>1</v>
      </c>
      <c r="P3728" t="str">
        <f t="shared" si="296"/>
        <v/>
      </c>
      <c r="Q3728">
        <f>COUNTIF('責任職　企業局→市長部局'!A:A,SQLデータ!B3728)</f>
        <v>0</v>
      </c>
      <c r="R3728">
        <f>COUNTIF('一般職員　企業局→市長部局'!A:F,SQLデータ!B3728)</f>
        <v>0</v>
      </c>
    </row>
    <row r="3729" spans="1:18" x14ac:dyDescent="0.4">
      <c r="A3729" s="1">
        <v>202650003688</v>
      </c>
      <c r="B3729" s="1">
        <v>1001145</v>
      </c>
      <c r="C3729" s="2">
        <v>46129</v>
      </c>
      <c r="D3729" t="s">
        <v>17</v>
      </c>
      <c r="E3729" t="s">
        <v>8</v>
      </c>
      <c r="G3729" t="s">
        <v>9</v>
      </c>
      <c r="L3729">
        <f t="shared" si="292"/>
        <v>0</v>
      </c>
      <c r="M3729">
        <f t="shared" si="293"/>
        <v>0</v>
      </c>
      <c r="N3729">
        <f t="shared" si="294"/>
        <v>0</v>
      </c>
      <c r="O3729">
        <f t="shared" si="295"/>
        <v>1</v>
      </c>
      <c r="P3729" t="str">
        <f t="shared" si="296"/>
        <v/>
      </c>
      <c r="Q3729">
        <f>COUNTIF('責任職　企業局→市長部局'!A:A,SQLデータ!B3729)</f>
        <v>0</v>
      </c>
      <c r="R3729">
        <f>COUNTIF('一般職員　企業局→市長部局'!A:F,SQLデータ!B3729)</f>
        <v>0</v>
      </c>
    </row>
    <row r="3730" spans="1:18" x14ac:dyDescent="0.4">
      <c r="A3730" s="1">
        <v>202650003689</v>
      </c>
      <c r="B3730" s="1">
        <v>1181160</v>
      </c>
      <c r="C3730" s="2">
        <v>46129</v>
      </c>
      <c r="D3730" t="s">
        <v>17</v>
      </c>
      <c r="E3730" t="s">
        <v>8</v>
      </c>
      <c r="G3730" t="s">
        <v>9</v>
      </c>
      <c r="L3730">
        <f t="shared" si="292"/>
        <v>0</v>
      </c>
      <c r="M3730">
        <f t="shared" si="293"/>
        <v>0</v>
      </c>
      <c r="N3730">
        <f t="shared" si="294"/>
        <v>0</v>
      </c>
      <c r="O3730">
        <f t="shared" si="295"/>
        <v>1</v>
      </c>
      <c r="P3730" t="str">
        <f t="shared" si="296"/>
        <v/>
      </c>
      <c r="Q3730">
        <f>COUNTIF('責任職　企業局→市長部局'!A:A,SQLデータ!B3730)</f>
        <v>0</v>
      </c>
      <c r="R3730">
        <f>COUNTIF('一般職員　企業局→市長部局'!A:F,SQLデータ!B3730)</f>
        <v>0</v>
      </c>
    </row>
    <row r="3731" spans="1:18" x14ac:dyDescent="0.4">
      <c r="A3731" s="1">
        <v>202650003690</v>
      </c>
      <c r="B3731" s="1">
        <v>1191185</v>
      </c>
      <c r="C3731" s="2">
        <v>46129</v>
      </c>
      <c r="D3731" t="s">
        <v>17</v>
      </c>
      <c r="E3731" t="s">
        <v>8</v>
      </c>
      <c r="G3731" t="s">
        <v>9</v>
      </c>
      <c r="L3731">
        <f t="shared" si="292"/>
        <v>0</v>
      </c>
      <c r="M3731">
        <f t="shared" si="293"/>
        <v>0</v>
      </c>
      <c r="N3731">
        <f t="shared" si="294"/>
        <v>0</v>
      </c>
      <c r="O3731">
        <f t="shared" si="295"/>
        <v>1</v>
      </c>
      <c r="P3731" t="str">
        <f t="shared" si="296"/>
        <v/>
      </c>
      <c r="Q3731">
        <f>COUNTIF('責任職　企業局→市長部局'!A:A,SQLデータ!B3731)</f>
        <v>0</v>
      </c>
      <c r="R3731">
        <f>COUNTIF('一般職員　企業局→市長部局'!A:F,SQLデータ!B3731)</f>
        <v>0</v>
      </c>
    </row>
    <row r="3732" spans="1:18" x14ac:dyDescent="0.4">
      <c r="A3732" s="1">
        <v>202650003691</v>
      </c>
      <c r="B3732" s="1">
        <v>1112050</v>
      </c>
      <c r="C3732" s="2">
        <v>46129</v>
      </c>
      <c r="D3732" t="s">
        <v>17</v>
      </c>
      <c r="E3732" t="s">
        <v>8</v>
      </c>
      <c r="G3732" t="s">
        <v>9</v>
      </c>
      <c r="L3732">
        <f t="shared" si="292"/>
        <v>0</v>
      </c>
      <c r="M3732">
        <f t="shared" si="293"/>
        <v>0</v>
      </c>
      <c r="N3732">
        <f t="shared" si="294"/>
        <v>0</v>
      </c>
      <c r="O3732">
        <f t="shared" si="295"/>
        <v>1</v>
      </c>
      <c r="P3732" t="str">
        <f t="shared" si="296"/>
        <v/>
      </c>
      <c r="Q3732">
        <f>COUNTIF('責任職　企業局→市長部局'!A:A,SQLデータ!B3732)</f>
        <v>0</v>
      </c>
      <c r="R3732">
        <f>COUNTIF('一般職員　企業局→市長部局'!A:F,SQLデータ!B3732)</f>
        <v>0</v>
      </c>
    </row>
    <row r="3733" spans="1:18" x14ac:dyDescent="0.4">
      <c r="A3733" s="1">
        <v>202650003692</v>
      </c>
      <c r="B3733" s="1">
        <v>1161259</v>
      </c>
      <c r="C3733" s="2">
        <v>46129</v>
      </c>
      <c r="D3733" t="s">
        <v>17</v>
      </c>
      <c r="E3733" t="s">
        <v>8</v>
      </c>
      <c r="G3733" t="s">
        <v>9</v>
      </c>
      <c r="L3733">
        <f t="shared" si="292"/>
        <v>0</v>
      </c>
      <c r="M3733">
        <f t="shared" si="293"/>
        <v>0</v>
      </c>
      <c r="N3733">
        <f t="shared" si="294"/>
        <v>0</v>
      </c>
      <c r="O3733">
        <f t="shared" si="295"/>
        <v>1</v>
      </c>
      <c r="P3733" t="str">
        <f t="shared" si="296"/>
        <v/>
      </c>
      <c r="Q3733">
        <f>COUNTIF('責任職　企業局→市長部局'!A:A,SQLデータ!B3733)</f>
        <v>0</v>
      </c>
      <c r="R3733">
        <f>COUNTIF('一般職員　企業局→市長部局'!A:F,SQLデータ!B3733)</f>
        <v>0</v>
      </c>
    </row>
    <row r="3734" spans="1:18" x14ac:dyDescent="0.4">
      <c r="A3734" s="1">
        <v>202650003693</v>
      </c>
      <c r="B3734" s="1">
        <v>940455</v>
      </c>
      <c r="C3734" s="2">
        <v>46129</v>
      </c>
      <c r="D3734" t="s">
        <v>17</v>
      </c>
      <c r="E3734" t="s">
        <v>8</v>
      </c>
      <c r="G3734" t="s">
        <v>9</v>
      </c>
      <c r="L3734">
        <f t="shared" si="292"/>
        <v>0</v>
      </c>
      <c r="M3734">
        <f t="shared" si="293"/>
        <v>0</v>
      </c>
      <c r="N3734">
        <f t="shared" si="294"/>
        <v>0</v>
      </c>
      <c r="O3734">
        <f t="shared" si="295"/>
        <v>1</v>
      </c>
      <c r="P3734" t="str">
        <f t="shared" si="296"/>
        <v/>
      </c>
      <c r="Q3734">
        <f>COUNTIF('責任職　企業局→市長部局'!A:A,SQLデータ!B3734)</f>
        <v>0</v>
      </c>
      <c r="R3734">
        <f>COUNTIF('一般職員　企業局→市長部局'!A:F,SQLデータ!B3734)</f>
        <v>0</v>
      </c>
    </row>
    <row r="3735" spans="1:18" x14ac:dyDescent="0.4">
      <c r="A3735" s="1">
        <v>202650003694</v>
      </c>
      <c r="B3735" s="1">
        <v>1111110</v>
      </c>
      <c r="C3735" s="2">
        <v>46129</v>
      </c>
      <c r="D3735" t="s">
        <v>17</v>
      </c>
      <c r="E3735" t="s">
        <v>8</v>
      </c>
      <c r="G3735" t="s">
        <v>9</v>
      </c>
      <c r="L3735">
        <f t="shared" si="292"/>
        <v>0</v>
      </c>
      <c r="M3735">
        <f t="shared" si="293"/>
        <v>0</v>
      </c>
      <c r="N3735">
        <f t="shared" si="294"/>
        <v>0</v>
      </c>
      <c r="O3735">
        <f t="shared" si="295"/>
        <v>1</v>
      </c>
      <c r="P3735" t="str">
        <f t="shared" si="296"/>
        <v/>
      </c>
      <c r="Q3735">
        <f>COUNTIF('責任職　企業局→市長部局'!A:A,SQLデータ!B3735)</f>
        <v>0</v>
      </c>
      <c r="R3735">
        <f>COUNTIF('一般職員　企業局→市長部局'!A:F,SQLデータ!B3735)</f>
        <v>0</v>
      </c>
    </row>
    <row r="3736" spans="1:18" x14ac:dyDescent="0.4">
      <c r="A3736" s="1">
        <v>202650003695</v>
      </c>
      <c r="B3736" s="1">
        <v>1231055</v>
      </c>
      <c r="C3736" s="2">
        <v>46129</v>
      </c>
      <c r="D3736" t="s">
        <v>17</v>
      </c>
      <c r="E3736" t="s">
        <v>8</v>
      </c>
      <c r="G3736" t="s">
        <v>9</v>
      </c>
      <c r="L3736">
        <f t="shared" si="292"/>
        <v>0</v>
      </c>
      <c r="M3736">
        <f t="shared" si="293"/>
        <v>0</v>
      </c>
      <c r="N3736">
        <f t="shared" si="294"/>
        <v>0</v>
      </c>
      <c r="O3736">
        <f t="shared" si="295"/>
        <v>1</v>
      </c>
      <c r="P3736" t="str">
        <f t="shared" si="296"/>
        <v/>
      </c>
      <c r="Q3736">
        <f>COUNTIF('責任職　企業局→市長部局'!A:A,SQLデータ!B3736)</f>
        <v>0</v>
      </c>
      <c r="R3736">
        <f>COUNTIF('一般職員　企業局→市長部局'!A:F,SQLデータ!B3736)</f>
        <v>0</v>
      </c>
    </row>
    <row r="3737" spans="1:18" x14ac:dyDescent="0.4">
      <c r="A3737" s="1">
        <v>202650003697</v>
      </c>
      <c r="B3737" s="1">
        <v>1251421</v>
      </c>
      <c r="C3737" s="2">
        <v>46129</v>
      </c>
      <c r="D3737" t="s">
        <v>17</v>
      </c>
      <c r="E3737" t="s">
        <v>8</v>
      </c>
      <c r="G3737" t="s">
        <v>9</v>
      </c>
      <c r="L3737">
        <f t="shared" si="292"/>
        <v>0</v>
      </c>
      <c r="M3737">
        <f t="shared" si="293"/>
        <v>0</v>
      </c>
      <c r="N3737">
        <f t="shared" si="294"/>
        <v>0</v>
      </c>
      <c r="O3737">
        <f t="shared" si="295"/>
        <v>1</v>
      </c>
      <c r="P3737" t="str">
        <f t="shared" si="296"/>
        <v/>
      </c>
      <c r="Q3737">
        <f>COUNTIF('責任職　企業局→市長部局'!A:A,SQLデータ!B3737)</f>
        <v>0</v>
      </c>
      <c r="R3737">
        <f>COUNTIF('一般職員　企業局→市長部局'!A:F,SQLデータ!B3737)</f>
        <v>0</v>
      </c>
    </row>
    <row r="3738" spans="1:18" x14ac:dyDescent="0.4">
      <c r="A3738" s="1">
        <v>202650003698</v>
      </c>
      <c r="B3738" s="1">
        <v>1144073</v>
      </c>
      <c r="C3738" s="2">
        <v>46129</v>
      </c>
      <c r="D3738" t="s">
        <v>17</v>
      </c>
      <c r="E3738" t="s">
        <v>8</v>
      </c>
      <c r="G3738" t="s">
        <v>9</v>
      </c>
      <c r="L3738">
        <f t="shared" si="292"/>
        <v>0</v>
      </c>
      <c r="M3738">
        <f t="shared" si="293"/>
        <v>0</v>
      </c>
      <c r="N3738">
        <f t="shared" si="294"/>
        <v>0</v>
      </c>
      <c r="O3738">
        <f t="shared" si="295"/>
        <v>1</v>
      </c>
      <c r="P3738" t="str">
        <f t="shared" si="296"/>
        <v/>
      </c>
      <c r="Q3738">
        <f>COUNTIF('責任職　企業局→市長部局'!A:A,SQLデータ!B3738)</f>
        <v>0</v>
      </c>
      <c r="R3738">
        <f>COUNTIF('一般職員　企業局→市長部局'!A:F,SQLデータ!B3738)</f>
        <v>0</v>
      </c>
    </row>
    <row r="3739" spans="1:18" x14ac:dyDescent="0.4">
      <c r="A3739" s="1">
        <v>202650003699</v>
      </c>
      <c r="B3739" s="1">
        <v>1221426</v>
      </c>
      <c r="C3739" s="2">
        <v>46129</v>
      </c>
      <c r="D3739" t="s">
        <v>17</v>
      </c>
      <c r="E3739" t="s">
        <v>8</v>
      </c>
      <c r="G3739" t="s">
        <v>9</v>
      </c>
      <c r="L3739">
        <f t="shared" si="292"/>
        <v>0</v>
      </c>
      <c r="M3739">
        <f t="shared" si="293"/>
        <v>0</v>
      </c>
      <c r="N3739">
        <f t="shared" si="294"/>
        <v>0</v>
      </c>
      <c r="O3739">
        <f t="shared" si="295"/>
        <v>1</v>
      </c>
      <c r="P3739" t="str">
        <f t="shared" si="296"/>
        <v/>
      </c>
      <c r="Q3739">
        <f>COUNTIF('責任職　企業局→市長部局'!A:A,SQLデータ!B3739)</f>
        <v>0</v>
      </c>
      <c r="R3739">
        <f>COUNTIF('一般職員　企業局→市長部局'!A:F,SQLデータ!B3739)</f>
        <v>0</v>
      </c>
    </row>
    <row r="3740" spans="1:18" x14ac:dyDescent="0.4">
      <c r="A3740" s="1">
        <v>202650003700</v>
      </c>
      <c r="B3740" s="1">
        <v>1231346</v>
      </c>
      <c r="C3740" s="2">
        <v>46129</v>
      </c>
      <c r="D3740" t="s">
        <v>17</v>
      </c>
      <c r="E3740" t="s">
        <v>8</v>
      </c>
      <c r="G3740" t="s">
        <v>9</v>
      </c>
      <c r="L3740">
        <f t="shared" si="292"/>
        <v>0</v>
      </c>
      <c r="M3740">
        <f t="shared" si="293"/>
        <v>0</v>
      </c>
      <c r="N3740">
        <f t="shared" si="294"/>
        <v>0</v>
      </c>
      <c r="O3740">
        <f t="shared" si="295"/>
        <v>1</v>
      </c>
      <c r="P3740" t="str">
        <f t="shared" si="296"/>
        <v/>
      </c>
      <c r="Q3740">
        <f>COUNTIF('責任職　企業局→市長部局'!A:A,SQLデータ!B3740)</f>
        <v>0</v>
      </c>
      <c r="R3740">
        <f>COUNTIF('一般職員　企業局→市長部局'!A:F,SQLデータ!B3740)</f>
        <v>0</v>
      </c>
    </row>
    <row r="3741" spans="1:18" x14ac:dyDescent="0.4">
      <c r="A3741" s="1">
        <v>202650003701</v>
      </c>
      <c r="B3741" s="1">
        <v>1091266</v>
      </c>
      <c r="C3741" s="2">
        <v>46129</v>
      </c>
      <c r="D3741" t="s">
        <v>17</v>
      </c>
      <c r="E3741" t="s">
        <v>8</v>
      </c>
      <c r="G3741" t="s">
        <v>9</v>
      </c>
      <c r="L3741">
        <f t="shared" si="292"/>
        <v>0</v>
      </c>
      <c r="M3741">
        <f t="shared" si="293"/>
        <v>0</v>
      </c>
      <c r="N3741">
        <f t="shared" si="294"/>
        <v>0</v>
      </c>
      <c r="O3741">
        <f t="shared" si="295"/>
        <v>1</v>
      </c>
      <c r="P3741" t="str">
        <f t="shared" si="296"/>
        <v/>
      </c>
      <c r="Q3741">
        <f>COUNTIF('責任職　企業局→市長部局'!A:A,SQLデータ!B3741)</f>
        <v>0</v>
      </c>
      <c r="R3741">
        <f>COUNTIF('一般職員　企業局→市長部局'!A:F,SQLデータ!B3741)</f>
        <v>0</v>
      </c>
    </row>
    <row r="3742" spans="1:18" x14ac:dyDescent="0.4">
      <c r="A3742" s="1">
        <v>202650003702</v>
      </c>
      <c r="B3742" s="1">
        <v>1231369</v>
      </c>
      <c r="C3742" s="2">
        <v>46129</v>
      </c>
      <c r="D3742" t="s">
        <v>17</v>
      </c>
      <c r="E3742" t="s">
        <v>8</v>
      </c>
      <c r="G3742" t="s">
        <v>9</v>
      </c>
      <c r="L3742">
        <f t="shared" si="292"/>
        <v>0</v>
      </c>
      <c r="M3742">
        <f t="shared" si="293"/>
        <v>0</v>
      </c>
      <c r="N3742">
        <f t="shared" si="294"/>
        <v>0</v>
      </c>
      <c r="O3742">
        <f t="shared" si="295"/>
        <v>1</v>
      </c>
      <c r="P3742" t="str">
        <f t="shared" si="296"/>
        <v/>
      </c>
      <c r="Q3742">
        <f>COUNTIF('責任職　企業局→市長部局'!A:A,SQLデータ!B3742)</f>
        <v>0</v>
      </c>
      <c r="R3742">
        <f>COUNTIF('一般職員　企業局→市長部局'!A:F,SQLデータ!B3742)</f>
        <v>0</v>
      </c>
    </row>
    <row r="3743" spans="1:18" x14ac:dyDescent="0.4">
      <c r="A3743" s="1">
        <v>202650003703</v>
      </c>
      <c r="B3743" s="1">
        <v>1211404</v>
      </c>
      <c r="C3743" s="2">
        <v>46129</v>
      </c>
      <c r="D3743" t="s">
        <v>17</v>
      </c>
      <c r="E3743" t="s">
        <v>8</v>
      </c>
      <c r="G3743" t="s">
        <v>9</v>
      </c>
      <c r="L3743">
        <f t="shared" si="292"/>
        <v>0</v>
      </c>
      <c r="M3743">
        <f t="shared" si="293"/>
        <v>0</v>
      </c>
      <c r="N3743">
        <f t="shared" si="294"/>
        <v>0</v>
      </c>
      <c r="O3743">
        <f t="shared" si="295"/>
        <v>1</v>
      </c>
      <c r="P3743" t="str">
        <f t="shared" si="296"/>
        <v/>
      </c>
      <c r="Q3743">
        <f>COUNTIF('責任職　企業局→市長部局'!A:A,SQLデータ!B3743)</f>
        <v>0</v>
      </c>
      <c r="R3743">
        <f>COUNTIF('一般職員　企業局→市長部局'!A:F,SQLデータ!B3743)</f>
        <v>0</v>
      </c>
    </row>
    <row r="3744" spans="1:18" x14ac:dyDescent="0.4">
      <c r="A3744" s="1">
        <v>202650003704</v>
      </c>
      <c r="B3744" s="1">
        <v>1231355</v>
      </c>
      <c r="C3744" s="2">
        <v>46129</v>
      </c>
      <c r="D3744" t="s">
        <v>17</v>
      </c>
      <c r="E3744" t="s">
        <v>8</v>
      </c>
      <c r="G3744" t="s">
        <v>9</v>
      </c>
      <c r="L3744">
        <f t="shared" si="292"/>
        <v>0</v>
      </c>
      <c r="M3744">
        <f t="shared" si="293"/>
        <v>0</v>
      </c>
      <c r="N3744">
        <f t="shared" si="294"/>
        <v>0</v>
      </c>
      <c r="O3744">
        <f t="shared" si="295"/>
        <v>1</v>
      </c>
      <c r="P3744" t="str">
        <f t="shared" si="296"/>
        <v/>
      </c>
      <c r="Q3744">
        <f>COUNTIF('責任職　企業局→市長部局'!A:A,SQLデータ!B3744)</f>
        <v>0</v>
      </c>
      <c r="R3744">
        <f>COUNTIF('一般職員　企業局→市長部局'!A:F,SQLデータ!B3744)</f>
        <v>0</v>
      </c>
    </row>
    <row r="3745" spans="1:18" x14ac:dyDescent="0.4">
      <c r="A3745" s="1">
        <v>202650003705</v>
      </c>
      <c r="B3745" s="1">
        <v>1212310</v>
      </c>
      <c r="C3745" s="2">
        <v>46129</v>
      </c>
      <c r="D3745" t="s">
        <v>17</v>
      </c>
      <c r="E3745" t="s">
        <v>8</v>
      </c>
      <c r="G3745" t="s">
        <v>9</v>
      </c>
      <c r="L3745">
        <f t="shared" si="292"/>
        <v>0</v>
      </c>
      <c r="M3745">
        <f t="shared" si="293"/>
        <v>0</v>
      </c>
      <c r="N3745">
        <f t="shared" si="294"/>
        <v>0</v>
      </c>
      <c r="O3745">
        <f t="shared" si="295"/>
        <v>1</v>
      </c>
      <c r="P3745" t="str">
        <f t="shared" si="296"/>
        <v/>
      </c>
      <c r="Q3745">
        <f>COUNTIF('責任職　企業局→市長部局'!A:A,SQLデータ!B3745)</f>
        <v>0</v>
      </c>
      <c r="R3745">
        <f>COUNTIF('一般職員　企業局→市長部局'!A:F,SQLデータ!B3745)</f>
        <v>0</v>
      </c>
    </row>
    <row r="3746" spans="1:18" x14ac:dyDescent="0.4">
      <c r="A3746" s="1">
        <v>202650003706</v>
      </c>
      <c r="B3746" s="1">
        <v>1171039</v>
      </c>
      <c r="C3746" s="2">
        <v>46129</v>
      </c>
      <c r="D3746" t="s">
        <v>17</v>
      </c>
      <c r="E3746" t="s">
        <v>8</v>
      </c>
      <c r="G3746" t="s">
        <v>9</v>
      </c>
      <c r="L3746">
        <f t="shared" ref="L3746:L3809" si="297">IF(ISBLANK(J3746),0,1)</f>
        <v>0</v>
      </c>
      <c r="M3746">
        <f t="shared" ref="M3746:M3809" si="298">IF(AND(L3746=0,I3746&lt;&gt;""),1,0)</f>
        <v>0</v>
      </c>
      <c r="N3746">
        <f t="shared" ref="N3746:N3809" si="299">IF(AND(L3746=0,M3746=0,K3746&lt;&gt;""),1,0)</f>
        <v>0</v>
      </c>
      <c r="O3746">
        <f t="shared" ref="O3746:O3809" si="300">IF(COUNTIF(L3746:N3746,0)=3,1,0)</f>
        <v>1</v>
      </c>
      <c r="P3746" t="str">
        <f t="shared" ref="P3746:P3809" si="301">IF(D3746&lt;&gt;"扶養","",IF(E3746&lt;&gt;"確認待ち",1,IF(OR(AND(G3746="本人の結婚",O3746=1),AND(H3746="減",OR(N3746=1,O3746=1))),1,0)))</f>
        <v/>
      </c>
      <c r="Q3746">
        <f>COUNTIF('責任職　企業局→市長部局'!A:A,SQLデータ!B3746)</f>
        <v>0</v>
      </c>
      <c r="R3746">
        <f>COUNTIF('一般職員　企業局→市長部局'!A:F,SQLデータ!B3746)</f>
        <v>0</v>
      </c>
    </row>
    <row r="3747" spans="1:18" x14ac:dyDescent="0.4">
      <c r="A3747" s="1">
        <v>202650003707</v>
      </c>
      <c r="B3747" s="1">
        <v>1071286</v>
      </c>
      <c r="C3747" s="2">
        <v>46129</v>
      </c>
      <c r="D3747" t="s">
        <v>17</v>
      </c>
      <c r="E3747" t="s">
        <v>8</v>
      </c>
      <c r="G3747" t="s">
        <v>9</v>
      </c>
      <c r="L3747">
        <f t="shared" si="297"/>
        <v>0</v>
      </c>
      <c r="M3747">
        <f t="shared" si="298"/>
        <v>0</v>
      </c>
      <c r="N3747">
        <f t="shared" si="299"/>
        <v>0</v>
      </c>
      <c r="O3747">
        <f t="shared" si="300"/>
        <v>1</v>
      </c>
      <c r="P3747" t="str">
        <f t="shared" si="301"/>
        <v/>
      </c>
      <c r="Q3747">
        <f>COUNTIF('責任職　企業局→市長部局'!A:A,SQLデータ!B3747)</f>
        <v>0</v>
      </c>
      <c r="R3747">
        <f>COUNTIF('一般職員　企業局→市長部局'!A:F,SQLデータ!B3747)</f>
        <v>0</v>
      </c>
    </row>
    <row r="3748" spans="1:18" x14ac:dyDescent="0.4">
      <c r="A3748" s="1">
        <v>202650003708</v>
      </c>
      <c r="B3748" s="1">
        <v>1221017</v>
      </c>
      <c r="C3748" s="2">
        <v>46129</v>
      </c>
      <c r="D3748" t="s">
        <v>17</v>
      </c>
      <c r="E3748" t="s">
        <v>8</v>
      </c>
      <c r="G3748" t="s">
        <v>9</v>
      </c>
      <c r="L3748">
        <f t="shared" si="297"/>
        <v>0</v>
      </c>
      <c r="M3748">
        <f t="shared" si="298"/>
        <v>0</v>
      </c>
      <c r="N3748">
        <f t="shared" si="299"/>
        <v>0</v>
      </c>
      <c r="O3748">
        <f t="shared" si="300"/>
        <v>1</v>
      </c>
      <c r="P3748" t="str">
        <f t="shared" si="301"/>
        <v/>
      </c>
      <c r="Q3748">
        <f>COUNTIF('責任職　企業局→市長部局'!A:A,SQLデータ!B3748)</f>
        <v>0</v>
      </c>
      <c r="R3748">
        <f>COUNTIF('一般職員　企業局→市長部局'!A:F,SQLデータ!B3748)</f>
        <v>0</v>
      </c>
    </row>
    <row r="3749" spans="1:18" x14ac:dyDescent="0.4">
      <c r="A3749" s="1">
        <v>202650003709</v>
      </c>
      <c r="B3749" s="1">
        <v>1042092</v>
      </c>
      <c r="C3749" s="2">
        <v>46129</v>
      </c>
      <c r="D3749" t="s">
        <v>17</v>
      </c>
      <c r="E3749" t="s">
        <v>8</v>
      </c>
      <c r="G3749" t="s">
        <v>9</v>
      </c>
      <c r="L3749">
        <f t="shared" si="297"/>
        <v>0</v>
      </c>
      <c r="M3749">
        <f t="shared" si="298"/>
        <v>0</v>
      </c>
      <c r="N3749">
        <f t="shared" si="299"/>
        <v>0</v>
      </c>
      <c r="O3749">
        <f t="shared" si="300"/>
        <v>1</v>
      </c>
      <c r="P3749" t="str">
        <f t="shared" si="301"/>
        <v/>
      </c>
      <c r="Q3749">
        <f>COUNTIF('責任職　企業局→市長部局'!A:A,SQLデータ!B3749)</f>
        <v>0</v>
      </c>
      <c r="R3749">
        <f>COUNTIF('一般職員　企業局→市長部局'!A:F,SQLデータ!B3749)</f>
        <v>0</v>
      </c>
    </row>
    <row r="3750" spans="1:18" x14ac:dyDescent="0.4">
      <c r="A3750" s="1">
        <v>202650003710</v>
      </c>
      <c r="B3750" s="1">
        <v>1201443</v>
      </c>
      <c r="C3750" s="2">
        <v>46129</v>
      </c>
      <c r="D3750" t="s">
        <v>17</v>
      </c>
      <c r="E3750" t="s">
        <v>8</v>
      </c>
      <c r="G3750" t="s">
        <v>9</v>
      </c>
      <c r="L3750">
        <f t="shared" si="297"/>
        <v>0</v>
      </c>
      <c r="M3750">
        <f t="shared" si="298"/>
        <v>0</v>
      </c>
      <c r="N3750">
        <f t="shared" si="299"/>
        <v>0</v>
      </c>
      <c r="O3750">
        <f t="shared" si="300"/>
        <v>1</v>
      </c>
      <c r="P3750" t="str">
        <f t="shared" si="301"/>
        <v/>
      </c>
      <c r="Q3750">
        <f>COUNTIF('責任職　企業局→市長部局'!A:A,SQLデータ!B3750)</f>
        <v>0</v>
      </c>
      <c r="R3750">
        <f>COUNTIF('一般職員　企業局→市長部局'!A:F,SQLデータ!B3750)</f>
        <v>0</v>
      </c>
    </row>
    <row r="3751" spans="1:18" x14ac:dyDescent="0.4">
      <c r="A3751" s="1">
        <v>202650003711</v>
      </c>
      <c r="B3751" s="1">
        <v>1201439</v>
      </c>
      <c r="C3751" s="2">
        <v>46129</v>
      </c>
      <c r="D3751" t="s">
        <v>17</v>
      </c>
      <c r="E3751" t="s">
        <v>8</v>
      </c>
      <c r="G3751" t="s">
        <v>9</v>
      </c>
      <c r="L3751">
        <f t="shared" si="297"/>
        <v>0</v>
      </c>
      <c r="M3751">
        <f t="shared" si="298"/>
        <v>0</v>
      </c>
      <c r="N3751">
        <f t="shared" si="299"/>
        <v>0</v>
      </c>
      <c r="O3751">
        <f t="shared" si="300"/>
        <v>1</v>
      </c>
      <c r="P3751" t="str">
        <f t="shared" si="301"/>
        <v/>
      </c>
      <c r="Q3751">
        <f>COUNTIF('責任職　企業局→市長部局'!A:A,SQLデータ!B3751)</f>
        <v>0</v>
      </c>
      <c r="R3751">
        <f>COUNTIF('一般職員　企業局→市長部局'!A:F,SQLデータ!B3751)</f>
        <v>0</v>
      </c>
    </row>
    <row r="3752" spans="1:18" x14ac:dyDescent="0.4">
      <c r="A3752" s="1">
        <v>202650003712</v>
      </c>
      <c r="B3752" s="1">
        <v>1231094</v>
      </c>
      <c r="C3752" s="2">
        <v>46129</v>
      </c>
      <c r="D3752" t="s">
        <v>17</v>
      </c>
      <c r="E3752" t="s">
        <v>8</v>
      </c>
      <c r="G3752" t="s">
        <v>9</v>
      </c>
      <c r="L3752">
        <f t="shared" si="297"/>
        <v>0</v>
      </c>
      <c r="M3752">
        <f t="shared" si="298"/>
        <v>0</v>
      </c>
      <c r="N3752">
        <f t="shared" si="299"/>
        <v>0</v>
      </c>
      <c r="O3752">
        <f t="shared" si="300"/>
        <v>1</v>
      </c>
      <c r="P3752" t="str">
        <f t="shared" si="301"/>
        <v/>
      </c>
      <c r="Q3752">
        <f>COUNTIF('責任職　企業局→市長部局'!A:A,SQLデータ!B3752)</f>
        <v>0</v>
      </c>
      <c r="R3752">
        <f>COUNTIF('一般職員　企業局→市長部局'!A:F,SQLデータ!B3752)</f>
        <v>0</v>
      </c>
    </row>
    <row r="3753" spans="1:18" x14ac:dyDescent="0.4">
      <c r="A3753" s="1">
        <v>202650003713</v>
      </c>
      <c r="B3753" s="1">
        <v>1221454</v>
      </c>
      <c r="C3753" s="2">
        <v>46129</v>
      </c>
      <c r="D3753" t="s">
        <v>17</v>
      </c>
      <c r="E3753" t="s">
        <v>8</v>
      </c>
      <c r="G3753" t="s">
        <v>9</v>
      </c>
      <c r="L3753">
        <f t="shared" si="297"/>
        <v>0</v>
      </c>
      <c r="M3753">
        <f t="shared" si="298"/>
        <v>0</v>
      </c>
      <c r="N3753">
        <f t="shared" si="299"/>
        <v>0</v>
      </c>
      <c r="O3753">
        <f t="shared" si="300"/>
        <v>1</v>
      </c>
      <c r="P3753" t="str">
        <f t="shared" si="301"/>
        <v/>
      </c>
      <c r="Q3753">
        <f>COUNTIF('責任職　企業局→市長部局'!A:A,SQLデータ!B3753)</f>
        <v>0</v>
      </c>
      <c r="R3753">
        <f>COUNTIF('一般職員　企業局→市長部局'!A:F,SQLデータ!B3753)</f>
        <v>0</v>
      </c>
    </row>
    <row r="3754" spans="1:18" x14ac:dyDescent="0.4">
      <c r="A3754" s="1">
        <v>202650003714</v>
      </c>
      <c r="B3754" s="1">
        <v>1111338</v>
      </c>
      <c r="C3754" s="2">
        <v>46129</v>
      </c>
      <c r="D3754" t="s">
        <v>17</v>
      </c>
      <c r="E3754" t="s">
        <v>8</v>
      </c>
      <c r="G3754" t="s">
        <v>9</v>
      </c>
      <c r="L3754">
        <f t="shared" si="297"/>
        <v>0</v>
      </c>
      <c r="M3754">
        <f t="shared" si="298"/>
        <v>0</v>
      </c>
      <c r="N3754">
        <f t="shared" si="299"/>
        <v>0</v>
      </c>
      <c r="O3754">
        <f t="shared" si="300"/>
        <v>1</v>
      </c>
      <c r="P3754" t="str">
        <f t="shared" si="301"/>
        <v/>
      </c>
      <c r="Q3754">
        <f>COUNTIF('責任職　企業局→市長部局'!A:A,SQLデータ!B3754)</f>
        <v>0</v>
      </c>
      <c r="R3754">
        <f>COUNTIF('一般職員　企業局→市長部局'!A:F,SQLデータ!B3754)</f>
        <v>0</v>
      </c>
    </row>
    <row r="3755" spans="1:18" x14ac:dyDescent="0.4">
      <c r="A3755" s="1">
        <v>202650003715</v>
      </c>
      <c r="B3755" s="1">
        <v>1231372</v>
      </c>
      <c r="C3755" s="2">
        <v>46129</v>
      </c>
      <c r="D3755" t="s">
        <v>17</v>
      </c>
      <c r="E3755" t="s">
        <v>8</v>
      </c>
      <c r="G3755" t="s">
        <v>9</v>
      </c>
      <c r="L3755">
        <f t="shared" si="297"/>
        <v>0</v>
      </c>
      <c r="M3755">
        <f t="shared" si="298"/>
        <v>0</v>
      </c>
      <c r="N3755">
        <f t="shared" si="299"/>
        <v>0</v>
      </c>
      <c r="O3755">
        <f t="shared" si="300"/>
        <v>1</v>
      </c>
      <c r="P3755" t="str">
        <f t="shared" si="301"/>
        <v/>
      </c>
      <c r="Q3755">
        <f>COUNTIF('責任職　企業局→市長部局'!A:A,SQLデータ!B3755)</f>
        <v>0</v>
      </c>
      <c r="R3755">
        <f>COUNTIF('一般職員　企業局→市長部局'!A:F,SQLデータ!B3755)</f>
        <v>0</v>
      </c>
    </row>
    <row r="3756" spans="1:18" x14ac:dyDescent="0.4">
      <c r="A3756" s="1">
        <v>202650003718</v>
      </c>
      <c r="B3756" s="1">
        <v>1231359</v>
      </c>
      <c r="C3756" s="2">
        <v>46129</v>
      </c>
      <c r="D3756" t="s">
        <v>17</v>
      </c>
      <c r="E3756" t="s">
        <v>8</v>
      </c>
      <c r="G3756" t="s">
        <v>9</v>
      </c>
      <c r="L3756">
        <f t="shared" si="297"/>
        <v>0</v>
      </c>
      <c r="M3756">
        <f t="shared" si="298"/>
        <v>0</v>
      </c>
      <c r="N3756">
        <f t="shared" si="299"/>
        <v>0</v>
      </c>
      <c r="O3756">
        <f t="shared" si="300"/>
        <v>1</v>
      </c>
      <c r="P3756" t="str">
        <f t="shared" si="301"/>
        <v/>
      </c>
      <c r="Q3756">
        <f>COUNTIF('責任職　企業局→市長部局'!A:A,SQLデータ!B3756)</f>
        <v>0</v>
      </c>
      <c r="R3756">
        <f>COUNTIF('一般職員　企業局→市長部局'!A:F,SQLデータ!B3756)</f>
        <v>0</v>
      </c>
    </row>
    <row r="3757" spans="1:18" x14ac:dyDescent="0.4">
      <c r="A3757" s="1">
        <v>202650003719</v>
      </c>
      <c r="B3757" s="1">
        <v>1201381</v>
      </c>
      <c r="C3757" s="2">
        <v>46129</v>
      </c>
      <c r="D3757" t="s">
        <v>17</v>
      </c>
      <c r="E3757" t="s">
        <v>8</v>
      </c>
      <c r="G3757" t="s">
        <v>9</v>
      </c>
      <c r="L3757">
        <f t="shared" si="297"/>
        <v>0</v>
      </c>
      <c r="M3757">
        <f t="shared" si="298"/>
        <v>0</v>
      </c>
      <c r="N3757">
        <f t="shared" si="299"/>
        <v>0</v>
      </c>
      <c r="O3757">
        <f t="shared" si="300"/>
        <v>1</v>
      </c>
      <c r="P3757" t="str">
        <f t="shared" si="301"/>
        <v/>
      </c>
      <c r="Q3757">
        <f>COUNTIF('責任職　企業局→市長部局'!A:A,SQLデータ!B3757)</f>
        <v>0</v>
      </c>
      <c r="R3757">
        <f>COUNTIF('一般職員　企業局→市長部局'!A:F,SQLデータ!B3757)</f>
        <v>0</v>
      </c>
    </row>
    <row r="3758" spans="1:18" x14ac:dyDescent="0.4">
      <c r="A3758" s="1">
        <v>202650003720</v>
      </c>
      <c r="B3758" s="1">
        <v>1261355</v>
      </c>
      <c r="C3758" s="2">
        <v>46129</v>
      </c>
      <c r="D3758" t="s">
        <v>17</v>
      </c>
      <c r="E3758" t="s">
        <v>8</v>
      </c>
      <c r="G3758" t="s">
        <v>9</v>
      </c>
      <c r="L3758">
        <f t="shared" si="297"/>
        <v>0</v>
      </c>
      <c r="M3758">
        <f t="shared" si="298"/>
        <v>0</v>
      </c>
      <c r="N3758">
        <f t="shared" si="299"/>
        <v>0</v>
      </c>
      <c r="O3758">
        <f t="shared" si="300"/>
        <v>1</v>
      </c>
      <c r="P3758" t="str">
        <f t="shared" si="301"/>
        <v/>
      </c>
      <c r="Q3758">
        <f>COUNTIF('責任職　企業局→市長部局'!A:A,SQLデータ!B3758)</f>
        <v>0</v>
      </c>
      <c r="R3758">
        <f>COUNTIF('一般職員　企業局→市長部局'!A:F,SQLデータ!B3758)</f>
        <v>0</v>
      </c>
    </row>
    <row r="3759" spans="1:18" x14ac:dyDescent="0.4">
      <c r="A3759" s="1">
        <v>202650003722</v>
      </c>
      <c r="B3759" s="1">
        <v>1166053</v>
      </c>
      <c r="C3759" s="2">
        <v>46129</v>
      </c>
      <c r="D3759" t="s">
        <v>17</v>
      </c>
      <c r="E3759" t="s">
        <v>8</v>
      </c>
      <c r="G3759" t="s">
        <v>9</v>
      </c>
      <c r="L3759">
        <f t="shared" si="297"/>
        <v>0</v>
      </c>
      <c r="M3759">
        <f t="shared" si="298"/>
        <v>0</v>
      </c>
      <c r="N3759">
        <f t="shared" si="299"/>
        <v>0</v>
      </c>
      <c r="O3759">
        <f t="shared" si="300"/>
        <v>1</v>
      </c>
      <c r="P3759" t="str">
        <f t="shared" si="301"/>
        <v/>
      </c>
      <c r="Q3759">
        <f>COUNTIF('責任職　企業局→市長部局'!A:A,SQLデータ!B3759)</f>
        <v>0</v>
      </c>
      <c r="R3759">
        <f>COUNTIF('一般職員　企業局→市長部局'!A:F,SQLデータ!B3759)</f>
        <v>0</v>
      </c>
    </row>
    <row r="3760" spans="1:18" x14ac:dyDescent="0.4">
      <c r="A3760" s="1">
        <v>202650003723</v>
      </c>
      <c r="B3760" s="1">
        <v>1221331</v>
      </c>
      <c r="C3760" s="2">
        <v>46129</v>
      </c>
      <c r="D3760" t="s">
        <v>17</v>
      </c>
      <c r="E3760" t="s">
        <v>8</v>
      </c>
      <c r="G3760" t="s">
        <v>9</v>
      </c>
      <c r="L3760">
        <f t="shared" si="297"/>
        <v>0</v>
      </c>
      <c r="M3760">
        <f t="shared" si="298"/>
        <v>0</v>
      </c>
      <c r="N3760">
        <f t="shared" si="299"/>
        <v>0</v>
      </c>
      <c r="O3760">
        <f t="shared" si="300"/>
        <v>1</v>
      </c>
      <c r="P3760" t="str">
        <f t="shared" si="301"/>
        <v/>
      </c>
      <c r="Q3760">
        <f>COUNTIF('責任職　企業局→市長部局'!A:A,SQLデータ!B3760)</f>
        <v>0</v>
      </c>
      <c r="R3760">
        <f>COUNTIF('一般職員　企業局→市長部局'!A:F,SQLデータ!B3760)</f>
        <v>0</v>
      </c>
    </row>
    <row r="3761" spans="1:18" x14ac:dyDescent="0.4">
      <c r="A3761" s="1">
        <v>202650003724</v>
      </c>
      <c r="B3761" s="1">
        <v>1101337</v>
      </c>
      <c r="C3761" s="2">
        <v>46129</v>
      </c>
      <c r="D3761" t="s">
        <v>17</v>
      </c>
      <c r="E3761" t="s">
        <v>8</v>
      </c>
      <c r="G3761" t="s">
        <v>9</v>
      </c>
      <c r="L3761">
        <f t="shared" si="297"/>
        <v>0</v>
      </c>
      <c r="M3761">
        <f t="shared" si="298"/>
        <v>0</v>
      </c>
      <c r="N3761">
        <f t="shared" si="299"/>
        <v>0</v>
      </c>
      <c r="O3761">
        <f t="shared" si="300"/>
        <v>1</v>
      </c>
      <c r="P3761" t="str">
        <f t="shared" si="301"/>
        <v/>
      </c>
      <c r="Q3761">
        <f>COUNTIF('責任職　企業局→市長部局'!A:A,SQLデータ!B3761)</f>
        <v>0</v>
      </c>
      <c r="R3761">
        <f>COUNTIF('一般職員　企業局→市長部局'!A:F,SQLデータ!B3761)</f>
        <v>0</v>
      </c>
    </row>
    <row r="3762" spans="1:18" x14ac:dyDescent="0.4">
      <c r="A3762" s="1">
        <v>202650003725</v>
      </c>
      <c r="B3762" s="1">
        <v>1221453</v>
      </c>
      <c r="C3762" s="2">
        <v>46129</v>
      </c>
      <c r="D3762" t="s">
        <v>17</v>
      </c>
      <c r="E3762" t="s">
        <v>8</v>
      </c>
      <c r="G3762" t="s">
        <v>9</v>
      </c>
      <c r="L3762">
        <f t="shared" si="297"/>
        <v>0</v>
      </c>
      <c r="M3762">
        <f t="shared" si="298"/>
        <v>0</v>
      </c>
      <c r="N3762">
        <f t="shared" si="299"/>
        <v>0</v>
      </c>
      <c r="O3762">
        <f t="shared" si="300"/>
        <v>1</v>
      </c>
      <c r="P3762" t="str">
        <f t="shared" si="301"/>
        <v/>
      </c>
      <c r="Q3762">
        <f>COUNTIF('責任職　企業局→市長部局'!A:A,SQLデータ!B3762)</f>
        <v>0</v>
      </c>
      <c r="R3762">
        <f>COUNTIF('一般職員　企業局→市長部局'!A:F,SQLデータ!B3762)</f>
        <v>0</v>
      </c>
    </row>
    <row r="3763" spans="1:18" x14ac:dyDescent="0.4">
      <c r="A3763" s="1">
        <v>202650003726</v>
      </c>
      <c r="B3763" s="1">
        <v>1141036</v>
      </c>
      <c r="C3763" s="2">
        <v>46129</v>
      </c>
      <c r="D3763" t="s">
        <v>17</v>
      </c>
      <c r="E3763" t="s">
        <v>8</v>
      </c>
      <c r="G3763" t="s">
        <v>9</v>
      </c>
      <c r="L3763">
        <f t="shared" si="297"/>
        <v>0</v>
      </c>
      <c r="M3763">
        <f t="shared" si="298"/>
        <v>0</v>
      </c>
      <c r="N3763">
        <f t="shared" si="299"/>
        <v>0</v>
      </c>
      <c r="O3763">
        <f t="shared" si="300"/>
        <v>1</v>
      </c>
      <c r="P3763" t="str">
        <f t="shared" si="301"/>
        <v/>
      </c>
      <c r="Q3763">
        <f>COUNTIF('責任職　企業局→市長部局'!A:A,SQLデータ!B3763)</f>
        <v>0</v>
      </c>
      <c r="R3763">
        <f>COUNTIF('一般職員　企業局→市長部局'!A:F,SQLデータ!B3763)</f>
        <v>0</v>
      </c>
    </row>
    <row r="3764" spans="1:18" x14ac:dyDescent="0.4">
      <c r="A3764" s="1">
        <v>202650003727</v>
      </c>
      <c r="B3764" s="1">
        <v>1222086</v>
      </c>
      <c r="C3764" s="2">
        <v>46129</v>
      </c>
      <c r="D3764" t="s">
        <v>17</v>
      </c>
      <c r="E3764" t="s">
        <v>8</v>
      </c>
      <c r="G3764" t="s">
        <v>9</v>
      </c>
      <c r="L3764">
        <f t="shared" si="297"/>
        <v>0</v>
      </c>
      <c r="M3764">
        <f t="shared" si="298"/>
        <v>0</v>
      </c>
      <c r="N3764">
        <f t="shared" si="299"/>
        <v>0</v>
      </c>
      <c r="O3764">
        <f t="shared" si="300"/>
        <v>1</v>
      </c>
      <c r="P3764" t="str">
        <f t="shared" si="301"/>
        <v/>
      </c>
      <c r="Q3764">
        <f>COUNTIF('責任職　企業局→市長部局'!A:A,SQLデータ!B3764)</f>
        <v>0</v>
      </c>
      <c r="R3764">
        <f>COUNTIF('一般職員　企業局→市長部局'!A:F,SQLデータ!B3764)</f>
        <v>0</v>
      </c>
    </row>
    <row r="3765" spans="1:18" x14ac:dyDescent="0.4">
      <c r="A3765" s="1">
        <v>202650003728</v>
      </c>
      <c r="B3765" s="1">
        <v>1201011</v>
      </c>
      <c r="C3765" s="2">
        <v>46129</v>
      </c>
      <c r="D3765" t="s">
        <v>17</v>
      </c>
      <c r="E3765" t="s">
        <v>8</v>
      </c>
      <c r="G3765" t="s">
        <v>9</v>
      </c>
      <c r="L3765">
        <f t="shared" si="297"/>
        <v>0</v>
      </c>
      <c r="M3765">
        <f t="shared" si="298"/>
        <v>0</v>
      </c>
      <c r="N3765">
        <f t="shared" si="299"/>
        <v>0</v>
      </c>
      <c r="O3765">
        <f t="shared" si="300"/>
        <v>1</v>
      </c>
      <c r="P3765" t="str">
        <f t="shared" si="301"/>
        <v/>
      </c>
      <c r="Q3765">
        <f>COUNTIF('責任職　企業局→市長部局'!A:A,SQLデータ!B3765)</f>
        <v>0</v>
      </c>
      <c r="R3765">
        <f>COUNTIF('一般職員　企業局→市長部局'!A:F,SQLデータ!B3765)</f>
        <v>0</v>
      </c>
    </row>
    <row r="3766" spans="1:18" x14ac:dyDescent="0.4">
      <c r="A3766" s="1">
        <v>202650003729</v>
      </c>
      <c r="B3766" s="1">
        <v>1221184</v>
      </c>
      <c r="C3766" s="2">
        <v>46129</v>
      </c>
      <c r="D3766" t="s">
        <v>17</v>
      </c>
      <c r="E3766" t="s">
        <v>8</v>
      </c>
      <c r="G3766" t="s">
        <v>9</v>
      </c>
      <c r="L3766">
        <f t="shared" si="297"/>
        <v>0</v>
      </c>
      <c r="M3766">
        <f t="shared" si="298"/>
        <v>0</v>
      </c>
      <c r="N3766">
        <f t="shared" si="299"/>
        <v>0</v>
      </c>
      <c r="O3766">
        <f t="shared" si="300"/>
        <v>1</v>
      </c>
      <c r="P3766" t="str">
        <f t="shared" si="301"/>
        <v/>
      </c>
      <c r="Q3766">
        <f>COUNTIF('責任職　企業局→市長部局'!A:A,SQLデータ!B3766)</f>
        <v>0</v>
      </c>
      <c r="R3766">
        <f>COUNTIF('一般職員　企業局→市長部局'!A:F,SQLデータ!B3766)</f>
        <v>0</v>
      </c>
    </row>
    <row r="3767" spans="1:18" x14ac:dyDescent="0.4">
      <c r="A3767" s="1">
        <v>202650003730</v>
      </c>
      <c r="B3767" s="1">
        <v>1211381</v>
      </c>
      <c r="C3767" s="2">
        <v>46129</v>
      </c>
      <c r="D3767" t="s">
        <v>17</v>
      </c>
      <c r="E3767" t="s">
        <v>8</v>
      </c>
      <c r="G3767" t="s">
        <v>9</v>
      </c>
      <c r="L3767">
        <f t="shared" si="297"/>
        <v>0</v>
      </c>
      <c r="M3767">
        <f t="shared" si="298"/>
        <v>0</v>
      </c>
      <c r="N3767">
        <f t="shared" si="299"/>
        <v>0</v>
      </c>
      <c r="O3767">
        <f t="shared" si="300"/>
        <v>1</v>
      </c>
      <c r="P3767" t="str">
        <f t="shared" si="301"/>
        <v/>
      </c>
      <c r="Q3767">
        <f>COUNTIF('責任職　企業局→市長部局'!A:A,SQLデータ!B3767)</f>
        <v>0</v>
      </c>
      <c r="R3767">
        <f>COUNTIF('一般職員　企業局→市長部局'!A:F,SQLデータ!B3767)</f>
        <v>0</v>
      </c>
    </row>
    <row r="3768" spans="1:18" x14ac:dyDescent="0.4">
      <c r="A3768" s="1">
        <v>202650003731</v>
      </c>
      <c r="B3768" s="1">
        <v>1221359</v>
      </c>
      <c r="C3768" s="2">
        <v>46129</v>
      </c>
      <c r="D3768" t="s">
        <v>17</v>
      </c>
      <c r="E3768" t="s">
        <v>8</v>
      </c>
      <c r="G3768" t="s">
        <v>9</v>
      </c>
      <c r="L3768">
        <f t="shared" si="297"/>
        <v>0</v>
      </c>
      <c r="M3768">
        <f t="shared" si="298"/>
        <v>0</v>
      </c>
      <c r="N3768">
        <f t="shared" si="299"/>
        <v>0</v>
      </c>
      <c r="O3768">
        <f t="shared" si="300"/>
        <v>1</v>
      </c>
      <c r="P3768" t="str">
        <f t="shared" si="301"/>
        <v/>
      </c>
      <c r="Q3768">
        <f>COUNTIF('責任職　企業局→市長部局'!A:A,SQLデータ!B3768)</f>
        <v>0</v>
      </c>
      <c r="R3768">
        <f>COUNTIF('一般職員　企業局→市長部局'!A:F,SQLデータ!B3768)</f>
        <v>0</v>
      </c>
    </row>
    <row r="3769" spans="1:18" x14ac:dyDescent="0.4">
      <c r="A3769" s="1">
        <v>202650003732</v>
      </c>
      <c r="B3769" s="1">
        <v>1031014</v>
      </c>
      <c r="C3769" s="2">
        <v>46129</v>
      </c>
      <c r="D3769" t="s">
        <v>17</v>
      </c>
      <c r="E3769" t="s">
        <v>8</v>
      </c>
      <c r="G3769" t="s">
        <v>9</v>
      </c>
      <c r="L3769">
        <f t="shared" si="297"/>
        <v>0</v>
      </c>
      <c r="M3769">
        <f t="shared" si="298"/>
        <v>0</v>
      </c>
      <c r="N3769">
        <f t="shared" si="299"/>
        <v>0</v>
      </c>
      <c r="O3769">
        <f t="shared" si="300"/>
        <v>1</v>
      </c>
      <c r="P3769" t="str">
        <f t="shared" si="301"/>
        <v/>
      </c>
      <c r="Q3769">
        <f>COUNTIF('責任職　企業局→市長部局'!A:A,SQLデータ!B3769)</f>
        <v>0</v>
      </c>
      <c r="R3769">
        <f>COUNTIF('一般職員　企業局→市長部局'!A:F,SQLデータ!B3769)</f>
        <v>0</v>
      </c>
    </row>
    <row r="3770" spans="1:18" x14ac:dyDescent="0.4">
      <c r="A3770" s="1">
        <v>202650003733</v>
      </c>
      <c r="B3770" s="1">
        <v>1161382</v>
      </c>
      <c r="C3770" s="2">
        <v>46129</v>
      </c>
      <c r="D3770" t="s">
        <v>17</v>
      </c>
      <c r="E3770" t="s">
        <v>8</v>
      </c>
      <c r="G3770" t="s">
        <v>9</v>
      </c>
      <c r="L3770">
        <f t="shared" si="297"/>
        <v>0</v>
      </c>
      <c r="M3770">
        <f t="shared" si="298"/>
        <v>0</v>
      </c>
      <c r="N3770">
        <f t="shared" si="299"/>
        <v>0</v>
      </c>
      <c r="O3770">
        <f t="shared" si="300"/>
        <v>1</v>
      </c>
      <c r="P3770" t="str">
        <f t="shared" si="301"/>
        <v/>
      </c>
      <c r="Q3770">
        <f>COUNTIF('責任職　企業局→市長部局'!A:A,SQLデータ!B3770)</f>
        <v>0</v>
      </c>
      <c r="R3770">
        <f>COUNTIF('一般職員　企業局→市長部局'!A:F,SQLデータ!B3770)</f>
        <v>0</v>
      </c>
    </row>
    <row r="3771" spans="1:18" x14ac:dyDescent="0.4">
      <c r="A3771" s="1">
        <v>202650003734</v>
      </c>
      <c r="B3771" s="1">
        <v>1231200</v>
      </c>
      <c r="C3771" s="2">
        <v>46129</v>
      </c>
      <c r="D3771" t="s">
        <v>17</v>
      </c>
      <c r="E3771" t="s">
        <v>8</v>
      </c>
      <c r="G3771" t="s">
        <v>9</v>
      </c>
      <c r="L3771">
        <f t="shared" si="297"/>
        <v>0</v>
      </c>
      <c r="M3771">
        <f t="shared" si="298"/>
        <v>0</v>
      </c>
      <c r="N3771">
        <f t="shared" si="299"/>
        <v>0</v>
      </c>
      <c r="O3771">
        <f t="shared" si="300"/>
        <v>1</v>
      </c>
      <c r="P3771" t="str">
        <f t="shared" si="301"/>
        <v/>
      </c>
      <c r="Q3771">
        <f>COUNTIF('責任職　企業局→市長部局'!A:A,SQLデータ!B3771)</f>
        <v>0</v>
      </c>
      <c r="R3771">
        <f>COUNTIF('一般職員　企業局→市長部局'!A:F,SQLデータ!B3771)</f>
        <v>0</v>
      </c>
    </row>
    <row r="3772" spans="1:18" x14ac:dyDescent="0.4">
      <c r="A3772" s="1">
        <v>202650003735</v>
      </c>
      <c r="B3772" s="1">
        <v>1211050</v>
      </c>
      <c r="C3772" s="2">
        <v>46129</v>
      </c>
      <c r="D3772" t="s">
        <v>17</v>
      </c>
      <c r="E3772" t="s">
        <v>8</v>
      </c>
      <c r="G3772" t="s">
        <v>9</v>
      </c>
      <c r="L3772">
        <f t="shared" si="297"/>
        <v>0</v>
      </c>
      <c r="M3772">
        <f t="shared" si="298"/>
        <v>0</v>
      </c>
      <c r="N3772">
        <f t="shared" si="299"/>
        <v>0</v>
      </c>
      <c r="O3772">
        <f t="shared" si="300"/>
        <v>1</v>
      </c>
      <c r="P3772" t="str">
        <f t="shared" si="301"/>
        <v/>
      </c>
      <c r="Q3772">
        <f>COUNTIF('責任職　企業局→市長部局'!A:A,SQLデータ!B3772)</f>
        <v>0</v>
      </c>
      <c r="R3772">
        <f>COUNTIF('一般職員　企業局→市長部局'!A:F,SQLデータ!B3772)</f>
        <v>0</v>
      </c>
    </row>
    <row r="3773" spans="1:18" x14ac:dyDescent="0.4">
      <c r="A3773" s="1">
        <v>202650003736</v>
      </c>
      <c r="B3773" s="1">
        <v>1081214</v>
      </c>
      <c r="C3773" s="2">
        <v>46129</v>
      </c>
      <c r="D3773" t="s">
        <v>17</v>
      </c>
      <c r="E3773" t="s">
        <v>8</v>
      </c>
      <c r="G3773" t="s">
        <v>9</v>
      </c>
      <c r="L3773">
        <f t="shared" si="297"/>
        <v>0</v>
      </c>
      <c r="M3773">
        <f t="shared" si="298"/>
        <v>0</v>
      </c>
      <c r="N3773">
        <f t="shared" si="299"/>
        <v>0</v>
      </c>
      <c r="O3773">
        <f t="shared" si="300"/>
        <v>1</v>
      </c>
      <c r="P3773" t="str">
        <f t="shared" si="301"/>
        <v/>
      </c>
      <c r="Q3773">
        <f>COUNTIF('責任職　企業局→市長部局'!A:A,SQLデータ!B3773)</f>
        <v>0</v>
      </c>
      <c r="R3773">
        <f>COUNTIF('一般職員　企業局→市長部局'!A:F,SQLデータ!B3773)</f>
        <v>0</v>
      </c>
    </row>
    <row r="3774" spans="1:18" x14ac:dyDescent="0.4">
      <c r="A3774" s="1">
        <v>202650003737</v>
      </c>
      <c r="B3774" s="1">
        <v>1212305</v>
      </c>
      <c r="C3774" s="2">
        <v>46129</v>
      </c>
      <c r="D3774" t="s">
        <v>17</v>
      </c>
      <c r="E3774" t="s">
        <v>8</v>
      </c>
      <c r="G3774" t="s">
        <v>9</v>
      </c>
      <c r="L3774">
        <f t="shared" si="297"/>
        <v>0</v>
      </c>
      <c r="M3774">
        <f t="shared" si="298"/>
        <v>0</v>
      </c>
      <c r="N3774">
        <f t="shared" si="299"/>
        <v>0</v>
      </c>
      <c r="O3774">
        <f t="shared" si="300"/>
        <v>1</v>
      </c>
      <c r="P3774" t="str">
        <f t="shared" si="301"/>
        <v/>
      </c>
      <c r="Q3774">
        <f>COUNTIF('責任職　企業局→市長部局'!A:A,SQLデータ!B3774)</f>
        <v>0</v>
      </c>
      <c r="R3774">
        <f>COUNTIF('一般職員　企業局→市長部局'!A:F,SQLデータ!B3774)</f>
        <v>0</v>
      </c>
    </row>
    <row r="3775" spans="1:18" x14ac:dyDescent="0.4">
      <c r="A3775" s="1">
        <v>202650003738</v>
      </c>
      <c r="B3775" s="1">
        <v>1011178</v>
      </c>
      <c r="C3775" s="2">
        <v>46129</v>
      </c>
      <c r="D3775" t="s">
        <v>17</v>
      </c>
      <c r="E3775" t="s">
        <v>8</v>
      </c>
      <c r="G3775" t="s">
        <v>9</v>
      </c>
      <c r="L3775">
        <f t="shared" si="297"/>
        <v>0</v>
      </c>
      <c r="M3775">
        <f t="shared" si="298"/>
        <v>0</v>
      </c>
      <c r="N3775">
        <f t="shared" si="299"/>
        <v>0</v>
      </c>
      <c r="O3775">
        <f t="shared" si="300"/>
        <v>1</v>
      </c>
      <c r="P3775" t="str">
        <f t="shared" si="301"/>
        <v/>
      </c>
      <c r="Q3775">
        <f>COUNTIF('責任職　企業局→市長部局'!A:A,SQLデータ!B3775)</f>
        <v>0</v>
      </c>
      <c r="R3775">
        <f>COUNTIF('一般職員　企業局→市長部局'!A:F,SQLデータ!B3775)</f>
        <v>0</v>
      </c>
    </row>
    <row r="3776" spans="1:18" x14ac:dyDescent="0.4">
      <c r="A3776" s="1">
        <v>202650003739</v>
      </c>
      <c r="B3776" s="1">
        <v>1246059</v>
      </c>
      <c r="C3776" s="2">
        <v>46129</v>
      </c>
      <c r="D3776" t="s">
        <v>17</v>
      </c>
      <c r="E3776" t="s">
        <v>8</v>
      </c>
      <c r="G3776" t="s">
        <v>9</v>
      </c>
      <c r="L3776">
        <f t="shared" si="297"/>
        <v>0</v>
      </c>
      <c r="M3776">
        <f t="shared" si="298"/>
        <v>0</v>
      </c>
      <c r="N3776">
        <f t="shared" si="299"/>
        <v>0</v>
      </c>
      <c r="O3776">
        <f t="shared" si="300"/>
        <v>1</v>
      </c>
      <c r="P3776" t="str">
        <f t="shared" si="301"/>
        <v/>
      </c>
      <c r="Q3776">
        <f>COUNTIF('責任職　企業局→市長部局'!A:A,SQLデータ!B3776)</f>
        <v>0</v>
      </c>
      <c r="R3776">
        <f>COUNTIF('一般職員　企業局→市長部局'!A:F,SQLデータ!B3776)</f>
        <v>0</v>
      </c>
    </row>
    <row r="3777" spans="1:18" x14ac:dyDescent="0.4">
      <c r="A3777" s="1">
        <v>202650003740</v>
      </c>
      <c r="B3777" s="1">
        <v>1151296</v>
      </c>
      <c r="C3777" s="2">
        <v>46129</v>
      </c>
      <c r="D3777" t="s">
        <v>17</v>
      </c>
      <c r="E3777" t="s">
        <v>8</v>
      </c>
      <c r="G3777" t="s">
        <v>9</v>
      </c>
      <c r="L3777">
        <f t="shared" si="297"/>
        <v>0</v>
      </c>
      <c r="M3777">
        <f t="shared" si="298"/>
        <v>0</v>
      </c>
      <c r="N3777">
        <f t="shared" si="299"/>
        <v>0</v>
      </c>
      <c r="O3777">
        <f t="shared" si="300"/>
        <v>1</v>
      </c>
      <c r="P3777" t="str">
        <f t="shared" si="301"/>
        <v/>
      </c>
      <c r="Q3777">
        <f>COUNTIF('責任職　企業局→市長部局'!A:A,SQLデータ!B3777)</f>
        <v>0</v>
      </c>
      <c r="R3777">
        <f>COUNTIF('一般職員　企業局→市長部局'!A:F,SQLデータ!B3777)</f>
        <v>0</v>
      </c>
    </row>
    <row r="3778" spans="1:18" x14ac:dyDescent="0.4">
      <c r="A3778" s="1">
        <v>202650003741</v>
      </c>
      <c r="B3778" s="1">
        <v>1154076</v>
      </c>
      <c r="C3778" s="2">
        <v>46130</v>
      </c>
      <c r="D3778" t="s">
        <v>17</v>
      </c>
      <c r="E3778" t="s">
        <v>8</v>
      </c>
      <c r="G3778" t="s">
        <v>9</v>
      </c>
      <c r="L3778">
        <f t="shared" si="297"/>
        <v>0</v>
      </c>
      <c r="M3778">
        <f t="shared" si="298"/>
        <v>0</v>
      </c>
      <c r="N3778">
        <f t="shared" si="299"/>
        <v>0</v>
      </c>
      <c r="O3778">
        <f t="shared" si="300"/>
        <v>1</v>
      </c>
      <c r="P3778" t="str">
        <f t="shared" si="301"/>
        <v/>
      </c>
      <c r="Q3778">
        <f>COUNTIF('責任職　企業局→市長部局'!A:A,SQLデータ!B3778)</f>
        <v>0</v>
      </c>
      <c r="R3778">
        <f>COUNTIF('一般職員　企業局→市長部局'!A:F,SQLデータ!B3778)</f>
        <v>0</v>
      </c>
    </row>
    <row r="3779" spans="1:18" x14ac:dyDescent="0.4">
      <c r="A3779" s="1">
        <v>202650003742</v>
      </c>
      <c r="B3779" s="1">
        <v>1086020</v>
      </c>
      <c r="C3779" s="2">
        <v>46130</v>
      </c>
      <c r="D3779" t="s">
        <v>17</v>
      </c>
      <c r="E3779" t="s">
        <v>8</v>
      </c>
      <c r="G3779" t="s">
        <v>9</v>
      </c>
      <c r="L3779">
        <f t="shared" si="297"/>
        <v>0</v>
      </c>
      <c r="M3779">
        <f t="shared" si="298"/>
        <v>0</v>
      </c>
      <c r="N3779">
        <f t="shared" si="299"/>
        <v>0</v>
      </c>
      <c r="O3779">
        <f t="shared" si="300"/>
        <v>1</v>
      </c>
      <c r="P3779" t="str">
        <f t="shared" si="301"/>
        <v/>
      </c>
      <c r="Q3779">
        <f>COUNTIF('責任職　企業局→市長部局'!A:A,SQLデータ!B3779)</f>
        <v>0</v>
      </c>
      <c r="R3779">
        <f>COUNTIF('一般職員　企業局→市長部局'!A:F,SQLデータ!B3779)</f>
        <v>0</v>
      </c>
    </row>
    <row r="3780" spans="1:18" x14ac:dyDescent="0.4">
      <c r="A3780" s="1">
        <v>202650003746</v>
      </c>
      <c r="B3780" s="1">
        <v>992051</v>
      </c>
      <c r="C3780" s="2">
        <v>46131</v>
      </c>
      <c r="D3780" t="s">
        <v>17</v>
      </c>
      <c r="E3780" t="s">
        <v>8</v>
      </c>
      <c r="G3780" t="s">
        <v>9</v>
      </c>
      <c r="L3780">
        <f t="shared" si="297"/>
        <v>0</v>
      </c>
      <c r="M3780">
        <f t="shared" si="298"/>
        <v>0</v>
      </c>
      <c r="N3780">
        <f t="shared" si="299"/>
        <v>0</v>
      </c>
      <c r="O3780">
        <f t="shared" si="300"/>
        <v>1</v>
      </c>
      <c r="P3780" t="str">
        <f t="shared" si="301"/>
        <v/>
      </c>
      <c r="Q3780">
        <f>COUNTIF('責任職　企業局→市長部局'!A:A,SQLデータ!B3780)</f>
        <v>0</v>
      </c>
      <c r="R3780">
        <f>COUNTIF('一般職員　企業局→市長部局'!A:F,SQLデータ!B3780)</f>
        <v>0</v>
      </c>
    </row>
    <row r="3781" spans="1:18" x14ac:dyDescent="0.4">
      <c r="A3781" s="1">
        <v>202650003748</v>
      </c>
      <c r="B3781" s="1">
        <v>1121230</v>
      </c>
      <c r="C3781" s="2">
        <v>46132</v>
      </c>
      <c r="D3781" t="s">
        <v>17</v>
      </c>
      <c r="E3781" t="s">
        <v>8</v>
      </c>
      <c r="G3781" t="s">
        <v>9</v>
      </c>
      <c r="L3781">
        <f t="shared" si="297"/>
        <v>0</v>
      </c>
      <c r="M3781">
        <f t="shared" si="298"/>
        <v>0</v>
      </c>
      <c r="N3781">
        <f t="shared" si="299"/>
        <v>0</v>
      </c>
      <c r="O3781">
        <f t="shared" si="300"/>
        <v>1</v>
      </c>
      <c r="P3781" t="str">
        <f t="shared" si="301"/>
        <v/>
      </c>
      <c r="Q3781">
        <f>COUNTIF('責任職　企業局→市長部局'!A:A,SQLデータ!B3781)</f>
        <v>0</v>
      </c>
      <c r="R3781">
        <f>COUNTIF('一般職員　企業局→市長部局'!A:F,SQLデータ!B3781)</f>
        <v>0</v>
      </c>
    </row>
    <row r="3782" spans="1:18" x14ac:dyDescent="0.4">
      <c r="A3782" s="1">
        <v>202650003749</v>
      </c>
      <c r="B3782" s="1">
        <v>1261077</v>
      </c>
      <c r="C3782" s="2">
        <v>46132</v>
      </c>
      <c r="D3782" t="s">
        <v>17</v>
      </c>
      <c r="E3782" t="s">
        <v>8</v>
      </c>
      <c r="G3782" t="s">
        <v>9</v>
      </c>
      <c r="L3782">
        <f t="shared" si="297"/>
        <v>0</v>
      </c>
      <c r="M3782">
        <f t="shared" si="298"/>
        <v>0</v>
      </c>
      <c r="N3782">
        <f t="shared" si="299"/>
        <v>0</v>
      </c>
      <c r="O3782">
        <f t="shared" si="300"/>
        <v>1</v>
      </c>
      <c r="P3782" t="str">
        <f t="shared" si="301"/>
        <v/>
      </c>
      <c r="Q3782">
        <f>COUNTIF('責任職　企業局→市長部局'!A:A,SQLデータ!B3782)</f>
        <v>0</v>
      </c>
      <c r="R3782">
        <f>COUNTIF('一般職員　企業局→市長部局'!A:F,SQLデータ!B3782)</f>
        <v>0</v>
      </c>
    </row>
    <row r="3783" spans="1:18" x14ac:dyDescent="0.4">
      <c r="A3783" s="1">
        <v>202650003750</v>
      </c>
      <c r="B3783" s="1">
        <v>1221273</v>
      </c>
      <c r="C3783" s="2">
        <v>46132</v>
      </c>
      <c r="D3783" t="s">
        <v>17</v>
      </c>
      <c r="E3783" t="s">
        <v>8</v>
      </c>
      <c r="G3783" t="s">
        <v>9</v>
      </c>
      <c r="L3783">
        <f t="shared" si="297"/>
        <v>0</v>
      </c>
      <c r="M3783">
        <f t="shared" si="298"/>
        <v>0</v>
      </c>
      <c r="N3783">
        <f t="shared" si="299"/>
        <v>0</v>
      </c>
      <c r="O3783">
        <f t="shared" si="300"/>
        <v>1</v>
      </c>
      <c r="P3783" t="str">
        <f t="shared" si="301"/>
        <v/>
      </c>
      <c r="Q3783">
        <f>COUNTIF('責任職　企業局→市長部局'!A:A,SQLデータ!B3783)</f>
        <v>0</v>
      </c>
      <c r="R3783">
        <f>COUNTIF('一般職員　企業局→市長部局'!A:F,SQLデータ!B3783)</f>
        <v>0</v>
      </c>
    </row>
    <row r="3784" spans="1:18" x14ac:dyDescent="0.4">
      <c r="A3784" s="1">
        <v>202650003751</v>
      </c>
      <c r="B3784" s="1">
        <v>930630</v>
      </c>
      <c r="C3784" s="2">
        <v>46132</v>
      </c>
      <c r="D3784" t="s">
        <v>17</v>
      </c>
      <c r="E3784" t="s">
        <v>8</v>
      </c>
      <c r="G3784" t="s">
        <v>9</v>
      </c>
      <c r="L3784">
        <f t="shared" si="297"/>
        <v>0</v>
      </c>
      <c r="M3784">
        <f t="shared" si="298"/>
        <v>0</v>
      </c>
      <c r="N3784">
        <f t="shared" si="299"/>
        <v>0</v>
      </c>
      <c r="O3784">
        <f t="shared" si="300"/>
        <v>1</v>
      </c>
      <c r="P3784" t="str">
        <f t="shared" si="301"/>
        <v/>
      </c>
      <c r="Q3784">
        <f>COUNTIF('責任職　企業局→市長部局'!A:A,SQLデータ!B3784)</f>
        <v>0</v>
      </c>
      <c r="R3784">
        <f>COUNTIF('一般職員　企業局→市長部局'!A:F,SQLデータ!B3784)</f>
        <v>0</v>
      </c>
    </row>
    <row r="3785" spans="1:18" x14ac:dyDescent="0.4">
      <c r="A3785" s="1">
        <v>202650003753</v>
      </c>
      <c r="B3785" s="1">
        <v>1222302</v>
      </c>
      <c r="C3785" s="2">
        <v>46132</v>
      </c>
      <c r="D3785" t="s">
        <v>17</v>
      </c>
      <c r="E3785" t="s">
        <v>8</v>
      </c>
      <c r="G3785" t="s">
        <v>9</v>
      </c>
      <c r="L3785">
        <f t="shared" si="297"/>
        <v>0</v>
      </c>
      <c r="M3785">
        <f t="shared" si="298"/>
        <v>0</v>
      </c>
      <c r="N3785">
        <f t="shared" si="299"/>
        <v>0</v>
      </c>
      <c r="O3785">
        <f t="shared" si="300"/>
        <v>1</v>
      </c>
      <c r="P3785" t="str">
        <f t="shared" si="301"/>
        <v/>
      </c>
      <c r="Q3785">
        <f>COUNTIF('責任職　企業局→市長部局'!A:A,SQLデータ!B3785)</f>
        <v>0</v>
      </c>
      <c r="R3785">
        <f>COUNTIF('一般職員　企業局→市長部局'!A:F,SQLデータ!B3785)</f>
        <v>0</v>
      </c>
    </row>
    <row r="3786" spans="1:18" x14ac:dyDescent="0.4">
      <c r="A3786" s="1">
        <v>202650003754</v>
      </c>
      <c r="B3786" s="1">
        <v>1231134</v>
      </c>
      <c r="C3786" s="2">
        <v>46132</v>
      </c>
      <c r="D3786" t="s">
        <v>17</v>
      </c>
      <c r="E3786" t="s">
        <v>8</v>
      </c>
      <c r="G3786" t="s">
        <v>9</v>
      </c>
      <c r="L3786">
        <f t="shared" si="297"/>
        <v>0</v>
      </c>
      <c r="M3786">
        <f t="shared" si="298"/>
        <v>0</v>
      </c>
      <c r="N3786">
        <f t="shared" si="299"/>
        <v>0</v>
      </c>
      <c r="O3786">
        <f t="shared" si="300"/>
        <v>1</v>
      </c>
      <c r="P3786" t="str">
        <f t="shared" si="301"/>
        <v/>
      </c>
      <c r="Q3786">
        <f>COUNTIF('責任職　企業局→市長部局'!A:A,SQLデータ!B3786)</f>
        <v>0</v>
      </c>
      <c r="R3786">
        <f>COUNTIF('一般職員　企業局→市長部局'!A:F,SQLデータ!B3786)</f>
        <v>0</v>
      </c>
    </row>
    <row r="3787" spans="1:18" x14ac:dyDescent="0.4">
      <c r="A3787" s="1">
        <v>202650003756</v>
      </c>
      <c r="B3787" s="1">
        <v>1251122</v>
      </c>
      <c r="C3787" s="2">
        <v>46132</v>
      </c>
      <c r="D3787" t="s">
        <v>17</v>
      </c>
      <c r="E3787" t="s">
        <v>8</v>
      </c>
      <c r="G3787" t="s">
        <v>9</v>
      </c>
      <c r="L3787">
        <f t="shared" si="297"/>
        <v>0</v>
      </c>
      <c r="M3787">
        <f t="shared" si="298"/>
        <v>0</v>
      </c>
      <c r="N3787">
        <f t="shared" si="299"/>
        <v>0</v>
      </c>
      <c r="O3787">
        <f t="shared" si="300"/>
        <v>1</v>
      </c>
      <c r="P3787" t="str">
        <f t="shared" si="301"/>
        <v/>
      </c>
      <c r="Q3787">
        <f>COUNTIF('責任職　企業局→市長部局'!A:A,SQLデータ!B3787)</f>
        <v>0</v>
      </c>
      <c r="R3787">
        <f>COUNTIF('一般職員　企業局→市長部局'!A:F,SQLデータ!B3787)</f>
        <v>0</v>
      </c>
    </row>
    <row r="3788" spans="1:18" x14ac:dyDescent="0.4">
      <c r="A3788" s="1">
        <v>202650003757</v>
      </c>
      <c r="B3788" s="1">
        <v>1231279</v>
      </c>
      <c r="C3788" s="2">
        <v>46132</v>
      </c>
      <c r="D3788" t="s">
        <v>17</v>
      </c>
      <c r="E3788" t="s">
        <v>8</v>
      </c>
      <c r="G3788" t="s">
        <v>9</v>
      </c>
      <c r="L3788">
        <f t="shared" si="297"/>
        <v>0</v>
      </c>
      <c r="M3788">
        <f t="shared" si="298"/>
        <v>0</v>
      </c>
      <c r="N3788">
        <f t="shared" si="299"/>
        <v>0</v>
      </c>
      <c r="O3788">
        <f t="shared" si="300"/>
        <v>1</v>
      </c>
      <c r="P3788" t="str">
        <f t="shared" si="301"/>
        <v/>
      </c>
      <c r="Q3788">
        <f>COUNTIF('責任職　企業局→市長部局'!A:A,SQLデータ!B3788)</f>
        <v>0</v>
      </c>
      <c r="R3788">
        <f>COUNTIF('一般職員　企業局→市長部局'!A:F,SQLデータ!B3788)</f>
        <v>0</v>
      </c>
    </row>
    <row r="3789" spans="1:18" x14ac:dyDescent="0.4">
      <c r="A3789" s="1">
        <v>202650003758</v>
      </c>
      <c r="B3789" s="1">
        <v>1213016</v>
      </c>
      <c r="C3789" s="2">
        <v>46132</v>
      </c>
      <c r="D3789" t="s">
        <v>17</v>
      </c>
      <c r="E3789" t="s">
        <v>8</v>
      </c>
      <c r="G3789" t="s">
        <v>9</v>
      </c>
      <c r="L3789">
        <f t="shared" si="297"/>
        <v>0</v>
      </c>
      <c r="M3789">
        <f t="shared" si="298"/>
        <v>0</v>
      </c>
      <c r="N3789">
        <f t="shared" si="299"/>
        <v>0</v>
      </c>
      <c r="O3789">
        <f t="shared" si="300"/>
        <v>1</v>
      </c>
      <c r="P3789" t="str">
        <f t="shared" si="301"/>
        <v/>
      </c>
      <c r="Q3789">
        <f>COUNTIF('責任職　企業局→市長部局'!A:A,SQLデータ!B3789)</f>
        <v>1</v>
      </c>
      <c r="R3789">
        <f>COUNTIF('一般職員　企業局→市長部局'!A:F,SQLデータ!B3789)</f>
        <v>0</v>
      </c>
    </row>
    <row r="3790" spans="1:18" x14ac:dyDescent="0.4">
      <c r="A3790" s="1">
        <v>202660000001</v>
      </c>
      <c r="B3790" s="1">
        <v>930342</v>
      </c>
      <c r="C3790" s="2">
        <v>46115</v>
      </c>
      <c r="D3790" t="s">
        <v>18</v>
      </c>
      <c r="E3790" t="s">
        <v>8</v>
      </c>
      <c r="F3790" t="s">
        <v>47</v>
      </c>
      <c r="G3790" t="s">
        <v>24</v>
      </c>
      <c r="H3790" t="s">
        <v>23</v>
      </c>
      <c r="J3790" t="s">
        <v>23</v>
      </c>
      <c r="L3790">
        <f t="shared" si="297"/>
        <v>1</v>
      </c>
      <c r="M3790">
        <f t="shared" si="298"/>
        <v>0</v>
      </c>
      <c r="N3790">
        <f t="shared" si="299"/>
        <v>0</v>
      </c>
      <c r="O3790">
        <f t="shared" si="300"/>
        <v>0</v>
      </c>
      <c r="P3790">
        <f t="shared" si="301"/>
        <v>0</v>
      </c>
      <c r="Q3790">
        <f>COUNTIF('責任職　企業局→市長部局'!A:A,SQLデータ!B3790)</f>
        <v>0</v>
      </c>
      <c r="R3790">
        <f>COUNTIF('一般職員　企業局→市長部局'!A:F,SQLデータ!B3790)</f>
        <v>0</v>
      </c>
    </row>
    <row r="3791" spans="1:18" x14ac:dyDescent="0.4">
      <c r="A3791" s="1">
        <v>202660000002</v>
      </c>
      <c r="B3791" s="1">
        <v>910796</v>
      </c>
      <c r="C3791" s="2">
        <v>46115</v>
      </c>
      <c r="D3791" t="s">
        <v>18</v>
      </c>
      <c r="E3791" t="s">
        <v>8</v>
      </c>
      <c r="F3791" t="s">
        <v>47</v>
      </c>
      <c r="G3791" t="s">
        <v>24</v>
      </c>
      <c r="H3791" t="s">
        <v>23</v>
      </c>
      <c r="I3791" t="s">
        <v>23</v>
      </c>
      <c r="J3791" t="s">
        <v>23</v>
      </c>
      <c r="K3791" t="s">
        <v>23</v>
      </c>
      <c r="L3791">
        <f t="shared" si="297"/>
        <v>1</v>
      </c>
      <c r="M3791">
        <f t="shared" si="298"/>
        <v>0</v>
      </c>
      <c r="N3791">
        <f t="shared" si="299"/>
        <v>0</v>
      </c>
      <c r="O3791">
        <f t="shared" si="300"/>
        <v>0</v>
      </c>
      <c r="P3791">
        <f t="shared" si="301"/>
        <v>0</v>
      </c>
      <c r="Q3791">
        <f>COUNTIF('責任職　企業局→市長部局'!A:A,SQLデータ!B3791)</f>
        <v>0</v>
      </c>
      <c r="R3791">
        <f>COUNTIF('一般職員　企業局→市長部局'!A:F,SQLデータ!B3791)</f>
        <v>0</v>
      </c>
    </row>
    <row r="3792" spans="1:18" x14ac:dyDescent="0.4">
      <c r="A3792" s="1">
        <v>202660000003</v>
      </c>
      <c r="B3792" s="1">
        <v>910535</v>
      </c>
      <c r="C3792" s="2">
        <v>46115</v>
      </c>
      <c r="D3792" t="s">
        <v>18</v>
      </c>
      <c r="E3792" t="s">
        <v>11</v>
      </c>
      <c r="G3792" t="s">
        <v>24</v>
      </c>
      <c r="H3792" t="s">
        <v>23</v>
      </c>
      <c r="I3792" t="s">
        <v>23</v>
      </c>
      <c r="J3792" t="s">
        <v>23</v>
      </c>
      <c r="K3792" t="s">
        <v>23</v>
      </c>
      <c r="L3792">
        <f t="shared" si="297"/>
        <v>1</v>
      </c>
      <c r="M3792">
        <f t="shared" si="298"/>
        <v>0</v>
      </c>
      <c r="N3792">
        <f t="shared" si="299"/>
        <v>0</v>
      </c>
      <c r="O3792">
        <f t="shared" si="300"/>
        <v>0</v>
      </c>
      <c r="P3792">
        <f t="shared" si="301"/>
        <v>1</v>
      </c>
      <c r="Q3792">
        <f>COUNTIF('責任職　企業局→市長部局'!A:A,SQLデータ!B3792)</f>
        <v>0</v>
      </c>
      <c r="R3792">
        <f>COUNTIF('一般職員　企業局→市長部局'!A:F,SQLデータ!B3792)</f>
        <v>0</v>
      </c>
    </row>
    <row r="3793" spans="1:18" x14ac:dyDescent="0.4">
      <c r="A3793" s="1">
        <v>202660000004</v>
      </c>
      <c r="B3793" s="1">
        <v>930180</v>
      </c>
      <c r="C3793" s="2">
        <v>46115</v>
      </c>
      <c r="D3793" t="s">
        <v>18</v>
      </c>
      <c r="E3793" t="s">
        <v>11</v>
      </c>
      <c r="G3793" t="s">
        <v>24</v>
      </c>
      <c r="H3793" t="s">
        <v>23</v>
      </c>
      <c r="I3793" t="s">
        <v>23</v>
      </c>
      <c r="J3793" t="s">
        <v>23</v>
      </c>
      <c r="K3793" t="s">
        <v>23</v>
      </c>
      <c r="L3793">
        <f t="shared" si="297"/>
        <v>1</v>
      </c>
      <c r="M3793">
        <f t="shared" si="298"/>
        <v>0</v>
      </c>
      <c r="N3793">
        <f t="shared" si="299"/>
        <v>0</v>
      </c>
      <c r="O3793">
        <f t="shared" si="300"/>
        <v>0</v>
      </c>
      <c r="P3793">
        <f t="shared" si="301"/>
        <v>1</v>
      </c>
      <c r="Q3793">
        <f>COUNTIF('責任職　企業局→市長部局'!A:A,SQLデータ!B3793)</f>
        <v>0</v>
      </c>
      <c r="R3793">
        <f>COUNTIF('一般職員　企業局→市長部局'!A:F,SQLデータ!B3793)</f>
        <v>0</v>
      </c>
    </row>
    <row r="3794" spans="1:18" x14ac:dyDescent="0.4">
      <c r="A3794" s="1">
        <v>202660000007</v>
      </c>
      <c r="B3794" s="1">
        <v>940169</v>
      </c>
      <c r="C3794" s="2">
        <v>46121</v>
      </c>
      <c r="D3794" t="s">
        <v>18</v>
      </c>
      <c r="E3794" t="s">
        <v>11</v>
      </c>
      <c r="G3794" t="s">
        <v>24</v>
      </c>
      <c r="H3794" t="s">
        <v>23</v>
      </c>
      <c r="I3794" t="s">
        <v>23</v>
      </c>
      <c r="J3794" t="s">
        <v>23</v>
      </c>
      <c r="L3794">
        <f t="shared" si="297"/>
        <v>1</v>
      </c>
      <c r="M3794">
        <f t="shared" si="298"/>
        <v>0</v>
      </c>
      <c r="N3794">
        <f t="shared" si="299"/>
        <v>0</v>
      </c>
      <c r="O3794">
        <f t="shared" si="300"/>
        <v>0</v>
      </c>
      <c r="P3794">
        <f t="shared" si="301"/>
        <v>1</v>
      </c>
      <c r="Q3794">
        <f>COUNTIF('責任職　企業局→市長部局'!A:A,SQLデータ!B3794)</f>
        <v>0</v>
      </c>
      <c r="R3794">
        <f>COUNTIF('一般職員　企業局→市長部局'!A:F,SQLデータ!B3794)</f>
        <v>0</v>
      </c>
    </row>
    <row r="3795" spans="1:18" x14ac:dyDescent="0.4">
      <c r="A3795" s="1">
        <v>202660000010</v>
      </c>
      <c r="B3795" s="1">
        <v>910217</v>
      </c>
      <c r="C3795" s="2">
        <v>46115</v>
      </c>
      <c r="D3795" t="s">
        <v>18</v>
      </c>
      <c r="E3795" t="s">
        <v>8</v>
      </c>
      <c r="F3795" t="s">
        <v>47</v>
      </c>
      <c r="G3795" t="s">
        <v>24</v>
      </c>
      <c r="H3795" t="s">
        <v>23</v>
      </c>
      <c r="I3795" t="s">
        <v>23</v>
      </c>
      <c r="J3795" t="s">
        <v>23</v>
      </c>
      <c r="L3795">
        <f t="shared" si="297"/>
        <v>1</v>
      </c>
      <c r="M3795">
        <f t="shared" si="298"/>
        <v>0</v>
      </c>
      <c r="N3795">
        <f t="shared" si="299"/>
        <v>0</v>
      </c>
      <c r="O3795">
        <f t="shared" si="300"/>
        <v>0</v>
      </c>
      <c r="P3795">
        <f t="shared" si="301"/>
        <v>0</v>
      </c>
      <c r="Q3795">
        <f>COUNTIF('責任職　企業局→市長部局'!A:A,SQLデータ!B3795)</f>
        <v>0</v>
      </c>
      <c r="R3795">
        <f>COUNTIF('一般職員　企業局→市長部局'!A:F,SQLデータ!B3795)</f>
        <v>0</v>
      </c>
    </row>
    <row r="3796" spans="1:18" x14ac:dyDescent="0.4">
      <c r="A3796" s="1">
        <v>202660000011</v>
      </c>
      <c r="B3796" s="1">
        <v>870546</v>
      </c>
      <c r="C3796" s="2">
        <v>46115</v>
      </c>
      <c r="D3796" t="s">
        <v>18</v>
      </c>
      <c r="E3796" t="s">
        <v>11</v>
      </c>
      <c r="G3796" t="s">
        <v>24</v>
      </c>
      <c r="H3796" t="s">
        <v>23</v>
      </c>
      <c r="J3796" t="s">
        <v>23</v>
      </c>
      <c r="K3796" t="s">
        <v>23</v>
      </c>
      <c r="L3796">
        <f t="shared" si="297"/>
        <v>1</v>
      </c>
      <c r="M3796">
        <f t="shared" si="298"/>
        <v>0</v>
      </c>
      <c r="N3796">
        <f t="shared" si="299"/>
        <v>0</v>
      </c>
      <c r="O3796">
        <f t="shared" si="300"/>
        <v>0</v>
      </c>
      <c r="P3796">
        <f t="shared" si="301"/>
        <v>1</v>
      </c>
      <c r="Q3796">
        <f>COUNTIF('責任職　企業局→市長部局'!A:A,SQLデータ!B3796)</f>
        <v>0</v>
      </c>
      <c r="R3796">
        <f>COUNTIF('一般職員　企業局→市長部局'!A:F,SQLデータ!B3796)</f>
        <v>0</v>
      </c>
    </row>
    <row r="3797" spans="1:18" x14ac:dyDescent="0.4">
      <c r="A3797" s="1">
        <v>202660000014</v>
      </c>
      <c r="B3797" s="1">
        <v>1016008</v>
      </c>
      <c r="C3797" s="2">
        <v>46115</v>
      </c>
      <c r="D3797" t="s">
        <v>18</v>
      </c>
      <c r="E3797" t="s">
        <v>8</v>
      </c>
      <c r="F3797" t="s">
        <v>47</v>
      </c>
      <c r="G3797" t="s">
        <v>24</v>
      </c>
      <c r="H3797" t="s">
        <v>23</v>
      </c>
      <c r="I3797" t="s">
        <v>23</v>
      </c>
      <c r="J3797" t="s">
        <v>23</v>
      </c>
      <c r="K3797" t="s">
        <v>23</v>
      </c>
      <c r="L3797">
        <f t="shared" si="297"/>
        <v>1</v>
      </c>
      <c r="M3797">
        <f t="shared" si="298"/>
        <v>0</v>
      </c>
      <c r="N3797">
        <f t="shared" si="299"/>
        <v>0</v>
      </c>
      <c r="O3797">
        <f t="shared" si="300"/>
        <v>0</v>
      </c>
      <c r="P3797">
        <f t="shared" si="301"/>
        <v>0</v>
      </c>
      <c r="Q3797">
        <f>COUNTIF('責任職　企業局→市長部局'!A:A,SQLデータ!B3797)</f>
        <v>0</v>
      </c>
      <c r="R3797">
        <f>COUNTIF('一般職員　企業局→市長部局'!A:F,SQLデータ!B3797)</f>
        <v>0</v>
      </c>
    </row>
    <row r="3798" spans="1:18" x14ac:dyDescent="0.4">
      <c r="A3798" s="1">
        <v>202660000016</v>
      </c>
      <c r="B3798" s="1">
        <v>930502</v>
      </c>
      <c r="C3798" s="2">
        <v>46115</v>
      </c>
      <c r="D3798" t="s">
        <v>18</v>
      </c>
      <c r="E3798" t="s">
        <v>10</v>
      </c>
      <c r="G3798" t="s">
        <v>24</v>
      </c>
      <c r="H3798" t="s">
        <v>23</v>
      </c>
      <c r="J3798" t="s">
        <v>23</v>
      </c>
      <c r="K3798" t="s">
        <v>23</v>
      </c>
      <c r="L3798">
        <f t="shared" si="297"/>
        <v>1</v>
      </c>
      <c r="M3798">
        <f t="shared" si="298"/>
        <v>0</v>
      </c>
      <c r="N3798">
        <f t="shared" si="299"/>
        <v>0</v>
      </c>
      <c r="O3798">
        <f t="shared" si="300"/>
        <v>0</v>
      </c>
      <c r="P3798">
        <f t="shared" si="301"/>
        <v>1</v>
      </c>
      <c r="Q3798">
        <f>COUNTIF('責任職　企業局→市長部局'!A:A,SQLデータ!B3798)</f>
        <v>0</v>
      </c>
      <c r="R3798">
        <f>COUNTIF('一般職員　企業局→市長部局'!A:F,SQLデータ!B3798)</f>
        <v>0</v>
      </c>
    </row>
    <row r="3799" spans="1:18" x14ac:dyDescent="0.4">
      <c r="A3799" s="1">
        <v>202660000017</v>
      </c>
      <c r="B3799" s="1">
        <v>920074</v>
      </c>
      <c r="C3799" s="2">
        <v>46115</v>
      </c>
      <c r="D3799" t="s">
        <v>18</v>
      </c>
      <c r="E3799" t="s">
        <v>11</v>
      </c>
      <c r="G3799" t="s">
        <v>21</v>
      </c>
      <c r="H3799" t="s">
        <v>20</v>
      </c>
      <c r="I3799" t="s">
        <v>20</v>
      </c>
      <c r="J3799" t="s">
        <v>20</v>
      </c>
      <c r="K3799" t="s">
        <v>20</v>
      </c>
      <c r="L3799">
        <f t="shared" si="297"/>
        <v>1</v>
      </c>
      <c r="M3799">
        <f t="shared" si="298"/>
        <v>0</v>
      </c>
      <c r="N3799">
        <f t="shared" si="299"/>
        <v>0</v>
      </c>
      <c r="O3799">
        <f t="shared" si="300"/>
        <v>0</v>
      </c>
      <c r="P3799">
        <f t="shared" si="301"/>
        <v>1</v>
      </c>
      <c r="Q3799">
        <f>COUNTIF('責任職　企業局→市長部局'!A:A,SQLデータ!B3799)</f>
        <v>0</v>
      </c>
      <c r="R3799">
        <f>COUNTIF('一般職員　企業局→市長部局'!A:F,SQLデータ!B3799)</f>
        <v>0</v>
      </c>
    </row>
    <row r="3800" spans="1:18" x14ac:dyDescent="0.4">
      <c r="A3800" s="1">
        <v>202660000019</v>
      </c>
      <c r="B3800" s="1">
        <v>930130</v>
      </c>
      <c r="C3800" s="2">
        <v>46115</v>
      </c>
      <c r="D3800" t="s">
        <v>18</v>
      </c>
      <c r="E3800" t="s">
        <v>10</v>
      </c>
      <c r="F3800" t="s">
        <v>48</v>
      </c>
      <c r="G3800" t="s">
        <v>24</v>
      </c>
      <c r="H3800" t="s">
        <v>23</v>
      </c>
      <c r="I3800" t="s">
        <v>23</v>
      </c>
      <c r="J3800" t="s">
        <v>23</v>
      </c>
      <c r="K3800" t="s">
        <v>23</v>
      </c>
      <c r="L3800">
        <f t="shared" si="297"/>
        <v>1</v>
      </c>
      <c r="M3800">
        <f t="shared" si="298"/>
        <v>0</v>
      </c>
      <c r="N3800">
        <f t="shared" si="299"/>
        <v>0</v>
      </c>
      <c r="O3800">
        <f t="shared" si="300"/>
        <v>0</v>
      </c>
      <c r="P3800">
        <f t="shared" si="301"/>
        <v>1</v>
      </c>
      <c r="Q3800">
        <f>COUNTIF('責任職　企業局→市長部局'!A:A,SQLデータ!B3800)</f>
        <v>0</v>
      </c>
      <c r="R3800">
        <f>COUNTIF('一般職員　企業局→市長部局'!A:F,SQLデータ!B3800)</f>
        <v>0</v>
      </c>
    </row>
    <row r="3801" spans="1:18" x14ac:dyDescent="0.4">
      <c r="A3801" s="1">
        <v>202660000020</v>
      </c>
      <c r="B3801" s="1">
        <v>920161</v>
      </c>
      <c r="C3801" s="2">
        <v>46115</v>
      </c>
      <c r="D3801" t="s">
        <v>18</v>
      </c>
      <c r="E3801" t="s">
        <v>10</v>
      </c>
      <c r="G3801" t="s">
        <v>24</v>
      </c>
      <c r="H3801" t="s">
        <v>23</v>
      </c>
      <c r="I3801" t="s">
        <v>23</v>
      </c>
      <c r="J3801" t="s">
        <v>23</v>
      </c>
      <c r="K3801" t="s">
        <v>23</v>
      </c>
      <c r="L3801">
        <f t="shared" si="297"/>
        <v>1</v>
      </c>
      <c r="M3801">
        <f t="shared" si="298"/>
        <v>0</v>
      </c>
      <c r="N3801">
        <f t="shared" si="299"/>
        <v>0</v>
      </c>
      <c r="O3801">
        <f t="shared" si="300"/>
        <v>0</v>
      </c>
      <c r="P3801">
        <f t="shared" si="301"/>
        <v>1</v>
      </c>
      <c r="Q3801">
        <f>COUNTIF('責任職　企業局→市長部局'!A:A,SQLデータ!B3801)</f>
        <v>0</v>
      </c>
      <c r="R3801">
        <f>COUNTIF('一般職員　企業局→市長部局'!A:F,SQLデータ!B3801)</f>
        <v>0</v>
      </c>
    </row>
    <row r="3802" spans="1:18" x14ac:dyDescent="0.4">
      <c r="A3802" s="1">
        <v>202660000021</v>
      </c>
      <c r="B3802" s="1">
        <v>910109</v>
      </c>
      <c r="C3802" s="2">
        <v>46115</v>
      </c>
      <c r="D3802" t="s">
        <v>18</v>
      </c>
      <c r="E3802" t="s">
        <v>11</v>
      </c>
      <c r="G3802" t="s">
        <v>24</v>
      </c>
      <c r="H3802" t="s">
        <v>23</v>
      </c>
      <c r="I3802" t="s">
        <v>23</v>
      </c>
      <c r="J3802" t="s">
        <v>23</v>
      </c>
      <c r="L3802">
        <f t="shared" si="297"/>
        <v>1</v>
      </c>
      <c r="M3802">
        <f t="shared" si="298"/>
        <v>0</v>
      </c>
      <c r="N3802">
        <f t="shared" si="299"/>
        <v>0</v>
      </c>
      <c r="O3802">
        <f t="shared" si="300"/>
        <v>0</v>
      </c>
      <c r="P3802">
        <f t="shared" si="301"/>
        <v>1</v>
      </c>
      <c r="Q3802">
        <f>COUNTIF('責任職　企業局→市長部局'!A:A,SQLデータ!B3802)</f>
        <v>0</v>
      </c>
      <c r="R3802">
        <f>COUNTIF('一般職員　企業局→市長部局'!A:F,SQLデータ!B3802)</f>
        <v>0</v>
      </c>
    </row>
    <row r="3803" spans="1:18" x14ac:dyDescent="0.4">
      <c r="A3803" s="1">
        <v>202660000022</v>
      </c>
      <c r="B3803" s="1">
        <v>860200</v>
      </c>
      <c r="C3803" s="2">
        <v>46115</v>
      </c>
      <c r="D3803" t="s">
        <v>18</v>
      </c>
      <c r="E3803" t="s">
        <v>8</v>
      </c>
      <c r="F3803" t="s">
        <v>47</v>
      </c>
      <c r="G3803" t="s">
        <v>26</v>
      </c>
      <c r="H3803" t="s">
        <v>20</v>
      </c>
      <c r="J3803" t="s">
        <v>20</v>
      </c>
      <c r="K3803" t="s">
        <v>20</v>
      </c>
      <c r="L3803">
        <f t="shared" si="297"/>
        <v>1</v>
      </c>
      <c r="M3803">
        <f t="shared" si="298"/>
        <v>0</v>
      </c>
      <c r="N3803">
        <f t="shared" si="299"/>
        <v>0</v>
      </c>
      <c r="O3803">
        <f t="shared" si="300"/>
        <v>0</v>
      </c>
      <c r="P3803">
        <f t="shared" si="301"/>
        <v>0</v>
      </c>
      <c r="Q3803">
        <f>COUNTIF('責任職　企業局→市長部局'!A:A,SQLデータ!B3803)</f>
        <v>0</v>
      </c>
      <c r="R3803">
        <f>COUNTIF('一般職員　企業局→市長部局'!A:F,SQLデータ!B3803)</f>
        <v>0</v>
      </c>
    </row>
    <row r="3804" spans="1:18" x14ac:dyDescent="0.4">
      <c r="A3804" s="1">
        <v>202660000024</v>
      </c>
      <c r="B3804" s="1">
        <v>1031217</v>
      </c>
      <c r="C3804" s="2">
        <v>46115</v>
      </c>
      <c r="D3804" t="s">
        <v>18</v>
      </c>
      <c r="E3804" t="s">
        <v>8</v>
      </c>
      <c r="F3804" t="s">
        <v>47</v>
      </c>
      <c r="G3804" t="s">
        <v>24</v>
      </c>
      <c r="H3804" t="s">
        <v>23</v>
      </c>
      <c r="I3804" t="s">
        <v>23</v>
      </c>
      <c r="J3804" t="s">
        <v>23</v>
      </c>
      <c r="K3804" t="s">
        <v>23</v>
      </c>
      <c r="L3804">
        <f t="shared" si="297"/>
        <v>1</v>
      </c>
      <c r="M3804">
        <f t="shared" si="298"/>
        <v>0</v>
      </c>
      <c r="N3804">
        <f t="shared" si="299"/>
        <v>0</v>
      </c>
      <c r="O3804">
        <f t="shared" si="300"/>
        <v>0</v>
      </c>
      <c r="P3804">
        <f t="shared" si="301"/>
        <v>0</v>
      </c>
      <c r="Q3804">
        <f>COUNTIF('責任職　企業局→市長部局'!A:A,SQLデータ!B3804)</f>
        <v>0</v>
      </c>
      <c r="R3804">
        <f>COUNTIF('一般職員　企業局→市長部局'!A:F,SQLデータ!B3804)</f>
        <v>0</v>
      </c>
    </row>
    <row r="3805" spans="1:18" x14ac:dyDescent="0.4">
      <c r="A3805" s="1">
        <v>202660000026</v>
      </c>
      <c r="B3805" s="1">
        <v>1101231</v>
      </c>
      <c r="C3805" s="2">
        <v>46115</v>
      </c>
      <c r="D3805" t="s">
        <v>18</v>
      </c>
      <c r="E3805" t="s">
        <v>10</v>
      </c>
      <c r="G3805" t="s">
        <v>26</v>
      </c>
      <c r="H3805" t="s">
        <v>20</v>
      </c>
      <c r="I3805" t="s">
        <v>20</v>
      </c>
      <c r="J3805" t="s">
        <v>20</v>
      </c>
      <c r="K3805" t="s">
        <v>20</v>
      </c>
      <c r="L3805">
        <f t="shared" si="297"/>
        <v>1</v>
      </c>
      <c r="M3805">
        <f t="shared" si="298"/>
        <v>0</v>
      </c>
      <c r="N3805">
        <f t="shared" si="299"/>
        <v>0</v>
      </c>
      <c r="O3805">
        <f t="shared" si="300"/>
        <v>0</v>
      </c>
      <c r="P3805">
        <f t="shared" si="301"/>
        <v>1</v>
      </c>
      <c r="Q3805">
        <f>COUNTIF('責任職　企業局→市長部局'!A:A,SQLデータ!B3805)</f>
        <v>0</v>
      </c>
      <c r="R3805">
        <f>COUNTIF('一般職員　企業局→市長部局'!A:F,SQLデータ!B3805)</f>
        <v>0</v>
      </c>
    </row>
    <row r="3806" spans="1:18" x14ac:dyDescent="0.4">
      <c r="A3806" s="1">
        <v>202660000029</v>
      </c>
      <c r="B3806" s="1">
        <v>810330</v>
      </c>
      <c r="C3806" s="2">
        <v>46115</v>
      </c>
      <c r="D3806" t="s">
        <v>18</v>
      </c>
      <c r="E3806" t="s">
        <v>8</v>
      </c>
      <c r="F3806" t="s">
        <v>47</v>
      </c>
      <c r="G3806" t="s">
        <v>26</v>
      </c>
      <c r="H3806" t="s">
        <v>20</v>
      </c>
      <c r="J3806" t="s">
        <v>20</v>
      </c>
      <c r="K3806" t="s">
        <v>20</v>
      </c>
      <c r="L3806">
        <f t="shared" si="297"/>
        <v>1</v>
      </c>
      <c r="M3806">
        <f t="shared" si="298"/>
        <v>0</v>
      </c>
      <c r="N3806">
        <f t="shared" si="299"/>
        <v>0</v>
      </c>
      <c r="O3806">
        <f t="shared" si="300"/>
        <v>0</v>
      </c>
      <c r="P3806">
        <f t="shared" si="301"/>
        <v>0</v>
      </c>
      <c r="Q3806">
        <f>COUNTIF('責任職　企業局→市長部局'!A:A,SQLデータ!B3806)</f>
        <v>0</v>
      </c>
      <c r="R3806">
        <f>COUNTIF('一般職員　企業局→市長部局'!A:F,SQLデータ!B3806)</f>
        <v>0</v>
      </c>
    </row>
    <row r="3807" spans="1:18" x14ac:dyDescent="0.4">
      <c r="A3807" s="1">
        <v>202660000032</v>
      </c>
      <c r="B3807" s="1">
        <v>890163</v>
      </c>
      <c r="C3807" s="2">
        <v>46115</v>
      </c>
      <c r="D3807" t="s">
        <v>18</v>
      </c>
      <c r="E3807" t="s">
        <v>8</v>
      </c>
      <c r="F3807" t="s">
        <v>47</v>
      </c>
      <c r="G3807" t="s">
        <v>26</v>
      </c>
      <c r="H3807" t="s">
        <v>20</v>
      </c>
      <c r="J3807" t="s">
        <v>20</v>
      </c>
      <c r="L3807">
        <f t="shared" si="297"/>
        <v>1</v>
      </c>
      <c r="M3807">
        <f t="shared" si="298"/>
        <v>0</v>
      </c>
      <c r="N3807">
        <f t="shared" si="299"/>
        <v>0</v>
      </c>
      <c r="O3807">
        <f t="shared" si="300"/>
        <v>0</v>
      </c>
      <c r="P3807">
        <f t="shared" si="301"/>
        <v>0</v>
      </c>
      <c r="Q3807">
        <f>COUNTIF('責任職　企業局→市長部局'!A:A,SQLデータ!B3807)</f>
        <v>0</v>
      </c>
      <c r="R3807">
        <f>COUNTIF('一般職員　企業局→市長部局'!A:F,SQLデータ!B3807)</f>
        <v>0</v>
      </c>
    </row>
    <row r="3808" spans="1:18" x14ac:dyDescent="0.4">
      <c r="A3808" s="1">
        <v>202660000033</v>
      </c>
      <c r="B3808" s="1">
        <v>840222</v>
      </c>
      <c r="C3808" s="2">
        <v>46115</v>
      </c>
      <c r="D3808" t="s">
        <v>18</v>
      </c>
      <c r="E3808" t="s">
        <v>11</v>
      </c>
      <c r="G3808" t="s">
        <v>24</v>
      </c>
      <c r="H3808" t="s">
        <v>23</v>
      </c>
      <c r="I3808" t="s">
        <v>23</v>
      </c>
      <c r="J3808" t="s">
        <v>23</v>
      </c>
      <c r="L3808">
        <f t="shared" si="297"/>
        <v>1</v>
      </c>
      <c r="M3808">
        <f t="shared" si="298"/>
        <v>0</v>
      </c>
      <c r="N3808">
        <f t="shared" si="299"/>
        <v>0</v>
      </c>
      <c r="O3808">
        <f t="shared" si="300"/>
        <v>0</v>
      </c>
      <c r="P3808">
        <f t="shared" si="301"/>
        <v>1</v>
      </c>
      <c r="Q3808">
        <f>COUNTIF('責任職　企業局→市長部局'!A:A,SQLデータ!B3808)</f>
        <v>0</v>
      </c>
      <c r="R3808">
        <f>COUNTIF('一般職員　企業局→市長部局'!A:F,SQLデータ!B3808)</f>
        <v>0</v>
      </c>
    </row>
    <row r="3809" spans="1:18" x14ac:dyDescent="0.4">
      <c r="A3809" s="1">
        <v>202660000034</v>
      </c>
      <c r="B3809" s="1">
        <v>901042</v>
      </c>
      <c r="C3809" s="2">
        <v>46115</v>
      </c>
      <c r="D3809" t="s">
        <v>18</v>
      </c>
      <c r="E3809" t="s">
        <v>11</v>
      </c>
      <c r="G3809" t="s">
        <v>24</v>
      </c>
      <c r="H3809" t="s">
        <v>23</v>
      </c>
      <c r="I3809" t="s">
        <v>23</v>
      </c>
      <c r="J3809" t="s">
        <v>23</v>
      </c>
      <c r="K3809" t="s">
        <v>23</v>
      </c>
      <c r="L3809">
        <f t="shared" si="297"/>
        <v>1</v>
      </c>
      <c r="M3809">
        <f t="shared" si="298"/>
        <v>0</v>
      </c>
      <c r="N3809">
        <f t="shared" si="299"/>
        <v>0</v>
      </c>
      <c r="O3809">
        <f t="shared" si="300"/>
        <v>0</v>
      </c>
      <c r="P3809">
        <f t="shared" si="301"/>
        <v>1</v>
      </c>
      <c r="Q3809">
        <f>COUNTIF('責任職　企業局→市長部局'!A:A,SQLデータ!B3809)</f>
        <v>0</v>
      </c>
      <c r="R3809">
        <f>COUNTIF('一般職員　企業局→市長部局'!A:F,SQLデータ!B3809)</f>
        <v>0</v>
      </c>
    </row>
    <row r="3810" spans="1:18" x14ac:dyDescent="0.4">
      <c r="A3810" s="1">
        <v>202660000035</v>
      </c>
      <c r="B3810" s="1">
        <v>930089</v>
      </c>
      <c r="C3810" s="2">
        <v>46115</v>
      </c>
      <c r="D3810" t="s">
        <v>18</v>
      </c>
      <c r="E3810" t="s">
        <v>11</v>
      </c>
      <c r="G3810" t="s">
        <v>24</v>
      </c>
      <c r="H3810" t="s">
        <v>23</v>
      </c>
      <c r="I3810" t="s">
        <v>23</v>
      </c>
      <c r="J3810" t="s">
        <v>23</v>
      </c>
      <c r="K3810" t="s">
        <v>23</v>
      </c>
      <c r="L3810">
        <f t="shared" ref="L3810:L3873" si="302">IF(ISBLANK(J3810),0,1)</f>
        <v>1</v>
      </c>
      <c r="M3810">
        <f t="shared" ref="M3810:M3873" si="303">IF(AND(L3810=0,I3810&lt;&gt;""),1,0)</f>
        <v>0</v>
      </c>
      <c r="N3810">
        <f t="shared" ref="N3810:N3873" si="304">IF(AND(L3810=0,M3810=0,K3810&lt;&gt;""),1,0)</f>
        <v>0</v>
      </c>
      <c r="O3810">
        <f t="shared" ref="O3810:O3873" si="305">IF(COUNTIF(L3810:N3810,0)=3,1,0)</f>
        <v>0</v>
      </c>
      <c r="P3810">
        <f t="shared" ref="P3810:P3873" si="306">IF(D3810&lt;&gt;"扶養","",IF(E3810&lt;&gt;"確認待ち",1,IF(OR(AND(G3810="本人の結婚",O3810=1),AND(H3810="減",OR(N3810=1,O3810=1))),1,0)))</f>
        <v>1</v>
      </c>
      <c r="Q3810">
        <f>COUNTIF('責任職　企業局→市長部局'!A:A,SQLデータ!B3810)</f>
        <v>0</v>
      </c>
      <c r="R3810">
        <f>COUNTIF('一般職員　企業局→市長部局'!A:F,SQLデータ!B3810)</f>
        <v>0</v>
      </c>
    </row>
    <row r="3811" spans="1:18" x14ac:dyDescent="0.4">
      <c r="A3811" s="1">
        <v>202660000036</v>
      </c>
      <c r="B3811" s="1">
        <v>840222</v>
      </c>
      <c r="C3811" s="2">
        <v>46115</v>
      </c>
      <c r="D3811" t="s">
        <v>18</v>
      </c>
      <c r="E3811" t="s">
        <v>11</v>
      </c>
      <c r="G3811" t="s">
        <v>24</v>
      </c>
      <c r="H3811" t="s">
        <v>23</v>
      </c>
      <c r="I3811" t="s">
        <v>23</v>
      </c>
      <c r="J3811" t="s">
        <v>23</v>
      </c>
      <c r="L3811">
        <f t="shared" si="302"/>
        <v>1</v>
      </c>
      <c r="M3811">
        <f t="shared" si="303"/>
        <v>0</v>
      </c>
      <c r="N3811">
        <f t="shared" si="304"/>
        <v>0</v>
      </c>
      <c r="O3811">
        <f t="shared" si="305"/>
        <v>0</v>
      </c>
      <c r="P3811">
        <f t="shared" si="306"/>
        <v>1</v>
      </c>
      <c r="Q3811">
        <f>COUNTIF('責任職　企業局→市長部局'!A:A,SQLデータ!B3811)</f>
        <v>0</v>
      </c>
      <c r="R3811">
        <f>COUNTIF('一般職員　企業局→市長部局'!A:F,SQLデータ!B3811)</f>
        <v>0</v>
      </c>
    </row>
    <row r="3812" spans="1:18" x14ac:dyDescent="0.4">
      <c r="A3812" s="1">
        <v>202660000037</v>
      </c>
      <c r="B3812" s="1">
        <v>1241350</v>
      </c>
      <c r="C3812" s="2">
        <v>46115</v>
      </c>
      <c r="D3812" t="s">
        <v>18</v>
      </c>
      <c r="E3812" t="s">
        <v>11</v>
      </c>
      <c r="G3812" t="s">
        <v>24</v>
      </c>
      <c r="H3812" t="s">
        <v>23</v>
      </c>
      <c r="I3812" t="s">
        <v>23</v>
      </c>
      <c r="J3812" t="s">
        <v>23</v>
      </c>
      <c r="K3812" t="s">
        <v>23</v>
      </c>
      <c r="L3812">
        <f t="shared" si="302"/>
        <v>1</v>
      </c>
      <c r="M3812">
        <f t="shared" si="303"/>
        <v>0</v>
      </c>
      <c r="N3812">
        <f t="shared" si="304"/>
        <v>0</v>
      </c>
      <c r="O3812">
        <f t="shared" si="305"/>
        <v>0</v>
      </c>
      <c r="P3812">
        <f t="shared" si="306"/>
        <v>1</v>
      </c>
      <c r="Q3812">
        <f>COUNTIF('責任職　企業局→市長部局'!A:A,SQLデータ!B3812)</f>
        <v>0</v>
      </c>
      <c r="R3812">
        <f>COUNTIF('一般職員　企業局→市長部局'!A:F,SQLデータ!B3812)</f>
        <v>0</v>
      </c>
    </row>
    <row r="3813" spans="1:18" x14ac:dyDescent="0.4">
      <c r="A3813" s="1">
        <v>202660000043</v>
      </c>
      <c r="B3813" s="1">
        <v>1186113</v>
      </c>
      <c r="C3813" s="2">
        <v>46117</v>
      </c>
      <c r="D3813" t="s">
        <v>18</v>
      </c>
      <c r="E3813" t="s">
        <v>11</v>
      </c>
      <c r="G3813" t="s">
        <v>31</v>
      </c>
      <c r="H3813" t="s">
        <v>20</v>
      </c>
      <c r="I3813" t="s">
        <v>20</v>
      </c>
      <c r="J3813" t="s">
        <v>20</v>
      </c>
      <c r="K3813" t="s">
        <v>20</v>
      </c>
      <c r="L3813">
        <f t="shared" si="302"/>
        <v>1</v>
      </c>
      <c r="M3813">
        <f t="shared" si="303"/>
        <v>0</v>
      </c>
      <c r="N3813">
        <f t="shared" si="304"/>
        <v>0</v>
      </c>
      <c r="O3813">
        <f t="shared" si="305"/>
        <v>0</v>
      </c>
      <c r="P3813">
        <f t="shared" si="306"/>
        <v>1</v>
      </c>
      <c r="Q3813">
        <f>COUNTIF('責任職　企業局→市長部局'!A:A,SQLデータ!B3813)</f>
        <v>0</v>
      </c>
      <c r="R3813">
        <f>COUNTIF('一般職員　企業局→市長部局'!A:F,SQLデータ!B3813)</f>
        <v>0</v>
      </c>
    </row>
    <row r="3814" spans="1:18" x14ac:dyDescent="0.4">
      <c r="A3814" s="1">
        <v>202660000044</v>
      </c>
      <c r="B3814" s="1">
        <v>908151</v>
      </c>
      <c r="C3814" s="2">
        <v>46115</v>
      </c>
      <c r="D3814" t="s">
        <v>18</v>
      </c>
      <c r="E3814" t="s">
        <v>11</v>
      </c>
      <c r="G3814" t="s">
        <v>24</v>
      </c>
      <c r="H3814" t="s">
        <v>23</v>
      </c>
      <c r="I3814" t="s">
        <v>23</v>
      </c>
      <c r="J3814" t="s">
        <v>23</v>
      </c>
      <c r="K3814" t="s">
        <v>23</v>
      </c>
      <c r="L3814">
        <f t="shared" si="302"/>
        <v>1</v>
      </c>
      <c r="M3814">
        <f t="shared" si="303"/>
        <v>0</v>
      </c>
      <c r="N3814">
        <f t="shared" si="304"/>
        <v>0</v>
      </c>
      <c r="O3814">
        <f t="shared" si="305"/>
        <v>0</v>
      </c>
      <c r="P3814">
        <f t="shared" si="306"/>
        <v>1</v>
      </c>
      <c r="Q3814">
        <f>COUNTIF('責任職　企業局→市長部局'!A:A,SQLデータ!B3814)</f>
        <v>0</v>
      </c>
      <c r="R3814">
        <f>COUNTIF('一般職員　企業局→市長部局'!A:F,SQLデータ!B3814)</f>
        <v>0</v>
      </c>
    </row>
    <row r="3815" spans="1:18" x14ac:dyDescent="0.4">
      <c r="A3815" s="1">
        <v>202660000046</v>
      </c>
      <c r="B3815" s="1">
        <v>1161110</v>
      </c>
      <c r="C3815" s="2">
        <v>46115</v>
      </c>
      <c r="D3815" t="s">
        <v>18</v>
      </c>
      <c r="E3815" t="s">
        <v>10</v>
      </c>
      <c r="G3815" t="s">
        <v>27</v>
      </c>
      <c r="H3815" t="s">
        <v>20</v>
      </c>
      <c r="I3815" t="s">
        <v>20</v>
      </c>
      <c r="J3815" t="s">
        <v>20</v>
      </c>
      <c r="L3815">
        <f t="shared" si="302"/>
        <v>1</v>
      </c>
      <c r="M3815">
        <f t="shared" si="303"/>
        <v>0</v>
      </c>
      <c r="N3815">
        <f t="shared" si="304"/>
        <v>0</v>
      </c>
      <c r="O3815">
        <f t="shared" si="305"/>
        <v>0</v>
      </c>
      <c r="P3815">
        <f t="shared" si="306"/>
        <v>1</v>
      </c>
      <c r="Q3815">
        <f>COUNTIF('責任職　企業局→市長部局'!A:A,SQLデータ!B3815)</f>
        <v>0</v>
      </c>
      <c r="R3815">
        <f>COUNTIF('一般職員　企業局→市長部局'!A:F,SQLデータ!B3815)</f>
        <v>0</v>
      </c>
    </row>
    <row r="3816" spans="1:18" x14ac:dyDescent="0.4">
      <c r="A3816" s="1">
        <v>202660000047</v>
      </c>
      <c r="B3816" s="1">
        <v>1056036</v>
      </c>
      <c r="C3816" s="2">
        <v>46115</v>
      </c>
      <c r="D3816" t="s">
        <v>18</v>
      </c>
      <c r="E3816" t="s">
        <v>11</v>
      </c>
      <c r="G3816" t="s">
        <v>24</v>
      </c>
      <c r="H3816" t="s">
        <v>23</v>
      </c>
      <c r="I3816" t="s">
        <v>23</v>
      </c>
      <c r="J3816" t="s">
        <v>23</v>
      </c>
      <c r="K3816" t="s">
        <v>23</v>
      </c>
      <c r="L3816">
        <f t="shared" si="302"/>
        <v>1</v>
      </c>
      <c r="M3816">
        <f t="shared" si="303"/>
        <v>0</v>
      </c>
      <c r="N3816">
        <f t="shared" si="304"/>
        <v>0</v>
      </c>
      <c r="O3816">
        <f t="shared" si="305"/>
        <v>0</v>
      </c>
      <c r="P3816">
        <f t="shared" si="306"/>
        <v>1</v>
      </c>
      <c r="Q3816">
        <f>COUNTIF('責任職　企業局→市長部局'!A:A,SQLデータ!B3816)</f>
        <v>0</v>
      </c>
      <c r="R3816">
        <f>COUNTIF('一般職員　企業局→市長部局'!A:F,SQLデータ!B3816)</f>
        <v>0</v>
      </c>
    </row>
    <row r="3817" spans="1:18" x14ac:dyDescent="0.4">
      <c r="A3817" s="1">
        <v>202660000050</v>
      </c>
      <c r="B3817" s="1">
        <v>820174</v>
      </c>
      <c r="C3817" s="2">
        <v>46125</v>
      </c>
      <c r="D3817" t="s">
        <v>18</v>
      </c>
      <c r="E3817" t="s">
        <v>8</v>
      </c>
      <c r="G3817" t="s">
        <v>24</v>
      </c>
      <c r="H3817" t="s">
        <v>23</v>
      </c>
      <c r="I3817" t="s">
        <v>23</v>
      </c>
      <c r="J3817" t="s">
        <v>23</v>
      </c>
      <c r="L3817">
        <f t="shared" si="302"/>
        <v>1</v>
      </c>
      <c r="M3817">
        <f t="shared" si="303"/>
        <v>0</v>
      </c>
      <c r="N3817">
        <f t="shared" si="304"/>
        <v>0</v>
      </c>
      <c r="O3817">
        <f t="shared" si="305"/>
        <v>0</v>
      </c>
      <c r="P3817">
        <f t="shared" si="306"/>
        <v>0</v>
      </c>
      <c r="Q3817">
        <f>COUNTIF('責任職　企業局→市長部局'!A:A,SQLデータ!B3817)</f>
        <v>0</v>
      </c>
      <c r="R3817">
        <f>COUNTIF('一般職員　企業局→市長部局'!A:F,SQLデータ!B3817)</f>
        <v>0</v>
      </c>
    </row>
    <row r="3818" spans="1:18" x14ac:dyDescent="0.4">
      <c r="A3818" s="1">
        <v>202660000051</v>
      </c>
      <c r="B3818" s="1">
        <v>890297</v>
      </c>
      <c r="C3818" s="2">
        <v>46115</v>
      </c>
      <c r="D3818" t="s">
        <v>18</v>
      </c>
      <c r="E3818" t="s">
        <v>11</v>
      </c>
      <c r="G3818" t="s">
        <v>24</v>
      </c>
      <c r="H3818" t="s">
        <v>23</v>
      </c>
      <c r="J3818" t="s">
        <v>23</v>
      </c>
      <c r="L3818">
        <f t="shared" si="302"/>
        <v>1</v>
      </c>
      <c r="M3818">
        <f t="shared" si="303"/>
        <v>0</v>
      </c>
      <c r="N3818">
        <f t="shared" si="304"/>
        <v>0</v>
      </c>
      <c r="O3818">
        <f t="shared" si="305"/>
        <v>0</v>
      </c>
      <c r="P3818">
        <f t="shared" si="306"/>
        <v>1</v>
      </c>
      <c r="Q3818">
        <f>COUNTIF('責任職　企業局→市長部局'!A:A,SQLデータ!B3818)</f>
        <v>0</v>
      </c>
      <c r="R3818">
        <f>COUNTIF('一般職員　企業局→市長部局'!A:F,SQLデータ!B3818)</f>
        <v>0</v>
      </c>
    </row>
    <row r="3819" spans="1:18" x14ac:dyDescent="0.4">
      <c r="A3819" s="1">
        <v>202660000052</v>
      </c>
      <c r="B3819" s="1">
        <v>1250058</v>
      </c>
      <c r="C3819" s="2">
        <v>46119</v>
      </c>
      <c r="D3819" t="s">
        <v>18</v>
      </c>
      <c r="E3819" t="s">
        <v>11</v>
      </c>
      <c r="G3819" t="s">
        <v>24</v>
      </c>
      <c r="H3819" t="s">
        <v>23</v>
      </c>
      <c r="I3819" t="s">
        <v>23</v>
      </c>
      <c r="J3819" t="s">
        <v>23</v>
      </c>
      <c r="K3819" t="s">
        <v>23</v>
      </c>
      <c r="L3819">
        <f t="shared" si="302"/>
        <v>1</v>
      </c>
      <c r="M3819">
        <f t="shared" si="303"/>
        <v>0</v>
      </c>
      <c r="N3819">
        <f t="shared" si="304"/>
        <v>0</v>
      </c>
      <c r="O3819">
        <f t="shared" si="305"/>
        <v>0</v>
      </c>
      <c r="P3819">
        <f t="shared" si="306"/>
        <v>1</v>
      </c>
      <c r="Q3819">
        <f>COUNTIF('責任職　企業局→市長部局'!A:A,SQLデータ!B3819)</f>
        <v>0</v>
      </c>
      <c r="R3819">
        <f>COUNTIF('一般職員　企業局→市長部局'!A:F,SQLデータ!B3819)</f>
        <v>0</v>
      </c>
    </row>
    <row r="3820" spans="1:18" x14ac:dyDescent="0.4">
      <c r="A3820" s="1">
        <v>202660000054</v>
      </c>
      <c r="B3820" s="1">
        <v>910114</v>
      </c>
      <c r="C3820" s="2">
        <v>46115</v>
      </c>
      <c r="D3820" t="s">
        <v>18</v>
      </c>
      <c r="E3820" t="s">
        <v>10</v>
      </c>
      <c r="G3820" t="s">
        <v>24</v>
      </c>
      <c r="H3820" t="s">
        <v>23</v>
      </c>
      <c r="I3820" t="s">
        <v>23</v>
      </c>
      <c r="J3820" t="s">
        <v>23</v>
      </c>
      <c r="K3820" t="s">
        <v>23</v>
      </c>
      <c r="L3820">
        <f t="shared" si="302"/>
        <v>1</v>
      </c>
      <c r="M3820">
        <f t="shared" si="303"/>
        <v>0</v>
      </c>
      <c r="N3820">
        <f t="shared" si="304"/>
        <v>0</v>
      </c>
      <c r="O3820">
        <f t="shared" si="305"/>
        <v>0</v>
      </c>
      <c r="P3820">
        <f t="shared" si="306"/>
        <v>1</v>
      </c>
      <c r="Q3820">
        <f>COUNTIF('責任職　企業局→市長部局'!A:A,SQLデータ!B3820)</f>
        <v>0</v>
      </c>
      <c r="R3820">
        <f>COUNTIF('一般職員　企業局→市長部局'!A:F,SQLデータ!B3820)</f>
        <v>0</v>
      </c>
    </row>
    <row r="3821" spans="1:18" x14ac:dyDescent="0.4">
      <c r="A3821" s="1">
        <v>202660000055</v>
      </c>
      <c r="B3821" s="1">
        <v>880723</v>
      </c>
      <c r="C3821" s="2">
        <v>46115</v>
      </c>
      <c r="D3821" t="s">
        <v>18</v>
      </c>
      <c r="E3821" t="s">
        <v>8</v>
      </c>
      <c r="G3821" t="s">
        <v>24</v>
      </c>
      <c r="H3821" t="s">
        <v>23</v>
      </c>
      <c r="I3821" t="s">
        <v>23</v>
      </c>
      <c r="J3821" t="s">
        <v>23</v>
      </c>
      <c r="K3821" t="s">
        <v>23</v>
      </c>
      <c r="L3821">
        <f t="shared" si="302"/>
        <v>1</v>
      </c>
      <c r="M3821">
        <f t="shared" si="303"/>
        <v>0</v>
      </c>
      <c r="N3821">
        <f t="shared" si="304"/>
        <v>0</v>
      </c>
      <c r="O3821">
        <f t="shared" si="305"/>
        <v>0</v>
      </c>
      <c r="P3821">
        <f t="shared" si="306"/>
        <v>0</v>
      </c>
      <c r="Q3821">
        <f>COUNTIF('責任職　企業局→市長部局'!A:A,SQLデータ!B3821)</f>
        <v>0</v>
      </c>
      <c r="R3821">
        <f>COUNTIF('一般職員　企業局→市長部局'!A:F,SQLデータ!B3821)</f>
        <v>0</v>
      </c>
    </row>
    <row r="3822" spans="1:18" x14ac:dyDescent="0.4">
      <c r="A3822" s="1">
        <v>202660000056</v>
      </c>
      <c r="B3822" s="1">
        <v>910448</v>
      </c>
      <c r="C3822" s="2">
        <v>46115</v>
      </c>
      <c r="D3822" t="s">
        <v>18</v>
      </c>
      <c r="E3822" t="s">
        <v>11</v>
      </c>
      <c r="G3822" t="s">
        <v>24</v>
      </c>
      <c r="H3822" t="s">
        <v>23</v>
      </c>
      <c r="I3822" t="s">
        <v>23</v>
      </c>
      <c r="J3822" t="s">
        <v>23</v>
      </c>
      <c r="K3822" t="s">
        <v>23</v>
      </c>
      <c r="L3822">
        <f t="shared" si="302"/>
        <v>1</v>
      </c>
      <c r="M3822">
        <f t="shared" si="303"/>
        <v>0</v>
      </c>
      <c r="N3822">
        <f t="shared" si="304"/>
        <v>0</v>
      </c>
      <c r="O3822">
        <f t="shared" si="305"/>
        <v>0</v>
      </c>
      <c r="P3822">
        <f t="shared" si="306"/>
        <v>1</v>
      </c>
      <c r="Q3822">
        <f>COUNTIF('責任職　企業局→市長部局'!A:A,SQLデータ!B3822)</f>
        <v>0</v>
      </c>
      <c r="R3822">
        <f>COUNTIF('一般職員　企業局→市長部局'!A:F,SQLデータ!B3822)</f>
        <v>0</v>
      </c>
    </row>
    <row r="3823" spans="1:18" x14ac:dyDescent="0.4">
      <c r="A3823" s="1">
        <v>202660000057</v>
      </c>
      <c r="B3823" s="1">
        <v>1096057</v>
      </c>
      <c r="C3823" s="2">
        <v>46120</v>
      </c>
      <c r="D3823" t="s">
        <v>18</v>
      </c>
      <c r="E3823" t="s">
        <v>10</v>
      </c>
      <c r="G3823" t="s">
        <v>25</v>
      </c>
      <c r="H3823" t="s">
        <v>20</v>
      </c>
      <c r="I3823" t="s">
        <v>20</v>
      </c>
      <c r="J3823" t="s">
        <v>20</v>
      </c>
      <c r="K3823" t="s">
        <v>20</v>
      </c>
      <c r="L3823">
        <f t="shared" si="302"/>
        <v>1</v>
      </c>
      <c r="M3823">
        <f t="shared" si="303"/>
        <v>0</v>
      </c>
      <c r="N3823">
        <f t="shared" si="304"/>
        <v>0</v>
      </c>
      <c r="O3823">
        <f t="shared" si="305"/>
        <v>0</v>
      </c>
      <c r="P3823">
        <f t="shared" si="306"/>
        <v>1</v>
      </c>
      <c r="Q3823">
        <f>COUNTIF('責任職　企業局→市長部局'!A:A,SQLデータ!B3823)</f>
        <v>0</v>
      </c>
      <c r="R3823">
        <f>COUNTIF('一般職員　企業局→市長部局'!A:F,SQLデータ!B3823)</f>
        <v>0</v>
      </c>
    </row>
    <row r="3824" spans="1:18" x14ac:dyDescent="0.4">
      <c r="A3824" s="1">
        <v>202660000058</v>
      </c>
      <c r="B3824" s="1">
        <v>1024158</v>
      </c>
      <c r="C3824" s="2">
        <v>46115</v>
      </c>
      <c r="D3824" t="s">
        <v>18</v>
      </c>
      <c r="E3824" t="s">
        <v>10</v>
      </c>
      <c r="F3824" t="s">
        <v>48</v>
      </c>
      <c r="G3824" t="s">
        <v>24</v>
      </c>
      <c r="H3824" t="s">
        <v>23</v>
      </c>
      <c r="I3824" t="s">
        <v>23</v>
      </c>
      <c r="J3824" t="s">
        <v>23</v>
      </c>
      <c r="K3824" t="s">
        <v>23</v>
      </c>
      <c r="L3824">
        <f t="shared" si="302"/>
        <v>1</v>
      </c>
      <c r="M3824">
        <f t="shared" si="303"/>
        <v>0</v>
      </c>
      <c r="N3824">
        <f t="shared" si="304"/>
        <v>0</v>
      </c>
      <c r="O3824">
        <f t="shared" si="305"/>
        <v>0</v>
      </c>
      <c r="P3824">
        <f t="shared" si="306"/>
        <v>1</v>
      </c>
      <c r="Q3824">
        <f>COUNTIF('責任職　企業局→市長部局'!A:A,SQLデータ!B3824)</f>
        <v>0</v>
      </c>
      <c r="R3824">
        <f>COUNTIF('一般職員　企業局→市長部局'!A:F,SQLデータ!B3824)</f>
        <v>0</v>
      </c>
    </row>
    <row r="3825" spans="1:18" x14ac:dyDescent="0.4">
      <c r="A3825" s="1">
        <v>202660000059</v>
      </c>
      <c r="B3825" s="1">
        <v>1008064</v>
      </c>
      <c r="C3825" s="2">
        <v>46118</v>
      </c>
      <c r="D3825" t="s">
        <v>18</v>
      </c>
      <c r="E3825" t="s">
        <v>8</v>
      </c>
      <c r="G3825" t="s">
        <v>22</v>
      </c>
      <c r="H3825" t="s">
        <v>23</v>
      </c>
      <c r="I3825" t="s">
        <v>23</v>
      </c>
      <c r="J3825" t="s">
        <v>23</v>
      </c>
      <c r="K3825" t="s">
        <v>23</v>
      </c>
      <c r="L3825">
        <f t="shared" si="302"/>
        <v>1</v>
      </c>
      <c r="M3825">
        <f t="shared" si="303"/>
        <v>0</v>
      </c>
      <c r="N3825">
        <f t="shared" si="304"/>
        <v>0</v>
      </c>
      <c r="O3825">
        <f t="shared" si="305"/>
        <v>0</v>
      </c>
      <c r="P3825">
        <f t="shared" si="306"/>
        <v>0</v>
      </c>
      <c r="Q3825">
        <f>COUNTIF('責任職　企業局→市長部局'!A:A,SQLデータ!B3825)</f>
        <v>0</v>
      </c>
      <c r="R3825">
        <f>COUNTIF('一般職員　企業局→市長部局'!A:F,SQLデータ!B3825)</f>
        <v>0</v>
      </c>
    </row>
    <row r="3826" spans="1:18" x14ac:dyDescent="0.4">
      <c r="A3826" s="1">
        <v>202660000060</v>
      </c>
      <c r="B3826" s="1">
        <v>1008064</v>
      </c>
      <c r="C3826" s="2">
        <v>46118</v>
      </c>
      <c r="D3826" t="s">
        <v>18</v>
      </c>
      <c r="E3826" t="s">
        <v>8</v>
      </c>
      <c r="G3826" t="s">
        <v>24</v>
      </c>
      <c r="H3826" t="s">
        <v>23</v>
      </c>
      <c r="I3826" t="s">
        <v>23</v>
      </c>
      <c r="J3826" t="s">
        <v>23</v>
      </c>
      <c r="K3826" t="s">
        <v>23</v>
      </c>
      <c r="L3826">
        <f t="shared" si="302"/>
        <v>1</v>
      </c>
      <c r="M3826">
        <f t="shared" si="303"/>
        <v>0</v>
      </c>
      <c r="N3826">
        <f t="shared" si="304"/>
        <v>0</v>
      </c>
      <c r="O3826">
        <f t="shared" si="305"/>
        <v>0</v>
      </c>
      <c r="P3826">
        <f t="shared" si="306"/>
        <v>0</v>
      </c>
      <c r="Q3826">
        <f>COUNTIF('責任職　企業局→市長部局'!A:A,SQLデータ!B3826)</f>
        <v>0</v>
      </c>
      <c r="R3826">
        <f>COUNTIF('一般職員　企業局→市長部局'!A:F,SQLデータ!B3826)</f>
        <v>0</v>
      </c>
    </row>
    <row r="3827" spans="1:18" x14ac:dyDescent="0.4">
      <c r="A3827" s="1">
        <v>202660000062</v>
      </c>
      <c r="B3827" s="1">
        <v>1036033</v>
      </c>
      <c r="C3827" s="2">
        <v>46115</v>
      </c>
      <c r="D3827" t="s">
        <v>18</v>
      </c>
      <c r="E3827" t="s">
        <v>11</v>
      </c>
      <c r="G3827" t="s">
        <v>25</v>
      </c>
      <c r="H3827" t="s">
        <v>20</v>
      </c>
      <c r="J3827" t="s">
        <v>20</v>
      </c>
      <c r="K3827" t="s">
        <v>20</v>
      </c>
      <c r="L3827">
        <f t="shared" si="302"/>
        <v>1</v>
      </c>
      <c r="M3827">
        <f t="shared" si="303"/>
        <v>0</v>
      </c>
      <c r="N3827">
        <f t="shared" si="304"/>
        <v>0</v>
      </c>
      <c r="O3827">
        <f t="shared" si="305"/>
        <v>0</v>
      </c>
      <c r="P3827">
        <f t="shared" si="306"/>
        <v>1</v>
      </c>
      <c r="Q3827">
        <f>COUNTIF('責任職　企業局→市長部局'!A:A,SQLデータ!B3827)</f>
        <v>0</v>
      </c>
      <c r="R3827">
        <f>COUNTIF('一般職員　企業局→市長部局'!A:F,SQLデータ!B3827)</f>
        <v>0</v>
      </c>
    </row>
    <row r="3828" spans="1:18" x14ac:dyDescent="0.4">
      <c r="A3828" s="1">
        <v>202660000064</v>
      </c>
      <c r="B3828" s="1">
        <v>1126002</v>
      </c>
      <c r="C3828" s="2">
        <v>46115</v>
      </c>
      <c r="D3828" t="s">
        <v>18</v>
      </c>
      <c r="E3828" t="s">
        <v>11</v>
      </c>
      <c r="G3828" t="s">
        <v>24</v>
      </c>
      <c r="H3828" t="s">
        <v>23</v>
      </c>
      <c r="I3828" t="s">
        <v>23</v>
      </c>
      <c r="J3828" t="s">
        <v>23</v>
      </c>
      <c r="K3828" t="s">
        <v>23</v>
      </c>
      <c r="L3828">
        <f t="shared" si="302"/>
        <v>1</v>
      </c>
      <c r="M3828">
        <f t="shared" si="303"/>
        <v>0</v>
      </c>
      <c r="N3828">
        <f t="shared" si="304"/>
        <v>0</v>
      </c>
      <c r="O3828">
        <f t="shared" si="305"/>
        <v>0</v>
      </c>
      <c r="P3828">
        <f t="shared" si="306"/>
        <v>1</v>
      </c>
      <c r="Q3828">
        <f>COUNTIF('責任職　企業局→市長部局'!A:A,SQLデータ!B3828)</f>
        <v>0</v>
      </c>
      <c r="R3828">
        <f>COUNTIF('一般職員　企業局→市長部局'!A:F,SQLデータ!B3828)</f>
        <v>0</v>
      </c>
    </row>
    <row r="3829" spans="1:18" x14ac:dyDescent="0.4">
      <c r="A3829" s="1">
        <v>202660000065</v>
      </c>
      <c r="B3829" s="1">
        <v>960529</v>
      </c>
      <c r="C3829" s="2">
        <v>46115</v>
      </c>
      <c r="D3829" t="s">
        <v>18</v>
      </c>
      <c r="E3829" t="s">
        <v>11</v>
      </c>
      <c r="G3829" t="s">
        <v>24</v>
      </c>
      <c r="H3829" t="s">
        <v>23</v>
      </c>
      <c r="I3829" t="s">
        <v>23</v>
      </c>
      <c r="J3829" t="s">
        <v>23</v>
      </c>
      <c r="K3829" t="s">
        <v>23</v>
      </c>
      <c r="L3829">
        <f t="shared" si="302"/>
        <v>1</v>
      </c>
      <c r="M3829">
        <f t="shared" si="303"/>
        <v>0</v>
      </c>
      <c r="N3829">
        <f t="shared" si="304"/>
        <v>0</v>
      </c>
      <c r="O3829">
        <f t="shared" si="305"/>
        <v>0</v>
      </c>
      <c r="P3829">
        <f t="shared" si="306"/>
        <v>1</v>
      </c>
      <c r="Q3829">
        <f>COUNTIF('責任職　企業局→市長部局'!A:A,SQLデータ!B3829)</f>
        <v>0</v>
      </c>
      <c r="R3829">
        <f>COUNTIF('一般職員　企業局→市長部局'!A:F,SQLデータ!B3829)</f>
        <v>0</v>
      </c>
    </row>
    <row r="3830" spans="1:18" x14ac:dyDescent="0.4">
      <c r="A3830" s="1">
        <v>202660000066</v>
      </c>
      <c r="B3830" s="1">
        <v>890281</v>
      </c>
      <c r="C3830" s="2">
        <v>46115</v>
      </c>
      <c r="D3830" t="s">
        <v>18</v>
      </c>
      <c r="E3830" t="s">
        <v>8</v>
      </c>
      <c r="G3830" t="s">
        <v>24</v>
      </c>
      <c r="H3830" t="s">
        <v>23</v>
      </c>
      <c r="I3830" t="s">
        <v>23</v>
      </c>
      <c r="J3830" t="s">
        <v>23</v>
      </c>
      <c r="K3830" t="s">
        <v>23</v>
      </c>
      <c r="L3830">
        <f t="shared" si="302"/>
        <v>1</v>
      </c>
      <c r="M3830">
        <f t="shared" si="303"/>
        <v>0</v>
      </c>
      <c r="N3830">
        <f t="shared" si="304"/>
        <v>0</v>
      </c>
      <c r="O3830">
        <f t="shared" si="305"/>
        <v>0</v>
      </c>
      <c r="P3830">
        <f t="shared" si="306"/>
        <v>0</v>
      </c>
      <c r="Q3830">
        <f>COUNTIF('責任職　企業局→市長部局'!A:A,SQLデータ!B3830)</f>
        <v>0</v>
      </c>
      <c r="R3830">
        <f>COUNTIF('一般職員　企業局→市長部局'!A:F,SQLデータ!B3830)</f>
        <v>0</v>
      </c>
    </row>
    <row r="3831" spans="1:18" x14ac:dyDescent="0.4">
      <c r="A3831" s="1">
        <v>202660000067</v>
      </c>
      <c r="B3831" s="1">
        <v>910267</v>
      </c>
      <c r="C3831" s="2">
        <v>46125</v>
      </c>
      <c r="D3831" t="s">
        <v>18</v>
      </c>
      <c r="E3831" t="s">
        <v>10</v>
      </c>
      <c r="G3831" t="s">
        <v>27</v>
      </c>
      <c r="H3831" t="s">
        <v>20</v>
      </c>
      <c r="J3831" t="s">
        <v>20</v>
      </c>
      <c r="L3831">
        <f t="shared" si="302"/>
        <v>1</v>
      </c>
      <c r="M3831">
        <f t="shared" si="303"/>
        <v>0</v>
      </c>
      <c r="N3831">
        <f t="shared" si="304"/>
        <v>0</v>
      </c>
      <c r="O3831">
        <f t="shared" si="305"/>
        <v>0</v>
      </c>
      <c r="P3831">
        <f t="shared" si="306"/>
        <v>1</v>
      </c>
      <c r="Q3831">
        <f>COUNTIF('責任職　企業局→市長部局'!A:A,SQLデータ!B3831)</f>
        <v>0</v>
      </c>
      <c r="R3831">
        <f>COUNTIF('一般職員　企業局→市長部局'!A:F,SQLデータ!B3831)</f>
        <v>0</v>
      </c>
    </row>
    <row r="3832" spans="1:18" x14ac:dyDescent="0.4">
      <c r="A3832" s="1">
        <v>202660000068</v>
      </c>
      <c r="B3832" s="1">
        <v>820563</v>
      </c>
      <c r="C3832" s="2">
        <v>46115</v>
      </c>
      <c r="D3832" t="s">
        <v>18</v>
      </c>
      <c r="E3832" t="s">
        <v>11</v>
      </c>
      <c r="G3832" t="s">
        <v>26</v>
      </c>
      <c r="H3832" t="s">
        <v>20</v>
      </c>
      <c r="I3832" t="s">
        <v>20</v>
      </c>
      <c r="J3832" t="s">
        <v>20</v>
      </c>
      <c r="K3832" t="s">
        <v>20</v>
      </c>
      <c r="L3832">
        <f t="shared" si="302"/>
        <v>1</v>
      </c>
      <c r="M3832">
        <f t="shared" si="303"/>
        <v>0</v>
      </c>
      <c r="N3832">
        <f t="shared" si="304"/>
        <v>0</v>
      </c>
      <c r="O3832">
        <f t="shared" si="305"/>
        <v>0</v>
      </c>
      <c r="P3832">
        <f t="shared" si="306"/>
        <v>1</v>
      </c>
      <c r="Q3832">
        <f>COUNTIF('責任職　企業局→市長部局'!A:A,SQLデータ!B3832)</f>
        <v>0</v>
      </c>
      <c r="R3832">
        <f>COUNTIF('一般職員　企業局→市長部局'!A:F,SQLデータ!B3832)</f>
        <v>0</v>
      </c>
    </row>
    <row r="3833" spans="1:18" x14ac:dyDescent="0.4">
      <c r="A3833" s="1">
        <v>202660000069</v>
      </c>
      <c r="B3833" s="1">
        <v>991216</v>
      </c>
      <c r="C3833" s="2">
        <v>46115</v>
      </c>
      <c r="D3833" t="s">
        <v>18</v>
      </c>
      <c r="E3833" t="s">
        <v>8</v>
      </c>
      <c r="G3833" t="s">
        <v>22</v>
      </c>
      <c r="H3833" t="s">
        <v>23</v>
      </c>
      <c r="I3833" t="s">
        <v>23</v>
      </c>
      <c r="J3833" t="s">
        <v>23</v>
      </c>
      <c r="K3833" t="s">
        <v>23</v>
      </c>
      <c r="L3833">
        <f t="shared" si="302"/>
        <v>1</v>
      </c>
      <c r="M3833">
        <f t="shared" si="303"/>
        <v>0</v>
      </c>
      <c r="N3833">
        <f t="shared" si="304"/>
        <v>0</v>
      </c>
      <c r="O3833">
        <f t="shared" si="305"/>
        <v>0</v>
      </c>
      <c r="P3833">
        <f t="shared" si="306"/>
        <v>0</v>
      </c>
      <c r="Q3833">
        <f>COUNTIF('責任職　企業局→市長部局'!A:A,SQLデータ!B3833)</f>
        <v>0</v>
      </c>
      <c r="R3833">
        <f>COUNTIF('一般職員　企業局→市長部局'!A:F,SQLデータ!B3833)</f>
        <v>0</v>
      </c>
    </row>
    <row r="3834" spans="1:18" x14ac:dyDescent="0.4">
      <c r="A3834" s="1">
        <v>202660000071</v>
      </c>
      <c r="B3834" s="1">
        <v>1086001</v>
      </c>
      <c r="C3834" s="2">
        <v>46115</v>
      </c>
      <c r="D3834" t="s">
        <v>18</v>
      </c>
      <c r="E3834" t="s">
        <v>10</v>
      </c>
      <c r="G3834" t="s">
        <v>30</v>
      </c>
      <c r="H3834" t="s">
        <v>23</v>
      </c>
      <c r="I3834" t="s">
        <v>23</v>
      </c>
      <c r="J3834" t="s">
        <v>23</v>
      </c>
      <c r="K3834" t="s">
        <v>23</v>
      </c>
      <c r="L3834">
        <f t="shared" si="302"/>
        <v>1</v>
      </c>
      <c r="M3834">
        <f t="shared" si="303"/>
        <v>0</v>
      </c>
      <c r="N3834">
        <f t="shared" si="304"/>
        <v>0</v>
      </c>
      <c r="O3834">
        <f t="shared" si="305"/>
        <v>0</v>
      </c>
      <c r="P3834">
        <f t="shared" si="306"/>
        <v>1</v>
      </c>
      <c r="Q3834">
        <f>COUNTIF('責任職　企業局→市長部局'!A:A,SQLデータ!B3834)</f>
        <v>0</v>
      </c>
      <c r="R3834">
        <f>COUNTIF('一般職員　企業局→市長部局'!A:F,SQLデータ!B3834)</f>
        <v>0</v>
      </c>
    </row>
    <row r="3835" spans="1:18" x14ac:dyDescent="0.4">
      <c r="A3835" s="1">
        <v>202660000073</v>
      </c>
      <c r="B3835" s="1">
        <v>890689</v>
      </c>
      <c r="C3835" s="2">
        <v>46116</v>
      </c>
      <c r="D3835" t="s">
        <v>18</v>
      </c>
      <c r="E3835" t="s">
        <v>8</v>
      </c>
      <c r="G3835" t="s">
        <v>22</v>
      </c>
      <c r="H3835" t="s">
        <v>23</v>
      </c>
      <c r="I3835" t="s">
        <v>23</v>
      </c>
      <c r="J3835" t="s">
        <v>23</v>
      </c>
      <c r="K3835" t="s">
        <v>23</v>
      </c>
      <c r="L3835">
        <f t="shared" si="302"/>
        <v>1</v>
      </c>
      <c r="M3835">
        <f t="shared" si="303"/>
        <v>0</v>
      </c>
      <c r="N3835">
        <f t="shared" si="304"/>
        <v>0</v>
      </c>
      <c r="O3835">
        <f t="shared" si="305"/>
        <v>0</v>
      </c>
      <c r="P3835">
        <f t="shared" si="306"/>
        <v>0</v>
      </c>
      <c r="Q3835">
        <f>COUNTIF('責任職　企業局→市長部局'!A:A,SQLデータ!B3835)</f>
        <v>0</v>
      </c>
      <c r="R3835">
        <f>COUNTIF('一般職員　企業局→市長部局'!A:F,SQLデータ!B3835)</f>
        <v>0</v>
      </c>
    </row>
    <row r="3836" spans="1:18" x14ac:dyDescent="0.4">
      <c r="A3836" s="1">
        <v>202660000077</v>
      </c>
      <c r="B3836" s="1">
        <v>910102</v>
      </c>
      <c r="C3836" s="2">
        <v>46116</v>
      </c>
      <c r="D3836" t="s">
        <v>18</v>
      </c>
      <c r="E3836" t="s">
        <v>10</v>
      </c>
      <c r="G3836" t="s">
        <v>22</v>
      </c>
      <c r="H3836" t="s">
        <v>23</v>
      </c>
      <c r="I3836" t="s">
        <v>23</v>
      </c>
      <c r="J3836" t="s">
        <v>23</v>
      </c>
      <c r="K3836" t="s">
        <v>23</v>
      </c>
      <c r="L3836">
        <f t="shared" si="302"/>
        <v>1</v>
      </c>
      <c r="M3836">
        <f t="shared" si="303"/>
        <v>0</v>
      </c>
      <c r="N3836">
        <f t="shared" si="304"/>
        <v>0</v>
      </c>
      <c r="O3836">
        <f t="shared" si="305"/>
        <v>0</v>
      </c>
      <c r="P3836">
        <f t="shared" si="306"/>
        <v>1</v>
      </c>
      <c r="Q3836">
        <f>COUNTIF('責任職　企業局→市長部局'!A:A,SQLデータ!B3836)</f>
        <v>0</v>
      </c>
      <c r="R3836">
        <f>COUNTIF('一般職員　企業局→市長部局'!A:F,SQLデータ!B3836)</f>
        <v>0</v>
      </c>
    </row>
    <row r="3837" spans="1:18" x14ac:dyDescent="0.4">
      <c r="A3837" s="1">
        <v>202660000078</v>
      </c>
      <c r="B3837" s="1">
        <v>1026073</v>
      </c>
      <c r="C3837" s="2">
        <v>46116</v>
      </c>
      <c r="D3837" t="s">
        <v>18</v>
      </c>
      <c r="E3837" t="s">
        <v>8</v>
      </c>
      <c r="G3837" t="s">
        <v>24</v>
      </c>
      <c r="H3837" t="s">
        <v>23</v>
      </c>
      <c r="I3837" t="s">
        <v>23</v>
      </c>
      <c r="J3837" t="s">
        <v>23</v>
      </c>
      <c r="K3837" t="s">
        <v>23</v>
      </c>
      <c r="L3837">
        <f t="shared" si="302"/>
        <v>1</v>
      </c>
      <c r="M3837">
        <f t="shared" si="303"/>
        <v>0</v>
      </c>
      <c r="N3837">
        <f t="shared" si="304"/>
        <v>0</v>
      </c>
      <c r="O3837">
        <f t="shared" si="305"/>
        <v>0</v>
      </c>
      <c r="P3837">
        <f t="shared" si="306"/>
        <v>0</v>
      </c>
      <c r="Q3837">
        <f>COUNTIF('責任職　企業局→市長部局'!A:A,SQLデータ!B3837)</f>
        <v>0</v>
      </c>
      <c r="R3837">
        <f>COUNTIF('一般職員　企業局→市長部局'!A:F,SQLデータ!B3837)</f>
        <v>0</v>
      </c>
    </row>
    <row r="3838" spans="1:18" x14ac:dyDescent="0.4">
      <c r="A3838" s="1">
        <v>202660000079</v>
      </c>
      <c r="B3838" s="1">
        <v>940053</v>
      </c>
      <c r="C3838" s="2">
        <v>46120</v>
      </c>
      <c r="D3838" t="s">
        <v>18</v>
      </c>
      <c r="E3838" t="s">
        <v>10</v>
      </c>
      <c r="G3838" t="s">
        <v>24</v>
      </c>
      <c r="H3838" t="s">
        <v>23</v>
      </c>
      <c r="I3838" t="s">
        <v>23</v>
      </c>
      <c r="J3838" t="s">
        <v>23</v>
      </c>
      <c r="K3838" t="s">
        <v>23</v>
      </c>
      <c r="L3838">
        <f t="shared" si="302"/>
        <v>1</v>
      </c>
      <c r="M3838">
        <f t="shared" si="303"/>
        <v>0</v>
      </c>
      <c r="N3838">
        <f t="shared" si="304"/>
        <v>0</v>
      </c>
      <c r="O3838">
        <f t="shared" si="305"/>
        <v>0</v>
      </c>
      <c r="P3838">
        <f t="shared" si="306"/>
        <v>1</v>
      </c>
      <c r="Q3838">
        <f>COUNTIF('責任職　企業局→市長部局'!A:A,SQLデータ!B3838)</f>
        <v>0</v>
      </c>
      <c r="R3838">
        <f>COUNTIF('一般職員　企業局→市長部局'!A:F,SQLデータ!B3838)</f>
        <v>0</v>
      </c>
    </row>
    <row r="3839" spans="1:18" x14ac:dyDescent="0.4">
      <c r="A3839" s="1">
        <v>202660000080</v>
      </c>
      <c r="B3839" s="1">
        <v>1171293</v>
      </c>
      <c r="C3839" s="2">
        <v>46116</v>
      </c>
      <c r="D3839" t="s">
        <v>18</v>
      </c>
      <c r="E3839" t="s">
        <v>11</v>
      </c>
      <c r="G3839" t="s">
        <v>26</v>
      </c>
      <c r="H3839" t="s">
        <v>20</v>
      </c>
      <c r="I3839" t="s">
        <v>20</v>
      </c>
      <c r="J3839" t="s">
        <v>20</v>
      </c>
      <c r="K3839" t="s">
        <v>20</v>
      </c>
      <c r="L3839">
        <f t="shared" si="302"/>
        <v>1</v>
      </c>
      <c r="M3839">
        <f t="shared" si="303"/>
        <v>0</v>
      </c>
      <c r="N3839">
        <f t="shared" si="304"/>
        <v>0</v>
      </c>
      <c r="O3839">
        <f t="shared" si="305"/>
        <v>0</v>
      </c>
      <c r="P3839">
        <f t="shared" si="306"/>
        <v>1</v>
      </c>
      <c r="Q3839">
        <f>COUNTIF('責任職　企業局→市長部局'!A:A,SQLデータ!B3839)</f>
        <v>0</v>
      </c>
      <c r="R3839">
        <f>COUNTIF('一般職員　企業局→市長部局'!A:F,SQLデータ!B3839)</f>
        <v>0</v>
      </c>
    </row>
    <row r="3840" spans="1:18" x14ac:dyDescent="0.4">
      <c r="A3840" s="1">
        <v>202660000081</v>
      </c>
      <c r="B3840" s="1">
        <v>1146100</v>
      </c>
      <c r="C3840" s="2">
        <v>46116</v>
      </c>
      <c r="D3840" t="s">
        <v>18</v>
      </c>
      <c r="E3840" t="s">
        <v>10</v>
      </c>
      <c r="G3840" t="s">
        <v>24</v>
      </c>
      <c r="H3840" t="s">
        <v>23</v>
      </c>
      <c r="I3840" t="s">
        <v>23</v>
      </c>
      <c r="J3840" t="s">
        <v>23</v>
      </c>
      <c r="K3840" t="s">
        <v>23</v>
      </c>
      <c r="L3840">
        <f t="shared" si="302"/>
        <v>1</v>
      </c>
      <c r="M3840">
        <f t="shared" si="303"/>
        <v>0</v>
      </c>
      <c r="N3840">
        <f t="shared" si="304"/>
        <v>0</v>
      </c>
      <c r="O3840">
        <f t="shared" si="305"/>
        <v>0</v>
      </c>
      <c r="P3840">
        <f t="shared" si="306"/>
        <v>1</v>
      </c>
      <c r="Q3840">
        <f>COUNTIF('責任職　企業局→市長部局'!A:A,SQLデータ!B3840)</f>
        <v>0</v>
      </c>
      <c r="R3840">
        <f>COUNTIF('一般職員　企業局→市長部局'!A:F,SQLデータ!B3840)</f>
        <v>0</v>
      </c>
    </row>
    <row r="3841" spans="1:18" x14ac:dyDescent="0.4">
      <c r="A3841" s="1">
        <v>202660000082</v>
      </c>
      <c r="B3841" s="1">
        <v>900067</v>
      </c>
      <c r="C3841" s="2">
        <v>46122</v>
      </c>
      <c r="D3841" t="s">
        <v>18</v>
      </c>
      <c r="E3841" t="s">
        <v>10</v>
      </c>
      <c r="G3841" t="s">
        <v>24</v>
      </c>
      <c r="H3841" t="s">
        <v>23</v>
      </c>
      <c r="J3841" t="s">
        <v>23</v>
      </c>
      <c r="K3841" t="s">
        <v>23</v>
      </c>
      <c r="L3841">
        <f t="shared" si="302"/>
        <v>1</v>
      </c>
      <c r="M3841">
        <f t="shared" si="303"/>
        <v>0</v>
      </c>
      <c r="N3841">
        <f t="shared" si="304"/>
        <v>0</v>
      </c>
      <c r="O3841">
        <f t="shared" si="305"/>
        <v>0</v>
      </c>
      <c r="P3841">
        <f t="shared" si="306"/>
        <v>1</v>
      </c>
      <c r="Q3841">
        <f>COUNTIF('責任職　企業局→市長部局'!A:A,SQLデータ!B3841)</f>
        <v>0</v>
      </c>
      <c r="R3841">
        <f>COUNTIF('一般職員　企業局→市長部局'!A:F,SQLデータ!B3841)</f>
        <v>0</v>
      </c>
    </row>
    <row r="3842" spans="1:18" x14ac:dyDescent="0.4">
      <c r="A3842" s="1">
        <v>202660000083</v>
      </c>
      <c r="B3842" s="1">
        <v>940069</v>
      </c>
      <c r="C3842" s="2">
        <v>46117</v>
      </c>
      <c r="D3842" t="s">
        <v>18</v>
      </c>
      <c r="E3842" t="s">
        <v>8</v>
      </c>
      <c r="F3842" t="s">
        <v>895</v>
      </c>
      <c r="G3842" t="s">
        <v>24</v>
      </c>
      <c r="H3842" t="s">
        <v>23</v>
      </c>
      <c r="I3842" t="s">
        <v>23</v>
      </c>
      <c r="J3842" t="s">
        <v>23</v>
      </c>
      <c r="K3842" t="s">
        <v>23</v>
      </c>
      <c r="L3842">
        <f t="shared" si="302"/>
        <v>1</v>
      </c>
      <c r="M3842">
        <f t="shared" si="303"/>
        <v>0</v>
      </c>
      <c r="N3842">
        <f t="shared" si="304"/>
        <v>0</v>
      </c>
      <c r="O3842">
        <f t="shared" si="305"/>
        <v>0</v>
      </c>
      <c r="P3842">
        <f t="shared" si="306"/>
        <v>0</v>
      </c>
      <c r="Q3842">
        <f>COUNTIF('責任職　企業局→市長部局'!A:A,SQLデータ!B3842)</f>
        <v>0</v>
      </c>
      <c r="R3842">
        <f>COUNTIF('一般職員　企業局→市長部局'!A:F,SQLデータ!B3842)</f>
        <v>0</v>
      </c>
    </row>
    <row r="3843" spans="1:18" x14ac:dyDescent="0.4">
      <c r="A3843" s="1">
        <v>202660000084</v>
      </c>
      <c r="B3843" s="1">
        <v>900066</v>
      </c>
      <c r="C3843" s="2">
        <v>46119</v>
      </c>
      <c r="D3843" t="s">
        <v>18</v>
      </c>
      <c r="E3843" t="s">
        <v>11</v>
      </c>
      <c r="G3843" t="s">
        <v>24</v>
      </c>
      <c r="H3843" t="s">
        <v>23</v>
      </c>
      <c r="J3843" t="s">
        <v>23</v>
      </c>
      <c r="K3843" t="s">
        <v>23</v>
      </c>
      <c r="L3843">
        <f t="shared" si="302"/>
        <v>1</v>
      </c>
      <c r="M3843">
        <f t="shared" si="303"/>
        <v>0</v>
      </c>
      <c r="N3843">
        <f t="shared" si="304"/>
        <v>0</v>
      </c>
      <c r="O3843">
        <f t="shared" si="305"/>
        <v>0</v>
      </c>
      <c r="P3843">
        <f t="shared" si="306"/>
        <v>1</v>
      </c>
      <c r="Q3843">
        <f>COUNTIF('責任職　企業局→市長部局'!A:A,SQLデータ!B3843)</f>
        <v>0</v>
      </c>
      <c r="R3843">
        <f>COUNTIF('一般職員　企業局→市長部局'!A:F,SQLデータ!B3843)</f>
        <v>0</v>
      </c>
    </row>
    <row r="3844" spans="1:18" x14ac:dyDescent="0.4">
      <c r="A3844" s="1">
        <v>202660000085</v>
      </c>
      <c r="B3844" s="1">
        <v>950047</v>
      </c>
      <c r="C3844" s="2">
        <v>46120</v>
      </c>
      <c r="D3844" t="s">
        <v>18</v>
      </c>
      <c r="E3844" t="s">
        <v>8</v>
      </c>
      <c r="G3844" t="s">
        <v>24</v>
      </c>
      <c r="H3844" t="s">
        <v>23</v>
      </c>
      <c r="I3844" t="s">
        <v>23</v>
      </c>
      <c r="J3844" t="s">
        <v>23</v>
      </c>
      <c r="K3844" t="s">
        <v>23</v>
      </c>
      <c r="L3844">
        <f t="shared" si="302"/>
        <v>1</v>
      </c>
      <c r="M3844">
        <f t="shared" si="303"/>
        <v>0</v>
      </c>
      <c r="N3844">
        <f t="shared" si="304"/>
        <v>0</v>
      </c>
      <c r="O3844">
        <f t="shared" si="305"/>
        <v>0</v>
      </c>
      <c r="P3844">
        <f t="shared" si="306"/>
        <v>0</v>
      </c>
      <c r="Q3844">
        <f>COUNTIF('責任職　企業局→市長部局'!A:A,SQLデータ!B3844)</f>
        <v>0</v>
      </c>
      <c r="R3844">
        <f>COUNTIF('一般職員　企業局→市長部局'!A:F,SQLデータ!B3844)</f>
        <v>0</v>
      </c>
    </row>
    <row r="3845" spans="1:18" x14ac:dyDescent="0.4">
      <c r="A3845" s="1">
        <v>202660000086</v>
      </c>
      <c r="B3845" s="1">
        <v>910099</v>
      </c>
      <c r="C3845" s="2">
        <v>46117</v>
      </c>
      <c r="D3845" t="s">
        <v>18</v>
      </c>
      <c r="E3845" t="s">
        <v>10</v>
      </c>
      <c r="G3845" t="s">
        <v>24</v>
      </c>
      <c r="H3845" t="s">
        <v>23</v>
      </c>
      <c r="I3845" t="s">
        <v>23</v>
      </c>
      <c r="J3845" t="s">
        <v>23</v>
      </c>
      <c r="K3845" t="s">
        <v>23</v>
      </c>
      <c r="L3845">
        <f t="shared" si="302"/>
        <v>1</v>
      </c>
      <c r="M3845">
        <f t="shared" si="303"/>
        <v>0</v>
      </c>
      <c r="N3845">
        <f t="shared" si="304"/>
        <v>0</v>
      </c>
      <c r="O3845">
        <f t="shared" si="305"/>
        <v>0</v>
      </c>
      <c r="P3845">
        <f t="shared" si="306"/>
        <v>1</v>
      </c>
      <c r="Q3845">
        <f>COUNTIF('責任職　企業局→市長部局'!A:A,SQLデータ!B3845)</f>
        <v>0</v>
      </c>
      <c r="R3845">
        <f>COUNTIF('一般職員　企業局→市長部局'!A:F,SQLデータ!B3845)</f>
        <v>0</v>
      </c>
    </row>
    <row r="3846" spans="1:18" x14ac:dyDescent="0.4">
      <c r="A3846" s="1">
        <v>202660000087</v>
      </c>
      <c r="B3846" s="1">
        <v>1221383</v>
      </c>
      <c r="C3846" s="2">
        <v>46117</v>
      </c>
      <c r="D3846" t="s">
        <v>18</v>
      </c>
      <c r="E3846" t="s">
        <v>8</v>
      </c>
      <c r="G3846" t="s">
        <v>26</v>
      </c>
      <c r="H3846" t="s">
        <v>20</v>
      </c>
      <c r="I3846" t="s">
        <v>20</v>
      </c>
      <c r="J3846" t="s">
        <v>20</v>
      </c>
      <c r="K3846" t="s">
        <v>20</v>
      </c>
      <c r="L3846">
        <f t="shared" si="302"/>
        <v>1</v>
      </c>
      <c r="M3846">
        <f t="shared" si="303"/>
        <v>0</v>
      </c>
      <c r="N3846">
        <f t="shared" si="304"/>
        <v>0</v>
      </c>
      <c r="O3846">
        <f t="shared" si="305"/>
        <v>0</v>
      </c>
      <c r="P3846">
        <f t="shared" si="306"/>
        <v>0</v>
      </c>
      <c r="Q3846">
        <f>COUNTIF('責任職　企業局→市長部局'!A:A,SQLデータ!B3846)</f>
        <v>0</v>
      </c>
      <c r="R3846">
        <f>COUNTIF('一般職員　企業局→市長部局'!A:F,SQLデータ!B3846)</f>
        <v>0</v>
      </c>
    </row>
    <row r="3847" spans="1:18" x14ac:dyDescent="0.4">
      <c r="A3847" s="1">
        <v>202660000091</v>
      </c>
      <c r="B3847" s="1">
        <v>890684</v>
      </c>
      <c r="C3847" s="2">
        <v>46119</v>
      </c>
      <c r="D3847" t="s">
        <v>18</v>
      </c>
      <c r="E3847" t="s">
        <v>10</v>
      </c>
      <c r="F3847" t="s">
        <v>48</v>
      </c>
      <c r="G3847" t="s">
        <v>38</v>
      </c>
      <c r="H3847" t="s">
        <v>23</v>
      </c>
      <c r="I3847" t="s">
        <v>23</v>
      </c>
      <c r="J3847" t="s">
        <v>23</v>
      </c>
      <c r="K3847" t="s">
        <v>23</v>
      </c>
      <c r="L3847">
        <f t="shared" si="302"/>
        <v>1</v>
      </c>
      <c r="M3847">
        <f t="shared" si="303"/>
        <v>0</v>
      </c>
      <c r="N3847">
        <f t="shared" si="304"/>
        <v>0</v>
      </c>
      <c r="O3847">
        <f t="shared" si="305"/>
        <v>0</v>
      </c>
      <c r="P3847">
        <f t="shared" si="306"/>
        <v>1</v>
      </c>
      <c r="Q3847">
        <f>COUNTIF('責任職　企業局→市長部局'!A:A,SQLデータ!B3847)</f>
        <v>0</v>
      </c>
      <c r="R3847">
        <f>COUNTIF('一般職員　企業局→市長部局'!A:F,SQLデータ!B3847)</f>
        <v>0</v>
      </c>
    </row>
    <row r="3848" spans="1:18" x14ac:dyDescent="0.4">
      <c r="A3848" s="1">
        <v>202660000092</v>
      </c>
      <c r="B3848" s="1">
        <v>850178</v>
      </c>
      <c r="C3848" s="2">
        <v>46117</v>
      </c>
      <c r="D3848" t="s">
        <v>18</v>
      </c>
      <c r="E3848" t="s">
        <v>11</v>
      </c>
      <c r="G3848" t="s">
        <v>24</v>
      </c>
      <c r="H3848" t="s">
        <v>23</v>
      </c>
      <c r="I3848" t="s">
        <v>23</v>
      </c>
      <c r="J3848" t="s">
        <v>23</v>
      </c>
      <c r="K3848" t="s">
        <v>23</v>
      </c>
      <c r="L3848">
        <f t="shared" si="302"/>
        <v>1</v>
      </c>
      <c r="M3848">
        <f t="shared" si="303"/>
        <v>0</v>
      </c>
      <c r="N3848">
        <f t="shared" si="304"/>
        <v>0</v>
      </c>
      <c r="O3848">
        <f t="shared" si="305"/>
        <v>0</v>
      </c>
      <c r="P3848">
        <f t="shared" si="306"/>
        <v>1</v>
      </c>
      <c r="Q3848">
        <f>COUNTIF('責任職　企業局→市長部局'!A:A,SQLデータ!B3848)</f>
        <v>0</v>
      </c>
      <c r="R3848">
        <f>COUNTIF('一般職員　企業局→市長部局'!A:F,SQLデータ!B3848)</f>
        <v>0</v>
      </c>
    </row>
    <row r="3849" spans="1:18" x14ac:dyDescent="0.4">
      <c r="A3849" s="1">
        <v>202660000093</v>
      </c>
      <c r="B3849" s="1">
        <v>1126157</v>
      </c>
      <c r="C3849" s="2">
        <v>46117</v>
      </c>
      <c r="D3849" t="s">
        <v>18</v>
      </c>
      <c r="E3849" t="s">
        <v>8</v>
      </c>
      <c r="F3849" t="s">
        <v>47</v>
      </c>
      <c r="G3849" t="s">
        <v>26</v>
      </c>
      <c r="H3849" t="s">
        <v>20</v>
      </c>
      <c r="I3849" t="s">
        <v>20</v>
      </c>
      <c r="J3849" t="s">
        <v>20</v>
      </c>
      <c r="K3849" t="s">
        <v>20</v>
      </c>
      <c r="L3849">
        <f t="shared" si="302"/>
        <v>1</v>
      </c>
      <c r="M3849">
        <f t="shared" si="303"/>
        <v>0</v>
      </c>
      <c r="N3849">
        <f t="shared" si="304"/>
        <v>0</v>
      </c>
      <c r="O3849">
        <f t="shared" si="305"/>
        <v>0</v>
      </c>
      <c r="P3849">
        <f t="shared" si="306"/>
        <v>0</v>
      </c>
      <c r="Q3849">
        <f>COUNTIF('責任職　企業局→市長部局'!A:A,SQLデータ!B3849)</f>
        <v>0</v>
      </c>
      <c r="R3849">
        <f>COUNTIF('一般職員　企業局→市長部局'!A:F,SQLデータ!B3849)</f>
        <v>0</v>
      </c>
    </row>
    <row r="3850" spans="1:18" x14ac:dyDescent="0.4">
      <c r="A3850" s="1">
        <v>202660000099</v>
      </c>
      <c r="B3850" s="1">
        <v>890279</v>
      </c>
      <c r="C3850" s="2">
        <v>46118</v>
      </c>
      <c r="D3850" t="s">
        <v>18</v>
      </c>
      <c r="E3850" t="s">
        <v>11</v>
      </c>
      <c r="G3850" t="s">
        <v>24</v>
      </c>
      <c r="H3850" t="s">
        <v>23</v>
      </c>
      <c r="I3850" t="s">
        <v>23</v>
      </c>
      <c r="J3850" t="s">
        <v>23</v>
      </c>
      <c r="K3850" t="s">
        <v>23</v>
      </c>
      <c r="L3850">
        <f t="shared" si="302"/>
        <v>1</v>
      </c>
      <c r="M3850">
        <f t="shared" si="303"/>
        <v>0</v>
      </c>
      <c r="N3850">
        <f t="shared" si="304"/>
        <v>0</v>
      </c>
      <c r="O3850">
        <f t="shared" si="305"/>
        <v>0</v>
      </c>
      <c r="P3850">
        <f t="shared" si="306"/>
        <v>1</v>
      </c>
      <c r="Q3850">
        <f>COUNTIF('責任職　企業局→市長部局'!A:A,SQLデータ!B3850)</f>
        <v>0</v>
      </c>
      <c r="R3850">
        <f>COUNTIF('一般職員　企業局→市長部局'!A:F,SQLデータ!B3850)</f>
        <v>0</v>
      </c>
    </row>
    <row r="3851" spans="1:18" x14ac:dyDescent="0.4">
      <c r="A3851" s="1">
        <v>202660000105</v>
      </c>
      <c r="B3851" s="1">
        <v>1016005</v>
      </c>
      <c r="C3851" s="2">
        <v>46118</v>
      </c>
      <c r="D3851" t="s">
        <v>18</v>
      </c>
      <c r="E3851" t="s">
        <v>11</v>
      </c>
      <c r="G3851" t="s">
        <v>24</v>
      </c>
      <c r="H3851" t="s">
        <v>23</v>
      </c>
      <c r="I3851" t="s">
        <v>23</v>
      </c>
      <c r="J3851" t="s">
        <v>23</v>
      </c>
      <c r="L3851">
        <f t="shared" si="302"/>
        <v>1</v>
      </c>
      <c r="M3851">
        <f t="shared" si="303"/>
        <v>0</v>
      </c>
      <c r="N3851">
        <f t="shared" si="304"/>
        <v>0</v>
      </c>
      <c r="O3851">
        <f t="shared" si="305"/>
        <v>0</v>
      </c>
      <c r="P3851">
        <f t="shared" si="306"/>
        <v>1</v>
      </c>
      <c r="Q3851">
        <f>COUNTIF('責任職　企業局→市長部局'!A:A,SQLデータ!B3851)</f>
        <v>0</v>
      </c>
      <c r="R3851">
        <f>COUNTIF('一般職員　企業局→市長部局'!A:F,SQLデータ!B3851)</f>
        <v>0</v>
      </c>
    </row>
    <row r="3852" spans="1:18" x14ac:dyDescent="0.4">
      <c r="A3852" s="1">
        <v>202660000106</v>
      </c>
      <c r="B3852" s="1">
        <v>1004092</v>
      </c>
      <c r="C3852" s="2">
        <v>46118</v>
      </c>
      <c r="D3852" t="s">
        <v>18</v>
      </c>
      <c r="E3852" t="s">
        <v>8</v>
      </c>
      <c r="G3852" t="s">
        <v>22</v>
      </c>
      <c r="H3852" t="s">
        <v>23</v>
      </c>
      <c r="K3852" t="s">
        <v>23</v>
      </c>
      <c r="L3852">
        <f t="shared" si="302"/>
        <v>0</v>
      </c>
      <c r="M3852">
        <f t="shared" si="303"/>
        <v>0</v>
      </c>
      <c r="N3852">
        <f t="shared" si="304"/>
        <v>1</v>
      </c>
      <c r="O3852">
        <f t="shared" si="305"/>
        <v>0</v>
      </c>
      <c r="P3852">
        <f t="shared" si="306"/>
        <v>1</v>
      </c>
      <c r="Q3852">
        <f>COUNTIF('責任職　企業局→市長部局'!A:A,SQLデータ!B3852)</f>
        <v>0</v>
      </c>
      <c r="R3852">
        <f>COUNTIF('一般職員　企業局→市長部局'!A:F,SQLデータ!B3852)</f>
        <v>0</v>
      </c>
    </row>
    <row r="3853" spans="1:18" x14ac:dyDescent="0.4">
      <c r="A3853" s="1">
        <v>202660000108</v>
      </c>
      <c r="B3853" s="1">
        <v>910605</v>
      </c>
      <c r="C3853" s="2">
        <v>46118</v>
      </c>
      <c r="D3853" t="s">
        <v>18</v>
      </c>
      <c r="E3853" t="s">
        <v>11</v>
      </c>
      <c r="G3853" t="s">
        <v>24</v>
      </c>
      <c r="H3853" t="s">
        <v>23</v>
      </c>
      <c r="I3853" t="s">
        <v>23</v>
      </c>
      <c r="J3853" t="s">
        <v>23</v>
      </c>
      <c r="K3853" t="s">
        <v>23</v>
      </c>
      <c r="L3853">
        <f t="shared" si="302"/>
        <v>1</v>
      </c>
      <c r="M3853">
        <f t="shared" si="303"/>
        <v>0</v>
      </c>
      <c r="N3853">
        <f t="shared" si="304"/>
        <v>0</v>
      </c>
      <c r="O3853">
        <f t="shared" si="305"/>
        <v>0</v>
      </c>
      <c r="P3853">
        <f t="shared" si="306"/>
        <v>1</v>
      </c>
      <c r="Q3853">
        <f>COUNTIF('責任職　企業局→市長部局'!A:A,SQLデータ!B3853)</f>
        <v>0</v>
      </c>
      <c r="R3853">
        <f>COUNTIF('一般職員　企業局→市長部局'!A:F,SQLデータ!B3853)</f>
        <v>0</v>
      </c>
    </row>
    <row r="3854" spans="1:18" x14ac:dyDescent="0.4">
      <c r="A3854" s="1">
        <v>202660000110</v>
      </c>
      <c r="B3854" s="1">
        <v>1026069</v>
      </c>
      <c r="C3854" s="2">
        <v>46118</v>
      </c>
      <c r="D3854" t="s">
        <v>18</v>
      </c>
      <c r="E3854" t="s">
        <v>11</v>
      </c>
      <c r="G3854" t="s">
        <v>24</v>
      </c>
      <c r="H3854" t="s">
        <v>23</v>
      </c>
      <c r="I3854" t="s">
        <v>23</v>
      </c>
      <c r="J3854" t="s">
        <v>23</v>
      </c>
      <c r="K3854" t="s">
        <v>23</v>
      </c>
      <c r="L3854">
        <f t="shared" si="302"/>
        <v>1</v>
      </c>
      <c r="M3854">
        <f t="shared" si="303"/>
        <v>0</v>
      </c>
      <c r="N3854">
        <f t="shared" si="304"/>
        <v>0</v>
      </c>
      <c r="O3854">
        <f t="shared" si="305"/>
        <v>0</v>
      </c>
      <c r="P3854">
        <f t="shared" si="306"/>
        <v>1</v>
      </c>
      <c r="Q3854">
        <f>COUNTIF('責任職　企業局→市長部局'!A:A,SQLデータ!B3854)</f>
        <v>0</v>
      </c>
      <c r="R3854">
        <f>COUNTIF('一般職員　企業局→市長部局'!A:F,SQLデータ!B3854)</f>
        <v>0</v>
      </c>
    </row>
    <row r="3855" spans="1:18" x14ac:dyDescent="0.4">
      <c r="A3855" s="1">
        <v>202660000112</v>
      </c>
      <c r="B3855" s="1">
        <v>1156133</v>
      </c>
      <c r="C3855" s="2">
        <v>46118</v>
      </c>
      <c r="D3855" t="s">
        <v>18</v>
      </c>
      <c r="E3855" t="s">
        <v>8</v>
      </c>
      <c r="G3855" t="s">
        <v>24</v>
      </c>
      <c r="H3855" t="s">
        <v>23</v>
      </c>
      <c r="J3855" t="s">
        <v>23</v>
      </c>
      <c r="K3855" t="s">
        <v>23</v>
      </c>
      <c r="L3855">
        <f t="shared" si="302"/>
        <v>1</v>
      </c>
      <c r="M3855">
        <f t="shared" si="303"/>
        <v>0</v>
      </c>
      <c r="N3855">
        <f t="shared" si="304"/>
        <v>0</v>
      </c>
      <c r="O3855">
        <f t="shared" si="305"/>
        <v>0</v>
      </c>
      <c r="P3855">
        <f t="shared" si="306"/>
        <v>0</v>
      </c>
      <c r="Q3855">
        <f>COUNTIF('責任職　企業局→市長部局'!A:A,SQLデータ!B3855)</f>
        <v>0</v>
      </c>
      <c r="R3855">
        <f>COUNTIF('一般職員　企業局→市長部局'!A:F,SQLデータ!B3855)</f>
        <v>0</v>
      </c>
    </row>
    <row r="3856" spans="1:18" x14ac:dyDescent="0.4">
      <c r="A3856" s="1">
        <v>202660000114</v>
      </c>
      <c r="B3856" s="1">
        <v>1018114</v>
      </c>
      <c r="C3856" s="2">
        <v>46119</v>
      </c>
      <c r="D3856" t="s">
        <v>18</v>
      </c>
      <c r="E3856" t="s">
        <v>11</v>
      </c>
      <c r="G3856" t="s">
        <v>24</v>
      </c>
      <c r="H3856" t="s">
        <v>23</v>
      </c>
      <c r="J3856" t="s">
        <v>23</v>
      </c>
      <c r="K3856" t="s">
        <v>23</v>
      </c>
      <c r="L3856">
        <f t="shared" si="302"/>
        <v>1</v>
      </c>
      <c r="M3856">
        <f t="shared" si="303"/>
        <v>0</v>
      </c>
      <c r="N3856">
        <f t="shared" si="304"/>
        <v>0</v>
      </c>
      <c r="O3856">
        <f t="shared" si="305"/>
        <v>0</v>
      </c>
      <c r="P3856">
        <f t="shared" si="306"/>
        <v>1</v>
      </c>
      <c r="Q3856">
        <f>COUNTIF('責任職　企業局→市長部局'!A:A,SQLデータ!B3856)</f>
        <v>0</v>
      </c>
      <c r="R3856">
        <f>COUNTIF('一般職員　企業局→市長部局'!A:F,SQLデータ!B3856)</f>
        <v>0</v>
      </c>
    </row>
    <row r="3857" spans="1:18" x14ac:dyDescent="0.4">
      <c r="A3857" s="1">
        <v>202660000115</v>
      </c>
      <c r="B3857" s="1">
        <v>1166005</v>
      </c>
      <c r="C3857" s="2">
        <v>46122</v>
      </c>
      <c r="D3857" t="s">
        <v>18</v>
      </c>
      <c r="E3857" t="s">
        <v>8</v>
      </c>
      <c r="G3857" t="s">
        <v>24</v>
      </c>
      <c r="H3857" t="s">
        <v>23</v>
      </c>
      <c r="I3857" t="s">
        <v>23</v>
      </c>
      <c r="J3857" t="s">
        <v>23</v>
      </c>
      <c r="K3857" t="s">
        <v>23</v>
      </c>
      <c r="L3857">
        <f t="shared" si="302"/>
        <v>1</v>
      </c>
      <c r="M3857">
        <f t="shared" si="303"/>
        <v>0</v>
      </c>
      <c r="N3857">
        <f t="shared" si="304"/>
        <v>0</v>
      </c>
      <c r="O3857">
        <f t="shared" si="305"/>
        <v>0</v>
      </c>
      <c r="P3857">
        <f t="shared" si="306"/>
        <v>0</v>
      </c>
      <c r="Q3857">
        <f>COUNTIF('責任職　企業局→市長部局'!A:A,SQLデータ!B3857)</f>
        <v>0</v>
      </c>
      <c r="R3857">
        <f>COUNTIF('一般職員　企業局→市長部局'!A:F,SQLデータ!B3857)</f>
        <v>0</v>
      </c>
    </row>
    <row r="3858" spans="1:18" x14ac:dyDescent="0.4">
      <c r="A3858" s="1">
        <v>202660000118</v>
      </c>
      <c r="B3858" s="1">
        <v>972005</v>
      </c>
      <c r="C3858" s="2">
        <v>46118</v>
      </c>
      <c r="D3858" t="s">
        <v>18</v>
      </c>
      <c r="E3858" t="s">
        <v>10</v>
      </c>
      <c r="G3858" t="s">
        <v>24</v>
      </c>
      <c r="H3858" t="s">
        <v>23</v>
      </c>
      <c r="I3858" t="s">
        <v>23</v>
      </c>
      <c r="J3858" t="s">
        <v>23</v>
      </c>
      <c r="K3858" t="s">
        <v>23</v>
      </c>
      <c r="L3858">
        <f t="shared" si="302"/>
        <v>1</v>
      </c>
      <c r="M3858">
        <f t="shared" si="303"/>
        <v>0</v>
      </c>
      <c r="N3858">
        <f t="shared" si="304"/>
        <v>0</v>
      </c>
      <c r="O3858">
        <f t="shared" si="305"/>
        <v>0</v>
      </c>
      <c r="P3858">
        <f t="shared" si="306"/>
        <v>1</v>
      </c>
      <c r="Q3858">
        <f>COUNTIF('責任職　企業局→市長部局'!A:A,SQLデータ!B3858)</f>
        <v>0</v>
      </c>
      <c r="R3858">
        <f>COUNTIF('一般職員　企業局→市長部局'!A:F,SQLデータ!B3858)</f>
        <v>0</v>
      </c>
    </row>
    <row r="3859" spans="1:18" x14ac:dyDescent="0.4">
      <c r="A3859" s="1">
        <v>202660000120</v>
      </c>
      <c r="B3859" s="1">
        <v>920261</v>
      </c>
      <c r="C3859" s="2">
        <v>46119</v>
      </c>
      <c r="D3859" t="s">
        <v>18</v>
      </c>
      <c r="E3859" t="s">
        <v>8</v>
      </c>
      <c r="G3859" t="s">
        <v>24</v>
      </c>
      <c r="H3859" t="s">
        <v>23</v>
      </c>
      <c r="I3859" t="s">
        <v>23</v>
      </c>
      <c r="J3859" t="s">
        <v>23</v>
      </c>
      <c r="L3859">
        <f t="shared" si="302"/>
        <v>1</v>
      </c>
      <c r="M3859">
        <f t="shared" si="303"/>
        <v>0</v>
      </c>
      <c r="N3859">
        <f t="shared" si="304"/>
        <v>0</v>
      </c>
      <c r="O3859">
        <f t="shared" si="305"/>
        <v>0</v>
      </c>
      <c r="P3859">
        <f t="shared" si="306"/>
        <v>0</v>
      </c>
      <c r="Q3859">
        <f>COUNTIF('責任職　企業局→市長部局'!A:A,SQLデータ!B3859)</f>
        <v>0</v>
      </c>
      <c r="R3859">
        <f>COUNTIF('一般職員　企業局→市長部局'!A:F,SQLデータ!B3859)</f>
        <v>0</v>
      </c>
    </row>
    <row r="3860" spans="1:18" x14ac:dyDescent="0.4">
      <c r="A3860" s="1">
        <v>202660000121</v>
      </c>
      <c r="B3860" s="1">
        <v>940283</v>
      </c>
      <c r="C3860" s="2">
        <v>46127</v>
      </c>
      <c r="D3860" t="s">
        <v>18</v>
      </c>
      <c r="E3860" t="s">
        <v>10</v>
      </c>
      <c r="G3860" t="s">
        <v>24</v>
      </c>
      <c r="H3860" t="s">
        <v>23</v>
      </c>
      <c r="J3860" t="s">
        <v>23</v>
      </c>
      <c r="K3860" t="s">
        <v>23</v>
      </c>
      <c r="L3860">
        <f t="shared" si="302"/>
        <v>1</v>
      </c>
      <c r="M3860">
        <f t="shared" si="303"/>
        <v>0</v>
      </c>
      <c r="N3860">
        <f t="shared" si="304"/>
        <v>0</v>
      </c>
      <c r="O3860">
        <f t="shared" si="305"/>
        <v>0</v>
      </c>
      <c r="P3860">
        <f t="shared" si="306"/>
        <v>1</v>
      </c>
      <c r="Q3860">
        <f>COUNTIF('責任職　企業局→市長部局'!A:A,SQLデータ!B3860)</f>
        <v>0</v>
      </c>
      <c r="R3860">
        <f>COUNTIF('一般職員　企業局→市長部局'!A:F,SQLデータ!B3860)</f>
        <v>0</v>
      </c>
    </row>
    <row r="3861" spans="1:18" x14ac:dyDescent="0.4">
      <c r="A3861" s="1">
        <v>202660000122</v>
      </c>
      <c r="B3861" s="1">
        <v>974040</v>
      </c>
      <c r="C3861" s="2">
        <v>46118</v>
      </c>
      <c r="D3861" t="s">
        <v>18</v>
      </c>
      <c r="E3861" t="s">
        <v>11</v>
      </c>
      <c r="G3861" t="s">
        <v>24</v>
      </c>
      <c r="H3861" t="s">
        <v>23</v>
      </c>
      <c r="I3861" t="s">
        <v>23</v>
      </c>
      <c r="J3861" t="s">
        <v>23</v>
      </c>
      <c r="K3861" t="s">
        <v>23</v>
      </c>
      <c r="L3861">
        <f t="shared" si="302"/>
        <v>1</v>
      </c>
      <c r="M3861">
        <f t="shared" si="303"/>
        <v>0</v>
      </c>
      <c r="N3861">
        <f t="shared" si="304"/>
        <v>0</v>
      </c>
      <c r="O3861">
        <f t="shared" si="305"/>
        <v>0</v>
      </c>
      <c r="P3861">
        <f t="shared" si="306"/>
        <v>1</v>
      </c>
      <c r="Q3861">
        <f>COUNTIF('責任職　企業局→市長部局'!A:A,SQLデータ!B3861)</f>
        <v>0</v>
      </c>
      <c r="R3861">
        <f>COUNTIF('一般職員　企業局→市長部局'!A:F,SQLデータ!B3861)</f>
        <v>0</v>
      </c>
    </row>
    <row r="3862" spans="1:18" x14ac:dyDescent="0.4">
      <c r="A3862" s="1">
        <v>202660000123</v>
      </c>
      <c r="B3862" s="1">
        <v>1152190</v>
      </c>
      <c r="C3862" s="2">
        <v>46118</v>
      </c>
      <c r="D3862" t="s">
        <v>18</v>
      </c>
      <c r="E3862" t="s">
        <v>15</v>
      </c>
      <c r="G3862" t="s">
        <v>31</v>
      </c>
      <c r="H3862" t="s">
        <v>20</v>
      </c>
      <c r="L3862">
        <f t="shared" si="302"/>
        <v>0</v>
      </c>
      <c r="M3862">
        <f t="shared" si="303"/>
        <v>0</v>
      </c>
      <c r="N3862">
        <f t="shared" si="304"/>
        <v>0</v>
      </c>
      <c r="O3862">
        <f t="shared" si="305"/>
        <v>1</v>
      </c>
      <c r="P3862">
        <f t="shared" si="306"/>
        <v>1</v>
      </c>
      <c r="Q3862">
        <f>COUNTIF('責任職　企業局→市長部局'!A:A,SQLデータ!B3862)</f>
        <v>0</v>
      </c>
      <c r="R3862">
        <f>COUNTIF('一般職員　企業局→市長部局'!A:F,SQLデータ!B3862)</f>
        <v>0</v>
      </c>
    </row>
    <row r="3863" spans="1:18" x14ac:dyDescent="0.4">
      <c r="A3863" s="1">
        <v>202660000124</v>
      </c>
      <c r="B3863" s="1">
        <v>1131414</v>
      </c>
      <c r="C3863" s="2">
        <v>46118</v>
      </c>
      <c r="D3863" t="s">
        <v>18</v>
      </c>
      <c r="E3863" t="s">
        <v>10</v>
      </c>
      <c r="G3863" t="s">
        <v>27</v>
      </c>
      <c r="H3863" t="s">
        <v>20</v>
      </c>
      <c r="I3863" t="s">
        <v>20</v>
      </c>
      <c r="J3863" t="s">
        <v>20</v>
      </c>
      <c r="K3863" t="s">
        <v>20</v>
      </c>
      <c r="L3863">
        <f t="shared" si="302"/>
        <v>1</v>
      </c>
      <c r="M3863">
        <f t="shared" si="303"/>
        <v>0</v>
      </c>
      <c r="N3863">
        <f t="shared" si="304"/>
        <v>0</v>
      </c>
      <c r="O3863">
        <f t="shared" si="305"/>
        <v>0</v>
      </c>
      <c r="P3863">
        <f t="shared" si="306"/>
        <v>1</v>
      </c>
      <c r="Q3863">
        <f>COUNTIF('責任職　企業局→市長部局'!A:A,SQLデータ!B3863)</f>
        <v>0</v>
      </c>
      <c r="R3863">
        <f>COUNTIF('一般職員　企業局→市長部局'!A:F,SQLデータ!B3863)</f>
        <v>0</v>
      </c>
    </row>
    <row r="3864" spans="1:18" x14ac:dyDescent="0.4">
      <c r="A3864" s="1">
        <v>202660000125</v>
      </c>
      <c r="B3864" s="1">
        <v>860060</v>
      </c>
      <c r="C3864" s="2">
        <v>46118</v>
      </c>
      <c r="D3864" t="s">
        <v>18</v>
      </c>
      <c r="E3864" t="s">
        <v>11</v>
      </c>
      <c r="G3864" t="s">
        <v>24</v>
      </c>
      <c r="H3864" t="s">
        <v>23</v>
      </c>
      <c r="I3864" t="s">
        <v>23</v>
      </c>
      <c r="J3864" t="s">
        <v>23</v>
      </c>
      <c r="K3864" t="s">
        <v>23</v>
      </c>
      <c r="L3864">
        <f t="shared" si="302"/>
        <v>1</v>
      </c>
      <c r="M3864">
        <f t="shared" si="303"/>
        <v>0</v>
      </c>
      <c r="N3864">
        <f t="shared" si="304"/>
        <v>0</v>
      </c>
      <c r="O3864">
        <f t="shared" si="305"/>
        <v>0</v>
      </c>
      <c r="P3864">
        <f t="shared" si="306"/>
        <v>1</v>
      </c>
      <c r="Q3864">
        <f>COUNTIF('責任職　企業局→市長部局'!A:A,SQLデータ!B3864)</f>
        <v>0</v>
      </c>
      <c r="R3864">
        <f>COUNTIF('一般職員　企業局→市長部局'!A:F,SQLデータ!B3864)</f>
        <v>0</v>
      </c>
    </row>
    <row r="3865" spans="1:18" x14ac:dyDescent="0.4">
      <c r="A3865" s="1">
        <v>202660000126</v>
      </c>
      <c r="B3865" s="1">
        <v>900246</v>
      </c>
      <c r="C3865" s="2">
        <v>46118</v>
      </c>
      <c r="D3865" t="s">
        <v>18</v>
      </c>
      <c r="E3865" t="s">
        <v>8</v>
      </c>
      <c r="G3865" t="s">
        <v>24</v>
      </c>
      <c r="H3865" t="s">
        <v>23</v>
      </c>
      <c r="L3865">
        <f t="shared" si="302"/>
        <v>0</v>
      </c>
      <c r="M3865">
        <f t="shared" si="303"/>
        <v>0</v>
      </c>
      <c r="N3865">
        <f t="shared" si="304"/>
        <v>0</v>
      </c>
      <c r="O3865">
        <f t="shared" si="305"/>
        <v>1</v>
      </c>
      <c r="P3865">
        <f t="shared" si="306"/>
        <v>1</v>
      </c>
      <c r="Q3865">
        <f>COUNTIF('責任職　企業局→市長部局'!A:A,SQLデータ!B3865)</f>
        <v>1</v>
      </c>
      <c r="R3865">
        <f>COUNTIF('一般職員　企業局→市長部局'!A:F,SQLデータ!B3865)</f>
        <v>0</v>
      </c>
    </row>
    <row r="3866" spans="1:18" x14ac:dyDescent="0.4">
      <c r="A3866" s="1">
        <v>202660000128</v>
      </c>
      <c r="B3866" s="1">
        <v>1006015</v>
      </c>
      <c r="C3866" s="2">
        <v>46118</v>
      </c>
      <c r="D3866" t="s">
        <v>18</v>
      </c>
      <c r="E3866" t="s">
        <v>11</v>
      </c>
      <c r="G3866" t="s">
        <v>24</v>
      </c>
      <c r="H3866" t="s">
        <v>23</v>
      </c>
      <c r="I3866" t="s">
        <v>23</v>
      </c>
      <c r="J3866" t="s">
        <v>23</v>
      </c>
      <c r="L3866">
        <f t="shared" si="302"/>
        <v>1</v>
      </c>
      <c r="M3866">
        <f t="shared" si="303"/>
        <v>0</v>
      </c>
      <c r="N3866">
        <f t="shared" si="304"/>
        <v>0</v>
      </c>
      <c r="O3866">
        <f t="shared" si="305"/>
        <v>0</v>
      </c>
      <c r="P3866">
        <f t="shared" si="306"/>
        <v>1</v>
      </c>
      <c r="Q3866">
        <f>COUNTIF('責任職　企業局→市長部局'!A:A,SQLデータ!B3866)</f>
        <v>0</v>
      </c>
      <c r="R3866">
        <f>COUNTIF('一般職員　企業局→市長部局'!A:F,SQLデータ!B3866)</f>
        <v>0</v>
      </c>
    </row>
    <row r="3867" spans="1:18" x14ac:dyDescent="0.4">
      <c r="A3867" s="1">
        <v>202660000129</v>
      </c>
      <c r="B3867" s="1">
        <v>986022</v>
      </c>
      <c r="C3867" s="2">
        <v>46118</v>
      </c>
      <c r="D3867" t="s">
        <v>18</v>
      </c>
      <c r="E3867" t="s">
        <v>10</v>
      </c>
      <c r="G3867" t="s">
        <v>24</v>
      </c>
      <c r="H3867" t="s">
        <v>23</v>
      </c>
      <c r="I3867" t="s">
        <v>23</v>
      </c>
      <c r="J3867" t="s">
        <v>23</v>
      </c>
      <c r="K3867" t="s">
        <v>23</v>
      </c>
      <c r="L3867">
        <f t="shared" si="302"/>
        <v>1</v>
      </c>
      <c r="M3867">
        <f t="shared" si="303"/>
        <v>0</v>
      </c>
      <c r="N3867">
        <f t="shared" si="304"/>
        <v>0</v>
      </c>
      <c r="O3867">
        <f t="shared" si="305"/>
        <v>0</v>
      </c>
      <c r="P3867">
        <f t="shared" si="306"/>
        <v>1</v>
      </c>
      <c r="Q3867">
        <f>COUNTIF('責任職　企業局→市長部局'!A:A,SQLデータ!B3867)</f>
        <v>0</v>
      </c>
      <c r="R3867">
        <f>COUNTIF('一般職員　企業局→市長部局'!A:F,SQLデータ!B3867)</f>
        <v>0</v>
      </c>
    </row>
    <row r="3868" spans="1:18" x14ac:dyDescent="0.4">
      <c r="A3868" s="1">
        <v>202660000130</v>
      </c>
      <c r="B3868" s="1">
        <v>810430</v>
      </c>
      <c r="C3868" s="2">
        <v>46118</v>
      </c>
      <c r="D3868" t="s">
        <v>18</v>
      </c>
      <c r="E3868" t="s">
        <v>11</v>
      </c>
      <c r="G3868" t="s">
        <v>24</v>
      </c>
      <c r="H3868" t="s">
        <v>23</v>
      </c>
      <c r="I3868" t="s">
        <v>23</v>
      </c>
      <c r="J3868" t="s">
        <v>23</v>
      </c>
      <c r="K3868" t="s">
        <v>23</v>
      </c>
      <c r="L3868">
        <f t="shared" si="302"/>
        <v>1</v>
      </c>
      <c r="M3868">
        <f t="shared" si="303"/>
        <v>0</v>
      </c>
      <c r="N3868">
        <f t="shared" si="304"/>
        <v>0</v>
      </c>
      <c r="O3868">
        <f t="shared" si="305"/>
        <v>0</v>
      </c>
      <c r="P3868">
        <f t="shared" si="306"/>
        <v>1</v>
      </c>
      <c r="Q3868">
        <f>COUNTIF('責任職　企業局→市長部局'!A:A,SQLデータ!B3868)</f>
        <v>0</v>
      </c>
      <c r="R3868">
        <f>COUNTIF('一般職員　企業局→市長部局'!A:F,SQLデータ!B3868)</f>
        <v>0</v>
      </c>
    </row>
    <row r="3869" spans="1:18" x14ac:dyDescent="0.4">
      <c r="A3869" s="1">
        <v>202660000133</v>
      </c>
      <c r="B3869" s="1">
        <v>1201254</v>
      </c>
      <c r="C3869" s="2">
        <v>46118</v>
      </c>
      <c r="D3869" t="s">
        <v>18</v>
      </c>
      <c r="E3869" t="s">
        <v>15</v>
      </c>
      <c r="G3869" t="s">
        <v>31</v>
      </c>
      <c r="H3869" t="s">
        <v>20</v>
      </c>
      <c r="L3869">
        <f t="shared" si="302"/>
        <v>0</v>
      </c>
      <c r="M3869">
        <f t="shared" si="303"/>
        <v>0</v>
      </c>
      <c r="N3869">
        <f t="shared" si="304"/>
        <v>0</v>
      </c>
      <c r="O3869">
        <f t="shared" si="305"/>
        <v>1</v>
      </c>
      <c r="P3869">
        <f t="shared" si="306"/>
        <v>1</v>
      </c>
      <c r="Q3869">
        <f>COUNTIF('責任職　企業局→市長部局'!A:A,SQLデータ!B3869)</f>
        <v>0</v>
      </c>
      <c r="R3869">
        <f>COUNTIF('一般職員　企業局→市長部局'!A:F,SQLデータ!B3869)</f>
        <v>0</v>
      </c>
    </row>
    <row r="3870" spans="1:18" x14ac:dyDescent="0.4">
      <c r="A3870" s="1">
        <v>202660000135</v>
      </c>
      <c r="B3870" s="1">
        <v>1004049</v>
      </c>
      <c r="C3870" s="2">
        <v>46118</v>
      </c>
      <c r="D3870" t="s">
        <v>18</v>
      </c>
      <c r="E3870" t="s">
        <v>11</v>
      </c>
      <c r="G3870" t="s">
        <v>24</v>
      </c>
      <c r="H3870" t="s">
        <v>23</v>
      </c>
      <c r="I3870" t="s">
        <v>23</v>
      </c>
      <c r="J3870" t="s">
        <v>23</v>
      </c>
      <c r="K3870" t="s">
        <v>23</v>
      </c>
      <c r="L3870">
        <f t="shared" si="302"/>
        <v>1</v>
      </c>
      <c r="M3870">
        <f t="shared" si="303"/>
        <v>0</v>
      </c>
      <c r="N3870">
        <f t="shared" si="304"/>
        <v>0</v>
      </c>
      <c r="O3870">
        <f t="shared" si="305"/>
        <v>0</v>
      </c>
      <c r="P3870">
        <f t="shared" si="306"/>
        <v>1</v>
      </c>
      <c r="Q3870">
        <f>COUNTIF('責任職　企業局→市長部局'!A:A,SQLデータ!B3870)</f>
        <v>0</v>
      </c>
      <c r="R3870">
        <f>COUNTIF('一般職員　企業局→市長部局'!A:F,SQLデータ!B3870)</f>
        <v>0</v>
      </c>
    </row>
    <row r="3871" spans="1:18" x14ac:dyDescent="0.4">
      <c r="A3871" s="1">
        <v>202660000137</v>
      </c>
      <c r="B3871" s="1">
        <v>1092096</v>
      </c>
      <c r="C3871" s="2">
        <v>46118</v>
      </c>
      <c r="D3871" t="s">
        <v>18</v>
      </c>
      <c r="E3871" t="s">
        <v>8</v>
      </c>
      <c r="G3871" t="s">
        <v>28</v>
      </c>
      <c r="H3871" t="s">
        <v>20</v>
      </c>
      <c r="I3871" t="s">
        <v>20</v>
      </c>
      <c r="J3871" t="s">
        <v>20</v>
      </c>
      <c r="K3871" t="s">
        <v>20</v>
      </c>
      <c r="L3871">
        <f t="shared" si="302"/>
        <v>1</v>
      </c>
      <c r="M3871">
        <f t="shared" si="303"/>
        <v>0</v>
      </c>
      <c r="N3871">
        <f t="shared" si="304"/>
        <v>0</v>
      </c>
      <c r="O3871">
        <f t="shared" si="305"/>
        <v>0</v>
      </c>
      <c r="P3871">
        <f t="shared" si="306"/>
        <v>0</v>
      </c>
      <c r="Q3871">
        <f>COUNTIF('責任職　企業局→市長部局'!A:A,SQLデータ!B3871)</f>
        <v>0</v>
      </c>
      <c r="R3871">
        <f>COUNTIF('一般職員　企業局→市長部局'!A:F,SQLデータ!B3871)</f>
        <v>0</v>
      </c>
    </row>
    <row r="3872" spans="1:18" x14ac:dyDescent="0.4">
      <c r="A3872" s="1">
        <v>202660000139</v>
      </c>
      <c r="B3872" s="1">
        <v>930312</v>
      </c>
      <c r="C3872" s="2">
        <v>46118</v>
      </c>
      <c r="D3872" t="s">
        <v>18</v>
      </c>
      <c r="E3872" t="s">
        <v>10</v>
      </c>
      <c r="G3872" t="s">
        <v>24</v>
      </c>
      <c r="H3872" t="s">
        <v>23</v>
      </c>
      <c r="I3872" t="s">
        <v>23</v>
      </c>
      <c r="J3872" t="s">
        <v>23</v>
      </c>
      <c r="K3872" t="s">
        <v>23</v>
      </c>
      <c r="L3872">
        <f t="shared" si="302"/>
        <v>1</v>
      </c>
      <c r="M3872">
        <f t="shared" si="303"/>
        <v>0</v>
      </c>
      <c r="N3872">
        <f t="shared" si="304"/>
        <v>0</v>
      </c>
      <c r="O3872">
        <f t="shared" si="305"/>
        <v>0</v>
      </c>
      <c r="P3872">
        <f t="shared" si="306"/>
        <v>1</v>
      </c>
      <c r="Q3872">
        <f>COUNTIF('責任職　企業局→市長部局'!A:A,SQLデータ!B3872)</f>
        <v>0</v>
      </c>
      <c r="R3872">
        <f>COUNTIF('一般職員　企業局→市長部局'!A:F,SQLデータ!B3872)</f>
        <v>0</v>
      </c>
    </row>
    <row r="3873" spans="1:18" x14ac:dyDescent="0.4">
      <c r="A3873" s="1">
        <v>202660000140</v>
      </c>
      <c r="B3873" s="1">
        <v>994269</v>
      </c>
      <c r="C3873" s="2">
        <v>46118</v>
      </c>
      <c r="D3873" t="s">
        <v>18</v>
      </c>
      <c r="E3873" t="s">
        <v>11</v>
      </c>
      <c r="G3873" t="s">
        <v>24</v>
      </c>
      <c r="H3873" t="s">
        <v>23</v>
      </c>
      <c r="I3873" t="s">
        <v>23</v>
      </c>
      <c r="J3873" t="s">
        <v>23</v>
      </c>
      <c r="K3873" t="s">
        <v>23</v>
      </c>
      <c r="L3873">
        <f t="shared" si="302"/>
        <v>1</v>
      </c>
      <c r="M3873">
        <f t="shared" si="303"/>
        <v>0</v>
      </c>
      <c r="N3873">
        <f t="shared" si="304"/>
        <v>0</v>
      </c>
      <c r="O3873">
        <f t="shared" si="305"/>
        <v>0</v>
      </c>
      <c r="P3873">
        <f t="shared" si="306"/>
        <v>1</v>
      </c>
      <c r="Q3873">
        <f>COUNTIF('責任職　企業局→市長部局'!A:A,SQLデータ!B3873)</f>
        <v>0</v>
      </c>
      <c r="R3873">
        <f>COUNTIF('一般職員　企業局→市長部局'!A:F,SQLデータ!B3873)</f>
        <v>0</v>
      </c>
    </row>
    <row r="3874" spans="1:18" x14ac:dyDescent="0.4">
      <c r="A3874" s="1">
        <v>202660000141</v>
      </c>
      <c r="B3874" s="1">
        <v>1216080</v>
      </c>
      <c r="C3874" s="2">
        <v>46118</v>
      </c>
      <c r="D3874" t="s">
        <v>18</v>
      </c>
      <c r="E3874" t="s">
        <v>15</v>
      </c>
      <c r="G3874" t="s">
        <v>31</v>
      </c>
      <c r="H3874" t="s">
        <v>20</v>
      </c>
      <c r="L3874">
        <f t="shared" ref="L3874:L3937" si="307">IF(ISBLANK(J3874),0,1)</f>
        <v>0</v>
      </c>
      <c r="M3874">
        <f t="shared" ref="M3874:M3937" si="308">IF(AND(L3874=0,I3874&lt;&gt;""),1,0)</f>
        <v>0</v>
      </c>
      <c r="N3874">
        <f t="shared" ref="N3874:N3937" si="309">IF(AND(L3874=0,M3874=0,K3874&lt;&gt;""),1,0)</f>
        <v>0</v>
      </c>
      <c r="O3874">
        <f t="shared" ref="O3874:O3937" si="310">IF(COUNTIF(L3874:N3874,0)=3,1,0)</f>
        <v>1</v>
      </c>
      <c r="P3874">
        <f t="shared" ref="P3874:P3937" si="311">IF(D3874&lt;&gt;"扶養","",IF(E3874&lt;&gt;"確認待ち",1,IF(OR(AND(G3874="本人の結婚",O3874=1),AND(H3874="減",OR(N3874=1,O3874=1))),1,0)))</f>
        <v>1</v>
      </c>
      <c r="Q3874">
        <f>COUNTIF('責任職　企業局→市長部局'!A:A,SQLデータ!B3874)</f>
        <v>0</v>
      </c>
      <c r="R3874">
        <f>COUNTIF('一般職員　企業局→市長部局'!A:F,SQLデータ!B3874)</f>
        <v>0</v>
      </c>
    </row>
    <row r="3875" spans="1:18" x14ac:dyDescent="0.4">
      <c r="A3875" s="1">
        <v>202660000142</v>
      </c>
      <c r="B3875" s="1">
        <v>860064</v>
      </c>
      <c r="C3875" s="2">
        <v>46118</v>
      </c>
      <c r="D3875" t="s">
        <v>18</v>
      </c>
      <c r="E3875" t="s">
        <v>10</v>
      </c>
      <c r="G3875" t="s">
        <v>24</v>
      </c>
      <c r="H3875" t="s">
        <v>23</v>
      </c>
      <c r="I3875" t="s">
        <v>23</v>
      </c>
      <c r="J3875" t="s">
        <v>23</v>
      </c>
      <c r="K3875" t="s">
        <v>23</v>
      </c>
      <c r="L3875">
        <f t="shared" si="307"/>
        <v>1</v>
      </c>
      <c r="M3875">
        <f t="shared" si="308"/>
        <v>0</v>
      </c>
      <c r="N3875">
        <f t="shared" si="309"/>
        <v>0</v>
      </c>
      <c r="O3875">
        <f t="shared" si="310"/>
        <v>0</v>
      </c>
      <c r="P3875">
        <f t="shared" si="311"/>
        <v>1</v>
      </c>
      <c r="Q3875">
        <f>COUNTIF('責任職　企業局→市長部局'!A:A,SQLデータ!B3875)</f>
        <v>0</v>
      </c>
      <c r="R3875">
        <f>COUNTIF('一般職員　企業局→市長部局'!A:F,SQLデータ!B3875)</f>
        <v>0</v>
      </c>
    </row>
    <row r="3876" spans="1:18" x14ac:dyDescent="0.4">
      <c r="A3876" s="1">
        <v>202660000143</v>
      </c>
      <c r="B3876" s="1">
        <v>920042</v>
      </c>
      <c r="C3876" s="2">
        <v>46118</v>
      </c>
      <c r="D3876" t="s">
        <v>18</v>
      </c>
      <c r="E3876" t="s">
        <v>10</v>
      </c>
      <c r="G3876" t="s">
        <v>24</v>
      </c>
      <c r="H3876" t="s">
        <v>23</v>
      </c>
      <c r="I3876" t="s">
        <v>23</v>
      </c>
      <c r="J3876" t="s">
        <v>23</v>
      </c>
      <c r="K3876" t="s">
        <v>23</v>
      </c>
      <c r="L3876">
        <f t="shared" si="307"/>
        <v>1</v>
      </c>
      <c r="M3876">
        <f t="shared" si="308"/>
        <v>0</v>
      </c>
      <c r="N3876">
        <f t="shared" si="309"/>
        <v>0</v>
      </c>
      <c r="O3876">
        <f t="shared" si="310"/>
        <v>0</v>
      </c>
      <c r="P3876">
        <f t="shared" si="311"/>
        <v>1</v>
      </c>
      <c r="Q3876">
        <f>COUNTIF('責任職　企業局→市長部局'!A:A,SQLデータ!B3876)</f>
        <v>0</v>
      </c>
      <c r="R3876">
        <f>COUNTIF('一般職員　企業局→市長部局'!A:F,SQLデータ!B3876)</f>
        <v>0</v>
      </c>
    </row>
    <row r="3877" spans="1:18" x14ac:dyDescent="0.4">
      <c r="A3877" s="1">
        <v>202660000144</v>
      </c>
      <c r="B3877" s="1">
        <v>994267</v>
      </c>
      <c r="C3877" s="2">
        <v>46118</v>
      </c>
      <c r="D3877" t="s">
        <v>18</v>
      </c>
      <c r="E3877" t="s">
        <v>10</v>
      </c>
      <c r="G3877" t="s">
        <v>24</v>
      </c>
      <c r="H3877" t="s">
        <v>23</v>
      </c>
      <c r="I3877" t="s">
        <v>23</v>
      </c>
      <c r="J3877" t="s">
        <v>23</v>
      </c>
      <c r="K3877" t="s">
        <v>23</v>
      </c>
      <c r="L3877">
        <f t="shared" si="307"/>
        <v>1</v>
      </c>
      <c r="M3877">
        <f t="shared" si="308"/>
        <v>0</v>
      </c>
      <c r="N3877">
        <f t="shared" si="309"/>
        <v>0</v>
      </c>
      <c r="O3877">
        <f t="shared" si="310"/>
        <v>0</v>
      </c>
      <c r="P3877">
        <f t="shared" si="311"/>
        <v>1</v>
      </c>
      <c r="Q3877">
        <f>COUNTIF('責任職　企業局→市長部局'!A:A,SQLデータ!B3877)</f>
        <v>0</v>
      </c>
      <c r="R3877">
        <f>COUNTIF('一般職員　企業局→市長部局'!A:F,SQLデータ!B3877)</f>
        <v>0</v>
      </c>
    </row>
    <row r="3878" spans="1:18" x14ac:dyDescent="0.4">
      <c r="A3878" s="1">
        <v>202660000145</v>
      </c>
      <c r="B3878" s="1">
        <v>940517</v>
      </c>
      <c r="C3878" s="2">
        <v>46119</v>
      </c>
      <c r="D3878" t="s">
        <v>18</v>
      </c>
      <c r="E3878" t="s">
        <v>11</v>
      </c>
      <c r="G3878" t="s">
        <v>24</v>
      </c>
      <c r="H3878" t="s">
        <v>23</v>
      </c>
      <c r="J3878" t="s">
        <v>23</v>
      </c>
      <c r="L3878">
        <f t="shared" si="307"/>
        <v>1</v>
      </c>
      <c r="M3878">
        <f t="shared" si="308"/>
        <v>0</v>
      </c>
      <c r="N3878">
        <f t="shared" si="309"/>
        <v>0</v>
      </c>
      <c r="O3878">
        <f t="shared" si="310"/>
        <v>0</v>
      </c>
      <c r="P3878">
        <f t="shared" si="311"/>
        <v>1</v>
      </c>
      <c r="Q3878">
        <f>COUNTIF('責任職　企業局→市長部局'!A:A,SQLデータ!B3878)</f>
        <v>0</v>
      </c>
      <c r="R3878">
        <f>COUNTIF('一般職員　企業局→市長部局'!A:F,SQLデータ!B3878)</f>
        <v>0</v>
      </c>
    </row>
    <row r="3879" spans="1:18" x14ac:dyDescent="0.4">
      <c r="A3879" s="1">
        <v>202660000147</v>
      </c>
      <c r="B3879" s="1">
        <v>1101507</v>
      </c>
      <c r="C3879" s="2">
        <v>46125</v>
      </c>
      <c r="D3879" t="s">
        <v>18</v>
      </c>
      <c r="E3879" t="s">
        <v>8</v>
      </c>
      <c r="G3879" t="s">
        <v>27</v>
      </c>
      <c r="H3879" t="s">
        <v>20</v>
      </c>
      <c r="I3879" t="s">
        <v>20</v>
      </c>
      <c r="J3879" t="s">
        <v>20</v>
      </c>
      <c r="K3879" t="s">
        <v>20</v>
      </c>
      <c r="L3879">
        <f t="shared" si="307"/>
        <v>1</v>
      </c>
      <c r="M3879">
        <f t="shared" si="308"/>
        <v>0</v>
      </c>
      <c r="N3879">
        <f t="shared" si="309"/>
        <v>0</v>
      </c>
      <c r="O3879">
        <f t="shared" si="310"/>
        <v>0</v>
      </c>
      <c r="P3879">
        <f t="shared" si="311"/>
        <v>0</v>
      </c>
      <c r="Q3879">
        <f>COUNTIF('責任職　企業局→市長部局'!A:A,SQLデータ!B3879)</f>
        <v>0</v>
      </c>
      <c r="R3879">
        <f>COUNTIF('一般職員　企業局→市長部局'!A:F,SQLデータ!B3879)</f>
        <v>0</v>
      </c>
    </row>
    <row r="3880" spans="1:18" x14ac:dyDescent="0.4">
      <c r="A3880" s="1">
        <v>202660000150</v>
      </c>
      <c r="B3880" s="1">
        <v>831105</v>
      </c>
      <c r="C3880" s="2">
        <v>46118</v>
      </c>
      <c r="D3880" t="s">
        <v>18</v>
      </c>
      <c r="E3880" t="s">
        <v>10</v>
      </c>
      <c r="G3880" t="s">
        <v>24</v>
      </c>
      <c r="H3880" t="s">
        <v>23</v>
      </c>
      <c r="I3880" t="s">
        <v>23</v>
      </c>
      <c r="J3880" t="s">
        <v>23</v>
      </c>
      <c r="L3880">
        <f t="shared" si="307"/>
        <v>1</v>
      </c>
      <c r="M3880">
        <f t="shared" si="308"/>
        <v>0</v>
      </c>
      <c r="N3880">
        <f t="shared" si="309"/>
        <v>0</v>
      </c>
      <c r="O3880">
        <f t="shared" si="310"/>
        <v>0</v>
      </c>
      <c r="P3880">
        <f t="shared" si="311"/>
        <v>1</v>
      </c>
      <c r="Q3880">
        <f>COUNTIF('責任職　企業局→市長部局'!A:A,SQLデータ!B3880)</f>
        <v>0</v>
      </c>
      <c r="R3880">
        <f>COUNTIF('一般職員　企業局→市長部局'!A:F,SQLデータ!B3880)</f>
        <v>0</v>
      </c>
    </row>
    <row r="3881" spans="1:18" x14ac:dyDescent="0.4">
      <c r="A3881" s="1">
        <v>202660000152</v>
      </c>
      <c r="B3881" s="1">
        <v>1200009</v>
      </c>
      <c r="C3881" s="2">
        <v>46125</v>
      </c>
      <c r="D3881" t="s">
        <v>18</v>
      </c>
      <c r="E3881" t="s">
        <v>10</v>
      </c>
      <c r="G3881" t="s">
        <v>34</v>
      </c>
      <c r="H3881" t="s">
        <v>23</v>
      </c>
      <c r="I3881" t="s">
        <v>23</v>
      </c>
      <c r="K3881" t="s">
        <v>23</v>
      </c>
      <c r="L3881">
        <f t="shared" si="307"/>
        <v>0</v>
      </c>
      <c r="M3881">
        <f t="shared" si="308"/>
        <v>1</v>
      </c>
      <c r="N3881">
        <f t="shared" si="309"/>
        <v>0</v>
      </c>
      <c r="O3881">
        <f t="shared" si="310"/>
        <v>0</v>
      </c>
      <c r="P3881">
        <f t="shared" si="311"/>
        <v>1</v>
      </c>
      <c r="Q3881">
        <f>COUNTIF('責任職　企業局→市長部局'!A:A,SQLデータ!B3881)</f>
        <v>0</v>
      </c>
      <c r="R3881">
        <f>COUNTIF('一般職員　企業局→市長部局'!A:F,SQLデータ!B3881)</f>
        <v>0</v>
      </c>
    </row>
    <row r="3882" spans="1:18" x14ac:dyDescent="0.4">
      <c r="A3882" s="1">
        <v>202660000153</v>
      </c>
      <c r="B3882" s="1">
        <v>950175</v>
      </c>
      <c r="C3882" s="2">
        <v>46118</v>
      </c>
      <c r="D3882" t="s">
        <v>18</v>
      </c>
      <c r="E3882" t="s">
        <v>10</v>
      </c>
      <c r="G3882" t="s">
        <v>22</v>
      </c>
      <c r="H3882" t="s">
        <v>23</v>
      </c>
      <c r="I3882" t="s">
        <v>23</v>
      </c>
      <c r="L3882">
        <f t="shared" si="307"/>
        <v>0</v>
      </c>
      <c r="M3882">
        <f t="shared" si="308"/>
        <v>1</v>
      </c>
      <c r="N3882">
        <f t="shared" si="309"/>
        <v>0</v>
      </c>
      <c r="O3882">
        <f t="shared" si="310"/>
        <v>0</v>
      </c>
      <c r="P3882">
        <f t="shared" si="311"/>
        <v>1</v>
      </c>
      <c r="Q3882">
        <f>COUNTIF('責任職　企業局→市長部局'!A:A,SQLデータ!B3882)</f>
        <v>0</v>
      </c>
      <c r="R3882">
        <f>COUNTIF('一般職員　企業局→市長部局'!A:F,SQLデータ!B3882)</f>
        <v>0</v>
      </c>
    </row>
    <row r="3883" spans="1:18" x14ac:dyDescent="0.4">
      <c r="A3883" s="1">
        <v>202660000155</v>
      </c>
      <c r="B3883" s="1">
        <v>1081147</v>
      </c>
      <c r="C3883" s="2">
        <v>46119</v>
      </c>
      <c r="D3883" t="s">
        <v>18</v>
      </c>
      <c r="E3883" t="s">
        <v>10</v>
      </c>
      <c r="G3883" t="s">
        <v>24</v>
      </c>
      <c r="H3883" t="s">
        <v>23</v>
      </c>
      <c r="I3883" t="s">
        <v>23</v>
      </c>
      <c r="J3883" t="s">
        <v>23</v>
      </c>
      <c r="L3883">
        <f t="shared" si="307"/>
        <v>1</v>
      </c>
      <c r="M3883">
        <f t="shared" si="308"/>
        <v>0</v>
      </c>
      <c r="N3883">
        <f t="shared" si="309"/>
        <v>0</v>
      </c>
      <c r="O3883">
        <f t="shared" si="310"/>
        <v>0</v>
      </c>
      <c r="P3883">
        <f t="shared" si="311"/>
        <v>1</v>
      </c>
      <c r="Q3883">
        <f>COUNTIF('責任職　企業局→市長部局'!A:A,SQLデータ!B3883)</f>
        <v>0</v>
      </c>
      <c r="R3883">
        <f>COUNTIF('一般職員　企業局→市長部局'!A:F,SQLデータ!B3883)</f>
        <v>0</v>
      </c>
    </row>
    <row r="3884" spans="1:18" x14ac:dyDescent="0.4">
      <c r="A3884" s="1">
        <v>202660000156</v>
      </c>
      <c r="B3884" s="1">
        <v>1146101</v>
      </c>
      <c r="C3884" s="2">
        <v>46119</v>
      </c>
      <c r="D3884" t="s">
        <v>18</v>
      </c>
      <c r="E3884" t="s">
        <v>10</v>
      </c>
      <c r="G3884" t="s">
        <v>24</v>
      </c>
      <c r="H3884" t="s">
        <v>23</v>
      </c>
      <c r="I3884" t="s">
        <v>23</v>
      </c>
      <c r="L3884">
        <f t="shared" si="307"/>
        <v>0</v>
      </c>
      <c r="M3884">
        <f t="shared" si="308"/>
        <v>1</v>
      </c>
      <c r="N3884">
        <f t="shared" si="309"/>
        <v>0</v>
      </c>
      <c r="O3884">
        <f t="shared" si="310"/>
        <v>0</v>
      </c>
      <c r="P3884">
        <f t="shared" si="311"/>
        <v>1</v>
      </c>
      <c r="Q3884">
        <f>COUNTIF('責任職　企業局→市長部局'!A:A,SQLデータ!B3884)</f>
        <v>0</v>
      </c>
      <c r="R3884">
        <f>COUNTIF('一般職員　企業局→市長部局'!A:F,SQLデータ!B3884)</f>
        <v>0</v>
      </c>
    </row>
    <row r="3885" spans="1:18" x14ac:dyDescent="0.4">
      <c r="A3885" s="1">
        <v>202660000157</v>
      </c>
      <c r="B3885" s="1">
        <v>930063</v>
      </c>
      <c r="C3885" s="2">
        <v>46119</v>
      </c>
      <c r="D3885" t="s">
        <v>18</v>
      </c>
      <c r="E3885" t="s">
        <v>8</v>
      </c>
      <c r="F3885" t="s">
        <v>47</v>
      </c>
      <c r="G3885" t="s">
        <v>24</v>
      </c>
      <c r="H3885" t="s">
        <v>23</v>
      </c>
      <c r="I3885" t="s">
        <v>23</v>
      </c>
      <c r="J3885" t="s">
        <v>23</v>
      </c>
      <c r="K3885" t="s">
        <v>23</v>
      </c>
      <c r="L3885">
        <f t="shared" si="307"/>
        <v>1</v>
      </c>
      <c r="M3885">
        <f t="shared" si="308"/>
        <v>0</v>
      </c>
      <c r="N3885">
        <f t="shared" si="309"/>
        <v>0</v>
      </c>
      <c r="O3885">
        <f t="shared" si="310"/>
        <v>0</v>
      </c>
      <c r="P3885">
        <f t="shared" si="311"/>
        <v>0</v>
      </c>
      <c r="Q3885">
        <f>COUNTIF('責任職　企業局→市長部局'!A:A,SQLデータ!B3885)</f>
        <v>0</v>
      </c>
      <c r="R3885">
        <f>COUNTIF('一般職員　企業局→市長部局'!A:F,SQLデータ!B3885)</f>
        <v>0</v>
      </c>
    </row>
    <row r="3886" spans="1:18" x14ac:dyDescent="0.4">
      <c r="A3886" s="1">
        <v>202660000158</v>
      </c>
      <c r="B3886" s="1">
        <v>950482</v>
      </c>
      <c r="C3886" s="2">
        <v>46119</v>
      </c>
      <c r="D3886" t="s">
        <v>18</v>
      </c>
      <c r="E3886" t="s">
        <v>8</v>
      </c>
      <c r="G3886" t="s">
        <v>24</v>
      </c>
      <c r="H3886" t="s">
        <v>23</v>
      </c>
      <c r="I3886" t="s">
        <v>23</v>
      </c>
      <c r="K3886" t="s">
        <v>23</v>
      </c>
      <c r="L3886">
        <f t="shared" si="307"/>
        <v>0</v>
      </c>
      <c r="M3886">
        <f t="shared" si="308"/>
        <v>1</v>
      </c>
      <c r="N3886">
        <f t="shared" si="309"/>
        <v>0</v>
      </c>
      <c r="O3886">
        <f t="shared" si="310"/>
        <v>0</v>
      </c>
      <c r="P3886">
        <f t="shared" si="311"/>
        <v>0</v>
      </c>
      <c r="Q3886">
        <f>COUNTIF('責任職　企業局→市長部局'!A:A,SQLデータ!B3886)</f>
        <v>0</v>
      </c>
      <c r="R3886">
        <f>COUNTIF('一般職員　企業局→市長部局'!A:F,SQLデータ!B3886)</f>
        <v>0</v>
      </c>
    </row>
    <row r="3887" spans="1:18" x14ac:dyDescent="0.4">
      <c r="A3887" s="1">
        <v>202660000162</v>
      </c>
      <c r="B3887" s="1">
        <v>1042068</v>
      </c>
      <c r="C3887" s="2">
        <v>46119</v>
      </c>
      <c r="D3887" t="s">
        <v>18</v>
      </c>
      <c r="E3887" t="s">
        <v>11</v>
      </c>
      <c r="G3887" t="s">
        <v>24</v>
      </c>
      <c r="H3887" t="s">
        <v>23</v>
      </c>
      <c r="I3887" t="s">
        <v>23</v>
      </c>
      <c r="J3887" t="s">
        <v>23</v>
      </c>
      <c r="K3887" t="s">
        <v>23</v>
      </c>
      <c r="L3887">
        <f t="shared" si="307"/>
        <v>1</v>
      </c>
      <c r="M3887">
        <f t="shared" si="308"/>
        <v>0</v>
      </c>
      <c r="N3887">
        <f t="shared" si="309"/>
        <v>0</v>
      </c>
      <c r="O3887">
        <f t="shared" si="310"/>
        <v>0</v>
      </c>
      <c r="P3887">
        <f t="shared" si="311"/>
        <v>1</v>
      </c>
      <c r="Q3887">
        <f>COUNTIF('責任職　企業局→市長部局'!A:A,SQLデータ!B3887)</f>
        <v>0</v>
      </c>
      <c r="R3887">
        <f>COUNTIF('一般職員　企業局→市長部局'!A:F,SQLデータ!B3887)</f>
        <v>0</v>
      </c>
    </row>
    <row r="3888" spans="1:18" x14ac:dyDescent="0.4">
      <c r="A3888" s="1">
        <v>202660000164</v>
      </c>
      <c r="B3888" s="1">
        <v>920454</v>
      </c>
      <c r="C3888" s="2">
        <v>46119</v>
      </c>
      <c r="D3888" t="s">
        <v>18</v>
      </c>
      <c r="E3888" t="s">
        <v>11</v>
      </c>
      <c r="G3888" t="s">
        <v>24</v>
      </c>
      <c r="H3888" t="s">
        <v>23</v>
      </c>
      <c r="J3888" t="s">
        <v>23</v>
      </c>
      <c r="K3888" t="s">
        <v>23</v>
      </c>
      <c r="L3888">
        <f t="shared" si="307"/>
        <v>1</v>
      </c>
      <c r="M3888">
        <f t="shared" si="308"/>
        <v>0</v>
      </c>
      <c r="N3888">
        <f t="shared" si="309"/>
        <v>0</v>
      </c>
      <c r="O3888">
        <f t="shared" si="310"/>
        <v>0</v>
      </c>
      <c r="P3888">
        <f t="shared" si="311"/>
        <v>1</v>
      </c>
      <c r="Q3888">
        <f>COUNTIF('責任職　企業局→市長部局'!A:A,SQLデータ!B3888)</f>
        <v>0</v>
      </c>
      <c r="R3888">
        <f>COUNTIF('一般職員　企業局→市長部局'!A:F,SQLデータ!B3888)</f>
        <v>0</v>
      </c>
    </row>
    <row r="3889" spans="1:18" x14ac:dyDescent="0.4">
      <c r="A3889" s="1">
        <v>202660000165</v>
      </c>
      <c r="B3889" s="1">
        <v>1024130</v>
      </c>
      <c r="C3889" s="2">
        <v>46119</v>
      </c>
      <c r="D3889" t="s">
        <v>18</v>
      </c>
      <c r="E3889" t="s">
        <v>11</v>
      </c>
      <c r="G3889" t="s">
        <v>24</v>
      </c>
      <c r="H3889" t="s">
        <v>23</v>
      </c>
      <c r="I3889" t="s">
        <v>23</v>
      </c>
      <c r="J3889" t="s">
        <v>23</v>
      </c>
      <c r="K3889" t="s">
        <v>23</v>
      </c>
      <c r="L3889">
        <f t="shared" si="307"/>
        <v>1</v>
      </c>
      <c r="M3889">
        <f t="shared" si="308"/>
        <v>0</v>
      </c>
      <c r="N3889">
        <f t="shared" si="309"/>
        <v>0</v>
      </c>
      <c r="O3889">
        <f t="shared" si="310"/>
        <v>0</v>
      </c>
      <c r="P3889">
        <f t="shared" si="311"/>
        <v>1</v>
      </c>
      <c r="Q3889">
        <f>COUNTIF('責任職　企業局→市長部局'!A:A,SQLデータ!B3889)</f>
        <v>0</v>
      </c>
      <c r="R3889">
        <f>COUNTIF('一般職員　企業局→市長部局'!A:F,SQLデータ!B3889)</f>
        <v>0</v>
      </c>
    </row>
    <row r="3890" spans="1:18" x14ac:dyDescent="0.4">
      <c r="A3890" s="1">
        <v>202660000166</v>
      </c>
      <c r="B3890" s="1">
        <v>950243</v>
      </c>
      <c r="C3890" s="2">
        <v>46119</v>
      </c>
      <c r="D3890" t="s">
        <v>18</v>
      </c>
      <c r="E3890" t="s">
        <v>10</v>
      </c>
      <c r="G3890" t="s">
        <v>24</v>
      </c>
      <c r="H3890" t="s">
        <v>23</v>
      </c>
      <c r="I3890" t="s">
        <v>23</v>
      </c>
      <c r="J3890" t="s">
        <v>23</v>
      </c>
      <c r="K3890" t="s">
        <v>23</v>
      </c>
      <c r="L3890">
        <f t="shared" si="307"/>
        <v>1</v>
      </c>
      <c r="M3890">
        <f t="shared" si="308"/>
        <v>0</v>
      </c>
      <c r="N3890">
        <f t="shared" si="309"/>
        <v>0</v>
      </c>
      <c r="O3890">
        <f t="shared" si="310"/>
        <v>0</v>
      </c>
      <c r="P3890">
        <f t="shared" si="311"/>
        <v>1</v>
      </c>
      <c r="Q3890">
        <f>COUNTIF('責任職　企業局→市長部局'!A:A,SQLデータ!B3890)</f>
        <v>0</v>
      </c>
      <c r="R3890">
        <f>COUNTIF('一般職員　企業局→市長部局'!A:F,SQLデータ!B3890)</f>
        <v>0</v>
      </c>
    </row>
    <row r="3891" spans="1:18" x14ac:dyDescent="0.4">
      <c r="A3891" s="1">
        <v>202660000168</v>
      </c>
      <c r="B3891" s="1">
        <v>1111546</v>
      </c>
      <c r="C3891" s="2">
        <v>46119</v>
      </c>
      <c r="D3891" t="s">
        <v>18</v>
      </c>
      <c r="E3891" t="s">
        <v>11</v>
      </c>
      <c r="G3891" t="s">
        <v>24</v>
      </c>
      <c r="H3891" t="s">
        <v>23</v>
      </c>
      <c r="J3891" t="s">
        <v>23</v>
      </c>
      <c r="L3891">
        <f t="shared" si="307"/>
        <v>1</v>
      </c>
      <c r="M3891">
        <f t="shared" si="308"/>
        <v>0</v>
      </c>
      <c r="N3891">
        <f t="shared" si="309"/>
        <v>0</v>
      </c>
      <c r="O3891">
        <f t="shared" si="310"/>
        <v>0</v>
      </c>
      <c r="P3891">
        <f t="shared" si="311"/>
        <v>1</v>
      </c>
      <c r="Q3891">
        <f>COUNTIF('責任職　企業局→市長部局'!A:A,SQLデータ!B3891)</f>
        <v>0</v>
      </c>
      <c r="R3891">
        <f>COUNTIF('一般職員　企業局→市長部局'!A:F,SQLデータ!B3891)</f>
        <v>0</v>
      </c>
    </row>
    <row r="3892" spans="1:18" x14ac:dyDescent="0.4">
      <c r="A3892" s="1">
        <v>202660000169</v>
      </c>
      <c r="B3892" s="1">
        <v>900435</v>
      </c>
      <c r="C3892" s="2">
        <v>46119</v>
      </c>
      <c r="D3892" t="s">
        <v>18</v>
      </c>
      <c r="E3892" t="s">
        <v>11</v>
      </c>
      <c r="G3892" t="s">
        <v>24</v>
      </c>
      <c r="H3892" t="s">
        <v>23</v>
      </c>
      <c r="I3892" t="s">
        <v>23</v>
      </c>
      <c r="J3892" t="s">
        <v>23</v>
      </c>
      <c r="K3892" t="s">
        <v>23</v>
      </c>
      <c r="L3892">
        <f t="shared" si="307"/>
        <v>1</v>
      </c>
      <c r="M3892">
        <f t="shared" si="308"/>
        <v>0</v>
      </c>
      <c r="N3892">
        <f t="shared" si="309"/>
        <v>0</v>
      </c>
      <c r="O3892">
        <f t="shared" si="310"/>
        <v>0</v>
      </c>
      <c r="P3892">
        <f t="shared" si="311"/>
        <v>1</v>
      </c>
      <c r="Q3892">
        <f>COUNTIF('責任職　企業局→市長部局'!A:A,SQLデータ!B3892)</f>
        <v>0</v>
      </c>
      <c r="R3892">
        <f>COUNTIF('一般職員　企業局→市長部局'!A:F,SQLデータ!B3892)</f>
        <v>0</v>
      </c>
    </row>
    <row r="3893" spans="1:18" x14ac:dyDescent="0.4">
      <c r="A3893" s="1">
        <v>202660000170</v>
      </c>
      <c r="B3893" s="1">
        <v>1224092</v>
      </c>
      <c r="C3893" s="2">
        <v>46113</v>
      </c>
      <c r="D3893" t="s">
        <v>18</v>
      </c>
      <c r="E3893" t="s">
        <v>8</v>
      </c>
      <c r="G3893" t="s">
        <v>28</v>
      </c>
      <c r="H3893" t="s">
        <v>20</v>
      </c>
      <c r="I3893" t="s">
        <v>20</v>
      </c>
      <c r="J3893" t="s">
        <v>20</v>
      </c>
      <c r="K3893" t="s">
        <v>20</v>
      </c>
      <c r="L3893">
        <f t="shared" si="307"/>
        <v>1</v>
      </c>
      <c r="M3893">
        <f t="shared" si="308"/>
        <v>0</v>
      </c>
      <c r="N3893">
        <f t="shared" si="309"/>
        <v>0</v>
      </c>
      <c r="O3893">
        <f t="shared" si="310"/>
        <v>0</v>
      </c>
      <c r="P3893">
        <f t="shared" si="311"/>
        <v>0</v>
      </c>
      <c r="Q3893">
        <f>COUNTIF('責任職　企業局→市長部局'!A:A,SQLデータ!B3893)</f>
        <v>0</v>
      </c>
      <c r="R3893">
        <f>COUNTIF('一般職員　企業局→市長部局'!A:F,SQLデータ!B3893)</f>
        <v>0</v>
      </c>
    </row>
    <row r="3894" spans="1:18" x14ac:dyDescent="0.4">
      <c r="A3894" s="1">
        <v>202660000171</v>
      </c>
      <c r="B3894" s="1">
        <v>1056064</v>
      </c>
      <c r="C3894" s="2">
        <v>46119</v>
      </c>
      <c r="D3894" t="s">
        <v>18</v>
      </c>
      <c r="E3894" t="s">
        <v>8</v>
      </c>
      <c r="G3894" t="s">
        <v>24</v>
      </c>
      <c r="H3894" t="s">
        <v>23</v>
      </c>
      <c r="I3894" t="s">
        <v>23</v>
      </c>
      <c r="J3894" t="s">
        <v>23</v>
      </c>
      <c r="K3894" t="s">
        <v>23</v>
      </c>
      <c r="L3894">
        <f t="shared" si="307"/>
        <v>1</v>
      </c>
      <c r="M3894">
        <f t="shared" si="308"/>
        <v>0</v>
      </c>
      <c r="N3894">
        <f t="shared" si="309"/>
        <v>0</v>
      </c>
      <c r="O3894">
        <f t="shared" si="310"/>
        <v>0</v>
      </c>
      <c r="P3894">
        <f t="shared" si="311"/>
        <v>0</v>
      </c>
      <c r="Q3894">
        <f>COUNTIF('責任職　企業局→市長部局'!A:A,SQLデータ!B3894)</f>
        <v>0</v>
      </c>
      <c r="R3894">
        <f>COUNTIF('一般職員　企業局→市長部局'!A:F,SQLデータ!B3894)</f>
        <v>0</v>
      </c>
    </row>
    <row r="3895" spans="1:18" x14ac:dyDescent="0.4">
      <c r="A3895" s="1">
        <v>202660000172</v>
      </c>
      <c r="B3895" s="1">
        <v>900465</v>
      </c>
      <c r="C3895" s="2">
        <v>46119</v>
      </c>
      <c r="D3895" t="s">
        <v>18</v>
      </c>
      <c r="E3895" t="s">
        <v>11</v>
      </c>
      <c r="G3895" t="s">
        <v>24</v>
      </c>
      <c r="H3895" t="s">
        <v>23</v>
      </c>
      <c r="L3895">
        <f t="shared" si="307"/>
        <v>0</v>
      </c>
      <c r="M3895">
        <f t="shared" si="308"/>
        <v>0</v>
      </c>
      <c r="N3895">
        <f t="shared" si="309"/>
        <v>0</v>
      </c>
      <c r="O3895">
        <f t="shared" si="310"/>
        <v>1</v>
      </c>
      <c r="P3895">
        <f t="shared" si="311"/>
        <v>1</v>
      </c>
      <c r="Q3895">
        <f>COUNTIF('責任職　企業局→市長部局'!A:A,SQLデータ!B3895)</f>
        <v>0</v>
      </c>
      <c r="R3895">
        <f>COUNTIF('一般職員　企業局→市長部局'!A:F,SQLデータ!B3895)</f>
        <v>0</v>
      </c>
    </row>
    <row r="3896" spans="1:18" x14ac:dyDescent="0.4">
      <c r="A3896" s="1">
        <v>202660000173</v>
      </c>
      <c r="B3896" s="1">
        <v>1200009</v>
      </c>
      <c r="C3896" s="2">
        <v>46119</v>
      </c>
      <c r="D3896" t="s">
        <v>18</v>
      </c>
      <c r="E3896" t="s">
        <v>8</v>
      </c>
      <c r="G3896" t="s">
        <v>34</v>
      </c>
      <c r="H3896" t="s">
        <v>23</v>
      </c>
      <c r="I3896" t="s">
        <v>23</v>
      </c>
      <c r="K3896" t="s">
        <v>23</v>
      </c>
      <c r="L3896">
        <f t="shared" si="307"/>
        <v>0</v>
      </c>
      <c r="M3896">
        <f t="shared" si="308"/>
        <v>1</v>
      </c>
      <c r="N3896">
        <f t="shared" si="309"/>
        <v>0</v>
      </c>
      <c r="O3896">
        <f t="shared" si="310"/>
        <v>0</v>
      </c>
      <c r="P3896">
        <f t="shared" si="311"/>
        <v>0</v>
      </c>
      <c r="Q3896">
        <f>COUNTIF('責任職　企業局→市長部局'!A:A,SQLデータ!B3896)</f>
        <v>0</v>
      </c>
      <c r="R3896">
        <f>COUNTIF('一般職員　企業局→市長部局'!A:F,SQLデータ!B3896)</f>
        <v>0</v>
      </c>
    </row>
    <row r="3897" spans="1:18" x14ac:dyDescent="0.4">
      <c r="A3897" s="1">
        <v>202660000174</v>
      </c>
      <c r="B3897" s="1">
        <v>1171587</v>
      </c>
      <c r="C3897" s="2">
        <v>46119</v>
      </c>
      <c r="D3897" t="s">
        <v>18</v>
      </c>
      <c r="E3897" t="s">
        <v>8</v>
      </c>
      <c r="G3897" t="s">
        <v>24</v>
      </c>
      <c r="H3897" t="s">
        <v>23</v>
      </c>
      <c r="L3897">
        <f t="shared" si="307"/>
        <v>0</v>
      </c>
      <c r="M3897">
        <f t="shared" si="308"/>
        <v>0</v>
      </c>
      <c r="N3897">
        <f t="shared" si="309"/>
        <v>0</v>
      </c>
      <c r="O3897">
        <f t="shared" si="310"/>
        <v>1</v>
      </c>
      <c r="P3897">
        <f t="shared" si="311"/>
        <v>1</v>
      </c>
      <c r="Q3897">
        <f>COUNTIF('責任職　企業局→市長部局'!A:A,SQLデータ!B3897)</f>
        <v>0</v>
      </c>
      <c r="R3897">
        <f>COUNTIF('一般職員　企業局→市長部局'!A:F,SQLデータ!B3897)</f>
        <v>0</v>
      </c>
    </row>
    <row r="3898" spans="1:18" x14ac:dyDescent="0.4">
      <c r="A3898" s="1">
        <v>202660000175</v>
      </c>
      <c r="B3898" s="1">
        <v>930385</v>
      </c>
      <c r="C3898" s="2">
        <v>46113</v>
      </c>
      <c r="D3898" t="s">
        <v>18</v>
      </c>
      <c r="E3898" t="s">
        <v>11</v>
      </c>
      <c r="G3898" t="s">
        <v>24</v>
      </c>
      <c r="H3898" t="s">
        <v>23</v>
      </c>
      <c r="I3898" t="s">
        <v>23</v>
      </c>
      <c r="J3898" t="s">
        <v>23</v>
      </c>
      <c r="K3898" t="s">
        <v>23</v>
      </c>
      <c r="L3898">
        <f t="shared" si="307"/>
        <v>1</v>
      </c>
      <c r="M3898">
        <f t="shared" si="308"/>
        <v>0</v>
      </c>
      <c r="N3898">
        <f t="shared" si="309"/>
        <v>0</v>
      </c>
      <c r="O3898">
        <f t="shared" si="310"/>
        <v>0</v>
      </c>
      <c r="P3898">
        <f t="shared" si="311"/>
        <v>1</v>
      </c>
      <c r="Q3898">
        <f>COUNTIF('責任職　企業局→市長部局'!A:A,SQLデータ!B3898)</f>
        <v>0</v>
      </c>
      <c r="R3898">
        <f>COUNTIF('一般職員　企業局→市長部局'!A:F,SQLデータ!B3898)</f>
        <v>0</v>
      </c>
    </row>
    <row r="3899" spans="1:18" x14ac:dyDescent="0.4">
      <c r="A3899" s="1">
        <v>202660000178</v>
      </c>
      <c r="B3899" s="1">
        <v>830383</v>
      </c>
      <c r="C3899" s="2">
        <v>46127</v>
      </c>
      <c r="D3899" t="s">
        <v>18</v>
      </c>
      <c r="E3899" t="s">
        <v>8</v>
      </c>
      <c r="G3899" t="s">
        <v>24</v>
      </c>
      <c r="H3899" t="s">
        <v>23</v>
      </c>
      <c r="I3899" t="s">
        <v>23</v>
      </c>
      <c r="J3899" t="s">
        <v>23</v>
      </c>
      <c r="K3899" t="s">
        <v>23</v>
      </c>
      <c r="L3899">
        <f t="shared" si="307"/>
        <v>1</v>
      </c>
      <c r="M3899">
        <f t="shared" si="308"/>
        <v>0</v>
      </c>
      <c r="N3899">
        <f t="shared" si="309"/>
        <v>0</v>
      </c>
      <c r="O3899">
        <f t="shared" si="310"/>
        <v>0</v>
      </c>
      <c r="P3899">
        <f t="shared" si="311"/>
        <v>0</v>
      </c>
      <c r="Q3899">
        <f>COUNTIF('責任職　企業局→市長部局'!A:A,SQLデータ!B3899)</f>
        <v>0</v>
      </c>
      <c r="R3899">
        <f>COUNTIF('一般職員　企業局→市長部局'!A:F,SQLデータ!B3899)</f>
        <v>0</v>
      </c>
    </row>
    <row r="3900" spans="1:18" x14ac:dyDescent="0.4">
      <c r="A3900" s="1">
        <v>202660000180</v>
      </c>
      <c r="B3900" s="1">
        <v>930958</v>
      </c>
      <c r="C3900" s="2">
        <v>46119</v>
      </c>
      <c r="D3900" t="s">
        <v>18</v>
      </c>
      <c r="E3900" t="s">
        <v>10</v>
      </c>
      <c r="G3900" t="s">
        <v>24</v>
      </c>
      <c r="H3900" t="s">
        <v>23</v>
      </c>
      <c r="I3900" t="s">
        <v>23</v>
      </c>
      <c r="J3900" t="s">
        <v>23</v>
      </c>
      <c r="K3900" t="s">
        <v>23</v>
      </c>
      <c r="L3900">
        <f t="shared" si="307"/>
        <v>1</v>
      </c>
      <c r="M3900">
        <f t="shared" si="308"/>
        <v>0</v>
      </c>
      <c r="N3900">
        <f t="shared" si="309"/>
        <v>0</v>
      </c>
      <c r="O3900">
        <f t="shared" si="310"/>
        <v>0</v>
      </c>
      <c r="P3900">
        <f t="shared" si="311"/>
        <v>1</v>
      </c>
      <c r="Q3900">
        <f>COUNTIF('責任職　企業局→市長部局'!A:A,SQLデータ!B3900)</f>
        <v>0</v>
      </c>
      <c r="R3900">
        <f>COUNTIF('一般職員　企業局→市長部局'!A:F,SQLデータ!B3900)</f>
        <v>0</v>
      </c>
    </row>
    <row r="3901" spans="1:18" x14ac:dyDescent="0.4">
      <c r="A3901" s="1">
        <v>202660000181</v>
      </c>
      <c r="B3901" s="1">
        <v>940172</v>
      </c>
      <c r="C3901" s="2">
        <v>46119</v>
      </c>
      <c r="D3901" t="s">
        <v>18</v>
      </c>
      <c r="E3901" t="s">
        <v>10</v>
      </c>
      <c r="G3901" t="s">
        <v>24</v>
      </c>
      <c r="H3901" t="s">
        <v>23</v>
      </c>
      <c r="I3901" t="s">
        <v>23</v>
      </c>
      <c r="J3901" t="s">
        <v>23</v>
      </c>
      <c r="L3901">
        <f t="shared" si="307"/>
        <v>1</v>
      </c>
      <c r="M3901">
        <f t="shared" si="308"/>
        <v>0</v>
      </c>
      <c r="N3901">
        <f t="shared" si="309"/>
        <v>0</v>
      </c>
      <c r="O3901">
        <f t="shared" si="310"/>
        <v>0</v>
      </c>
      <c r="P3901">
        <f t="shared" si="311"/>
        <v>1</v>
      </c>
      <c r="Q3901">
        <f>COUNTIF('責任職　企業局→市長部局'!A:A,SQLデータ!B3901)</f>
        <v>0</v>
      </c>
      <c r="R3901">
        <f>COUNTIF('一般職員　企業局→市長部局'!A:F,SQLデータ!B3901)</f>
        <v>0</v>
      </c>
    </row>
    <row r="3902" spans="1:18" x14ac:dyDescent="0.4">
      <c r="A3902" s="1">
        <v>202660000182</v>
      </c>
      <c r="B3902" s="1">
        <v>941028</v>
      </c>
      <c r="C3902" s="2">
        <v>46119</v>
      </c>
      <c r="D3902" t="s">
        <v>18</v>
      </c>
      <c r="E3902" t="s">
        <v>10</v>
      </c>
      <c r="G3902" t="s">
        <v>24</v>
      </c>
      <c r="H3902" t="s">
        <v>23</v>
      </c>
      <c r="I3902" t="s">
        <v>23</v>
      </c>
      <c r="J3902" t="s">
        <v>23</v>
      </c>
      <c r="K3902" t="s">
        <v>23</v>
      </c>
      <c r="L3902">
        <f t="shared" si="307"/>
        <v>1</v>
      </c>
      <c r="M3902">
        <f t="shared" si="308"/>
        <v>0</v>
      </c>
      <c r="N3902">
        <f t="shared" si="309"/>
        <v>0</v>
      </c>
      <c r="O3902">
        <f t="shared" si="310"/>
        <v>0</v>
      </c>
      <c r="P3902">
        <f t="shared" si="311"/>
        <v>1</v>
      </c>
      <c r="Q3902">
        <f>COUNTIF('責任職　企業局→市長部局'!A:A,SQLデータ!B3902)</f>
        <v>0</v>
      </c>
      <c r="R3902">
        <f>COUNTIF('一般職員　企業局→市長部局'!A:F,SQLデータ!B3902)</f>
        <v>0</v>
      </c>
    </row>
    <row r="3903" spans="1:18" x14ac:dyDescent="0.4">
      <c r="A3903" s="1">
        <v>202660000183</v>
      </c>
      <c r="B3903" s="1">
        <v>831332</v>
      </c>
      <c r="C3903" s="2">
        <v>46121</v>
      </c>
      <c r="D3903" t="s">
        <v>18</v>
      </c>
      <c r="E3903" t="s">
        <v>10</v>
      </c>
      <c r="G3903" t="s">
        <v>24</v>
      </c>
      <c r="H3903" t="s">
        <v>23</v>
      </c>
      <c r="I3903" t="s">
        <v>23</v>
      </c>
      <c r="J3903" t="s">
        <v>23</v>
      </c>
      <c r="K3903" t="s">
        <v>23</v>
      </c>
      <c r="L3903">
        <f t="shared" si="307"/>
        <v>1</v>
      </c>
      <c r="M3903">
        <f t="shared" si="308"/>
        <v>0</v>
      </c>
      <c r="N3903">
        <f t="shared" si="309"/>
        <v>0</v>
      </c>
      <c r="O3903">
        <f t="shared" si="310"/>
        <v>0</v>
      </c>
      <c r="P3903">
        <f t="shared" si="311"/>
        <v>1</v>
      </c>
      <c r="Q3903">
        <f>COUNTIF('責任職　企業局→市長部局'!A:A,SQLデータ!B3903)</f>
        <v>0</v>
      </c>
      <c r="R3903">
        <f>COUNTIF('一般職員　企業局→市長部局'!A:F,SQLデータ!B3903)</f>
        <v>0</v>
      </c>
    </row>
    <row r="3904" spans="1:18" x14ac:dyDescent="0.4">
      <c r="A3904" s="1">
        <v>202660000184</v>
      </c>
      <c r="B3904" s="1">
        <v>984099</v>
      </c>
      <c r="C3904" s="2">
        <v>46120</v>
      </c>
      <c r="D3904" t="s">
        <v>18</v>
      </c>
      <c r="E3904" t="s">
        <v>11</v>
      </c>
      <c r="G3904" t="s">
        <v>24</v>
      </c>
      <c r="H3904" t="s">
        <v>23</v>
      </c>
      <c r="I3904" t="s">
        <v>23</v>
      </c>
      <c r="J3904" t="s">
        <v>23</v>
      </c>
      <c r="K3904" t="s">
        <v>23</v>
      </c>
      <c r="L3904">
        <f t="shared" si="307"/>
        <v>1</v>
      </c>
      <c r="M3904">
        <f t="shared" si="308"/>
        <v>0</v>
      </c>
      <c r="N3904">
        <f t="shared" si="309"/>
        <v>0</v>
      </c>
      <c r="O3904">
        <f t="shared" si="310"/>
        <v>0</v>
      </c>
      <c r="P3904">
        <f t="shared" si="311"/>
        <v>1</v>
      </c>
      <c r="Q3904">
        <f>COUNTIF('責任職　企業局→市長部局'!A:A,SQLデータ!B3904)</f>
        <v>0</v>
      </c>
      <c r="R3904">
        <f>COUNTIF('一般職員　企業局→市長部局'!A:F,SQLデータ!B3904)</f>
        <v>0</v>
      </c>
    </row>
    <row r="3905" spans="1:18" x14ac:dyDescent="0.4">
      <c r="A3905" s="1">
        <v>202660000185</v>
      </c>
      <c r="B3905" s="1">
        <v>982535</v>
      </c>
      <c r="C3905" s="2">
        <v>46121</v>
      </c>
      <c r="D3905" t="s">
        <v>18</v>
      </c>
      <c r="E3905" t="s">
        <v>8</v>
      </c>
      <c r="G3905" t="s">
        <v>24</v>
      </c>
      <c r="H3905" t="s">
        <v>23</v>
      </c>
      <c r="I3905" t="s">
        <v>23</v>
      </c>
      <c r="J3905" t="s">
        <v>23</v>
      </c>
      <c r="L3905">
        <f t="shared" si="307"/>
        <v>1</v>
      </c>
      <c r="M3905">
        <f t="shared" si="308"/>
        <v>0</v>
      </c>
      <c r="N3905">
        <f t="shared" si="309"/>
        <v>0</v>
      </c>
      <c r="O3905">
        <f t="shared" si="310"/>
        <v>0</v>
      </c>
      <c r="P3905">
        <f t="shared" si="311"/>
        <v>0</v>
      </c>
      <c r="Q3905">
        <f>COUNTIF('責任職　企業局→市長部局'!A:A,SQLデータ!B3905)</f>
        <v>0</v>
      </c>
      <c r="R3905">
        <f>COUNTIF('一般職員　企業局→市長部局'!A:F,SQLデータ!B3905)</f>
        <v>0</v>
      </c>
    </row>
    <row r="3906" spans="1:18" x14ac:dyDescent="0.4">
      <c r="A3906" s="1">
        <v>202660000186</v>
      </c>
      <c r="B3906" s="1">
        <v>940052</v>
      </c>
      <c r="C3906" s="2">
        <v>46121</v>
      </c>
      <c r="D3906" t="s">
        <v>18</v>
      </c>
      <c r="E3906" t="s">
        <v>10</v>
      </c>
      <c r="G3906" t="s">
        <v>24</v>
      </c>
      <c r="H3906" t="s">
        <v>23</v>
      </c>
      <c r="I3906" t="s">
        <v>23</v>
      </c>
      <c r="J3906" t="s">
        <v>23</v>
      </c>
      <c r="K3906" t="s">
        <v>23</v>
      </c>
      <c r="L3906">
        <f t="shared" si="307"/>
        <v>1</v>
      </c>
      <c r="M3906">
        <f t="shared" si="308"/>
        <v>0</v>
      </c>
      <c r="N3906">
        <f t="shared" si="309"/>
        <v>0</v>
      </c>
      <c r="O3906">
        <f t="shared" si="310"/>
        <v>0</v>
      </c>
      <c r="P3906">
        <f t="shared" si="311"/>
        <v>1</v>
      </c>
      <c r="Q3906">
        <f>COUNTIF('責任職　企業局→市長部局'!A:A,SQLデータ!B3906)</f>
        <v>0</v>
      </c>
      <c r="R3906">
        <f>COUNTIF('一般職員　企業局→市長部局'!A:F,SQLデータ!B3906)</f>
        <v>0</v>
      </c>
    </row>
    <row r="3907" spans="1:18" x14ac:dyDescent="0.4">
      <c r="A3907" s="1">
        <v>202660000187</v>
      </c>
      <c r="B3907" s="1">
        <v>930597</v>
      </c>
      <c r="C3907" s="2">
        <v>46121</v>
      </c>
      <c r="D3907" t="s">
        <v>18</v>
      </c>
      <c r="E3907" t="s">
        <v>10</v>
      </c>
      <c r="G3907" t="s">
        <v>24</v>
      </c>
      <c r="H3907" t="s">
        <v>23</v>
      </c>
      <c r="I3907" t="s">
        <v>23</v>
      </c>
      <c r="J3907" t="s">
        <v>23</v>
      </c>
      <c r="K3907" t="s">
        <v>23</v>
      </c>
      <c r="L3907">
        <f t="shared" si="307"/>
        <v>1</v>
      </c>
      <c r="M3907">
        <f t="shared" si="308"/>
        <v>0</v>
      </c>
      <c r="N3907">
        <f t="shared" si="309"/>
        <v>0</v>
      </c>
      <c r="O3907">
        <f t="shared" si="310"/>
        <v>0</v>
      </c>
      <c r="P3907">
        <f t="shared" si="311"/>
        <v>1</v>
      </c>
      <c r="Q3907">
        <f>COUNTIF('責任職　企業局→市長部局'!A:A,SQLデータ!B3907)</f>
        <v>0</v>
      </c>
      <c r="R3907">
        <f>COUNTIF('一般職員　企業局→市長部局'!A:F,SQLデータ!B3907)</f>
        <v>0</v>
      </c>
    </row>
    <row r="3908" spans="1:18" x14ac:dyDescent="0.4">
      <c r="A3908" s="1">
        <v>202660000188</v>
      </c>
      <c r="B3908" s="1">
        <v>1144086</v>
      </c>
      <c r="C3908" s="2">
        <v>46113</v>
      </c>
      <c r="D3908" t="s">
        <v>18</v>
      </c>
      <c r="E3908" t="s">
        <v>11</v>
      </c>
      <c r="G3908" t="s">
        <v>24</v>
      </c>
      <c r="H3908" t="s">
        <v>23</v>
      </c>
      <c r="I3908" t="s">
        <v>23</v>
      </c>
      <c r="J3908" t="s">
        <v>23</v>
      </c>
      <c r="K3908" t="s">
        <v>23</v>
      </c>
      <c r="L3908">
        <f t="shared" si="307"/>
        <v>1</v>
      </c>
      <c r="M3908">
        <f t="shared" si="308"/>
        <v>0</v>
      </c>
      <c r="N3908">
        <f t="shared" si="309"/>
        <v>0</v>
      </c>
      <c r="O3908">
        <f t="shared" si="310"/>
        <v>0</v>
      </c>
      <c r="P3908">
        <f t="shared" si="311"/>
        <v>1</v>
      </c>
      <c r="Q3908">
        <f>COUNTIF('責任職　企業局→市長部局'!A:A,SQLデータ!B3908)</f>
        <v>0</v>
      </c>
      <c r="R3908">
        <f>COUNTIF('一般職員　企業局→市長部局'!A:F,SQLデータ!B3908)</f>
        <v>0</v>
      </c>
    </row>
    <row r="3909" spans="1:18" x14ac:dyDescent="0.4">
      <c r="A3909" s="1">
        <v>202660000189</v>
      </c>
      <c r="B3909" s="1">
        <v>1116144</v>
      </c>
      <c r="C3909" s="2">
        <v>46122</v>
      </c>
      <c r="D3909" t="s">
        <v>18</v>
      </c>
      <c r="E3909" t="s">
        <v>8</v>
      </c>
      <c r="G3909" t="s">
        <v>24</v>
      </c>
      <c r="H3909" t="s">
        <v>23</v>
      </c>
      <c r="I3909" t="s">
        <v>23</v>
      </c>
      <c r="J3909" t="s">
        <v>23</v>
      </c>
      <c r="K3909" t="s">
        <v>23</v>
      </c>
      <c r="L3909">
        <f t="shared" si="307"/>
        <v>1</v>
      </c>
      <c r="M3909">
        <f t="shared" si="308"/>
        <v>0</v>
      </c>
      <c r="N3909">
        <f t="shared" si="309"/>
        <v>0</v>
      </c>
      <c r="O3909">
        <f t="shared" si="310"/>
        <v>0</v>
      </c>
      <c r="P3909">
        <f t="shared" si="311"/>
        <v>0</v>
      </c>
      <c r="Q3909">
        <f>COUNTIF('責任職　企業局→市長部局'!A:A,SQLデータ!B3909)</f>
        <v>0</v>
      </c>
      <c r="R3909">
        <f>COUNTIF('一般職員　企業局→市長部局'!A:F,SQLデータ!B3909)</f>
        <v>0</v>
      </c>
    </row>
    <row r="3910" spans="1:18" x14ac:dyDescent="0.4">
      <c r="A3910" s="1">
        <v>202660000191</v>
      </c>
      <c r="B3910" s="1">
        <v>930411</v>
      </c>
      <c r="C3910" s="2">
        <v>46120</v>
      </c>
      <c r="D3910" t="s">
        <v>18</v>
      </c>
      <c r="E3910" t="s">
        <v>11</v>
      </c>
      <c r="G3910" t="s">
        <v>24</v>
      </c>
      <c r="H3910" t="s">
        <v>23</v>
      </c>
      <c r="I3910" t="s">
        <v>23</v>
      </c>
      <c r="J3910" t="s">
        <v>23</v>
      </c>
      <c r="K3910" t="s">
        <v>23</v>
      </c>
      <c r="L3910">
        <f t="shared" si="307"/>
        <v>1</v>
      </c>
      <c r="M3910">
        <f t="shared" si="308"/>
        <v>0</v>
      </c>
      <c r="N3910">
        <f t="shared" si="309"/>
        <v>0</v>
      </c>
      <c r="O3910">
        <f t="shared" si="310"/>
        <v>0</v>
      </c>
      <c r="P3910">
        <f t="shared" si="311"/>
        <v>1</v>
      </c>
      <c r="Q3910">
        <f>COUNTIF('責任職　企業局→市長部局'!A:A,SQLデータ!B3910)</f>
        <v>0</v>
      </c>
      <c r="R3910">
        <f>COUNTIF('一般職員　企業局→市長部局'!A:F,SQLデータ!B3910)</f>
        <v>0</v>
      </c>
    </row>
    <row r="3911" spans="1:18" x14ac:dyDescent="0.4">
      <c r="A3911" s="1">
        <v>202660000194</v>
      </c>
      <c r="B3911" s="1">
        <v>1251282</v>
      </c>
      <c r="C3911" s="2">
        <v>46120</v>
      </c>
      <c r="D3911" t="s">
        <v>18</v>
      </c>
      <c r="E3911" t="s">
        <v>8</v>
      </c>
      <c r="G3911" t="s">
        <v>40</v>
      </c>
      <c r="H3911" t="s">
        <v>20</v>
      </c>
      <c r="I3911" t="s">
        <v>20</v>
      </c>
      <c r="J3911" t="s">
        <v>20</v>
      </c>
      <c r="K3911" t="s">
        <v>20</v>
      </c>
      <c r="L3911">
        <f t="shared" si="307"/>
        <v>1</v>
      </c>
      <c r="M3911">
        <f t="shared" si="308"/>
        <v>0</v>
      </c>
      <c r="N3911">
        <f t="shared" si="309"/>
        <v>0</v>
      </c>
      <c r="O3911">
        <f t="shared" si="310"/>
        <v>0</v>
      </c>
      <c r="P3911">
        <f t="shared" si="311"/>
        <v>0</v>
      </c>
      <c r="Q3911">
        <f>COUNTIF('責任職　企業局→市長部局'!A:A,SQLデータ!B3911)</f>
        <v>0</v>
      </c>
      <c r="R3911">
        <f>COUNTIF('一般職員　企業局→市長部局'!A:F,SQLデータ!B3911)</f>
        <v>0</v>
      </c>
    </row>
    <row r="3912" spans="1:18" x14ac:dyDescent="0.4">
      <c r="A3912" s="1">
        <v>202660000197</v>
      </c>
      <c r="B3912" s="1">
        <v>991046</v>
      </c>
      <c r="C3912" s="2">
        <v>46120</v>
      </c>
      <c r="D3912" t="s">
        <v>18</v>
      </c>
      <c r="E3912" t="s">
        <v>11</v>
      </c>
      <c r="G3912" t="s">
        <v>19</v>
      </c>
      <c r="H3912" t="s">
        <v>20</v>
      </c>
      <c r="I3912" t="s">
        <v>20</v>
      </c>
      <c r="L3912">
        <f t="shared" si="307"/>
        <v>0</v>
      </c>
      <c r="M3912">
        <f t="shared" si="308"/>
        <v>1</v>
      </c>
      <c r="N3912">
        <f t="shared" si="309"/>
        <v>0</v>
      </c>
      <c r="O3912">
        <f t="shared" si="310"/>
        <v>0</v>
      </c>
      <c r="P3912">
        <f t="shared" si="311"/>
        <v>1</v>
      </c>
      <c r="Q3912">
        <f>COUNTIF('責任職　企業局→市長部局'!A:A,SQLデータ!B3912)</f>
        <v>1</v>
      </c>
      <c r="R3912">
        <f>COUNTIF('一般職員　企業局→市長部局'!A:F,SQLデータ!B3912)</f>
        <v>0</v>
      </c>
    </row>
    <row r="3913" spans="1:18" x14ac:dyDescent="0.4">
      <c r="A3913" s="1">
        <v>202660000198</v>
      </c>
      <c r="B3913" s="1">
        <v>974169</v>
      </c>
      <c r="C3913" s="2">
        <v>46120</v>
      </c>
      <c r="D3913" t="s">
        <v>18</v>
      </c>
      <c r="E3913" t="s">
        <v>11</v>
      </c>
      <c r="G3913" t="s">
        <v>24</v>
      </c>
      <c r="H3913" t="s">
        <v>23</v>
      </c>
      <c r="I3913" t="s">
        <v>23</v>
      </c>
      <c r="J3913" t="s">
        <v>23</v>
      </c>
      <c r="L3913">
        <f t="shared" si="307"/>
        <v>1</v>
      </c>
      <c r="M3913">
        <f t="shared" si="308"/>
        <v>0</v>
      </c>
      <c r="N3913">
        <f t="shared" si="309"/>
        <v>0</v>
      </c>
      <c r="O3913">
        <f t="shared" si="310"/>
        <v>0</v>
      </c>
      <c r="P3913">
        <f t="shared" si="311"/>
        <v>1</v>
      </c>
      <c r="Q3913">
        <f>COUNTIF('責任職　企業局→市長部局'!A:A,SQLデータ!B3913)</f>
        <v>0</v>
      </c>
      <c r="R3913">
        <f>COUNTIF('一般職員　企業局→市長部局'!A:F,SQLデータ!B3913)</f>
        <v>0</v>
      </c>
    </row>
    <row r="3914" spans="1:18" x14ac:dyDescent="0.4">
      <c r="A3914" s="1">
        <v>202660000199</v>
      </c>
      <c r="B3914" s="1">
        <v>1002042</v>
      </c>
      <c r="C3914" s="2">
        <v>46120</v>
      </c>
      <c r="D3914" t="s">
        <v>18</v>
      </c>
      <c r="E3914" t="s">
        <v>8</v>
      </c>
      <c r="G3914" t="s">
        <v>19</v>
      </c>
      <c r="H3914" t="s">
        <v>23</v>
      </c>
      <c r="L3914">
        <f t="shared" si="307"/>
        <v>0</v>
      </c>
      <c r="M3914">
        <f t="shared" si="308"/>
        <v>0</v>
      </c>
      <c r="N3914">
        <f t="shared" si="309"/>
        <v>0</v>
      </c>
      <c r="O3914">
        <f t="shared" si="310"/>
        <v>1</v>
      </c>
      <c r="P3914">
        <f t="shared" si="311"/>
        <v>1</v>
      </c>
      <c r="Q3914">
        <f>COUNTIF('責任職　企業局→市長部局'!A:A,SQLデータ!B3914)</f>
        <v>0</v>
      </c>
      <c r="R3914">
        <f>COUNTIF('一般職員　企業局→市長部局'!A:F,SQLデータ!B3914)</f>
        <v>0</v>
      </c>
    </row>
    <row r="3915" spans="1:18" x14ac:dyDescent="0.4">
      <c r="A3915" s="1">
        <v>202660000200</v>
      </c>
      <c r="B3915" s="1">
        <v>960298</v>
      </c>
      <c r="C3915" s="2">
        <v>46120</v>
      </c>
      <c r="D3915" t="s">
        <v>18</v>
      </c>
      <c r="E3915" t="s">
        <v>11</v>
      </c>
      <c r="G3915" t="s">
        <v>24</v>
      </c>
      <c r="H3915" t="s">
        <v>23</v>
      </c>
      <c r="J3915" t="s">
        <v>23</v>
      </c>
      <c r="L3915">
        <f t="shared" si="307"/>
        <v>1</v>
      </c>
      <c r="M3915">
        <f t="shared" si="308"/>
        <v>0</v>
      </c>
      <c r="N3915">
        <f t="shared" si="309"/>
        <v>0</v>
      </c>
      <c r="O3915">
        <f t="shared" si="310"/>
        <v>0</v>
      </c>
      <c r="P3915">
        <f t="shared" si="311"/>
        <v>1</v>
      </c>
      <c r="Q3915">
        <f>COUNTIF('責任職　企業局→市長部局'!A:A,SQLデータ!B3915)</f>
        <v>0</v>
      </c>
      <c r="R3915">
        <f>COUNTIF('一般職員　企業局→市長部局'!A:F,SQLデータ!B3915)</f>
        <v>0</v>
      </c>
    </row>
    <row r="3916" spans="1:18" x14ac:dyDescent="0.4">
      <c r="A3916" s="1">
        <v>202660000201</v>
      </c>
      <c r="B3916" s="1">
        <v>1131326</v>
      </c>
      <c r="C3916" s="2">
        <v>46120</v>
      </c>
      <c r="D3916" t="s">
        <v>18</v>
      </c>
      <c r="E3916" t="s">
        <v>11</v>
      </c>
      <c r="G3916" t="s">
        <v>26</v>
      </c>
      <c r="H3916" t="s">
        <v>20</v>
      </c>
      <c r="J3916" t="s">
        <v>20</v>
      </c>
      <c r="L3916">
        <f t="shared" si="307"/>
        <v>1</v>
      </c>
      <c r="M3916">
        <f t="shared" si="308"/>
        <v>0</v>
      </c>
      <c r="N3916">
        <f t="shared" si="309"/>
        <v>0</v>
      </c>
      <c r="O3916">
        <f t="shared" si="310"/>
        <v>0</v>
      </c>
      <c r="P3916">
        <f t="shared" si="311"/>
        <v>1</v>
      </c>
      <c r="Q3916">
        <f>COUNTIF('責任職　企業局→市長部局'!A:A,SQLデータ!B3916)</f>
        <v>0</v>
      </c>
      <c r="R3916">
        <f>COUNTIF('一般職員　企業局→市長部局'!A:F,SQLデータ!B3916)</f>
        <v>0</v>
      </c>
    </row>
    <row r="3917" spans="1:18" x14ac:dyDescent="0.4">
      <c r="A3917" s="1">
        <v>202660000202</v>
      </c>
      <c r="B3917" s="1">
        <v>1211274</v>
      </c>
      <c r="C3917" s="2">
        <v>46120</v>
      </c>
      <c r="D3917" t="s">
        <v>18</v>
      </c>
      <c r="E3917" t="s">
        <v>8</v>
      </c>
      <c r="G3917" t="s">
        <v>26</v>
      </c>
      <c r="H3917" t="s">
        <v>20</v>
      </c>
      <c r="I3917" t="s">
        <v>20</v>
      </c>
      <c r="J3917" t="s">
        <v>20</v>
      </c>
      <c r="K3917" t="s">
        <v>20</v>
      </c>
      <c r="L3917">
        <f t="shared" si="307"/>
        <v>1</v>
      </c>
      <c r="M3917">
        <f t="shared" si="308"/>
        <v>0</v>
      </c>
      <c r="N3917">
        <f t="shared" si="309"/>
        <v>0</v>
      </c>
      <c r="O3917">
        <f t="shared" si="310"/>
        <v>0</v>
      </c>
      <c r="P3917">
        <f t="shared" si="311"/>
        <v>0</v>
      </c>
      <c r="Q3917">
        <f>COUNTIF('責任職　企業局→市長部局'!A:A,SQLデータ!B3917)</f>
        <v>0</v>
      </c>
      <c r="R3917">
        <f>COUNTIF('一般職員　企業局→市長部局'!A:F,SQLデータ!B3917)</f>
        <v>0</v>
      </c>
    </row>
    <row r="3918" spans="1:18" x14ac:dyDescent="0.4">
      <c r="A3918" s="1">
        <v>202660000205</v>
      </c>
      <c r="B3918" s="1">
        <v>1162179</v>
      </c>
      <c r="C3918" s="2">
        <v>46120</v>
      </c>
      <c r="D3918" t="s">
        <v>18</v>
      </c>
      <c r="E3918" t="s">
        <v>10</v>
      </c>
      <c r="G3918" t="s">
        <v>24</v>
      </c>
      <c r="H3918" t="s">
        <v>23</v>
      </c>
      <c r="I3918" t="s">
        <v>23</v>
      </c>
      <c r="J3918" t="s">
        <v>23</v>
      </c>
      <c r="K3918" t="s">
        <v>23</v>
      </c>
      <c r="L3918">
        <f t="shared" si="307"/>
        <v>1</v>
      </c>
      <c r="M3918">
        <f t="shared" si="308"/>
        <v>0</v>
      </c>
      <c r="N3918">
        <f t="shared" si="309"/>
        <v>0</v>
      </c>
      <c r="O3918">
        <f t="shared" si="310"/>
        <v>0</v>
      </c>
      <c r="P3918">
        <f t="shared" si="311"/>
        <v>1</v>
      </c>
      <c r="Q3918">
        <f>COUNTIF('責任職　企業局→市長部局'!A:A,SQLデータ!B3918)</f>
        <v>0</v>
      </c>
      <c r="R3918">
        <f>COUNTIF('一般職員　企業局→市長部局'!A:F,SQLデータ!B3918)</f>
        <v>0</v>
      </c>
    </row>
    <row r="3919" spans="1:18" x14ac:dyDescent="0.4">
      <c r="A3919" s="1">
        <v>202660000206</v>
      </c>
      <c r="B3919" s="1">
        <v>930078</v>
      </c>
      <c r="C3919" s="2">
        <v>46122</v>
      </c>
      <c r="D3919" t="s">
        <v>18</v>
      </c>
      <c r="E3919" t="s">
        <v>10</v>
      </c>
      <c r="G3919" t="s">
        <v>24</v>
      </c>
      <c r="H3919" t="s">
        <v>23</v>
      </c>
      <c r="I3919" t="s">
        <v>23</v>
      </c>
      <c r="J3919" t="s">
        <v>23</v>
      </c>
      <c r="K3919" t="s">
        <v>23</v>
      </c>
      <c r="L3919">
        <f t="shared" si="307"/>
        <v>1</v>
      </c>
      <c r="M3919">
        <f t="shared" si="308"/>
        <v>0</v>
      </c>
      <c r="N3919">
        <f t="shared" si="309"/>
        <v>0</v>
      </c>
      <c r="O3919">
        <f t="shared" si="310"/>
        <v>0</v>
      </c>
      <c r="P3919">
        <f t="shared" si="311"/>
        <v>1</v>
      </c>
      <c r="Q3919">
        <f>COUNTIF('責任職　企業局→市長部局'!A:A,SQLデータ!B3919)</f>
        <v>0</v>
      </c>
      <c r="R3919">
        <f>COUNTIF('一般職員　企業局→市長部局'!A:F,SQLデータ!B3919)</f>
        <v>0</v>
      </c>
    </row>
    <row r="3920" spans="1:18" x14ac:dyDescent="0.4">
      <c r="A3920" s="1">
        <v>202660000208</v>
      </c>
      <c r="B3920" s="1">
        <v>1221521</v>
      </c>
      <c r="C3920" s="2">
        <v>46120</v>
      </c>
      <c r="D3920" t="s">
        <v>18</v>
      </c>
      <c r="E3920" t="s">
        <v>15</v>
      </c>
      <c r="G3920" t="s">
        <v>31</v>
      </c>
      <c r="H3920" t="s">
        <v>20</v>
      </c>
      <c r="L3920">
        <f t="shared" si="307"/>
        <v>0</v>
      </c>
      <c r="M3920">
        <f t="shared" si="308"/>
        <v>0</v>
      </c>
      <c r="N3920">
        <f t="shared" si="309"/>
        <v>0</v>
      </c>
      <c r="O3920">
        <f t="shared" si="310"/>
        <v>1</v>
      </c>
      <c r="P3920">
        <f t="shared" si="311"/>
        <v>1</v>
      </c>
      <c r="Q3920">
        <f>COUNTIF('責任職　企業局→市長部局'!A:A,SQLデータ!B3920)</f>
        <v>0</v>
      </c>
      <c r="R3920">
        <f>COUNTIF('一般職員　企業局→市長部局'!A:F,SQLデータ!B3920)</f>
        <v>0</v>
      </c>
    </row>
    <row r="3921" spans="1:18" x14ac:dyDescent="0.4">
      <c r="A3921" s="1">
        <v>202660000211</v>
      </c>
      <c r="B3921" s="1">
        <v>983013</v>
      </c>
      <c r="C3921" s="2">
        <v>46121</v>
      </c>
      <c r="D3921" t="s">
        <v>18</v>
      </c>
      <c r="E3921" t="s">
        <v>11</v>
      </c>
      <c r="G3921" t="s">
        <v>24</v>
      </c>
      <c r="H3921" t="s">
        <v>23</v>
      </c>
      <c r="J3921" t="s">
        <v>23</v>
      </c>
      <c r="L3921">
        <f t="shared" si="307"/>
        <v>1</v>
      </c>
      <c r="M3921">
        <f t="shared" si="308"/>
        <v>0</v>
      </c>
      <c r="N3921">
        <f t="shared" si="309"/>
        <v>0</v>
      </c>
      <c r="O3921">
        <f t="shared" si="310"/>
        <v>0</v>
      </c>
      <c r="P3921">
        <f t="shared" si="311"/>
        <v>1</v>
      </c>
      <c r="Q3921">
        <f>COUNTIF('責任職　企業局→市長部局'!A:A,SQLデータ!B3921)</f>
        <v>0</v>
      </c>
      <c r="R3921">
        <f>COUNTIF('一般職員　企業局→市長部局'!A:F,SQLデータ!B3921)</f>
        <v>0</v>
      </c>
    </row>
    <row r="3922" spans="1:18" x14ac:dyDescent="0.4">
      <c r="A3922" s="1">
        <v>202660000212</v>
      </c>
      <c r="B3922" s="1">
        <v>850111</v>
      </c>
      <c r="C3922" s="2">
        <v>46121</v>
      </c>
      <c r="D3922" t="s">
        <v>18</v>
      </c>
      <c r="E3922" t="s">
        <v>10</v>
      </c>
      <c r="G3922" t="s">
        <v>24</v>
      </c>
      <c r="H3922" t="s">
        <v>23</v>
      </c>
      <c r="I3922" t="s">
        <v>23</v>
      </c>
      <c r="J3922" t="s">
        <v>23</v>
      </c>
      <c r="K3922" t="s">
        <v>23</v>
      </c>
      <c r="L3922">
        <f t="shared" si="307"/>
        <v>1</v>
      </c>
      <c r="M3922">
        <f t="shared" si="308"/>
        <v>0</v>
      </c>
      <c r="N3922">
        <f t="shared" si="309"/>
        <v>0</v>
      </c>
      <c r="O3922">
        <f t="shared" si="310"/>
        <v>0</v>
      </c>
      <c r="P3922">
        <f t="shared" si="311"/>
        <v>1</v>
      </c>
      <c r="Q3922">
        <f>COUNTIF('責任職　企業局→市長部局'!A:A,SQLデータ!B3922)</f>
        <v>0</v>
      </c>
      <c r="R3922">
        <f>COUNTIF('一般職員　企業局→市長部局'!A:F,SQLデータ!B3922)</f>
        <v>0</v>
      </c>
    </row>
    <row r="3923" spans="1:18" x14ac:dyDescent="0.4">
      <c r="A3923" s="1">
        <v>202660000213</v>
      </c>
      <c r="B3923" s="1">
        <v>1006059</v>
      </c>
      <c r="C3923" s="2">
        <v>46121</v>
      </c>
      <c r="D3923" t="s">
        <v>18</v>
      </c>
      <c r="E3923" t="s">
        <v>10</v>
      </c>
      <c r="G3923" t="s">
        <v>24</v>
      </c>
      <c r="H3923" t="s">
        <v>23</v>
      </c>
      <c r="I3923" t="s">
        <v>23</v>
      </c>
      <c r="J3923" t="s">
        <v>23</v>
      </c>
      <c r="K3923" t="s">
        <v>23</v>
      </c>
      <c r="L3923">
        <f t="shared" si="307"/>
        <v>1</v>
      </c>
      <c r="M3923">
        <f t="shared" si="308"/>
        <v>0</v>
      </c>
      <c r="N3923">
        <f t="shared" si="309"/>
        <v>0</v>
      </c>
      <c r="O3923">
        <f t="shared" si="310"/>
        <v>0</v>
      </c>
      <c r="P3923">
        <f t="shared" si="311"/>
        <v>1</v>
      </c>
      <c r="Q3923">
        <f>COUNTIF('責任職　企業局→市長部局'!A:A,SQLデータ!B3923)</f>
        <v>0</v>
      </c>
      <c r="R3923">
        <f>COUNTIF('一般職員　企業局→市長部局'!A:F,SQLデータ!B3923)</f>
        <v>0</v>
      </c>
    </row>
    <row r="3924" spans="1:18" x14ac:dyDescent="0.4">
      <c r="A3924" s="1">
        <v>202660000214</v>
      </c>
      <c r="B3924" s="1">
        <v>1156029</v>
      </c>
      <c r="C3924" s="2">
        <v>46121</v>
      </c>
      <c r="D3924" t="s">
        <v>18</v>
      </c>
      <c r="E3924" t="s">
        <v>8</v>
      </c>
      <c r="G3924" t="s">
        <v>24</v>
      </c>
      <c r="H3924" t="s">
        <v>23</v>
      </c>
      <c r="I3924" t="s">
        <v>23</v>
      </c>
      <c r="L3924">
        <f t="shared" si="307"/>
        <v>0</v>
      </c>
      <c r="M3924">
        <f t="shared" si="308"/>
        <v>1</v>
      </c>
      <c r="N3924">
        <f t="shared" si="309"/>
        <v>0</v>
      </c>
      <c r="O3924">
        <f t="shared" si="310"/>
        <v>0</v>
      </c>
      <c r="P3924">
        <f t="shared" si="311"/>
        <v>0</v>
      </c>
      <c r="Q3924">
        <f>COUNTIF('責任職　企業局→市長部局'!A:A,SQLデータ!B3924)</f>
        <v>0</v>
      </c>
      <c r="R3924">
        <f>COUNTIF('一般職員　企業局→市長部局'!A:F,SQLデータ!B3924)</f>
        <v>0</v>
      </c>
    </row>
    <row r="3925" spans="1:18" x14ac:dyDescent="0.4">
      <c r="A3925" s="1">
        <v>202660000215</v>
      </c>
      <c r="B3925" s="1">
        <v>960041</v>
      </c>
      <c r="C3925" s="2">
        <v>46121</v>
      </c>
      <c r="D3925" t="s">
        <v>18</v>
      </c>
      <c r="E3925" t="s">
        <v>10</v>
      </c>
      <c r="G3925" t="s">
        <v>24</v>
      </c>
      <c r="H3925" t="s">
        <v>23</v>
      </c>
      <c r="I3925" t="s">
        <v>23</v>
      </c>
      <c r="J3925" t="s">
        <v>23</v>
      </c>
      <c r="K3925" t="s">
        <v>23</v>
      </c>
      <c r="L3925">
        <f t="shared" si="307"/>
        <v>1</v>
      </c>
      <c r="M3925">
        <f t="shared" si="308"/>
        <v>0</v>
      </c>
      <c r="N3925">
        <f t="shared" si="309"/>
        <v>0</v>
      </c>
      <c r="O3925">
        <f t="shared" si="310"/>
        <v>0</v>
      </c>
      <c r="P3925">
        <f t="shared" si="311"/>
        <v>1</v>
      </c>
      <c r="Q3925">
        <f>COUNTIF('責任職　企業局→市長部局'!A:A,SQLデータ!B3925)</f>
        <v>0</v>
      </c>
      <c r="R3925">
        <f>COUNTIF('一般職員　企業局→市長部局'!A:F,SQLデータ!B3925)</f>
        <v>0</v>
      </c>
    </row>
    <row r="3926" spans="1:18" x14ac:dyDescent="0.4">
      <c r="A3926" s="1">
        <v>202660000216</v>
      </c>
      <c r="B3926" s="1">
        <v>976054</v>
      </c>
      <c r="C3926" s="2">
        <v>46121</v>
      </c>
      <c r="D3926" t="s">
        <v>18</v>
      </c>
      <c r="E3926" t="s">
        <v>8</v>
      </c>
      <c r="G3926" t="s">
        <v>24</v>
      </c>
      <c r="H3926" t="s">
        <v>23</v>
      </c>
      <c r="I3926" t="s">
        <v>23</v>
      </c>
      <c r="J3926" t="s">
        <v>23</v>
      </c>
      <c r="K3926" t="s">
        <v>23</v>
      </c>
      <c r="L3926">
        <f t="shared" si="307"/>
        <v>1</v>
      </c>
      <c r="M3926">
        <f t="shared" si="308"/>
        <v>0</v>
      </c>
      <c r="N3926">
        <f t="shared" si="309"/>
        <v>0</v>
      </c>
      <c r="O3926">
        <f t="shared" si="310"/>
        <v>0</v>
      </c>
      <c r="P3926">
        <f t="shared" si="311"/>
        <v>0</v>
      </c>
      <c r="Q3926">
        <f>COUNTIF('責任職　企業局→市長部局'!A:A,SQLデータ!B3926)</f>
        <v>0</v>
      </c>
      <c r="R3926">
        <f>COUNTIF('一般職員　企業局→市長部局'!A:F,SQLデータ!B3926)</f>
        <v>0</v>
      </c>
    </row>
    <row r="3927" spans="1:18" x14ac:dyDescent="0.4">
      <c r="A3927" s="1">
        <v>202660000217</v>
      </c>
      <c r="B3927" s="1">
        <v>1026076</v>
      </c>
      <c r="C3927" s="2">
        <v>46121</v>
      </c>
      <c r="D3927" t="s">
        <v>18</v>
      </c>
      <c r="E3927" t="s">
        <v>10</v>
      </c>
      <c r="G3927" t="s">
        <v>25</v>
      </c>
      <c r="H3927" t="s">
        <v>20</v>
      </c>
      <c r="I3927" t="s">
        <v>20</v>
      </c>
      <c r="J3927" t="s">
        <v>20</v>
      </c>
      <c r="K3927" t="s">
        <v>20</v>
      </c>
      <c r="L3927">
        <f t="shared" si="307"/>
        <v>1</v>
      </c>
      <c r="M3927">
        <f t="shared" si="308"/>
        <v>0</v>
      </c>
      <c r="N3927">
        <f t="shared" si="309"/>
        <v>0</v>
      </c>
      <c r="O3927">
        <f t="shared" si="310"/>
        <v>0</v>
      </c>
      <c r="P3927">
        <f t="shared" si="311"/>
        <v>1</v>
      </c>
      <c r="Q3927">
        <f>COUNTIF('責任職　企業局→市長部局'!A:A,SQLデータ!B3927)</f>
        <v>0</v>
      </c>
      <c r="R3927">
        <f>COUNTIF('一般職員　企業局→市長部局'!A:F,SQLデータ!B3927)</f>
        <v>0</v>
      </c>
    </row>
    <row r="3928" spans="1:18" x14ac:dyDescent="0.4">
      <c r="A3928" s="1">
        <v>202660000220</v>
      </c>
      <c r="B3928" s="1">
        <v>1166012</v>
      </c>
      <c r="C3928" s="2">
        <v>46127</v>
      </c>
      <c r="D3928" t="s">
        <v>18</v>
      </c>
      <c r="E3928" t="s">
        <v>8</v>
      </c>
      <c r="G3928" t="s">
        <v>28</v>
      </c>
      <c r="H3928" t="s">
        <v>20</v>
      </c>
      <c r="I3928" t="s">
        <v>20</v>
      </c>
      <c r="J3928" t="s">
        <v>20</v>
      </c>
      <c r="L3928">
        <f t="shared" si="307"/>
        <v>1</v>
      </c>
      <c r="M3928">
        <f t="shared" si="308"/>
        <v>0</v>
      </c>
      <c r="N3928">
        <f t="shared" si="309"/>
        <v>0</v>
      </c>
      <c r="O3928">
        <f t="shared" si="310"/>
        <v>0</v>
      </c>
      <c r="P3928">
        <f t="shared" si="311"/>
        <v>0</v>
      </c>
      <c r="Q3928">
        <f>COUNTIF('責任職　企業局→市長部局'!A:A,SQLデータ!B3928)</f>
        <v>0</v>
      </c>
      <c r="R3928">
        <f>COUNTIF('一般職員　企業局→市長部局'!A:F,SQLデータ!B3928)</f>
        <v>0</v>
      </c>
    </row>
    <row r="3929" spans="1:18" x14ac:dyDescent="0.4">
      <c r="A3929" s="1">
        <v>202660000221</v>
      </c>
      <c r="B3929" s="1">
        <v>940363</v>
      </c>
      <c r="C3929" s="2">
        <v>46122</v>
      </c>
      <c r="D3929" t="s">
        <v>18</v>
      </c>
      <c r="E3929" t="s">
        <v>10</v>
      </c>
      <c r="G3929" t="s">
        <v>24</v>
      </c>
      <c r="H3929" t="s">
        <v>23</v>
      </c>
      <c r="I3929" t="s">
        <v>23</v>
      </c>
      <c r="J3929" t="s">
        <v>23</v>
      </c>
      <c r="K3929" t="s">
        <v>23</v>
      </c>
      <c r="L3929">
        <f t="shared" si="307"/>
        <v>1</v>
      </c>
      <c r="M3929">
        <f t="shared" si="308"/>
        <v>0</v>
      </c>
      <c r="N3929">
        <f t="shared" si="309"/>
        <v>0</v>
      </c>
      <c r="O3929">
        <f t="shared" si="310"/>
        <v>0</v>
      </c>
      <c r="P3929">
        <f t="shared" si="311"/>
        <v>1</v>
      </c>
      <c r="Q3929">
        <f>COUNTIF('責任職　企業局→市長部局'!A:A,SQLデータ!B3929)</f>
        <v>0</v>
      </c>
      <c r="R3929">
        <f>COUNTIF('一般職員　企業局→市長部局'!A:F,SQLデータ!B3929)</f>
        <v>0</v>
      </c>
    </row>
    <row r="3930" spans="1:18" x14ac:dyDescent="0.4">
      <c r="A3930" s="1">
        <v>202660000222</v>
      </c>
      <c r="B3930" s="1">
        <v>1011118</v>
      </c>
      <c r="C3930" s="2">
        <v>46122</v>
      </c>
      <c r="D3930" t="s">
        <v>18</v>
      </c>
      <c r="E3930" t="s">
        <v>11</v>
      </c>
      <c r="G3930" t="s">
        <v>21</v>
      </c>
      <c r="H3930" t="s">
        <v>20</v>
      </c>
      <c r="I3930" t="s">
        <v>20</v>
      </c>
      <c r="J3930" t="s">
        <v>20</v>
      </c>
      <c r="L3930">
        <f t="shared" si="307"/>
        <v>1</v>
      </c>
      <c r="M3930">
        <f t="shared" si="308"/>
        <v>0</v>
      </c>
      <c r="N3930">
        <f t="shared" si="309"/>
        <v>0</v>
      </c>
      <c r="O3930">
        <f t="shared" si="310"/>
        <v>0</v>
      </c>
      <c r="P3930">
        <f t="shared" si="311"/>
        <v>1</v>
      </c>
      <c r="Q3930">
        <f>COUNTIF('責任職　企業局→市長部局'!A:A,SQLデータ!B3930)</f>
        <v>0</v>
      </c>
      <c r="R3930">
        <f>COUNTIF('一般職員　企業局→市長部局'!A:F,SQLデータ!B3930)</f>
        <v>0</v>
      </c>
    </row>
    <row r="3931" spans="1:18" x14ac:dyDescent="0.4">
      <c r="A3931" s="1">
        <v>202660000223</v>
      </c>
      <c r="B3931" s="1">
        <v>1162186</v>
      </c>
      <c r="C3931" s="2">
        <v>46121</v>
      </c>
      <c r="D3931" t="s">
        <v>18</v>
      </c>
      <c r="E3931" t="s">
        <v>8</v>
      </c>
      <c r="G3931" t="s">
        <v>24</v>
      </c>
      <c r="H3931" t="s">
        <v>23</v>
      </c>
      <c r="I3931" t="s">
        <v>23</v>
      </c>
      <c r="J3931" t="s">
        <v>23</v>
      </c>
      <c r="K3931" t="s">
        <v>23</v>
      </c>
      <c r="L3931">
        <f t="shared" si="307"/>
        <v>1</v>
      </c>
      <c r="M3931">
        <f t="shared" si="308"/>
        <v>0</v>
      </c>
      <c r="N3931">
        <f t="shared" si="309"/>
        <v>0</v>
      </c>
      <c r="O3931">
        <f t="shared" si="310"/>
        <v>0</v>
      </c>
      <c r="P3931">
        <f t="shared" si="311"/>
        <v>0</v>
      </c>
      <c r="Q3931">
        <f>COUNTIF('責任職　企業局→市長部局'!A:A,SQLデータ!B3931)</f>
        <v>0</v>
      </c>
      <c r="R3931">
        <f>COUNTIF('一般職員　企業局→市長部局'!A:F,SQLデータ!B3931)</f>
        <v>0</v>
      </c>
    </row>
    <row r="3932" spans="1:18" x14ac:dyDescent="0.4">
      <c r="A3932" s="1">
        <v>202660000224</v>
      </c>
      <c r="B3932" s="1">
        <v>1022031</v>
      </c>
      <c r="C3932" s="2">
        <v>46121</v>
      </c>
      <c r="D3932" t="s">
        <v>18</v>
      </c>
      <c r="E3932" t="s">
        <v>10</v>
      </c>
      <c r="G3932" t="s">
        <v>24</v>
      </c>
      <c r="H3932" t="s">
        <v>23</v>
      </c>
      <c r="I3932" t="s">
        <v>23</v>
      </c>
      <c r="J3932" t="s">
        <v>23</v>
      </c>
      <c r="L3932">
        <f t="shared" si="307"/>
        <v>1</v>
      </c>
      <c r="M3932">
        <f t="shared" si="308"/>
        <v>0</v>
      </c>
      <c r="N3932">
        <f t="shared" si="309"/>
        <v>0</v>
      </c>
      <c r="O3932">
        <f t="shared" si="310"/>
        <v>0</v>
      </c>
      <c r="P3932">
        <f t="shared" si="311"/>
        <v>1</v>
      </c>
      <c r="Q3932">
        <f>COUNTIF('責任職　企業局→市長部局'!A:A,SQLデータ!B3932)</f>
        <v>0</v>
      </c>
      <c r="R3932">
        <f>COUNTIF('一般職員　企業局→市長部局'!A:F,SQLデータ!B3932)</f>
        <v>0</v>
      </c>
    </row>
    <row r="3933" spans="1:18" x14ac:dyDescent="0.4">
      <c r="A3933" s="1">
        <v>202660000225</v>
      </c>
      <c r="B3933" s="1">
        <v>930515</v>
      </c>
      <c r="C3933" s="2">
        <v>46128</v>
      </c>
      <c r="D3933" t="s">
        <v>18</v>
      </c>
      <c r="E3933" t="s">
        <v>8</v>
      </c>
      <c r="G3933" t="s">
        <v>24</v>
      </c>
      <c r="H3933" t="s">
        <v>23</v>
      </c>
      <c r="I3933" t="s">
        <v>23</v>
      </c>
      <c r="J3933" t="s">
        <v>23</v>
      </c>
      <c r="K3933" t="s">
        <v>23</v>
      </c>
      <c r="L3933">
        <f t="shared" si="307"/>
        <v>1</v>
      </c>
      <c r="M3933">
        <f t="shared" si="308"/>
        <v>0</v>
      </c>
      <c r="N3933">
        <f t="shared" si="309"/>
        <v>0</v>
      </c>
      <c r="O3933">
        <f t="shared" si="310"/>
        <v>0</v>
      </c>
      <c r="P3933">
        <f t="shared" si="311"/>
        <v>0</v>
      </c>
      <c r="Q3933">
        <f>COUNTIF('責任職　企業局→市長部局'!A:A,SQLデータ!B3933)</f>
        <v>0</v>
      </c>
      <c r="R3933">
        <f>COUNTIF('一般職員　企業局→市長部局'!A:F,SQLデータ!B3933)</f>
        <v>0</v>
      </c>
    </row>
    <row r="3934" spans="1:18" x14ac:dyDescent="0.4">
      <c r="A3934" s="1">
        <v>202660000226</v>
      </c>
      <c r="B3934" s="1">
        <v>930076</v>
      </c>
      <c r="C3934" s="2">
        <v>46121</v>
      </c>
      <c r="D3934" t="s">
        <v>18</v>
      </c>
      <c r="E3934" t="s">
        <v>10</v>
      </c>
      <c r="G3934" t="s">
        <v>22</v>
      </c>
      <c r="H3934" t="s">
        <v>23</v>
      </c>
      <c r="I3934" t="s">
        <v>23</v>
      </c>
      <c r="J3934" t="s">
        <v>23</v>
      </c>
      <c r="L3934">
        <f t="shared" si="307"/>
        <v>1</v>
      </c>
      <c r="M3934">
        <f t="shared" si="308"/>
        <v>0</v>
      </c>
      <c r="N3934">
        <f t="shared" si="309"/>
        <v>0</v>
      </c>
      <c r="O3934">
        <f t="shared" si="310"/>
        <v>0</v>
      </c>
      <c r="P3934">
        <f t="shared" si="311"/>
        <v>1</v>
      </c>
      <c r="Q3934">
        <f>COUNTIF('責任職　企業局→市長部局'!A:A,SQLデータ!B3934)</f>
        <v>0</v>
      </c>
      <c r="R3934">
        <f>COUNTIF('一般職員　企業局→市長部局'!A:F,SQLデータ!B3934)</f>
        <v>0</v>
      </c>
    </row>
    <row r="3935" spans="1:18" x14ac:dyDescent="0.4">
      <c r="A3935" s="1">
        <v>202660000227</v>
      </c>
      <c r="B3935" s="1">
        <v>1014069</v>
      </c>
      <c r="C3935" s="2">
        <v>46121</v>
      </c>
      <c r="D3935" t="s">
        <v>18</v>
      </c>
      <c r="E3935" t="s">
        <v>10</v>
      </c>
      <c r="G3935" t="s">
        <v>24</v>
      </c>
      <c r="H3935" t="s">
        <v>23</v>
      </c>
      <c r="I3935" t="s">
        <v>23</v>
      </c>
      <c r="J3935" t="s">
        <v>23</v>
      </c>
      <c r="K3935" t="s">
        <v>23</v>
      </c>
      <c r="L3935">
        <f t="shared" si="307"/>
        <v>1</v>
      </c>
      <c r="M3935">
        <f t="shared" si="308"/>
        <v>0</v>
      </c>
      <c r="N3935">
        <f t="shared" si="309"/>
        <v>0</v>
      </c>
      <c r="O3935">
        <f t="shared" si="310"/>
        <v>0</v>
      </c>
      <c r="P3935">
        <f t="shared" si="311"/>
        <v>1</v>
      </c>
      <c r="Q3935">
        <f>COUNTIF('責任職　企業局→市長部局'!A:A,SQLデータ!B3935)</f>
        <v>0</v>
      </c>
      <c r="R3935">
        <f>COUNTIF('一般職員　企業局→市長部局'!A:F,SQLデータ!B3935)</f>
        <v>0</v>
      </c>
    </row>
    <row r="3936" spans="1:18" x14ac:dyDescent="0.4">
      <c r="A3936" s="1">
        <v>202660000229</v>
      </c>
      <c r="B3936" s="1">
        <v>1222013</v>
      </c>
      <c r="C3936" s="2">
        <v>46121</v>
      </c>
      <c r="D3936" t="s">
        <v>18</v>
      </c>
      <c r="E3936" t="s">
        <v>15</v>
      </c>
      <c r="G3936" t="s">
        <v>31</v>
      </c>
      <c r="H3936" t="s">
        <v>20</v>
      </c>
      <c r="L3936">
        <f t="shared" si="307"/>
        <v>0</v>
      </c>
      <c r="M3936">
        <f t="shared" si="308"/>
        <v>0</v>
      </c>
      <c r="N3936">
        <f t="shared" si="309"/>
        <v>0</v>
      </c>
      <c r="O3936">
        <f t="shared" si="310"/>
        <v>1</v>
      </c>
      <c r="P3936">
        <f t="shared" si="311"/>
        <v>1</v>
      </c>
      <c r="Q3936">
        <f>COUNTIF('責任職　企業局→市長部局'!A:A,SQLデータ!B3936)</f>
        <v>0</v>
      </c>
      <c r="R3936">
        <f>COUNTIF('一般職員　企業局→市長部局'!A:F,SQLデータ!B3936)</f>
        <v>0</v>
      </c>
    </row>
    <row r="3937" spans="1:18" x14ac:dyDescent="0.4">
      <c r="A3937" s="1">
        <v>202660000232</v>
      </c>
      <c r="B3937" s="1">
        <v>1082076</v>
      </c>
      <c r="C3937" s="2">
        <v>46129</v>
      </c>
      <c r="D3937" t="s">
        <v>18</v>
      </c>
      <c r="E3937" t="s">
        <v>8</v>
      </c>
      <c r="G3937" t="s">
        <v>27</v>
      </c>
      <c r="H3937" t="s">
        <v>20</v>
      </c>
      <c r="I3937" t="s">
        <v>20</v>
      </c>
      <c r="L3937">
        <f t="shared" si="307"/>
        <v>0</v>
      </c>
      <c r="M3937">
        <f t="shared" si="308"/>
        <v>1</v>
      </c>
      <c r="N3937">
        <f t="shared" si="309"/>
        <v>0</v>
      </c>
      <c r="O3937">
        <f t="shared" si="310"/>
        <v>0</v>
      </c>
      <c r="P3937">
        <f t="shared" si="311"/>
        <v>0</v>
      </c>
      <c r="Q3937">
        <f>COUNTIF('責任職　企業局→市長部局'!A:A,SQLデータ!B3937)</f>
        <v>0</v>
      </c>
      <c r="R3937">
        <f>COUNTIF('一般職員　企業局→市長部局'!A:F,SQLデータ!B3937)</f>
        <v>0</v>
      </c>
    </row>
    <row r="3938" spans="1:18" x14ac:dyDescent="0.4">
      <c r="A3938" s="1">
        <v>202660000233</v>
      </c>
      <c r="B3938" s="1">
        <v>991060</v>
      </c>
      <c r="C3938" s="2">
        <v>46122</v>
      </c>
      <c r="D3938" t="s">
        <v>18</v>
      </c>
      <c r="E3938" t="s">
        <v>10</v>
      </c>
      <c r="G3938" t="s">
        <v>25</v>
      </c>
      <c r="H3938" t="s">
        <v>35</v>
      </c>
      <c r="K3938" t="s">
        <v>20</v>
      </c>
      <c r="L3938">
        <f t="shared" ref="L3938:L4001" si="312">IF(ISBLANK(J3938),0,1)</f>
        <v>0</v>
      </c>
      <c r="M3938">
        <f t="shared" ref="M3938:M4001" si="313">IF(AND(L3938=0,I3938&lt;&gt;""),1,0)</f>
        <v>0</v>
      </c>
      <c r="N3938">
        <f t="shared" ref="N3938:N4001" si="314">IF(AND(L3938=0,M3938=0,K3938&lt;&gt;""),1,0)</f>
        <v>1</v>
      </c>
      <c r="O3938">
        <f t="shared" ref="O3938:O4001" si="315">IF(COUNTIF(L3938:N3938,0)=3,1,0)</f>
        <v>0</v>
      </c>
      <c r="P3938">
        <f t="shared" ref="P3938:P4001" si="316">IF(D3938&lt;&gt;"扶養","",IF(E3938&lt;&gt;"確認待ち",1,IF(OR(AND(G3938="本人の結婚",O3938=1),AND(H3938="減",OR(N3938=1,O3938=1))),1,0)))</f>
        <v>1</v>
      </c>
      <c r="Q3938">
        <f>COUNTIF('責任職　企業局→市長部局'!A:A,SQLデータ!B3938)</f>
        <v>0</v>
      </c>
      <c r="R3938">
        <f>COUNTIF('一般職員　企業局→市長部局'!A:F,SQLデータ!B3938)</f>
        <v>0</v>
      </c>
    </row>
    <row r="3939" spans="1:18" x14ac:dyDescent="0.4">
      <c r="A3939" s="1">
        <v>202660000234</v>
      </c>
      <c r="B3939" s="1">
        <v>1091470</v>
      </c>
      <c r="C3939" s="2">
        <v>46122</v>
      </c>
      <c r="D3939" t="s">
        <v>18</v>
      </c>
      <c r="E3939" t="s">
        <v>10</v>
      </c>
      <c r="G3939" t="s">
        <v>24</v>
      </c>
      <c r="H3939" t="s">
        <v>23</v>
      </c>
      <c r="I3939" t="s">
        <v>23</v>
      </c>
      <c r="J3939" t="s">
        <v>23</v>
      </c>
      <c r="K3939" t="s">
        <v>23</v>
      </c>
      <c r="L3939">
        <f t="shared" si="312"/>
        <v>1</v>
      </c>
      <c r="M3939">
        <f t="shared" si="313"/>
        <v>0</v>
      </c>
      <c r="N3939">
        <f t="shared" si="314"/>
        <v>0</v>
      </c>
      <c r="O3939">
        <f t="shared" si="315"/>
        <v>0</v>
      </c>
      <c r="P3939">
        <f t="shared" si="316"/>
        <v>1</v>
      </c>
      <c r="Q3939">
        <f>COUNTIF('責任職　企業局→市長部局'!A:A,SQLデータ!B3939)</f>
        <v>0</v>
      </c>
      <c r="R3939">
        <f>COUNTIF('一般職員　企業局→市長部局'!A:F,SQLデータ!B3939)</f>
        <v>0</v>
      </c>
    </row>
    <row r="3940" spans="1:18" x14ac:dyDescent="0.4">
      <c r="A3940" s="1">
        <v>202660000235</v>
      </c>
      <c r="B3940" s="1">
        <v>1002023</v>
      </c>
      <c r="C3940" s="2">
        <v>46122</v>
      </c>
      <c r="D3940" t="s">
        <v>18</v>
      </c>
      <c r="E3940" t="s">
        <v>10</v>
      </c>
      <c r="G3940" t="s">
        <v>24</v>
      </c>
      <c r="H3940" t="s">
        <v>23</v>
      </c>
      <c r="I3940" t="s">
        <v>23</v>
      </c>
      <c r="J3940" t="s">
        <v>23</v>
      </c>
      <c r="L3940">
        <f t="shared" si="312"/>
        <v>1</v>
      </c>
      <c r="M3940">
        <f t="shared" si="313"/>
        <v>0</v>
      </c>
      <c r="N3940">
        <f t="shared" si="314"/>
        <v>0</v>
      </c>
      <c r="O3940">
        <f t="shared" si="315"/>
        <v>0</v>
      </c>
      <c r="P3940">
        <f t="shared" si="316"/>
        <v>1</v>
      </c>
      <c r="Q3940">
        <f>COUNTIF('責任職　企業局→市長部局'!A:A,SQLデータ!B3940)</f>
        <v>0</v>
      </c>
      <c r="R3940">
        <f>COUNTIF('一般職員　企業局→市長部局'!A:F,SQLデータ!B3940)</f>
        <v>0</v>
      </c>
    </row>
    <row r="3941" spans="1:18" x14ac:dyDescent="0.4">
      <c r="A3941" s="1">
        <v>202660000236</v>
      </c>
      <c r="B3941" s="1">
        <v>1120100</v>
      </c>
      <c r="C3941" s="2">
        <v>46122</v>
      </c>
      <c r="D3941" t="s">
        <v>18</v>
      </c>
      <c r="E3941" t="s">
        <v>10</v>
      </c>
      <c r="G3941" t="s">
        <v>25</v>
      </c>
      <c r="H3941" t="s">
        <v>20</v>
      </c>
      <c r="J3941" t="s">
        <v>20</v>
      </c>
      <c r="K3941" t="s">
        <v>20</v>
      </c>
      <c r="L3941">
        <f t="shared" si="312"/>
        <v>1</v>
      </c>
      <c r="M3941">
        <f t="shared" si="313"/>
        <v>0</v>
      </c>
      <c r="N3941">
        <f t="shared" si="314"/>
        <v>0</v>
      </c>
      <c r="O3941">
        <f t="shared" si="315"/>
        <v>0</v>
      </c>
      <c r="P3941">
        <f t="shared" si="316"/>
        <v>1</v>
      </c>
      <c r="Q3941">
        <f>COUNTIF('責任職　企業局→市長部局'!A:A,SQLデータ!B3941)</f>
        <v>0</v>
      </c>
      <c r="R3941">
        <f>COUNTIF('一般職員　企業局→市長部局'!A:F,SQLデータ!B3941)</f>
        <v>0</v>
      </c>
    </row>
    <row r="3942" spans="1:18" x14ac:dyDescent="0.4">
      <c r="A3942" s="1">
        <v>202660000237</v>
      </c>
      <c r="B3942" s="1">
        <v>820126</v>
      </c>
      <c r="C3942" s="2">
        <v>46122</v>
      </c>
      <c r="D3942" t="s">
        <v>18</v>
      </c>
      <c r="E3942" t="s">
        <v>8</v>
      </c>
      <c r="G3942" t="s">
        <v>22</v>
      </c>
      <c r="H3942" t="s">
        <v>23</v>
      </c>
      <c r="I3942" t="s">
        <v>23</v>
      </c>
      <c r="J3942" t="s">
        <v>23</v>
      </c>
      <c r="K3942" t="s">
        <v>23</v>
      </c>
      <c r="L3942">
        <f t="shared" si="312"/>
        <v>1</v>
      </c>
      <c r="M3942">
        <f t="shared" si="313"/>
        <v>0</v>
      </c>
      <c r="N3942">
        <f t="shared" si="314"/>
        <v>0</v>
      </c>
      <c r="O3942">
        <f t="shared" si="315"/>
        <v>0</v>
      </c>
      <c r="P3942">
        <f t="shared" si="316"/>
        <v>0</v>
      </c>
      <c r="Q3942">
        <f>COUNTIF('責任職　企業局→市長部局'!A:A,SQLデータ!B3942)</f>
        <v>0</v>
      </c>
      <c r="R3942">
        <f>COUNTIF('一般職員　企業局→市長部局'!A:F,SQLデータ!B3942)</f>
        <v>0</v>
      </c>
    </row>
    <row r="3943" spans="1:18" x14ac:dyDescent="0.4">
      <c r="A3943" s="1">
        <v>202660000238</v>
      </c>
      <c r="B3943" s="1">
        <v>820126</v>
      </c>
      <c r="C3943" s="2">
        <v>46122</v>
      </c>
      <c r="D3943" t="s">
        <v>18</v>
      </c>
      <c r="E3943" t="s">
        <v>8</v>
      </c>
      <c r="G3943" t="s">
        <v>21</v>
      </c>
      <c r="H3943" t="s">
        <v>20</v>
      </c>
      <c r="I3943" t="s">
        <v>20</v>
      </c>
      <c r="J3943" t="s">
        <v>20</v>
      </c>
      <c r="K3943" t="s">
        <v>20</v>
      </c>
      <c r="L3943">
        <f t="shared" si="312"/>
        <v>1</v>
      </c>
      <c r="M3943">
        <f t="shared" si="313"/>
        <v>0</v>
      </c>
      <c r="N3943">
        <f t="shared" si="314"/>
        <v>0</v>
      </c>
      <c r="O3943">
        <f t="shared" si="315"/>
        <v>0</v>
      </c>
      <c r="P3943">
        <f t="shared" si="316"/>
        <v>0</v>
      </c>
      <c r="Q3943">
        <f>COUNTIF('責任職　企業局→市長部局'!A:A,SQLデータ!B3943)</f>
        <v>0</v>
      </c>
      <c r="R3943">
        <f>COUNTIF('一般職員　企業局→市長部局'!A:F,SQLデータ!B3943)</f>
        <v>0</v>
      </c>
    </row>
    <row r="3944" spans="1:18" x14ac:dyDescent="0.4">
      <c r="A3944" s="1">
        <v>202660000239</v>
      </c>
      <c r="B3944" s="1">
        <v>940626</v>
      </c>
      <c r="C3944" s="2">
        <v>46122</v>
      </c>
      <c r="D3944" t="s">
        <v>18</v>
      </c>
      <c r="E3944" t="s">
        <v>10</v>
      </c>
      <c r="G3944" t="s">
        <v>24</v>
      </c>
      <c r="H3944" t="s">
        <v>23</v>
      </c>
      <c r="I3944" t="s">
        <v>23</v>
      </c>
      <c r="J3944" t="s">
        <v>23</v>
      </c>
      <c r="K3944" t="s">
        <v>23</v>
      </c>
      <c r="L3944">
        <f t="shared" si="312"/>
        <v>1</v>
      </c>
      <c r="M3944">
        <f t="shared" si="313"/>
        <v>0</v>
      </c>
      <c r="N3944">
        <f t="shared" si="314"/>
        <v>0</v>
      </c>
      <c r="O3944">
        <f t="shared" si="315"/>
        <v>0</v>
      </c>
      <c r="P3944">
        <f t="shared" si="316"/>
        <v>1</v>
      </c>
      <c r="Q3944">
        <f>COUNTIF('責任職　企業局→市長部局'!A:A,SQLデータ!B3944)</f>
        <v>0</v>
      </c>
      <c r="R3944">
        <f>COUNTIF('一般職員　企業局→市長部局'!A:F,SQLデータ!B3944)</f>
        <v>0</v>
      </c>
    </row>
    <row r="3945" spans="1:18" x14ac:dyDescent="0.4">
      <c r="A3945" s="1">
        <v>202660000240</v>
      </c>
      <c r="B3945" s="1">
        <v>940521</v>
      </c>
      <c r="C3945" s="2">
        <v>46122</v>
      </c>
      <c r="D3945" t="s">
        <v>18</v>
      </c>
      <c r="E3945" t="s">
        <v>10</v>
      </c>
      <c r="G3945" t="s">
        <v>24</v>
      </c>
      <c r="H3945" t="s">
        <v>23</v>
      </c>
      <c r="I3945" t="s">
        <v>23</v>
      </c>
      <c r="J3945" t="s">
        <v>23</v>
      </c>
      <c r="K3945" t="s">
        <v>23</v>
      </c>
      <c r="L3945">
        <f t="shared" si="312"/>
        <v>1</v>
      </c>
      <c r="M3945">
        <f t="shared" si="313"/>
        <v>0</v>
      </c>
      <c r="N3945">
        <f t="shared" si="314"/>
        <v>0</v>
      </c>
      <c r="O3945">
        <f t="shared" si="315"/>
        <v>0</v>
      </c>
      <c r="P3945">
        <f t="shared" si="316"/>
        <v>1</v>
      </c>
      <c r="Q3945">
        <f>COUNTIF('責任職　企業局→市長部局'!A:A,SQLデータ!B3945)</f>
        <v>0</v>
      </c>
      <c r="R3945">
        <f>COUNTIF('一般職員　企業局→市長部局'!A:F,SQLデータ!B3945)</f>
        <v>0</v>
      </c>
    </row>
    <row r="3946" spans="1:18" x14ac:dyDescent="0.4">
      <c r="A3946" s="1">
        <v>202660000241</v>
      </c>
      <c r="B3946" s="1">
        <v>971136</v>
      </c>
      <c r="C3946" s="2">
        <v>46122</v>
      </c>
      <c r="D3946" t="s">
        <v>18</v>
      </c>
      <c r="E3946" t="s">
        <v>10</v>
      </c>
      <c r="G3946" t="s">
        <v>27</v>
      </c>
      <c r="H3946" t="s">
        <v>20</v>
      </c>
      <c r="I3946" t="s">
        <v>20</v>
      </c>
      <c r="J3946" t="s">
        <v>20</v>
      </c>
      <c r="K3946" t="s">
        <v>20</v>
      </c>
      <c r="L3946">
        <f t="shared" si="312"/>
        <v>1</v>
      </c>
      <c r="M3946">
        <f t="shared" si="313"/>
        <v>0</v>
      </c>
      <c r="N3946">
        <f t="shared" si="314"/>
        <v>0</v>
      </c>
      <c r="O3946">
        <f t="shared" si="315"/>
        <v>0</v>
      </c>
      <c r="P3946">
        <f t="shared" si="316"/>
        <v>1</v>
      </c>
      <c r="Q3946">
        <f>COUNTIF('責任職　企業局→市長部局'!A:A,SQLデータ!B3946)</f>
        <v>0</v>
      </c>
      <c r="R3946">
        <f>COUNTIF('一般職員　企業局→市長部局'!A:F,SQLデータ!B3946)</f>
        <v>0</v>
      </c>
    </row>
    <row r="3947" spans="1:18" x14ac:dyDescent="0.4">
      <c r="A3947" s="1">
        <v>202660000242</v>
      </c>
      <c r="B3947" s="1">
        <v>984213</v>
      </c>
      <c r="C3947" s="2">
        <v>46125</v>
      </c>
      <c r="D3947" t="s">
        <v>18</v>
      </c>
      <c r="E3947" t="s">
        <v>10</v>
      </c>
      <c r="G3947" t="s">
        <v>24</v>
      </c>
      <c r="H3947" t="s">
        <v>23</v>
      </c>
      <c r="I3947" t="s">
        <v>23</v>
      </c>
      <c r="J3947" t="s">
        <v>23</v>
      </c>
      <c r="K3947" t="s">
        <v>23</v>
      </c>
      <c r="L3947">
        <f t="shared" si="312"/>
        <v>1</v>
      </c>
      <c r="M3947">
        <f t="shared" si="313"/>
        <v>0</v>
      </c>
      <c r="N3947">
        <f t="shared" si="314"/>
        <v>0</v>
      </c>
      <c r="O3947">
        <f t="shared" si="315"/>
        <v>0</v>
      </c>
      <c r="P3947">
        <f t="shared" si="316"/>
        <v>1</v>
      </c>
      <c r="Q3947">
        <f>COUNTIF('責任職　企業局→市長部局'!A:A,SQLデータ!B3947)</f>
        <v>0</v>
      </c>
      <c r="R3947">
        <f>COUNTIF('一般職員　企業局→市長部局'!A:F,SQLデータ!B3947)</f>
        <v>0</v>
      </c>
    </row>
    <row r="3948" spans="1:18" x14ac:dyDescent="0.4">
      <c r="A3948" s="1">
        <v>202660000243</v>
      </c>
      <c r="B3948" s="1">
        <v>950449</v>
      </c>
      <c r="C3948" s="2">
        <v>46122</v>
      </c>
      <c r="D3948" t="s">
        <v>18</v>
      </c>
      <c r="E3948" t="s">
        <v>10</v>
      </c>
      <c r="G3948" t="s">
        <v>24</v>
      </c>
      <c r="H3948" t="s">
        <v>23</v>
      </c>
      <c r="I3948" t="s">
        <v>23</v>
      </c>
      <c r="J3948" t="s">
        <v>23</v>
      </c>
      <c r="K3948" t="s">
        <v>23</v>
      </c>
      <c r="L3948">
        <f t="shared" si="312"/>
        <v>1</v>
      </c>
      <c r="M3948">
        <f t="shared" si="313"/>
        <v>0</v>
      </c>
      <c r="N3948">
        <f t="shared" si="314"/>
        <v>0</v>
      </c>
      <c r="O3948">
        <f t="shared" si="315"/>
        <v>0</v>
      </c>
      <c r="P3948">
        <f t="shared" si="316"/>
        <v>1</v>
      </c>
      <c r="Q3948">
        <f>COUNTIF('責任職　企業局→市長部局'!A:A,SQLデータ!B3948)</f>
        <v>0</v>
      </c>
      <c r="R3948">
        <f>COUNTIF('一般職員　企業局→市長部局'!A:F,SQLデータ!B3948)</f>
        <v>0</v>
      </c>
    </row>
    <row r="3949" spans="1:18" x14ac:dyDescent="0.4">
      <c r="A3949" s="1">
        <v>202660000244</v>
      </c>
      <c r="B3949" s="1">
        <v>840543</v>
      </c>
      <c r="C3949" s="2">
        <v>46122</v>
      </c>
      <c r="D3949" t="s">
        <v>18</v>
      </c>
      <c r="E3949" t="s">
        <v>10</v>
      </c>
      <c r="G3949" t="s">
        <v>24</v>
      </c>
      <c r="H3949" t="s">
        <v>23</v>
      </c>
      <c r="I3949" t="s">
        <v>23</v>
      </c>
      <c r="J3949" t="s">
        <v>23</v>
      </c>
      <c r="K3949" t="s">
        <v>23</v>
      </c>
      <c r="L3949">
        <f t="shared" si="312"/>
        <v>1</v>
      </c>
      <c r="M3949">
        <f t="shared" si="313"/>
        <v>0</v>
      </c>
      <c r="N3949">
        <f t="shared" si="314"/>
        <v>0</v>
      </c>
      <c r="O3949">
        <f t="shared" si="315"/>
        <v>0</v>
      </c>
      <c r="P3949">
        <f t="shared" si="316"/>
        <v>1</v>
      </c>
      <c r="Q3949">
        <f>COUNTIF('責任職　企業局→市長部局'!A:A,SQLデータ!B3949)</f>
        <v>0</v>
      </c>
      <c r="R3949">
        <f>COUNTIF('一般職員　企業局→市長部局'!A:F,SQLデータ!B3949)</f>
        <v>0</v>
      </c>
    </row>
    <row r="3950" spans="1:18" x14ac:dyDescent="0.4">
      <c r="A3950" s="1">
        <v>202660000246</v>
      </c>
      <c r="B3950" s="1">
        <v>976049</v>
      </c>
      <c r="C3950" s="2">
        <v>46122</v>
      </c>
      <c r="D3950" t="s">
        <v>18</v>
      </c>
      <c r="E3950" t="s">
        <v>8</v>
      </c>
      <c r="G3950" t="s">
        <v>24</v>
      </c>
      <c r="H3950" t="s">
        <v>23</v>
      </c>
      <c r="I3950" t="s">
        <v>23</v>
      </c>
      <c r="J3950" t="s">
        <v>23</v>
      </c>
      <c r="K3950" t="s">
        <v>23</v>
      </c>
      <c r="L3950">
        <f t="shared" si="312"/>
        <v>1</v>
      </c>
      <c r="M3950">
        <f t="shared" si="313"/>
        <v>0</v>
      </c>
      <c r="N3950">
        <f t="shared" si="314"/>
        <v>0</v>
      </c>
      <c r="O3950">
        <f t="shared" si="315"/>
        <v>0</v>
      </c>
      <c r="P3950">
        <f t="shared" si="316"/>
        <v>0</v>
      </c>
      <c r="Q3950">
        <f>COUNTIF('責任職　企業局→市長部局'!A:A,SQLデータ!B3950)</f>
        <v>0</v>
      </c>
      <c r="R3950">
        <f>COUNTIF('一般職員　企業局→市長部局'!A:F,SQLデータ!B3950)</f>
        <v>0</v>
      </c>
    </row>
    <row r="3951" spans="1:18" x14ac:dyDescent="0.4">
      <c r="A3951" s="1">
        <v>202660000247</v>
      </c>
      <c r="B3951" s="1">
        <v>930609</v>
      </c>
      <c r="C3951" s="2">
        <v>46122</v>
      </c>
      <c r="D3951" t="s">
        <v>18</v>
      </c>
      <c r="E3951" t="s">
        <v>10</v>
      </c>
      <c r="G3951" t="s">
        <v>24</v>
      </c>
      <c r="H3951" t="s">
        <v>23</v>
      </c>
      <c r="I3951" t="s">
        <v>23</v>
      </c>
      <c r="J3951" t="s">
        <v>23</v>
      </c>
      <c r="K3951" t="s">
        <v>23</v>
      </c>
      <c r="L3951">
        <f t="shared" si="312"/>
        <v>1</v>
      </c>
      <c r="M3951">
        <f t="shared" si="313"/>
        <v>0</v>
      </c>
      <c r="N3951">
        <f t="shared" si="314"/>
        <v>0</v>
      </c>
      <c r="O3951">
        <f t="shared" si="315"/>
        <v>0</v>
      </c>
      <c r="P3951">
        <f t="shared" si="316"/>
        <v>1</v>
      </c>
      <c r="Q3951">
        <f>COUNTIF('責任職　企業局→市長部局'!A:A,SQLデータ!B3951)</f>
        <v>0</v>
      </c>
      <c r="R3951">
        <f>COUNTIF('一般職員　企業局→市長部局'!A:F,SQLデータ!B3951)</f>
        <v>0</v>
      </c>
    </row>
    <row r="3952" spans="1:18" x14ac:dyDescent="0.4">
      <c r="A3952" s="1">
        <v>202660000248</v>
      </c>
      <c r="B3952" s="1">
        <v>1176100</v>
      </c>
      <c r="C3952" s="2">
        <v>46128</v>
      </c>
      <c r="D3952" t="s">
        <v>18</v>
      </c>
      <c r="E3952" t="s">
        <v>8</v>
      </c>
      <c r="G3952" t="s">
        <v>896</v>
      </c>
      <c r="H3952" t="s">
        <v>20</v>
      </c>
      <c r="J3952" t="s">
        <v>20</v>
      </c>
      <c r="K3952" t="s">
        <v>20</v>
      </c>
      <c r="L3952">
        <f t="shared" si="312"/>
        <v>1</v>
      </c>
      <c r="M3952">
        <f t="shared" si="313"/>
        <v>0</v>
      </c>
      <c r="N3952">
        <f t="shared" si="314"/>
        <v>0</v>
      </c>
      <c r="O3952">
        <f t="shared" si="315"/>
        <v>0</v>
      </c>
      <c r="P3952">
        <f t="shared" si="316"/>
        <v>0</v>
      </c>
      <c r="Q3952">
        <f>COUNTIF('責任職　企業局→市長部局'!A:A,SQLデータ!B3952)</f>
        <v>0</v>
      </c>
      <c r="R3952">
        <f>COUNTIF('一般職員　企業局→市長部局'!A:F,SQLデータ!B3952)</f>
        <v>0</v>
      </c>
    </row>
    <row r="3953" spans="1:18" x14ac:dyDescent="0.4">
      <c r="A3953" s="1">
        <v>202660000249</v>
      </c>
      <c r="B3953" s="1">
        <v>880131</v>
      </c>
      <c r="C3953" s="2">
        <v>46122</v>
      </c>
      <c r="D3953" t="s">
        <v>18</v>
      </c>
      <c r="E3953" t="s">
        <v>10</v>
      </c>
      <c r="G3953" t="s">
        <v>24</v>
      </c>
      <c r="H3953" t="s">
        <v>23</v>
      </c>
      <c r="J3953" t="s">
        <v>23</v>
      </c>
      <c r="K3953" t="s">
        <v>23</v>
      </c>
      <c r="L3953">
        <f t="shared" si="312"/>
        <v>1</v>
      </c>
      <c r="M3953">
        <f t="shared" si="313"/>
        <v>0</v>
      </c>
      <c r="N3953">
        <f t="shared" si="314"/>
        <v>0</v>
      </c>
      <c r="O3953">
        <f t="shared" si="315"/>
        <v>0</v>
      </c>
      <c r="P3953">
        <f t="shared" si="316"/>
        <v>1</v>
      </c>
      <c r="Q3953">
        <f>COUNTIF('責任職　企業局→市長部局'!A:A,SQLデータ!B3953)</f>
        <v>0</v>
      </c>
      <c r="R3953">
        <f>COUNTIF('一般職員　企業局→市長部局'!A:F,SQLデータ!B3953)</f>
        <v>0</v>
      </c>
    </row>
    <row r="3954" spans="1:18" x14ac:dyDescent="0.4">
      <c r="A3954" s="1">
        <v>202660000251</v>
      </c>
      <c r="B3954" s="1">
        <v>930719</v>
      </c>
      <c r="C3954" s="2">
        <v>46128</v>
      </c>
      <c r="D3954" t="s">
        <v>18</v>
      </c>
      <c r="E3954" t="s">
        <v>8</v>
      </c>
      <c r="G3954" t="s">
        <v>24</v>
      </c>
      <c r="H3954" t="s">
        <v>23</v>
      </c>
      <c r="I3954" t="s">
        <v>23</v>
      </c>
      <c r="J3954" t="s">
        <v>23</v>
      </c>
      <c r="K3954" t="s">
        <v>23</v>
      </c>
      <c r="L3954">
        <f t="shared" si="312"/>
        <v>1</v>
      </c>
      <c r="M3954">
        <f t="shared" si="313"/>
        <v>0</v>
      </c>
      <c r="N3954">
        <f t="shared" si="314"/>
        <v>0</v>
      </c>
      <c r="O3954">
        <f t="shared" si="315"/>
        <v>0</v>
      </c>
      <c r="P3954">
        <f t="shared" si="316"/>
        <v>0</v>
      </c>
      <c r="Q3954">
        <f>COUNTIF('責任職　企業局→市長部局'!A:A,SQLデータ!B3954)</f>
        <v>0</v>
      </c>
      <c r="R3954">
        <f>COUNTIF('一般職員　企業局→市長部局'!A:F,SQLデータ!B3954)</f>
        <v>0</v>
      </c>
    </row>
    <row r="3955" spans="1:18" x14ac:dyDescent="0.4">
      <c r="A3955" s="1">
        <v>202660000252</v>
      </c>
      <c r="B3955" s="1">
        <v>930152</v>
      </c>
      <c r="C3955" s="2">
        <v>46125</v>
      </c>
      <c r="D3955" t="s">
        <v>18</v>
      </c>
      <c r="E3955" t="s">
        <v>8</v>
      </c>
      <c r="G3955" t="s">
        <v>24</v>
      </c>
      <c r="H3955" t="s">
        <v>23</v>
      </c>
      <c r="I3955" t="s">
        <v>23</v>
      </c>
      <c r="J3955" t="s">
        <v>23</v>
      </c>
      <c r="K3955" t="s">
        <v>23</v>
      </c>
      <c r="L3955">
        <f t="shared" si="312"/>
        <v>1</v>
      </c>
      <c r="M3955">
        <f t="shared" si="313"/>
        <v>0</v>
      </c>
      <c r="N3955">
        <f t="shared" si="314"/>
        <v>0</v>
      </c>
      <c r="O3955">
        <f t="shared" si="315"/>
        <v>0</v>
      </c>
      <c r="P3955">
        <f t="shared" si="316"/>
        <v>0</v>
      </c>
      <c r="Q3955">
        <f>COUNTIF('責任職　企業局→市長部局'!A:A,SQLデータ!B3955)</f>
        <v>0</v>
      </c>
      <c r="R3955">
        <f>COUNTIF('一般職員　企業局→市長部局'!A:F,SQLデータ!B3955)</f>
        <v>0</v>
      </c>
    </row>
    <row r="3956" spans="1:18" x14ac:dyDescent="0.4">
      <c r="A3956" s="1">
        <v>202660000253</v>
      </c>
      <c r="B3956" s="1">
        <v>1146090</v>
      </c>
      <c r="C3956" s="2">
        <v>46127</v>
      </c>
      <c r="D3956" t="s">
        <v>18</v>
      </c>
      <c r="E3956" t="s">
        <v>8</v>
      </c>
      <c r="G3956" t="s">
        <v>32</v>
      </c>
      <c r="H3956" t="s">
        <v>23</v>
      </c>
      <c r="I3956" t="s">
        <v>23</v>
      </c>
      <c r="J3956" t="s">
        <v>23</v>
      </c>
      <c r="K3956" t="s">
        <v>23</v>
      </c>
      <c r="L3956">
        <f t="shared" si="312"/>
        <v>1</v>
      </c>
      <c r="M3956">
        <f t="shared" si="313"/>
        <v>0</v>
      </c>
      <c r="N3956">
        <f t="shared" si="314"/>
        <v>0</v>
      </c>
      <c r="O3956">
        <f t="shared" si="315"/>
        <v>0</v>
      </c>
      <c r="P3956">
        <f t="shared" si="316"/>
        <v>0</v>
      </c>
      <c r="Q3956">
        <f>COUNTIF('責任職　企業局→市長部局'!A:A,SQLデータ!B3956)</f>
        <v>0</v>
      </c>
      <c r="R3956">
        <f>COUNTIF('一般職員　企業局→市長部局'!A:F,SQLデータ!B3956)</f>
        <v>0</v>
      </c>
    </row>
    <row r="3957" spans="1:18" x14ac:dyDescent="0.4">
      <c r="A3957" s="1">
        <v>202660000254</v>
      </c>
      <c r="B3957" s="1">
        <v>920501</v>
      </c>
      <c r="C3957" s="2">
        <v>46124</v>
      </c>
      <c r="D3957" t="s">
        <v>18</v>
      </c>
      <c r="E3957" t="s">
        <v>10</v>
      </c>
      <c r="F3957" t="s">
        <v>48</v>
      </c>
      <c r="G3957" t="s">
        <v>21</v>
      </c>
      <c r="H3957" t="s">
        <v>20</v>
      </c>
      <c r="I3957" t="s">
        <v>20</v>
      </c>
      <c r="J3957" t="s">
        <v>20</v>
      </c>
      <c r="K3957" t="s">
        <v>20</v>
      </c>
      <c r="L3957">
        <f t="shared" si="312"/>
        <v>1</v>
      </c>
      <c r="M3957">
        <f t="shared" si="313"/>
        <v>0</v>
      </c>
      <c r="N3957">
        <f t="shared" si="314"/>
        <v>0</v>
      </c>
      <c r="O3957">
        <f t="shared" si="315"/>
        <v>0</v>
      </c>
      <c r="P3957">
        <f t="shared" si="316"/>
        <v>1</v>
      </c>
      <c r="Q3957">
        <f>COUNTIF('責任職　企業局→市長部局'!A:A,SQLデータ!B3957)</f>
        <v>0</v>
      </c>
      <c r="R3957">
        <f>COUNTIF('一般職員　企業局→市長部局'!A:F,SQLデータ!B3957)</f>
        <v>0</v>
      </c>
    </row>
    <row r="3958" spans="1:18" x14ac:dyDescent="0.4">
      <c r="A3958" s="1">
        <v>202660000257</v>
      </c>
      <c r="B3958" s="1">
        <v>950422</v>
      </c>
      <c r="C3958" s="2">
        <v>46125</v>
      </c>
      <c r="D3958" t="s">
        <v>18</v>
      </c>
      <c r="E3958" t="s">
        <v>10</v>
      </c>
      <c r="G3958" t="s">
        <v>24</v>
      </c>
      <c r="H3958" t="s">
        <v>23</v>
      </c>
      <c r="I3958" t="s">
        <v>23</v>
      </c>
      <c r="J3958" t="s">
        <v>23</v>
      </c>
      <c r="K3958" t="s">
        <v>23</v>
      </c>
      <c r="L3958">
        <f t="shared" si="312"/>
        <v>1</v>
      </c>
      <c r="M3958">
        <f t="shared" si="313"/>
        <v>0</v>
      </c>
      <c r="N3958">
        <f t="shared" si="314"/>
        <v>0</v>
      </c>
      <c r="O3958">
        <f t="shared" si="315"/>
        <v>0</v>
      </c>
      <c r="P3958">
        <f t="shared" si="316"/>
        <v>1</v>
      </c>
      <c r="Q3958">
        <f>COUNTIF('責任職　企業局→市長部局'!A:A,SQLデータ!B3958)</f>
        <v>0</v>
      </c>
      <c r="R3958">
        <f>COUNTIF('一般職員　企業局→市長部局'!A:F,SQLデータ!B3958)</f>
        <v>0</v>
      </c>
    </row>
    <row r="3959" spans="1:18" x14ac:dyDescent="0.4">
      <c r="A3959" s="1">
        <v>202660000258</v>
      </c>
      <c r="B3959" s="1">
        <v>950335</v>
      </c>
      <c r="C3959" s="2">
        <v>46125</v>
      </c>
      <c r="D3959" t="s">
        <v>18</v>
      </c>
      <c r="E3959" t="s">
        <v>10</v>
      </c>
      <c r="G3959" t="s">
        <v>24</v>
      </c>
      <c r="H3959" t="s">
        <v>23</v>
      </c>
      <c r="I3959" t="s">
        <v>23</v>
      </c>
      <c r="J3959" t="s">
        <v>23</v>
      </c>
      <c r="L3959">
        <f t="shared" si="312"/>
        <v>1</v>
      </c>
      <c r="M3959">
        <f t="shared" si="313"/>
        <v>0</v>
      </c>
      <c r="N3959">
        <f t="shared" si="314"/>
        <v>0</v>
      </c>
      <c r="O3959">
        <f t="shared" si="315"/>
        <v>0</v>
      </c>
      <c r="P3959">
        <f t="shared" si="316"/>
        <v>1</v>
      </c>
      <c r="Q3959">
        <f>COUNTIF('責任職　企業局→市長部局'!A:A,SQLデータ!B3959)</f>
        <v>0</v>
      </c>
      <c r="R3959">
        <f>COUNTIF('一般職員　企業局→市長部局'!A:F,SQLデータ!B3959)</f>
        <v>0</v>
      </c>
    </row>
    <row r="3960" spans="1:18" x14ac:dyDescent="0.4">
      <c r="A3960" s="1">
        <v>202660000259</v>
      </c>
      <c r="B3960" s="1">
        <v>1001194</v>
      </c>
      <c r="C3960" s="2">
        <v>46125</v>
      </c>
      <c r="D3960" t="s">
        <v>18</v>
      </c>
      <c r="E3960" t="s">
        <v>10</v>
      </c>
      <c r="G3960" t="s">
        <v>24</v>
      </c>
      <c r="H3960" t="s">
        <v>23</v>
      </c>
      <c r="J3960" t="s">
        <v>23</v>
      </c>
      <c r="K3960" t="s">
        <v>23</v>
      </c>
      <c r="L3960">
        <f t="shared" si="312"/>
        <v>1</v>
      </c>
      <c r="M3960">
        <f t="shared" si="313"/>
        <v>0</v>
      </c>
      <c r="N3960">
        <f t="shared" si="314"/>
        <v>0</v>
      </c>
      <c r="O3960">
        <f t="shared" si="315"/>
        <v>0</v>
      </c>
      <c r="P3960">
        <f t="shared" si="316"/>
        <v>1</v>
      </c>
      <c r="Q3960">
        <f>COUNTIF('責任職　企業局→市長部局'!A:A,SQLデータ!B3960)</f>
        <v>0</v>
      </c>
      <c r="R3960">
        <f>COUNTIF('一般職員　企業局→市長部局'!A:F,SQLデータ!B3960)</f>
        <v>0</v>
      </c>
    </row>
    <row r="3961" spans="1:18" x14ac:dyDescent="0.4">
      <c r="A3961" s="1">
        <v>202660000260</v>
      </c>
      <c r="B3961" s="1">
        <v>950532</v>
      </c>
      <c r="C3961" s="2">
        <v>46125</v>
      </c>
      <c r="D3961" t="s">
        <v>18</v>
      </c>
      <c r="E3961" t="s">
        <v>10</v>
      </c>
      <c r="G3961" t="s">
        <v>24</v>
      </c>
      <c r="H3961" t="s">
        <v>23</v>
      </c>
      <c r="J3961" t="s">
        <v>23</v>
      </c>
      <c r="K3961" t="s">
        <v>23</v>
      </c>
      <c r="L3961">
        <f t="shared" si="312"/>
        <v>1</v>
      </c>
      <c r="M3961">
        <f t="shared" si="313"/>
        <v>0</v>
      </c>
      <c r="N3961">
        <f t="shared" si="314"/>
        <v>0</v>
      </c>
      <c r="O3961">
        <f t="shared" si="315"/>
        <v>0</v>
      </c>
      <c r="P3961">
        <f t="shared" si="316"/>
        <v>1</v>
      </c>
      <c r="Q3961">
        <f>COUNTIF('責任職　企業局→市長部局'!A:A,SQLデータ!B3961)</f>
        <v>0</v>
      </c>
      <c r="R3961">
        <f>COUNTIF('一般職員　企業局→市長部局'!A:F,SQLデータ!B3961)</f>
        <v>0</v>
      </c>
    </row>
    <row r="3962" spans="1:18" x14ac:dyDescent="0.4">
      <c r="A3962" s="1">
        <v>202660000262</v>
      </c>
      <c r="B3962" s="1">
        <v>950543</v>
      </c>
      <c r="C3962" s="2">
        <v>46127</v>
      </c>
      <c r="D3962" t="s">
        <v>18</v>
      </c>
      <c r="E3962" t="s">
        <v>8</v>
      </c>
      <c r="G3962" t="s">
        <v>24</v>
      </c>
      <c r="H3962" t="s">
        <v>23</v>
      </c>
      <c r="I3962" t="s">
        <v>23</v>
      </c>
      <c r="J3962" t="s">
        <v>23</v>
      </c>
      <c r="K3962" t="s">
        <v>23</v>
      </c>
      <c r="L3962">
        <f t="shared" si="312"/>
        <v>1</v>
      </c>
      <c r="M3962">
        <f t="shared" si="313"/>
        <v>0</v>
      </c>
      <c r="N3962">
        <f t="shared" si="314"/>
        <v>0</v>
      </c>
      <c r="O3962">
        <f t="shared" si="315"/>
        <v>0</v>
      </c>
      <c r="P3962">
        <f t="shared" si="316"/>
        <v>0</v>
      </c>
      <c r="Q3962">
        <f>COUNTIF('責任職　企業局→市長部局'!A:A,SQLデータ!B3962)</f>
        <v>0</v>
      </c>
      <c r="R3962">
        <f>COUNTIF('一般職員　企業局→市長部局'!A:F,SQLデータ!B3962)</f>
        <v>0</v>
      </c>
    </row>
    <row r="3963" spans="1:18" x14ac:dyDescent="0.4">
      <c r="A3963" s="1">
        <v>202660000264</v>
      </c>
      <c r="B3963" s="1">
        <v>1136035</v>
      </c>
      <c r="C3963" s="2">
        <v>46125</v>
      </c>
      <c r="D3963" t="s">
        <v>18</v>
      </c>
      <c r="E3963" t="s">
        <v>8</v>
      </c>
      <c r="G3963" t="s">
        <v>22</v>
      </c>
      <c r="H3963" t="s">
        <v>23</v>
      </c>
      <c r="I3963" t="s">
        <v>23</v>
      </c>
      <c r="J3963" t="s">
        <v>23</v>
      </c>
      <c r="K3963" t="s">
        <v>23</v>
      </c>
      <c r="L3963">
        <f t="shared" si="312"/>
        <v>1</v>
      </c>
      <c r="M3963">
        <f t="shared" si="313"/>
        <v>0</v>
      </c>
      <c r="N3963">
        <f t="shared" si="314"/>
        <v>0</v>
      </c>
      <c r="O3963">
        <f t="shared" si="315"/>
        <v>0</v>
      </c>
      <c r="P3963">
        <f t="shared" si="316"/>
        <v>0</v>
      </c>
      <c r="Q3963">
        <f>COUNTIF('責任職　企業局→市長部局'!A:A,SQLデータ!B3963)</f>
        <v>0</v>
      </c>
      <c r="R3963">
        <f>COUNTIF('一般職員　企業局→市長部局'!A:F,SQLデータ!B3963)</f>
        <v>0</v>
      </c>
    </row>
    <row r="3964" spans="1:18" x14ac:dyDescent="0.4">
      <c r="A3964" s="1">
        <v>202660000267</v>
      </c>
      <c r="B3964" s="1">
        <v>900035</v>
      </c>
      <c r="C3964" s="2">
        <v>46125</v>
      </c>
      <c r="D3964" t="s">
        <v>18</v>
      </c>
      <c r="E3964" t="s">
        <v>10</v>
      </c>
      <c r="G3964" t="s">
        <v>24</v>
      </c>
      <c r="H3964" t="s">
        <v>23</v>
      </c>
      <c r="I3964" t="s">
        <v>23</v>
      </c>
      <c r="J3964" t="s">
        <v>23</v>
      </c>
      <c r="K3964" t="s">
        <v>23</v>
      </c>
      <c r="L3964">
        <f t="shared" si="312"/>
        <v>1</v>
      </c>
      <c r="M3964">
        <f t="shared" si="313"/>
        <v>0</v>
      </c>
      <c r="N3964">
        <f t="shared" si="314"/>
        <v>0</v>
      </c>
      <c r="O3964">
        <f t="shared" si="315"/>
        <v>0</v>
      </c>
      <c r="P3964">
        <f t="shared" si="316"/>
        <v>1</v>
      </c>
      <c r="Q3964">
        <f>COUNTIF('責任職　企業局→市長部局'!A:A,SQLデータ!B3964)</f>
        <v>0</v>
      </c>
      <c r="R3964">
        <f>COUNTIF('一般職員　企業局→市長部局'!A:F,SQLデータ!B3964)</f>
        <v>0</v>
      </c>
    </row>
    <row r="3965" spans="1:18" x14ac:dyDescent="0.4">
      <c r="A3965" s="1">
        <v>202660000268</v>
      </c>
      <c r="B3965" s="1">
        <v>1176111</v>
      </c>
      <c r="C3965" s="2">
        <v>46129</v>
      </c>
      <c r="D3965" t="s">
        <v>18</v>
      </c>
      <c r="E3965" t="s">
        <v>8</v>
      </c>
      <c r="G3965" t="s">
        <v>28</v>
      </c>
      <c r="H3965" t="s">
        <v>20</v>
      </c>
      <c r="I3965" t="s">
        <v>20</v>
      </c>
      <c r="J3965" t="s">
        <v>20</v>
      </c>
      <c r="K3965" t="s">
        <v>20</v>
      </c>
      <c r="L3965">
        <f t="shared" si="312"/>
        <v>1</v>
      </c>
      <c r="M3965">
        <f t="shared" si="313"/>
        <v>0</v>
      </c>
      <c r="N3965">
        <f t="shared" si="314"/>
        <v>0</v>
      </c>
      <c r="O3965">
        <f t="shared" si="315"/>
        <v>0</v>
      </c>
      <c r="P3965">
        <f t="shared" si="316"/>
        <v>0</v>
      </c>
      <c r="Q3965">
        <f>COUNTIF('責任職　企業局→市長部局'!A:A,SQLデータ!B3965)</f>
        <v>0</v>
      </c>
      <c r="R3965">
        <f>COUNTIF('一般職員　企業局→市長部局'!A:F,SQLデータ!B3965)</f>
        <v>0</v>
      </c>
    </row>
    <row r="3966" spans="1:18" x14ac:dyDescent="0.4">
      <c r="A3966" s="1">
        <v>202660000269</v>
      </c>
      <c r="B3966" s="1">
        <v>1171359</v>
      </c>
      <c r="C3966" s="2">
        <v>46125</v>
      </c>
      <c r="D3966" t="s">
        <v>18</v>
      </c>
      <c r="E3966" t="s">
        <v>15</v>
      </c>
      <c r="G3966" t="s">
        <v>31</v>
      </c>
      <c r="H3966" t="s">
        <v>20</v>
      </c>
      <c r="L3966">
        <f t="shared" si="312"/>
        <v>0</v>
      </c>
      <c r="M3966">
        <f t="shared" si="313"/>
        <v>0</v>
      </c>
      <c r="N3966">
        <f t="shared" si="314"/>
        <v>0</v>
      </c>
      <c r="O3966">
        <f t="shared" si="315"/>
        <v>1</v>
      </c>
      <c r="P3966">
        <f t="shared" si="316"/>
        <v>1</v>
      </c>
      <c r="Q3966">
        <f>COUNTIF('責任職　企業局→市長部局'!A:A,SQLデータ!B3966)</f>
        <v>0</v>
      </c>
      <c r="R3966">
        <f>COUNTIF('一般職員　企業局→市長部局'!A:F,SQLデータ!B3966)</f>
        <v>0</v>
      </c>
    </row>
    <row r="3967" spans="1:18" x14ac:dyDescent="0.4">
      <c r="A3967" s="1">
        <v>202660000270</v>
      </c>
      <c r="B3967" s="1">
        <v>1221319</v>
      </c>
      <c r="C3967" s="2">
        <v>46122</v>
      </c>
      <c r="D3967" t="s">
        <v>18</v>
      </c>
      <c r="E3967" t="s">
        <v>8</v>
      </c>
      <c r="G3967" t="s">
        <v>24</v>
      </c>
      <c r="H3967" t="s">
        <v>23</v>
      </c>
      <c r="K3967" t="s">
        <v>23</v>
      </c>
      <c r="L3967">
        <f t="shared" si="312"/>
        <v>0</v>
      </c>
      <c r="M3967">
        <f t="shared" si="313"/>
        <v>0</v>
      </c>
      <c r="N3967">
        <f t="shared" si="314"/>
        <v>1</v>
      </c>
      <c r="O3967">
        <f t="shared" si="315"/>
        <v>0</v>
      </c>
      <c r="P3967">
        <f t="shared" si="316"/>
        <v>1</v>
      </c>
      <c r="Q3967">
        <f>COUNTIF('責任職　企業局→市長部局'!A:A,SQLデータ!B3967)</f>
        <v>0</v>
      </c>
      <c r="R3967">
        <f>COUNTIF('一般職員　企業局→市長部局'!A:F,SQLデータ!B3967)</f>
        <v>0</v>
      </c>
    </row>
    <row r="3968" spans="1:18" x14ac:dyDescent="0.4">
      <c r="A3968" s="1">
        <v>202660000271</v>
      </c>
      <c r="B3968" s="1">
        <v>1081516</v>
      </c>
      <c r="C3968" s="2">
        <v>46125</v>
      </c>
      <c r="D3968" t="s">
        <v>18</v>
      </c>
      <c r="E3968" t="s">
        <v>10</v>
      </c>
      <c r="G3968" t="s">
        <v>25</v>
      </c>
      <c r="H3968" t="s">
        <v>20</v>
      </c>
      <c r="I3968" t="s">
        <v>20</v>
      </c>
      <c r="J3968" t="s">
        <v>20</v>
      </c>
      <c r="K3968" t="s">
        <v>20</v>
      </c>
      <c r="L3968">
        <f t="shared" si="312"/>
        <v>1</v>
      </c>
      <c r="M3968">
        <f t="shared" si="313"/>
        <v>0</v>
      </c>
      <c r="N3968">
        <f t="shared" si="314"/>
        <v>0</v>
      </c>
      <c r="O3968">
        <f t="shared" si="315"/>
        <v>0</v>
      </c>
      <c r="P3968">
        <f t="shared" si="316"/>
        <v>1</v>
      </c>
      <c r="Q3968">
        <f>COUNTIF('責任職　企業局→市長部局'!A:A,SQLデータ!B3968)</f>
        <v>0</v>
      </c>
      <c r="R3968">
        <f>COUNTIF('一般職員　企業局→市長部局'!A:F,SQLデータ!B3968)</f>
        <v>0</v>
      </c>
    </row>
    <row r="3969" spans="1:18" x14ac:dyDescent="0.4">
      <c r="A3969" s="1">
        <v>202660000272</v>
      </c>
      <c r="B3969" s="1">
        <v>994276</v>
      </c>
      <c r="C3969" s="2">
        <v>46125</v>
      </c>
      <c r="D3969" t="s">
        <v>18</v>
      </c>
      <c r="E3969" t="s">
        <v>8</v>
      </c>
      <c r="G3969" t="s">
        <v>24</v>
      </c>
      <c r="H3969" t="s">
        <v>23</v>
      </c>
      <c r="I3969" t="s">
        <v>23</v>
      </c>
      <c r="J3969" t="s">
        <v>23</v>
      </c>
      <c r="K3969" t="s">
        <v>23</v>
      </c>
      <c r="L3969">
        <f t="shared" si="312"/>
        <v>1</v>
      </c>
      <c r="M3969">
        <f t="shared" si="313"/>
        <v>0</v>
      </c>
      <c r="N3969">
        <f t="shared" si="314"/>
        <v>0</v>
      </c>
      <c r="O3969">
        <f t="shared" si="315"/>
        <v>0</v>
      </c>
      <c r="P3969">
        <f t="shared" si="316"/>
        <v>0</v>
      </c>
      <c r="Q3969">
        <f>COUNTIF('責任職　企業局→市長部局'!A:A,SQLデータ!B3969)</f>
        <v>0</v>
      </c>
      <c r="R3969">
        <f>COUNTIF('一般職員　企業局→市長部局'!A:F,SQLデータ!B3969)</f>
        <v>0</v>
      </c>
    </row>
    <row r="3970" spans="1:18" x14ac:dyDescent="0.4">
      <c r="A3970" s="1">
        <v>202660000273</v>
      </c>
      <c r="B3970" s="1">
        <v>1034069</v>
      </c>
      <c r="C3970" s="2">
        <v>46113</v>
      </c>
      <c r="D3970" t="s">
        <v>18</v>
      </c>
      <c r="E3970" t="s">
        <v>8</v>
      </c>
      <c r="G3970" t="s">
        <v>24</v>
      </c>
      <c r="H3970" t="s">
        <v>23</v>
      </c>
      <c r="I3970" t="s">
        <v>23</v>
      </c>
      <c r="J3970" t="s">
        <v>23</v>
      </c>
      <c r="K3970" t="s">
        <v>23</v>
      </c>
      <c r="L3970">
        <f t="shared" si="312"/>
        <v>1</v>
      </c>
      <c r="M3970">
        <f t="shared" si="313"/>
        <v>0</v>
      </c>
      <c r="N3970">
        <f t="shared" si="314"/>
        <v>0</v>
      </c>
      <c r="O3970">
        <f t="shared" si="315"/>
        <v>0</v>
      </c>
      <c r="P3970">
        <f t="shared" si="316"/>
        <v>0</v>
      </c>
      <c r="Q3970">
        <f>COUNTIF('責任職　企業局→市長部局'!A:A,SQLデータ!B3970)</f>
        <v>0</v>
      </c>
      <c r="R3970">
        <f>COUNTIF('一般職員　企業局→市長部局'!A:F,SQLデータ!B3970)</f>
        <v>0</v>
      </c>
    </row>
    <row r="3971" spans="1:18" x14ac:dyDescent="0.4">
      <c r="A3971" s="1">
        <v>202660000274</v>
      </c>
      <c r="B3971" s="1">
        <v>1112148</v>
      </c>
      <c r="C3971" s="2">
        <v>46125</v>
      </c>
      <c r="D3971" t="s">
        <v>18</v>
      </c>
      <c r="E3971" t="s">
        <v>10</v>
      </c>
      <c r="G3971" t="s">
        <v>24</v>
      </c>
      <c r="H3971" t="s">
        <v>23</v>
      </c>
      <c r="J3971" t="s">
        <v>23</v>
      </c>
      <c r="K3971" t="s">
        <v>23</v>
      </c>
      <c r="L3971">
        <f t="shared" si="312"/>
        <v>1</v>
      </c>
      <c r="M3971">
        <f t="shared" si="313"/>
        <v>0</v>
      </c>
      <c r="N3971">
        <f t="shared" si="314"/>
        <v>0</v>
      </c>
      <c r="O3971">
        <f t="shared" si="315"/>
        <v>0</v>
      </c>
      <c r="P3971">
        <f t="shared" si="316"/>
        <v>1</v>
      </c>
      <c r="Q3971">
        <f>COUNTIF('責任職　企業局→市長部局'!A:A,SQLデータ!B3971)</f>
        <v>0</v>
      </c>
      <c r="R3971">
        <f>COUNTIF('一般職員　企業局→市長部局'!A:F,SQLデータ!B3971)</f>
        <v>0</v>
      </c>
    </row>
    <row r="3972" spans="1:18" x14ac:dyDescent="0.4">
      <c r="A3972" s="1">
        <v>202660000275</v>
      </c>
      <c r="B3972" s="1">
        <v>1018009</v>
      </c>
      <c r="C3972" s="2">
        <v>46129</v>
      </c>
      <c r="D3972" t="s">
        <v>18</v>
      </c>
      <c r="E3972" t="s">
        <v>8</v>
      </c>
      <c r="G3972" t="s">
        <v>24</v>
      </c>
      <c r="H3972" t="s">
        <v>23</v>
      </c>
      <c r="I3972" t="s">
        <v>23</v>
      </c>
      <c r="J3972" t="s">
        <v>23</v>
      </c>
      <c r="K3972" t="s">
        <v>23</v>
      </c>
      <c r="L3972">
        <f t="shared" si="312"/>
        <v>1</v>
      </c>
      <c r="M3972">
        <f t="shared" si="313"/>
        <v>0</v>
      </c>
      <c r="N3972">
        <f t="shared" si="314"/>
        <v>0</v>
      </c>
      <c r="O3972">
        <f t="shared" si="315"/>
        <v>0</v>
      </c>
      <c r="P3972">
        <f t="shared" si="316"/>
        <v>0</v>
      </c>
      <c r="Q3972">
        <f>COUNTIF('責任職　企業局→市長部局'!A:A,SQLデータ!B3972)</f>
        <v>0</v>
      </c>
      <c r="R3972">
        <f>COUNTIF('一般職員　企業局→市長部局'!A:F,SQLデータ!B3972)</f>
        <v>0</v>
      </c>
    </row>
    <row r="3973" spans="1:18" x14ac:dyDescent="0.4">
      <c r="A3973" s="1">
        <v>202660000276</v>
      </c>
      <c r="B3973" s="1">
        <v>991275</v>
      </c>
      <c r="C3973" s="2">
        <v>46125</v>
      </c>
      <c r="D3973" t="s">
        <v>18</v>
      </c>
      <c r="E3973" t="s">
        <v>8</v>
      </c>
      <c r="G3973" t="s">
        <v>24</v>
      </c>
      <c r="H3973" t="s">
        <v>23</v>
      </c>
      <c r="L3973">
        <f t="shared" si="312"/>
        <v>0</v>
      </c>
      <c r="M3973">
        <f t="shared" si="313"/>
        <v>0</v>
      </c>
      <c r="N3973">
        <f t="shared" si="314"/>
        <v>0</v>
      </c>
      <c r="O3973">
        <f t="shared" si="315"/>
        <v>1</v>
      </c>
      <c r="P3973">
        <f t="shared" si="316"/>
        <v>1</v>
      </c>
      <c r="Q3973">
        <f>COUNTIF('責任職　企業局→市長部局'!A:A,SQLデータ!B3973)</f>
        <v>0</v>
      </c>
      <c r="R3973">
        <f>COUNTIF('一般職員　企業局→市長部局'!A:F,SQLデータ!B3973)</f>
        <v>0</v>
      </c>
    </row>
    <row r="3974" spans="1:18" x14ac:dyDescent="0.4">
      <c r="A3974" s="1">
        <v>202660000277</v>
      </c>
      <c r="B3974" s="1">
        <v>1111080</v>
      </c>
      <c r="C3974" s="2">
        <v>46125</v>
      </c>
      <c r="D3974" t="s">
        <v>18</v>
      </c>
      <c r="E3974" t="s">
        <v>10</v>
      </c>
      <c r="G3974" t="s">
        <v>28</v>
      </c>
      <c r="H3974" t="s">
        <v>20</v>
      </c>
      <c r="I3974" t="s">
        <v>20</v>
      </c>
      <c r="J3974" t="s">
        <v>20</v>
      </c>
      <c r="K3974" t="s">
        <v>20</v>
      </c>
      <c r="L3974">
        <f t="shared" si="312"/>
        <v>1</v>
      </c>
      <c r="M3974">
        <f t="shared" si="313"/>
        <v>0</v>
      </c>
      <c r="N3974">
        <f t="shared" si="314"/>
        <v>0</v>
      </c>
      <c r="O3974">
        <f t="shared" si="315"/>
        <v>0</v>
      </c>
      <c r="P3974">
        <f t="shared" si="316"/>
        <v>1</v>
      </c>
      <c r="Q3974">
        <f>COUNTIF('責任職　企業局→市長部局'!A:A,SQLデータ!B3974)</f>
        <v>0</v>
      </c>
      <c r="R3974">
        <f>COUNTIF('一般職員　企業局→市長部局'!A:F,SQLデータ!B3974)</f>
        <v>0</v>
      </c>
    </row>
    <row r="3975" spans="1:18" x14ac:dyDescent="0.4">
      <c r="A3975" s="1">
        <v>202660000278</v>
      </c>
      <c r="B3975" s="1">
        <v>930931</v>
      </c>
      <c r="C3975" s="2">
        <v>46125</v>
      </c>
      <c r="D3975" t="s">
        <v>18</v>
      </c>
      <c r="E3975" t="s">
        <v>8</v>
      </c>
      <c r="G3975" t="s">
        <v>24</v>
      </c>
      <c r="H3975" t="s">
        <v>23</v>
      </c>
      <c r="I3975" t="s">
        <v>23</v>
      </c>
      <c r="J3975" t="s">
        <v>23</v>
      </c>
      <c r="K3975" t="s">
        <v>23</v>
      </c>
      <c r="L3975">
        <f t="shared" si="312"/>
        <v>1</v>
      </c>
      <c r="M3975">
        <f t="shared" si="313"/>
        <v>0</v>
      </c>
      <c r="N3975">
        <f t="shared" si="314"/>
        <v>0</v>
      </c>
      <c r="O3975">
        <f t="shared" si="315"/>
        <v>0</v>
      </c>
      <c r="P3975">
        <f t="shared" si="316"/>
        <v>0</v>
      </c>
      <c r="Q3975">
        <f>COUNTIF('責任職　企業局→市長部局'!A:A,SQLデータ!B3975)</f>
        <v>0</v>
      </c>
      <c r="R3975">
        <f>COUNTIF('一般職員　企業局→市長部局'!A:F,SQLデータ!B3975)</f>
        <v>0</v>
      </c>
    </row>
    <row r="3976" spans="1:18" x14ac:dyDescent="0.4">
      <c r="A3976" s="1">
        <v>202660000279</v>
      </c>
      <c r="B3976" s="1">
        <v>951192</v>
      </c>
      <c r="C3976" s="2">
        <v>46125</v>
      </c>
      <c r="D3976" t="s">
        <v>18</v>
      </c>
      <c r="E3976" t="s">
        <v>8</v>
      </c>
      <c r="G3976" t="s">
        <v>24</v>
      </c>
      <c r="H3976" t="s">
        <v>23</v>
      </c>
      <c r="I3976" t="s">
        <v>23</v>
      </c>
      <c r="J3976" t="s">
        <v>23</v>
      </c>
      <c r="K3976" t="s">
        <v>23</v>
      </c>
      <c r="L3976">
        <f t="shared" si="312"/>
        <v>1</v>
      </c>
      <c r="M3976">
        <f t="shared" si="313"/>
        <v>0</v>
      </c>
      <c r="N3976">
        <f t="shared" si="314"/>
        <v>0</v>
      </c>
      <c r="O3976">
        <f t="shared" si="315"/>
        <v>0</v>
      </c>
      <c r="P3976">
        <f t="shared" si="316"/>
        <v>0</v>
      </c>
      <c r="Q3976">
        <f>COUNTIF('責任職　企業局→市長部局'!A:A,SQLデータ!B3976)</f>
        <v>0</v>
      </c>
      <c r="R3976">
        <f>COUNTIF('一般職員　企業局→市長部局'!A:F,SQLデータ!B3976)</f>
        <v>0</v>
      </c>
    </row>
    <row r="3977" spans="1:18" x14ac:dyDescent="0.4">
      <c r="A3977" s="1">
        <v>202660000280</v>
      </c>
      <c r="B3977" s="1">
        <v>940060</v>
      </c>
      <c r="C3977" s="2">
        <v>46125</v>
      </c>
      <c r="D3977" t="s">
        <v>18</v>
      </c>
      <c r="E3977" t="s">
        <v>8</v>
      </c>
      <c r="G3977" t="s">
        <v>24</v>
      </c>
      <c r="H3977" t="s">
        <v>23</v>
      </c>
      <c r="I3977" t="s">
        <v>23</v>
      </c>
      <c r="J3977" t="s">
        <v>23</v>
      </c>
      <c r="K3977" t="s">
        <v>23</v>
      </c>
      <c r="L3977">
        <f t="shared" si="312"/>
        <v>1</v>
      </c>
      <c r="M3977">
        <f t="shared" si="313"/>
        <v>0</v>
      </c>
      <c r="N3977">
        <f t="shared" si="314"/>
        <v>0</v>
      </c>
      <c r="O3977">
        <f t="shared" si="315"/>
        <v>0</v>
      </c>
      <c r="P3977">
        <f t="shared" si="316"/>
        <v>0</v>
      </c>
      <c r="Q3977">
        <f>COUNTIF('責任職　企業局→市長部局'!A:A,SQLデータ!B3977)</f>
        <v>0</v>
      </c>
      <c r="R3977">
        <f>COUNTIF('一般職員　企業局→市長部局'!A:F,SQLデータ!B3977)</f>
        <v>0</v>
      </c>
    </row>
    <row r="3978" spans="1:18" x14ac:dyDescent="0.4">
      <c r="A3978" s="1">
        <v>202660000281</v>
      </c>
      <c r="B3978" s="1">
        <v>1212318</v>
      </c>
      <c r="C3978" s="2">
        <v>46127</v>
      </c>
      <c r="D3978" t="s">
        <v>18</v>
      </c>
      <c r="E3978" t="s">
        <v>8</v>
      </c>
      <c r="G3978" t="s">
        <v>28</v>
      </c>
      <c r="H3978" t="s">
        <v>20</v>
      </c>
      <c r="I3978" t="s">
        <v>20</v>
      </c>
      <c r="J3978" t="s">
        <v>20</v>
      </c>
      <c r="K3978" t="s">
        <v>20</v>
      </c>
      <c r="L3978">
        <f t="shared" si="312"/>
        <v>1</v>
      </c>
      <c r="M3978">
        <f t="shared" si="313"/>
        <v>0</v>
      </c>
      <c r="N3978">
        <f t="shared" si="314"/>
        <v>0</v>
      </c>
      <c r="O3978">
        <f t="shared" si="315"/>
        <v>0</v>
      </c>
      <c r="P3978">
        <f t="shared" si="316"/>
        <v>0</v>
      </c>
      <c r="Q3978">
        <f>COUNTIF('責任職　企業局→市長部局'!A:A,SQLデータ!B3978)</f>
        <v>0</v>
      </c>
      <c r="R3978">
        <f>COUNTIF('一般職員　企業局→市長部局'!A:F,SQLデータ!B3978)</f>
        <v>0</v>
      </c>
    </row>
    <row r="3979" spans="1:18" x14ac:dyDescent="0.4">
      <c r="A3979" s="1">
        <v>202660000282</v>
      </c>
      <c r="B3979" s="1">
        <v>950338</v>
      </c>
      <c r="C3979" s="2">
        <v>46127</v>
      </c>
      <c r="D3979" t="s">
        <v>18</v>
      </c>
      <c r="E3979" t="s">
        <v>10</v>
      </c>
      <c r="G3979" t="s">
        <v>24</v>
      </c>
      <c r="H3979" t="s">
        <v>23</v>
      </c>
      <c r="I3979" t="s">
        <v>23</v>
      </c>
      <c r="J3979" t="s">
        <v>23</v>
      </c>
      <c r="K3979" t="s">
        <v>23</v>
      </c>
      <c r="L3979">
        <f t="shared" si="312"/>
        <v>1</v>
      </c>
      <c r="M3979">
        <f t="shared" si="313"/>
        <v>0</v>
      </c>
      <c r="N3979">
        <f t="shared" si="314"/>
        <v>0</v>
      </c>
      <c r="O3979">
        <f t="shared" si="315"/>
        <v>0</v>
      </c>
      <c r="P3979">
        <f t="shared" si="316"/>
        <v>1</v>
      </c>
      <c r="Q3979">
        <f>COUNTIF('責任職　企業局→市長部局'!A:A,SQLデータ!B3979)</f>
        <v>0</v>
      </c>
      <c r="R3979">
        <f>COUNTIF('一般職員　企業局→市長部局'!A:F,SQLデータ!B3979)</f>
        <v>0</v>
      </c>
    </row>
    <row r="3980" spans="1:18" x14ac:dyDescent="0.4">
      <c r="A3980" s="1">
        <v>202660000283</v>
      </c>
      <c r="B3980" s="1">
        <v>930938</v>
      </c>
      <c r="C3980" s="2">
        <v>46127</v>
      </c>
      <c r="D3980" t="s">
        <v>18</v>
      </c>
      <c r="E3980" t="s">
        <v>8</v>
      </c>
      <c r="G3980" t="s">
        <v>24</v>
      </c>
      <c r="H3980" t="s">
        <v>23</v>
      </c>
      <c r="I3980" t="s">
        <v>23</v>
      </c>
      <c r="J3980" t="s">
        <v>23</v>
      </c>
      <c r="L3980">
        <f t="shared" si="312"/>
        <v>1</v>
      </c>
      <c r="M3980">
        <f t="shared" si="313"/>
        <v>0</v>
      </c>
      <c r="N3980">
        <f t="shared" si="314"/>
        <v>0</v>
      </c>
      <c r="O3980">
        <f t="shared" si="315"/>
        <v>0</v>
      </c>
      <c r="P3980">
        <f t="shared" si="316"/>
        <v>0</v>
      </c>
      <c r="Q3980">
        <f>COUNTIF('責任職　企業局→市長部局'!A:A,SQLデータ!B3980)</f>
        <v>0</v>
      </c>
      <c r="R3980">
        <f>COUNTIF('一般職員　企業局→市長部局'!A:F,SQLデータ!B3980)</f>
        <v>0</v>
      </c>
    </row>
    <row r="3981" spans="1:18" x14ac:dyDescent="0.4">
      <c r="A3981" s="1">
        <v>202660000284</v>
      </c>
      <c r="B3981" s="1">
        <v>1121203</v>
      </c>
      <c r="C3981" s="2">
        <v>46127</v>
      </c>
      <c r="D3981" t="s">
        <v>18</v>
      </c>
      <c r="E3981" t="s">
        <v>10</v>
      </c>
      <c r="G3981" t="s">
        <v>30</v>
      </c>
      <c r="H3981" t="s">
        <v>23</v>
      </c>
      <c r="L3981">
        <f t="shared" si="312"/>
        <v>0</v>
      </c>
      <c r="M3981">
        <f t="shared" si="313"/>
        <v>0</v>
      </c>
      <c r="N3981">
        <f t="shared" si="314"/>
        <v>0</v>
      </c>
      <c r="O3981">
        <f t="shared" si="315"/>
        <v>1</v>
      </c>
      <c r="P3981">
        <f t="shared" si="316"/>
        <v>1</v>
      </c>
      <c r="Q3981">
        <f>COUNTIF('責任職　企業局→市長部局'!A:A,SQLデータ!B3981)</f>
        <v>0</v>
      </c>
      <c r="R3981">
        <f>COUNTIF('一般職員　企業局→市長部局'!A:F,SQLデータ!B3981)</f>
        <v>0</v>
      </c>
    </row>
    <row r="3982" spans="1:18" x14ac:dyDescent="0.4">
      <c r="A3982" s="1">
        <v>202660000285</v>
      </c>
      <c r="B3982" s="1">
        <v>1191505</v>
      </c>
      <c r="C3982" s="2">
        <v>46127</v>
      </c>
      <c r="D3982" t="s">
        <v>18</v>
      </c>
      <c r="E3982" t="s">
        <v>8</v>
      </c>
      <c r="G3982" t="s">
        <v>24</v>
      </c>
      <c r="H3982" t="s">
        <v>23</v>
      </c>
      <c r="I3982" t="s">
        <v>23</v>
      </c>
      <c r="J3982" t="s">
        <v>23</v>
      </c>
      <c r="K3982" t="s">
        <v>23</v>
      </c>
      <c r="L3982">
        <f t="shared" si="312"/>
        <v>1</v>
      </c>
      <c r="M3982">
        <f t="shared" si="313"/>
        <v>0</v>
      </c>
      <c r="N3982">
        <f t="shared" si="314"/>
        <v>0</v>
      </c>
      <c r="O3982">
        <f t="shared" si="315"/>
        <v>0</v>
      </c>
      <c r="P3982">
        <f t="shared" si="316"/>
        <v>0</v>
      </c>
      <c r="Q3982">
        <f>COUNTIF('責任職　企業局→市長部局'!A:A,SQLデータ!B3982)</f>
        <v>0</v>
      </c>
      <c r="R3982">
        <f>COUNTIF('一般職員　企業局→市長部局'!A:F,SQLデータ!B3982)</f>
        <v>0</v>
      </c>
    </row>
    <row r="3983" spans="1:18" x14ac:dyDescent="0.4">
      <c r="A3983" s="1">
        <v>202660000286</v>
      </c>
      <c r="B3983" s="1">
        <v>940348</v>
      </c>
      <c r="C3983" s="2">
        <v>46127</v>
      </c>
      <c r="D3983" t="s">
        <v>18</v>
      </c>
      <c r="E3983" t="s">
        <v>10</v>
      </c>
      <c r="G3983" t="s">
        <v>24</v>
      </c>
      <c r="H3983" t="s">
        <v>23</v>
      </c>
      <c r="I3983" t="s">
        <v>23</v>
      </c>
      <c r="J3983" t="s">
        <v>23</v>
      </c>
      <c r="K3983" t="s">
        <v>23</v>
      </c>
      <c r="L3983">
        <f t="shared" si="312"/>
        <v>1</v>
      </c>
      <c r="M3983">
        <f t="shared" si="313"/>
        <v>0</v>
      </c>
      <c r="N3983">
        <f t="shared" si="314"/>
        <v>0</v>
      </c>
      <c r="O3983">
        <f t="shared" si="315"/>
        <v>0</v>
      </c>
      <c r="P3983">
        <f t="shared" si="316"/>
        <v>1</v>
      </c>
      <c r="Q3983">
        <f>COUNTIF('責任職　企業局→市長部局'!A:A,SQLデータ!B3983)</f>
        <v>0</v>
      </c>
      <c r="R3983">
        <f>COUNTIF('一般職員　企業局→市長部局'!A:F,SQLデータ!B3983)</f>
        <v>0</v>
      </c>
    </row>
    <row r="3984" spans="1:18" x14ac:dyDescent="0.4">
      <c r="A3984" s="1">
        <v>202660000287</v>
      </c>
      <c r="B3984" s="1">
        <v>930438</v>
      </c>
      <c r="C3984" s="2">
        <v>46127</v>
      </c>
      <c r="D3984" t="s">
        <v>18</v>
      </c>
      <c r="E3984" t="s">
        <v>10</v>
      </c>
      <c r="G3984" t="s">
        <v>24</v>
      </c>
      <c r="H3984" t="s">
        <v>23</v>
      </c>
      <c r="I3984" t="s">
        <v>23</v>
      </c>
      <c r="J3984" t="s">
        <v>23</v>
      </c>
      <c r="K3984" t="s">
        <v>23</v>
      </c>
      <c r="L3984">
        <f t="shared" si="312"/>
        <v>1</v>
      </c>
      <c r="M3984">
        <f t="shared" si="313"/>
        <v>0</v>
      </c>
      <c r="N3984">
        <f t="shared" si="314"/>
        <v>0</v>
      </c>
      <c r="O3984">
        <f t="shared" si="315"/>
        <v>0</v>
      </c>
      <c r="P3984">
        <f t="shared" si="316"/>
        <v>1</v>
      </c>
      <c r="Q3984">
        <f>COUNTIF('責任職　企業局→市長部局'!A:A,SQLデータ!B3984)</f>
        <v>0</v>
      </c>
      <c r="R3984">
        <f>COUNTIF('一般職員　企業局→市長部局'!A:F,SQLデータ!B3984)</f>
        <v>0</v>
      </c>
    </row>
    <row r="3985" spans="1:18" x14ac:dyDescent="0.4">
      <c r="A3985" s="1">
        <v>202660000288</v>
      </c>
      <c r="B3985" s="1">
        <v>1176114</v>
      </c>
      <c r="C3985" s="2">
        <v>46127</v>
      </c>
      <c r="D3985" t="s">
        <v>18</v>
      </c>
      <c r="E3985" t="s">
        <v>8</v>
      </c>
      <c r="G3985" t="s">
        <v>28</v>
      </c>
      <c r="H3985" t="s">
        <v>20</v>
      </c>
      <c r="I3985" t="s">
        <v>20</v>
      </c>
      <c r="J3985" t="s">
        <v>20</v>
      </c>
      <c r="K3985" t="s">
        <v>20</v>
      </c>
      <c r="L3985">
        <f t="shared" si="312"/>
        <v>1</v>
      </c>
      <c r="M3985">
        <f t="shared" si="313"/>
        <v>0</v>
      </c>
      <c r="N3985">
        <f t="shared" si="314"/>
        <v>0</v>
      </c>
      <c r="O3985">
        <f t="shared" si="315"/>
        <v>0</v>
      </c>
      <c r="P3985">
        <f t="shared" si="316"/>
        <v>0</v>
      </c>
      <c r="Q3985">
        <f>COUNTIF('責任職　企業局→市長部局'!A:A,SQLデータ!B3985)</f>
        <v>0</v>
      </c>
      <c r="R3985">
        <f>COUNTIF('一般職員　企業局→市長部局'!A:F,SQLデータ!B3985)</f>
        <v>0</v>
      </c>
    </row>
    <row r="3986" spans="1:18" x14ac:dyDescent="0.4">
      <c r="A3986" s="1">
        <v>202660000289</v>
      </c>
      <c r="B3986" s="1">
        <v>1246023</v>
      </c>
      <c r="C3986" s="2">
        <v>46127</v>
      </c>
      <c r="D3986" t="s">
        <v>18</v>
      </c>
      <c r="E3986" t="s">
        <v>15</v>
      </c>
      <c r="G3986" t="s">
        <v>31</v>
      </c>
      <c r="H3986" t="s">
        <v>20</v>
      </c>
      <c r="L3986">
        <f t="shared" si="312"/>
        <v>0</v>
      </c>
      <c r="M3986">
        <f t="shared" si="313"/>
        <v>0</v>
      </c>
      <c r="N3986">
        <f t="shared" si="314"/>
        <v>0</v>
      </c>
      <c r="O3986">
        <f t="shared" si="315"/>
        <v>1</v>
      </c>
      <c r="P3986">
        <f t="shared" si="316"/>
        <v>1</v>
      </c>
      <c r="Q3986">
        <f>COUNTIF('責任職　企業局→市長部局'!A:A,SQLデータ!B3986)</f>
        <v>0</v>
      </c>
      <c r="R3986">
        <f>COUNTIF('一般職員　企業局→市長部局'!A:F,SQLデータ!B3986)</f>
        <v>0</v>
      </c>
    </row>
    <row r="3987" spans="1:18" x14ac:dyDescent="0.4">
      <c r="A3987" s="1">
        <v>202660000290</v>
      </c>
      <c r="B3987" s="1">
        <v>1016023</v>
      </c>
      <c r="C3987" s="2">
        <v>46127</v>
      </c>
      <c r="D3987" t="s">
        <v>18</v>
      </c>
      <c r="E3987" t="s">
        <v>8</v>
      </c>
      <c r="G3987" t="s">
        <v>24</v>
      </c>
      <c r="H3987" t="s">
        <v>23</v>
      </c>
      <c r="I3987" t="s">
        <v>23</v>
      </c>
      <c r="J3987" t="s">
        <v>23</v>
      </c>
      <c r="K3987" t="s">
        <v>23</v>
      </c>
      <c r="L3987">
        <f t="shared" si="312"/>
        <v>1</v>
      </c>
      <c r="M3987">
        <f t="shared" si="313"/>
        <v>0</v>
      </c>
      <c r="N3987">
        <f t="shared" si="314"/>
        <v>0</v>
      </c>
      <c r="O3987">
        <f t="shared" si="315"/>
        <v>0</v>
      </c>
      <c r="P3987">
        <f t="shared" si="316"/>
        <v>0</v>
      </c>
      <c r="Q3987">
        <f>COUNTIF('責任職　企業局→市長部局'!A:A,SQLデータ!B3987)</f>
        <v>0</v>
      </c>
      <c r="R3987">
        <f>COUNTIF('一般職員　企業局→市長部局'!A:F,SQLデータ!B3987)</f>
        <v>0</v>
      </c>
    </row>
    <row r="3988" spans="1:18" x14ac:dyDescent="0.4">
      <c r="A3988" s="1">
        <v>202660000292</v>
      </c>
      <c r="B3988" s="1">
        <v>930482</v>
      </c>
      <c r="C3988" s="2">
        <v>46127</v>
      </c>
      <c r="D3988" t="s">
        <v>18</v>
      </c>
      <c r="E3988" t="s">
        <v>8</v>
      </c>
      <c r="G3988" t="s">
        <v>21</v>
      </c>
      <c r="H3988" t="s">
        <v>20</v>
      </c>
      <c r="I3988" t="s">
        <v>20</v>
      </c>
      <c r="J3988" t="s">
        <v>20</v>
      </c>
      <c r="K3988" t="s">
        <v>20</v>
      </c>
      <c r="L3988">
        <f t="shared" si="312"/>
        <v>1</v>
      </c>
      <c r="M3988">
        <f t="shared" si="313"/>
        <v>0</v>
      </c>
      <c r="N3988">
        <f t="shared" si="314"/>
        <v>0</v>
      </c>
      <c r="O3988">
        <f t="shared" si="315"/>
        <v>0</v>
      </c>
      <c r="P3988">
        <f t="shared" si="316"/>
        <v>0</v>
      </c>
      <c r="Q3988">
        <f>COUNTIF('責任職　企業局→市長部局'!A:A,SQLデータ!B3988)</f>
        <v>0</v>
      </c>
      <c r="R3988">
        <f>COUNTIF('一般職員　企業局→市長部局'!A:F,SQLデータ!B3988)</f>
        <v>0</v>
      </c>
    </row>
    <row r="3989" spans="1:18" x14ac:dyDescent="0.4">
      <c r="A3989" s="1">
        <v>202660000293</v>
      </c>
      <c r="B3989" s="1">
        <v>1234059</v>
      </c>
      <c r="C3989" s="2">
        <v>46127</v>
      </c>
      <c r="D3989" t="s">
        <v>18</v>
      </c>
      <c r="E3989" t="s">
        <v>15</v>
      </c>
      <c r="G3989" t="s">
        <v>31</v>
      </c>
      <c r="H3989" t="s">
        <v>20</v>
      </c>
      <c r="L3989">
        <f t="shared" si="312"/>
        <v>0</v>
      </c>
      <c r="M3989">
        <f t="shared" si="313"/>
        <v>0</v>
      </c>
      <c r="N3989">
        <f t="shared" si="314"/>
        <v>0</v>
      </c>
      <c r="O3989">
        <f t="shared" si="315"/>
        <v>1</v>
      </c>
      <c r="P3989">
        <f t="shared" si="316"/>
        <v>1</v>
      </c>
      <c r="Q3989">
        <f>COUNTIF('責任職　企業局→市長部局'!A:A,SQLデータ!B3989)</f>
        <v>0</v>
      </c>
      <c r="R3989">
        <f>COUNTIF('一般職員　企業局→市長部局'!A:F,SQLデータ!B3989)</f>
        <v>0</v>
      </c>
    </row>
    <row r="3990" spans="1:18" x14ac:dyDescent="0.4">
      <c r="A3990" s="1">
        <v>202660000294</v>
      </c>
      <c r="B3990" s="1">
        <v>870347</v>
      </c>
      <c r="C3990" s="2">
        <v>46127</v>
      </c>
      <c r="D3990" t="s">
        <v>18</v>
      </c>
      <c r="E3990" t="s">
        <v>10</v>
      </c>
      <c r="G3990" t="s">
        <v>24</v>
      </c>
      <c r="H3990" t="s">
        <v>23</v>
      </c>
      <c r="J3990" t="s">
        <v>23</v>
      </c>
      <c r="K3990" t="s">
        <v>23</v>
      </c>
      <c r="L3990">
        <f t="shared" si="312"/>
        <v>1</v>
      </c>
      <c r="M3990">
        <f t="shared" si="313"/>
        <v>0</v>
      </c>
      <c r="N3990">
        <f t="shared" si="314"/>
        <v>0</v>
      </c>
      <c r="O3990">
        <f t="shared" si="315"/>
        <v>0</v>
      </c>
      <c r="P3990">
        <f t="shared" si="316"/>
        <v>1</v>
      </c>
      <c r="Q3990">
        <f>COUNTIF('責任職　企業局→市長部局'!A:A,SQLデータ!B3990)</f>
        <v>0</v>
      </c>
      <c r="R3990">
        <f>COUNTIF('一般職員　企業局→市長部局'!A:F,SQLデータ!B3990)</f>
        <v>0</v>
      </c>
    </row>
    <row r="3991" spans="1:18" x14ac:dyDescent="0.4">
      <c r="A3991" s="1">
        <v>202660000295</v>
      </c>
      <c r="B3991" s="1">
        <v>930578</v>
      </c>
      <c r="C3991" s="2">
        <v>46127</v>
      </c>
      <c r="D3991" t="s">
        <v>18</v>
      </c>
      <c r="E3991" t="s">
        <v>8</v>
      </c>
      <c r="G3991" t="s">
        <v>24</v>
      </c>
      <c r="H3991" t="s">
        <v>23</v>
      </c>
      <c r="I3991" t="s">
        <v>23</v>
      </c>
      <c r="J3991" t="s">
        <v>23</v>
      </c>
      <c r="K3991" t="s">
        <v>23</v>
      </c>
      <c r="L3991">
        <f t="shared" si="312"/>
        <v>1</v>
      </c>
      <c r="M3991">
        <f t="shared" si="313"/>
        <v>0</v>
      </c>
      <c r="N3991">
        <f t="shared" si="314"/>
        <v>0</v>
      </c>
      <c r="O3991">
        <f t="shared" si="315"/>
        <v>0</v>
      </c>
      <c r="P3991">
        <f t="shared" si="316"/>
        <v>0</v>
      </c>
      <c r="Q3991">
        <f>COUNTIF('責任職　企業局→市長部局'!A:A,SQLデータ!B3991)</f>
        <v>0</v>
      </c>
      <c r="R3991">
        <f>COUNTIF('一般職員　企業局→市長部局'!A:F,SQLデータ!B3991)</f>
        <v>0</v>
      </c>
    </row>
    <row r="3992" spans="1:18" x14ac:dyDescent="0.4">
      <c r="A3992" s="1">
        <v>202660000296</v>
      </c>
      <c r="B3992" s="1">
        <v>1026011</v>
      </c>
      <c r="C3992" s="2">
        <v>46127</v>
      </c>
      <c r="D3992" t="s">
        <v>18</v>
      </c>
      <c r="E3992" t="s">
        <v>8</v>
      </c>
      <c r="G3992" t="s">
        <v>24</v>
      </c>
      <c r="H3992" t="s">
        <v>23</v>
      </c>
      <c r="J3992" t="s">
        <v>23</v>
      </c>
      <c r="K3992" t="s">
        <v>23</v>
      </c>
      <c r="L3992">
        <f t="shared" si="312"/>
        <v>1</v>
      </c>
      <c r="M3992">
        <f t="shared" si="313"/>
        <v>0</v>
      </c>
      <c r="N3992">
        <f t="shared" si="314"/>
        <v>0</v>
      </c>
      <c r="O3992">
        <f t="shared" si="315"/>
        <v>0</v>
      </c>
      <c r="P3992">
        <f t="shared" si="316"/>
        <v>0</v>
      </c>
      <c r="Q3992">
        <f>COUNTIF('責任職　企業局→市長部局'!A:A,SQLデータ!B3992)</f>
        <v>0</v>
      </c>
      <c r="R3992">
        <f>COUNTIF('一般職員　企業局→市長部局'!A:F,SQLデータ!B3992)</f>
        <v>0</v>
      </c>
    </row>
    <row r="3993" spans="1:18" x14ac:dyDescent="0.4">
      <c r="A3993" s="1">
        <v>202660000297</v>
      </c>
      <c r="B3993" s="1">
        <v>930087</v>
      </c>
      <c r="C3993" s="2">
        <v>46127</v>
      </c>
      <c r="D3993" t="s">
        <v>18</v>
      </c>
      <c r="E3993" t="s">
        <v>8</v>
      </c>
      <c r="G3993" t="s">
        <v>24</v>
      </c>
      <c r="H3993" t="s">
        <v>23</v>
      </c>
      <c r="I3993" t="s">
        <v>23</v>
      </c>
      <c r="J3993" t="s">
        <v>23</v>
      </c>
      <c r="K3993" t="s">
        <v>23</v>
      </c>
      <c r="L3993">
        <f t="shared" si="312"/>
        <v>1</v>
      </c>
      <c r="M3993">
        <f t="shared" si="313"/>
        <v>0</v>
      </c>
      <c r="N3993">
        <f t="shared" si="314"/>
        <v>0</v>
      </c>
      <c r="O3993">
        <f t="shared" si="315"/>
        <v>0</v>
      </c>
      <c r="P3993">
        <f t="shared" si="316"/>
        <v>0</v>
      </c>
      <c r="Q3993">
        <f>COUNTIF('責任職　企業局→市長部局'!A:A,SQLデータ!B3993)</f>
        <v>0</v>
      </c>
      <c r="R3993">
        <f>COUNTIF('一般職員　企業局→市長部局'!A:F,SQLデータ!B3993)</f>
        <v>0</v>
      </c>
    </row>
    <row r="3994" spans="1:18" x14ac:dyDescent="0.4">
      <c r="A3994" s="1">
        <v>202660000300</v>
      </c>
      <c r="B3994" s="1">
        <v>1182123</v>
      </c>
      <c r="C3994" s="2">
        <v>46128</v>
      </c>
      <c r="D3994" t="s">
        <v>18</v>
      </c>
      <c r="E3994" t="s">
        <v>8</v>
      </c>
      <c r="G3994" t="s">
        <v>28</v>
      </c>
      <c r="H3994" t="s">
        <v>20</v>
      </c>
      <c r="I3994" t="s">
        <v>20</v>
      </c>
      <c r="J3994" t="s">
        <v>20</v>
      </c>
      <c r="K3994" t="s">
        <v>20</v>
      </c>
      <c r="L3994">
        <f t="shared" si="312"/>
        <v>1</v>
      </c>
      <c r="M3994">
        <f t="shared" si="313"/>
        <v>0</v>
      </c>
      <c r="N3994">
        <f t="shared" si="314"/>
        <v>0</v>
      </c>
      <c r="O3994">
        <f t="shared" si="315"/>
        <v>0</v>
      </c>
      <c r="P3994">
        <f t="shared" si="316"/>
        <v>0</v>
      </c>
      <c r="Q3994">
        <f>COUNTIF('責任職　企業局→市長部局'!A:A,SQLデータ!B3994)</f>
        <v>0</v>
      </c>
      <c r="R3994">
        <f>COUNTIF('一般職員　企業局→市長部局'!A:F,SQLデータ!B3994)</f>
        <v>0</v>
      </c>
    </row>
    <row r="3995" spans="1:18" x14ac:dyDescent="0.4">
      <c r="A3995" s="1">
        <v>202660000302</v>
      </c>
      <c r="B3995" s="1">
        <v>900391</v>
      </c>
      <c r="C3995" s="2">
        <v>46127</v>
      </c>
      <c r="D3995" t="s">
        <v>18</v>
      </c>
      <c r="E3995" t="s">
        <v>8</v>
      </c>
      <c r="G3995" t="s">
        <v>24</v>
      </c>
      <c r="H3995" t="s">
        <v>23</v>
      </c>
      <c r="I3995" t="s">
        <v>23</v>
      </c>
      <c r="J3995" t="s">
        <v>23</v>
      </c>
      <c r="K3995" t="s">
        <v>23</v>
      </c>
      <c r="L3995">
        <f t="shared" si="312"/>
        <v>1</v>
      </c>
      <c r="M3995">
        <f t="shared" si="313"/>
        <v>0</v>
      </c>
      <c r="N3995">
        <f t="shared" si="314"/>
        <v>0</v>
      </c>
      <c r="O3995">
        <f t="shared" si="315"/>
        <v>0</v>
      </c>
      <c r="P3995">
        <f t="shared" si="316"/>
        <v>0</v>
      </c>
      <c r="Q3995">
        <f>COUNTIF('責任職　企業局→市長部局'!A:A,SQLデータ!B3995)</f>
        <v>0</v>
      </c>
      <c r="R3995">
        <f>COUNTIF('一般職員　企業局→市長部局'!A:F,SQLデータ!B3995)</f>
        <v>0</v>
      </c>
    </row>
    <row r="3996" spans="1:18" x14ac:dyDescent="0.4">
      <c r="A3996" s="1">
        <v>202660000303</v>
      </c>
      <c r="B3996" s="1">
        <v>930235</v>
      </c>
      <c r="C3996" s="2">
        <v>46127</v>
      </c>
      <c r="D3996" t="s">
        <v>18</v>
      </c>
      <c r="E3996" t="s">
        <v>10</v>
      </c>
      <c r="G3996" t="s">
        <v>24</v>
      </c>
      <c r="H3996" t="s">
        <v>23</v>
      </c>
      <c r="J3996" t="s">
        <v>23</v>
      </c>
      <c r="L3996">
        <f t="shared" si="312"/>
        <v>1</v>
      </c>
      <c r="M3996">
        <f t="shared" si="313"/>
        <v>0</v>
      </c>
      <c r="N3996">
        <f t="shared" si="314"/>
        <v>0</v>
      </c>
      <c r="O3996">
        <f t="shared" si="315"/>
        <v>0</v>
      </c>
      <c r="P3996">
        <f t="shared" si="316"/>
        <v>1</v>
      </c>
      <c r="Q3996">
        <f>COUNTIF('責任職　企業局→市長部局'!A:A,SQLデータ!B3996)</f>
        <v>0</v>
      </c>
      <c r="R3996">
        <f>COUNTIF('一般職員　企業局→市長部局'!A:F,SQLデータ!B3996)</f>
        <v>0</v>
      </c>
    </row>
    <row r="3997" spans="1:18" x14ac:dyDescent="0.4">
      <c r="A3997" s="1">
        <v>202660000304</v>
      </c>
      <c r="B3997" s="1">
        <v>1234106</v>
      </c>
      <c r="C3997" s="2">
        <v>46127</v>
      </c>
      <c r="D3997" t="s">
        <v>18</v>
      </c>
      <c r="E3997" t="s">
        <v>8</v>
      </c>
      <c r="G3997" t="s">
        <v>28</v>
      </c>
      <c r="H3997" t="s">
        <v>20</v>
      </c>
      <c r="I3997" t="s">
        <v>20</v>
      </c>
      <c r="J3997" t="s">
        <v>20</v>
      </c>
      <c r="K3997" t="s">
        <v>20</v>
      </c>
      <c r="L3997">
        <f t="shared" si="312"/>
        <v>1</v>
      </c>
      <c r="M3997">
        <f t="shared" si="313"/>
        <v>0</v>
      </c>
      <c r="N3997">
        <f t="shared" si="314"/>
        <v>0</v>
      </c>
      <c r="O3997">
        <f t="shared" si="315"/>
        <v>0</v>
      </c>
      <c r="P3997">
        <f t="shared" si="316"/>
        <v>0</v>
      </c>
      <c r="Q3997">
        <f>COUNTIF('責任職　企業局→市長部局'!A:A,SQLデータ!B3997)</f>
        <v>0</v>
      </c>
      <c r="R3997">
        <f>COUNTIF('一般職員　企業局→市長部局'!A:F,SQLデータ!B3997)</f>
        <v>0</v>
      </c>
    </row>
    <row r="3998" spans="1:18" x14ac:dyDescent="0.4">
      <c r="A3998" s="1">
        <v>202660000305</v>
      </c>
      <c r="B3998" s="1">
        <v>1083019</v>
      </c>
      <c r="C3998" s="2">
        <v>46127</v>
      </c>
      <c r="D3998" t="s">
        <v>18</v>
      </c>
      <c r="E3998" t="s">
        <v>8</v>
      </c>
      <c r="G3998" t="s">
        <v>24</v>
      </c>
      <c r="H3998" t="s">
        <v>23</v>
      </c>
      <c r="I3998" t="s">
        <v>23</v>
      </c>
      <c r="J3998" t="s">
        <v>23</v>
      </c>
      <c r="K3998" t="s">
        <v>23</v>
      </c>
      <c r="L3998">
        <f t="shared" si="312"/>
        <v>1</v>
      </c>
      <c r="M3998">
        <f t="shared" si="313"/>
        <v>0</v>
      </c>
      <c r="N3998">
        <f t="shared" si="314"/>
        <v>0</v>
      </c>
      <c r="O3998">
        <f t="shared" si="315"/>
        <v>0</v>
      </c>
      <c r="P3998">
        <f t="shared" si="316"/>
        <v>0</v>
      </c>
      <c r="Q3998">
        <f>COUNTIF('責任職　企業局→市長部局'!A:A,SQLデータ!B3998)</f>
        <v>0</v>
      </c>
      <c r="R3998">
        <f>COUNTIF('一般職員　企業局→市長部局'!A:F,SQLデータ!B3998)</f>
        <v>0</v>
      </c>
    </row>
    <row r="3999" spans="1:18" x14ac:dyDescent="0.4">
      <c r="A3999" s="1">
        <v>202660000306</v>
      </c>
      <c r="B3999" s="1">
        <v>930904</v>
      </c>
      <c r="C3999" s="2">
        <v>46127</v>
      </c>
      <c r="D3999" t="s">
        <v>18</v>
      </c>
      <c r="E3999" t="s">
        <v>10</v>
      </c>
      <c r="G3999" t="s">
        <v>27</v>
      </c>
      <c r="H3999" t="s">
        <v>20</v>
      </c>
      <c r="I3999" t="s">
        <v>20</v>
      </c>
      <c r="J3999" t="s">
        <v>20</v>
      </c>
      <c r="K3999" t="s">
        <v>20</v>
      </c>
      <c r="L3999">
        <f t="shared" si="312"/>
        <v>1</v>
      </c>
      <c r="M3999">
        <f t="shared" si="313"/>
        <v>0</v>
      </c>
      <c r="N3999">
        <f t="shared" si="314"/>
        <v>0</v>
      </c>
      <c r="O3999">
        <f t="shared" si="315"/>
        <v>0</v>
      </c>
      <c r="P3999">
        <f t="shared" si="316"/>
        <v>1</v>
      </c>
      <c r="Q3999">
        <f>COUNTIF('責任職　企業局→市長部局'!A:A,SQLデータ!B3999)</f>
        <v>0</v>
      </c>
      <c r="R3999">
        <f>COUNTIF('一般職員　企業局→市長部局'!A:F,SQLデータ!B3999)</f>
        <v>0</v>
      </c>
    </row>
    <row r="4000" spans="1:18" x14ac:dyDescent="0.4">
      <c r="A4000" s="1">
        <v>202660000307</v>
      </c>
      <c r="B4000" s="1">
        <v>940736</v>
      </c>
      <c r="C4000" s="2">
        <v>46127</v>
      </c>
      <c r="D4000" t="s">
        <v>18</v>
      </c>
      <c r="E4000" t="s">
        <v>8</v>
      </c>
      <c r="G4000" t="s">
        <v>24</v>
      </c>
      <c r="H4000" t="s">
        <v>23</v>
      </c>
      <c r="I4000" t="s">
        <v>23</v>
      </c>
      <c r="J4000" t="s">
        <v>23</v>
      </c>
      <c r="K4000" t="s">
        <v>23</v>
      </c>
      <c r="L4000">
        <f t="shared" si="312"/>
        <v>1</v>
      </c>
      <c r="M4000">
        <f t="shared" si="313"/>
        <v>0</v>
      </c>
      <c r="N4000">
        <f t="shared" si="314"/>
        <v>0</v>
      </c>
      <c r="O4000">
        <f t="shared" si="315"/>
        <v>0</v>
      </c>
      <c r="P4000">
        <f t="shared" si="316"/>
        <v>0</v>
      </c>
      <c r="Q4000">
        <f>COUNTIF('責任職　企業局→市長部局'!A:A,SQLデータ!B4000)</f>
        <v>0</v>
      </c>
      <c r="R4000">
        <f>COUNTIF('一般職員　企業局→市長部局'!A:F,SQLデータ!B4000)</f>
        <v>0</v>
      </c>
    </row>
    <row r="4001" spans="1:18" x14ac:dyDescent="0.4">
      <c r="A4001" s="1">
        <v>202660000308</v>
      </c>
      <c r="B4001" s="1">
        <v>960036</v>
      </c>
      <c r="C4001" s="2">
        <v>46128</v>
      </c>
      <c r="D4001" t="s">
        <v>18</v>
      </c>
      <c r="E4001" t="s">
        <v>8</v>
      </c>
      <c r="G4001" t="s">
        <v>24</v>
      </c>
      <c r="H4001" t="s">
        <v>23</v>
      </c>
      <c r="I4001" t="s">
        <v>23</v>
      </c>
      <c r="J4001" t="s">
        <v>23</v>
      </c>
      <c r="K4001" t="s">
        <v>23</v>
      </c>
      <c r="L4001">
        <f t="shared" si="312"/>
        <v>1</v>
      </c>
      <c r="M4001">
        <f t="shared" si="313"/>
        <v>0</v>
      </c>
      <c r="N4001">
        <f t="shared" si="314"/>
        <v>0</v>
      </c>
      <c r="O4001">
        <f t="shared" si="315"/>
        <v>0</v>
      </c>
      <c r="P4001">
        <f t="shared" si="316"/>
        <v>0</v>
      </c>
      <c r="Q4001">
        <f>COUNTIF('責任職　企業局→市長部局'!A:A,SQLデータ!B4001)</f>
        <v>0</v>
      </c>
      <c r="R4001">
        <f>COUNTIF('一般職員　企業局→市長部局'!A:F,SQLデータ!B4001)</f>
        <v>0</v>
      </c>
    </row>
    <row r="4002" spans="1:18" x14ac:dyDescent="0.4">
      <c r="A4002" s="1">
        <v>202660000309</v>
      </c>
      <c r="B4002" s="1">
        <v>1034036</v>
      </c>
      <c r="C4002" s="2">
        <v>46128</v>
      </c>
      <c r="D4002" t="s">
        <v>18</v>
      </c>
      <c r="E4002" t="s">
        <v>8</v>
      </c>
      <c r="G4002" t="s">
        <v>26</v>
      </c>
      <c r="H4002" t="s">
        <v>20</v>
      </c>
      <c r="I4002" t="s">
        <v>20</v>
      </c>
      <c r="J4002" t="s">
        <v>20</v>
      </c>
      <c r="L4002">
        <f t="shared" ref="L4002:L4031" si="317">IF(ISBLANK(J4002),0,1)</f>
        <v>1</v>
      </c>
      <c r="M4002">
        <f t="shared" ref="M4002:M4031" si="318">IF(AND(L4002=0,I4002&lt;&gt;""),1,0)</f>
        <v>0</v>
      </c>
      <c r="N4002">
        <f t="shared" ref="N4002:N4031" si="319">IF(AND(L4002=0,M4002=0,K4002&lt;&gt;""),1,0)</f>
        <v>0</v>
      </c>
      <c r="O4002">
        <f t="shared" ref="O4002:O4031" si="320">IF(COUNTIF(L4002:N4002,0)=3,1,0)</f>
        <v>0</v>
      </c>
      <c r="P4002">
        <f t="shared" ref="P4002:P4031" si="321">IF(D4002&lt;&gt;"扶養","",IF(E4002&lt;&gt;"確認待ち",1,IF(OR(AND(G4002="本人の結婚",O4002=1),AND(H4002="減",OR(N4002=1,O4002=1))),1,0)))</f>
        <v>0</v>
      </c>
      <c r="Q4002">
        <f>COUNTIF('責任職　企業局→市長部局'!A:A,SQLデータ!B4002)</f>
        <v>0</v>
      </c>
      <c r="R4002">
        <f>COUNTIF('一般職員　企業局→市長部局'!A:F,SQLデータ!B4002)</f>
        <v>0</v>
      </c>
    </row>
    <row r="4003" spans="1:18" x14ac:dyDescent="0.4">
      <c r="A4003" s="1">
        <v>202660000311</v>
      </c>
      <c r="B4003" s="1">
        <v>1122166</v>
      </c>
      <c r="C4003" s="2">
        <v>46129</v>
      </c>
      <c r="D4003" t="s">
        <v>18</v>
      </c>
      <c r="E4003" t="s">
        <v>8</v>
      </c>
      <c r="G4003" t="s">
        <v>24</v>
      </c>
      <c r="H4003" t="s">
        <v>23</v>
      </c>
      <c r="I4003" t="s">
        <v>23</v>
      </c>
      <c r="J4003" t="s">
        <v>23</v>
      </c>
      <c r="K4003" t="s">
        <v>23</v>
      </c>
      <c r="L4003">
        <f t="shared" si="317"/>
        <v>1</v>
      </c>
      <c r="M4003">
        <f t="shared" si="318"/>
        <v>0</v>
      </c>
      <c r="N4003">
        <f t="shared" si="319"/>
        <v>0</v>
      </c>
      <c r="O4003">
        <f t="shared" si="320"/>
        <v>0</v>
      </c>
      <c r="P4003">
        <f t="shared" si="321"/>
        <v>0</v>
      </c>
      <c r="Q4003">
        <f>COUNTIF('責任職　企業局→市長部局'!A:A,SQLデータ!B4003)</f>
        <v>0</v>
      </c>
      <c r="R4003">
        <f>COUNTIF('一般職員　企業局→市長部局'!A:F,SQLデータ!B4003)</f>
        <v>0</v>
      </c>
    </row>
    <row r="4004" spans="1:18" x14ac:dyDescent="0.4">
      <c r="A4004" s="1">
        <v>202660000312</v>
      </c>
      <c r="B4004" s="1">
        <v>890130</v>
      </c>
      <c r="C4004" s="2">
        <v>46128</v>
      </c>
      <c r="D4004" t="s">
        <v>18</v>
      </c>
      <c r="E4004" t="s">
        <v>8</v>
      </c>
      <c r="G4004" t="s">
        <v>24</v>
      </c>
      <c r="H4004" t="s">
        <v>23</v>
      </c>
      <c r="I4004" t="s">
        <v>23</v>
      </c>
      <c r="J4004" t="s">
        <v>23</v>
      </c>
      <c r="K4004" t="s">
        <v>23</v>
      </c>
      <c r="L4004">
        <f t="shared" si="317"/>
        <v>1</v>
      </c>
      <c r="M4004">
        <f t="shared" si="318"/>
        <v>0</v>
      </c>
      <c r="N4004">
        <f t="shared" si="319"/>
        <v>0</v>
      </c>
      <c r="O4004">
        <f t="shared" si="320"/>
        <v>0</v>
      </c>
      <c r="P4004">
        <f t="shared" si="321"/>
        <v>0</v>
      </c>
      <c r="Q4004">
        <f>COUNTIF('責任職　企業局→市長部局'!A:A,SQLデータ!B4004)</f>
        <v>0</v>
      </c>
      <c r="R4004">
        <f>COUNTIF('一般職員　企業局→市長部局'!A:F,SQLデータ!B4004)</f>
        <v>0</v>
      </c>
    </row>
    <row r="4005" spans="1:18" x14ac:dyDescent="0.4">
      <c r="A4005" s="1">
        <v>202660000313</v>
      </c>
      <c r="B4005" s="1">
        <v>1161178</v>
      </c>
      <c r="C4005" s="2">
        <v>46121</v>
      </c>
      <c r="D4005" t="s">
        <v>18</v>
      </c>
      <c r="E4005" t="s">
        <v>8</v>
      </c>
      <c r="G4005" t="s">
        <v>27</v>
      </c>
      <c r="H4005" t="s">
        <v>23</v>
      </c>
      <c r="K4005" t="s">
        <v>23</v>
      </c>
      <c r="L4005">
        <f t="shared" si="317"/>
        <v>0</v>
      </c>
      <c r="M4005">
        <f t="shared" si="318"/>
        <v>0</v>
      </c>
      <c r="N4005">
        <f t="shared" si="319"/>
        <v>1</v>
      </c>
      <c r="O4005">
        <f t="shared" si="320"/>
        <v>0</v>
      </c>
      <c r="P4005">
        <f t="shared" si="321"/>
        <v>1</v>
      </c>
      <c r="Q4005">
        <f>COUNTIF('責任職　企業局→市長部局'!A:A,SQLデータ!B4005)</f>
        <v>0</v>
      </c>
      <c r="R4005">
        <f>COUNTIF('一般職員　企業局→市長部局'!A:F,SQLデータ!B4005)</f>
        <v>0</v>
      </c>
    </row>
    <row r="4006" spans="1:18" x14ac:dyDescent="0.4">
      <c r="A4006" s="1">
        <v>202660000314</v>
      </c>
      <c r="B4006" s="1">
        <v>920156</v>
      </c>
      <c r="C4006" s="2">
        <v>46128</v>
      </c>
      <c r="D4006" t="s">
        <v>18</v>
      </c>
      <c r="E4006" t="s">
        <v>8</v>
      </c>
      <c r="G4006" t="s">
        <v>24</v>
      </c>
      <c r="H4006" t="s">
        <v>23</v>
      </c>
      <c r="I4006" t="s">
        <v>23</v>
      </c>
      <c r="J4006" t="s">
        <v>23</v>
      </c>
      <c r="K4006" t="s">
        <v>23</v>
      </c>
      <c r="L4006">
        <f t="shared" si="317"/>
        <v>1</v>
      </c>
      <c r="M4006">
        <f t="shared" si="318"/>
        <v>0</v>
      </c>
      <c r="N4006">
        <f t="shared" si="319"/>
        <v>0</v>
      </c>
      <c r="O4006">
        <f t="shared" si="320"/>
        <v>0</v>
      </c>
      <c r="P4006">
        <f t="shared" si="321"/>
        <v>0</v>
      </c>
      <c r="Q4006">
        <f>COUNTIF('責任職　企業局→市長部局'!A:A,SQLデータ!B4006)</f>
        <v>0</v>
      </c>
      <c r="R4006">
        <f>COUNTIF('一般職員　企業局→市長部局'!A:F,SQLデータ!B4006)</f>
        <v>0</v>
      </c>
    </row>
    <row r="4007" spans="1:18" x14ac:dyDescent="0.4">
      <c r="A4007" s="1">
        <v>202660000316</v>
      </c>
      <c r="B4007" s="1">
        <v>840422</v>
      </c>
      <c r="C4007" s="2">
        <v>46128</v>
      </c>
      <c r="D4007" t="s">
        <v>18</v>
      </c>
      <c r="E4007" t="s">
        <v>10</v>
      </c>
      <c r="G4007" t="s">
        <v>36</v>
      </c>
      <c r="H4007" t="s">
        <v>20</v>
      </c>
      <c r="K4007" t="s">
        <v>20</v>
      </c>
      <c r="L4007">
        <f t="shared" si="317"/>
        <v>0</v>
      </c>
      <c r="M4007">
        <f t="shared" si="318"/>
        <v>0</v>
      </c>
      <c r="N4007">
        <f t="shared" si="319"/>
        <v>1</v>
      </c>
      <c r="O4007">
        <f t="shared" si="320"/>
        <v>0</v>
      </c>
      <c r="P4007">
        <f t="shared" si="321"/>
        <v>1</v>
      </c>
      <c r="Q4007">
        <f>COUNTIF('責任職　企業局→市長部局'!A:A,SQLデータ!B4007)</f>
        <v>0</v>
      </c>
      <c r="R4007">
        <f>COUNTIF('一般職員　企業局→市長部局'!A:F,SQLデータ!B4007)</f>
        <v>0</v>
      </c>
    </row>
    <row r="4008" spans="1:18" x14ac:dyDescent="0.4">
      <c r="A4008" s="1">
        <v>202660000317</v>
      </c>
      <c r="B4008" s="1">
        <v>1176026</v>
      </c>
      <c r="C4008" s="2">
        <v>46128</v>
      </c>
      <c r="D4008" t="s">
        <v>18</v>
      </c>
      <c r="E4008" t="s">
        <v>8</v>
      </c>
      <c r="G4008" t="s">
        <v>28</v>
      </c>
      <c r="H4008" t="s">
        <v>20</v>
      </c>
      <c r="I4008" t="s">
        <v>20</v>
      </c>
      <c r="K4008" t="s">
        <v>20</v>
      </c>
      <c r="L4008">
        <f t="shared" si="317"/>
        <v>0</v>
      </c>
      <c r="M4008">
        <f t="shared" si="318"/>
        <v>1</v>
      </c>
      <c r="N4008">
        <f t="shared" si="319"/>
        <v>0</v>
      </c>
      <c r="O4008">
        <f t="shared" si="320"/>
        <v>0</v>
      </c>
      <c r="P4008">
        <f t="shared" si="321"/>
        <v>0</v>
      </c>
      <c r="Q4008">
        <f>COUNTIF('責任職　企業局→市長部局'!A:A,SQLデータ!B4008)</f>
        <v>0</v>
      </c>
      <c r="R4008">
        <f>COUNTIF('一般職員　企業局→市長部局'!A:F,SQLデータ!B4008)</f>
        <v>0</v>
      </c>
    </row>
    <row r="4009" spans="1:18" x14ac:dyDescent="0.4">
      <c r="A4009" s="1">
        <v>202660000318</v>
      </c>
      <c r="B4009" s="1">
        <v>1196073</v>
      </c>
      <c r="C4009" s="2">
        <v>46128</v>
      </c>
      <c r="D4009" t="s">
        <v>18</v>
      </c>
      <c r="E4009" t="s">
        <v>8</v>
      </c>
      <c r="G4009" t="s">
        <v>28</v>
      </c>
      <c r="H4009" t="s">
        <v>20</v>
      </c>
      <c r="I4009" t="s">
        <v>20</v>
      </c>
      <c r="L4009">
        <f t="shared" si="317"/>
        <v>0</v>
      </c>
      <c r="M4009">
        <f t="shared" si="318"/>
        <v>1</v>
      </c>
      <c r="N4009">
        <f t="shared" si="319"/>
        <v>0</v>
      </c>
      <c r="O4009">
        <f t="shared" si="320"/>
        <v>0</v>
      </c>
      <c r="P4009">
        <f t="shared" si="321"/>
        <v>0</v>
      </c>
      <c r="Q4009">
        <f>COUNTIF('責任職　企業局→市長部局'!A:A,SQLデータ!B4009)</f>
        <v>0</v>
      </c>
      <c r="R4009">
        <f>COUNTIF('一般職員　企業局→市長部局'!A:F,SQLデータ!B4009)</f>
        <v>0</v>
      </c>
    </row>
    <row r="4010" spans="1:18" x14ac:dyDescent="0.4">
      <c r="A4010" s="1">
        <v>202660000319</v>
      </c>
      <c r="B4010" s="1">
        <v>1151049</v>
      </c>
      <c r="C4010" s="2">
        <v>46128</v>
      </c>
      <c r="D4010" t="s">
        <v>18</v>
      </c>
      <c r="E4010" t="s">
        <v>8</v>
      </c>
      <c r="G4010" t="s">
        <v>27</v>
      </c>
      <c r="H4010" t="s">
        <v>20</v>
      </c>
      <c r="I4010" t="s">
        <v>20</v>
      </c>
      <c r="J4010" t="s">
        <v>20</v>
      </c>
      <c r="K4010" t="s">
        <v>20</v>
      </c>
      <c r="L4010">
        <f t="shared" si="317"/>
        <v>1</v>
      </c>
      <c r="M4010">
        <f t="shared" si="318"/>
        <v>0</v>
      </c>
      <c r="N4010">
        <f t="shared" si="319"/>
        <v>0</v>
      </c>
      <c r="O4010">
        <f t="shared" si="320"/>
        <v>0</v>
      </c>
      <c r="P4010">
        <f t="shared" si="321"/>
        <v>0</v>
      </c>
      <c r="Q4010">
        <f>COUNTIF('責任職　企業局→市長部局'!A:A,SQLデータ!B4010)</f>
        <v>0</v>
      </c>
      <c r="R4010">
        <f>COUNTIF('一般職員　企業局→市長部局'!A:F,SQLデータ!B4010)</f>
        <v>0</v>
      </c>
    </row>
    <row r="4011" spans="1:18" x14ac:dyDescent="0.4">
      <c r="A4011" s="1">
        <v>202660000322</v>
      </c>
      <c r="B4011" s="1">
        <v>940302</v>
      </c>
      <c r="C4011" s="2">
        <v>46128</v>
      </c>
      <c r="D4011" t="s">
        <v>18</v>
      </c>
      <c r="E4011" t="s">
        <v>8</v>
      </c>
      <c r="G4011" t="s">
        <v>24</v>
      </c>
      <c r="H4011" t="s">
        <v>23</v>
      </c>
      <c r="J4011" t="s">
        <v>23</v>
      </c>
      <c r="L4011">
        <f t="shared" si="317"/>
        <v>1</v>
      </c>
      <c r="M4011">
        <f t="shared" si="318"/>
        <v>0</v>
      </c>
      <c r="N4011">
        <f t="shared" si="319"/>
        <v>0</v>
      </c>
      <c r="O4011">
        <f t="shared" si="320"/>
        <v>0</v>
      </c>
      <c r="P4011">
        <f t="shared" si="321"/>
        <v>0</v>
      </c>
      <c r="Q4011">
        <f>COUNTIF('責任職　企業局→市長部局'!A:A,SQLデータ!B4011)</f>
        <v>0</v>
      </c>
      <c r="R4011">
        <f>COUNTIF('一般職員　企業局→市長部局'!A:F,SQLデータ!B4011)</f>
        <v>0</v>
      </c>
    </row>
    <row r="4012" spans="1:18" x14ac:dyDescent="0.4">
      <c r="A4012" s="1">
        <v>202660000323</v>
      </c>
      <c r="B4012" s="1">
        <v>850341</v>
      </c>
      <c r="C4012" s="2">
        <v>46132</v>
      </c>
      <c r="D4012" t="s">
        <v>18</v>
      </c>
      <c r="E4012" t="s">
        <v>8</v>
      </c>
      <c r="G4012" t="s">
        <v>19</v>
      </c>
      <c r="H4012" t="s">
        <v>20</v>
      </c>
      <c r="K4012" t="s">
        <v>20</v>
      </c>
      <c r="L4012">
        <f t="shared" si="317"/>
        <v>0</v>
      </c>
      <c r="M4012">
        <f t="shared" si="318"/>
        <v>0</v>
      </c>
      <c r="N4012">
        <f t="shared" si="319"/>
        <v>1</v>
      </c>
      <c r="O4012">
        <f t="shared" si="320"/>
        <v>0</v>
      </c>
      <c r="P4012">
        <f t="shared" si="321"/>
        <v>0</v>
      </c>
      <c r="Q4012">
        <f>COUNTIF('責任職　企業局→市長部局'!A:A,SQLデータ!B4012)</f>
        <v>0</v>
      </c>
      <c r="R4012">
        <f>COUNTIF('一般職員　企業局→市長部局'!A:F,SQLデータ!B4012)</f>
        <v>0</v>
      </c>
    </row>
    <row r="4013" spans="1:18" x14ac:dyDescent="0.4">
      <c r="A4013" s="1">
        <v>202660000324</v>
      </c>
      <c r="B4013" s="1">
        <v>1124041</v>
      </c>
      <c r="C4013" s="2">
        <v>46128</v>
      </c>
      <c r="D4013" t="s">
        <v>18</v>
      </c>
      <c r="E4013" t="s">
        <v>8</v>
      </c>
      <c r="G4013" t="s">
        <v>28</v>
      </c>
      <c r="H4013" t="s">
        <v>20</v>
      </c>
      <c r="I4013" t="s">
        <v>20</v>
      </c>
      <c r="J4013" t="s">
        <v>20</v>
      </c>
      <c r="K4013" t="s">
        <v>20</v>
      </c>
      <c r="L4013">
        <f t="shared" si="317"/>
        <v>1</v>
      </c>
      <c r="M4013">
        <f t="shared" si="318"/>
        <v>0</v>
      </c>
      <c r="N4013">
        <f t="shared" si="319"/>
        <v>0</v>
      </c>
      <c r="O4013">
        <f t="shared" si="320"/>
        <v>0</v>
      </c>
      <c r="P4013">
        <f t="shared" si="321"/>
        <v>0</v>
      </c>
      <c r="Q4013">
        <f>COUNTIF('責任職　企業局→市長部局'!A:A,SQLデータ!B4013)</f>
        <v>0</v>
      </c>
      <c r="R4013">
        <f>COUNTIF('一般職員　企業局→市長部局'!A:F,SQLデータ!B4013)</f>
        <v>0</v>
      </c>
    </row>
    <row r="4014" spans="1:18" x14ac:dyDescent="0.4">
      <c r="A4014" s="1">
        <v>202660000325</v>
      </c>
      <c r="B4014" s="1">
        <v>1242311</v>
      </c>
      <c r="C4014" s="2">
        <v>46128</v>
      </c>
      <c r="D4014" t="s">
        <v>18</v>
      </c>
      <c r="E4014" t="s">
        <v>8</v>
      </c>
      <c r="G4014" t="s">
        <v>24</v>
      </c>
      <c r="H4014" t="s">
        <v>23</v>
      </c>
      <c r="I4014" t="s">
        <v>23</v>
      </c>
      <c r="J4014" t="s">
        <v>23</v>
      </c>
      <c r="K4014" t="s">
        <v>23</v>
      </c>
      <c r="L4014">
        <f t="shared" si="317"/>
        <v>1</v>
      </c>
      <c r="M4014">
        <f t="shared" si="318"/>
        <v>0</v>
      </c>
      <c r="N4014">
        <f t="shared" si="319"/>
        <v>0</v>
      </c>
      <c r="O4014">
        <f t="shared" si="320"/>
        <v>0</v>
      </c>
      <c r="P4014">
        <f t="shared" si="321"/>
        <v>0</v>
      </c>
      <c r="Q4014">
        <f>COUNTIF('責任職　企業局→市長部局'!A:A,SQLデータ!B4014)</f>
        <v>0</v>
      </c>
      <c r="R4014">
        <f>COUNTIF('一般職員　企業局→市長部局'!A:F,SQLデータ!B4014)</f>
        <v>0</v>
      </c>
    </row>
    <row r="4015" spans="1:18" x14ac:dyDescent="0.4">
      <c r="A4015" s="1">
        <v>202660000327</v>
      </c>
      <c r="B4015" s="1">
        <v>1234051</v>
      </c>
      <c r="C4015" s="2">
        <v>46128</v>
      </c>
      <c r="D4015" t="s">
        <v>18</v>
      </c>
      <c r="E4015" t="s">
        <v>8</v>
      </c>
      <c r="G4015" t="s">
        <v>24</v>
      </c>
      <c r="H4015" t="s">
        <v>23</v>
      </c>
      <c r="I4015" t="s">
        <v>23</v>
      </c>
      <c r="J4015" t="s">
        <v>23</v>
      </c>
      <c r="K4015" t="s">
        <v>23</v>
      </c>
      <c r="L4015">
        <f t="shared" si="317"/>
        <v>1</v>
      </c>
      <c r="M4015">
        <f t="shared" si="318"/>
        <v>0</v>
      </c>
      <c r="N4015">
        <f t="shared" si="319"/>
        <v>0</v>
      </c>
      <c r="O4015">
        <f t="shared" si="320"/>
        <v>0</v>
      </c>
      <c r="P4015">
        <f t="shared" si="321"/>
        <v>0</v>
      </c>
      <c r="Q4015">
        <f>COUNTIF('責任職　企業局→市長部局'!A:A,SQLデータ!B4015)</f>
        <v>0</v>
      </c>
      <c r="R4015">
        <f>COUNTIF('一般職員　企業局→市長部局'!A:F,SQLデータ!B4015)</f>
        <v>0</v>
      </c>
    </row>
    <row r="4016" spans="1:18" x14ac:dyDescent="0.4">
      <c r="A4016" s="1">
        <v>202660000328</v>
      </c>
      <c r="B4016" s="1">
        <v>1161218</v>
      </c>
      <c r="C4016" s="2">
        <v>46128</v>
      </c>
      <c r="D4016" t="s">
        <v>18</v>
      </c>
      <c r="E4016" t="s">
        <v>8</v>
      </c>
      <c r="G4016" t="s">
        <v>26</v>
      </c>
      <c r="H4016" t="s">
        <v>20</v>
      </c>
      <c r="I4016" t="s">
        <v>20</v>
      </c>
      <c r="J4016" t="s">
        <v>20</v>
      </c>
      <c r="K4016" t="s">
        <v>20</v>
      </c>
      <c r="L4016">
        <f t="shared" si="317"/>
        <v>1</v>
      </c>
      <c r="M4016">
        <f t="shared" si="318"/>
        <v>0</v>
      </c>
      <c r="N4016">
        <f t="shared" si="319"/>
        <v>0</v>
      </c>
      <c r="O4016">
        <f t="shared" si="320"/>
        <v>0</v>
      </c>
      <c r="P4016">
        <f t="shared" si="321"/>
        <v>0</v>
      </c>
      <c r="Q4016">
        <f>COUNTIF('責任職　企業局→市長部局'!A:A,SQLデータ!B4016)</f>
        <v>0</v>
      </c>
      <c r="R4016">
        <f>COUNTIF('一般職員　企業局→市長部局'!A:F,SQLデータ!B4016)</f>
        <v>0</v>
      </c>
    </row>
    <row r="4017" spans="1:18" x14ac:dyDescent="0.4">
      <c r="A4017" s="1">
        <v>202660000329</v>
      </c>
      <c r="B4017" s="1">
        <v>1061097</v>
      </c>
      <c r="C4017" s="2">
        <v>46128</v>
      </c>
      <c r="D4017" t="s">
        <v>18</v>
      </c>
      <c r="E4017" t="s">
        <v>8</v>
      </c>
      <c r="G4017" t="s">
        <v>25</v>
      </c>
      <c r="H4017" t="s">
        <v>20</v>
      </c>
      <c r="J4017" t="s">
        <v>20</v>
      </c>
      <c r="K4017" t="s">
        <v>20</v>
      </c>
      <c r="L4017">
        <f t="shared" si="317"/>
        <v>1</v>
      </c>
      <c r="M4017">
        <f t="shared" si="318"/>
        <v>0</v>
      </c>
      <c r="N4017">
        <f t="shared" si="319"/>
        <v>0</v>
      </c>
      <c r="O4017">
        <f t="shared" si="320"/>
        <v>0</v>
      </c>
      <c r="P4017">
        <f t="shared" si="321"/>
        <v>0</v>
      </c>
      <c r="Q4017">
        <f>COUNTIF('責任職　企業局→市長部局'!A:A,SQLデータ!B4017)</f>
        <v>0</v>
      </c>
      <c r="R4017">
        <f>COUNTIF('一般職員　企業局→市長部局'!A:F,SQLデータ!B4017)</f>
        <v>0</v>
      </c>
    </row>
    <row r="4018" spans="1:18" x14ac:dyDescent="0.4">
      <c r="A4018" s="1">
        <v>202660000331</v>
      </c>
      <c r="B4018" s="1">
        <v>1091018</v>
      </c>
      <c r="C4018" s="2">
        <v>46129</v>
      </c>
      <c r="D4018" t="s">
        <v>18</v>
      </c>
      <c r="E4018" t="s">
        <v>8</v>
      </c>
      <c r="G4018" t="s">
        <v>28</v>
      </c>
      <c r="H4018" t="s">
        <v>20</v>
      </c>
      <c r="I4018" t="s">
        <v>20</v>
      </c>
      <c r="J4018" t="s">
        <v>20</v>
      </c>
      <c r="K4018" t="s">
        <v>20</v>
      </c>
      <c r="L4018">
        <f t="shared" si="317"/>
        <v>1</v>
      </c>
      <c r="M4018">
        <f t="shared" si="318"/>
        <v>0</v>
      </c>
      <c r="N4018">
        <f t="shared" si="319"/>
        <v>0</v>
      </c>
      <c r="O4018">
        <f t="shared" si="320"/>
        <v>0</v>
      </c>
      <c r="P4018">
        <f t="shared" si="321"/>
        <v>0</v>
      </c>
      <c r="Q4018">
        <f>COUNTIF('責任職　企業局→市長部局'!A:A,SQLデータ!B4018)</f>
        <v>0</v>
      </c>
      <c r="R4018">
        <f>COUNTIF('一般職員　企業局→市長部局'!A:F,SQLデータ!B4018)</f>
        <v>0</v>
      </c>
    </row>
    <row r="4019" spans="1:18" x14ac:dyDescent="0.4">
      <c r="A4019" s="1">
        <v>202660000332</v>
      </c>
      <c r="B4019" s="1">
        <v>940194</v>
      </c>
      <c r="C4019" s="2">
        <v>46129</v>
      </c>
      <c r="D4019" t="s">
        <v>18</v>
      </c>
      <c r="E4019" t="s">
        <v>8</v>
      </c>
      <c r="G4019" t="s">
        <v>24</v>
      </c>
      <c r="H4019" t="s">
        <v>23</v>
      </c>
      <c r="J4019" t="s">
        <v>23</v>
      </c>
      <c r="L4019">
        <f t="shared" si="317"/>
        <v>1</v>
      </c>
      <c r="M4019">
        <f t="shared" si="318"/>
        <v>0</v>
      </c>
      <c r="N4019">
        <f t="shared" si="319"/>
        <v>0</v>
      </c>
      <c r="O4019">
        <f t="shared" si="320"/>
        <v>0</v>
      </c>
      <c r="P4019">
        <f t="shared" si="321"/>
        <v>0</v>
      </c>
      <c r="Q4019">
        <f>COUNTIF('責任職　企業局→市長部局'!A:A,SQLデータ!B4019)</f>
        <v>0</v>
      </c>
      <c r="R4019">
        <f>COUNTIF('一般職員　企業局→市長部局'!A:F,SQLデータ!B4019)</f>
        <v>0</v>
      </c>
    </row>
    <row r="4020" spans="1:18" x14ac:dyDescent="0.4">
      <c r="A4020" s="1">
        <v>202660000334</v>
      </c>
      <c r="B4020" s="1">
        <v>1150016</v>
      </c>
      <c r="C4020" s="2">
        <v>46129</v>
      </c>
      <c r="D4020" t="s">
        <v>18</v>
      </c>
      <c r="E4020" t="s">
        <v>8</v>
      </c>
      <c r="G4020" t="s">
        <v>24</v>
      </c>
      <c r="H4020" t="s">
        <v>23</v>
      </c>
      <c r="I4020" t="s">
        <v>23</v>
      </c>
      <c r="J4020" t="s">
        <v>23</v>
      </c>
      <c r="K4020" t="s">
        <v>23</v>
      </c>
      <c r="L4020">
        <f t="shared" si="317"/>
        <v>1</v>
      </c>
      <c r="M4020">
        <f t="shared" si="318"/>
        <v>0</v>
      </c>
      <c r="N4020">
        <f t="shared" si="319"/>
        <v>0</v>
      </c>
      <c r="O4020">
        <f t="shared" si="320"/>
        <v>0</v>
      </c>
      <c r="P4020">
        <f t="shared" si="321"/>
        <v>0</v>
      </c>
      <c r="Q4020">
        <f>COUNTIF('責任職　企業局→市長部局'!A:A,SQLデータ!B4020)</f>
        <v>0</v>
      </c>
      <c r="R4020">
        <f>COUNTIF('一般職員　企業局→市長部局'!A:F,SQLデータ!B4020)</f>
        <v>0</v>
      </c>
    </row>
    <row r="4021" spans="1:18" x14ac:dyDescent="0.4">
      <c r="A4021" s="1">
        <v>202660000337</v>
      </c>
      <c r="B4021" s="1">
        <v>1134022</v>
      </c>
      <c r="C4021" s="2">
        <v>46129</v>
      </c>
      <c r="D4021" t="s">
        <v>18</v>
      </c>
      <c r="E4021" t="s">
        <v>8</v>
      </c>
      <c r="G4021" t="s">
        <v>24</v>
      </c>
      <c r="H4021" t="s">
        <v>23</v>
      </c>
      <c r="I4021" t="s">
        <v>23</v>
      </c>
      <c r="J4021" t="s">
        <v>23</v>
      </c>
      <c r="L4021">
        <f t="shared" si="317"/>
        <v>1</v>
      </c>
      <c r="M4021">
        <f t="shared" si="318"/>
        <v>0</v>
      </c>
      <c r="N4021">
        <f t="shared" si="319"/>
        <v>0</v>
      </c>
      <c r="O4021">
        <f t="shared" si="320"/>
        <v>0</v>
      </c>
      <c r="P4021">
        <f t="shared" si="321"/>
        <v>0</v>
      </c>
      <c r="Q4021">
        <f>COUNTIF('責任職　企業局→市長部局'!A:A,SQLデータ!B4021)</f>
        <v>0</v>
      </c>
      <c r="R4021">
        <f>COUNTIF('一般職員　企業局→市長部局'!A:F,SQLデータ!B4021)</f>
        <v>0</v>
      </c>
    </row>
    <row r="4022" spans="1:18" x14ac:dyDescent="0.4">
      <c r="A4022" s="1">
        <v>202660000341</v>
      </c>
      <c r="B4022" s="1">
        <v>974019</v>
      </c>
      <c r="C4022" s="2">
        <v>46129</v>
      </c>
      <c r="D4022" t="s">
        <v>18</v>
      </c>
      <c r="E4022" t="s">
        <v>8</v>
      </c>
      <c r="G4022" t="s">
        <v>24</v>
      </c>
      <c r="H4022" t="s">
        <v>23</v>
      </c>
      <c r="I4022" t="s">
        <v>23</v>
      </c>
      <c r="J4022" t="s">
        <v>23</v>
      </c>
      <c r="K4022" t="s">
        <v>23</v>
      </c>
      <c r="L4022">
        <f t="shared" si="317"/>
        <v>1</v>
      </c>
      <c r="M4022">
        <f t="shared" si="318"/>
        <v>0</v>
      </c>
      <c r="N4022">
        <f t="shared" si="319"/>
        <v>0</v>
      </c>
      <c r="O4022">
        <f t="shared" si="320"/>
        <v>0</v>
      </c>
      <c r="P4022">
        <f t="shared" si="321"/>
        <v>0</v>
      </c>
      <c r="Q4022">
        <f>COUNTIF('責任職　企業局→市長部局'!A:A,SQLデータ!B4022)</f>
        <v>0</v>
      </c>
      <c r="R4022">
        <f>COUNTIF('一般職員　企業局→市長部局'!A:F,SQLデータ!B4022)</f>
        <v>0</v>
      </c>
    </row>
    <row r="4023" spans="1:18" x14ac:dyDescent="0.4">
      <c r="A4023" s="1">
        <v>202660000342</v>
      </c>
      <c r="B4023" s="1">
        <v>920318</v>
      </c>
      <c r="C4023" s="2">
        <v>46129</v>
      </c>
      <c r="D4023" t="s">
        <v>18</v>
      </c>
      <c r="E4023" t="s">
        <v>8</v>
      </c>
      <c r="G4023" t="s">
        <v>19</v>
      </c>
      <c r="H4023" t="s">
        <v>20</v>
      </c>
      <c r="J4023" t="s">
        <v>20</v>
      </c>
      <c r="L4023">
        <f t="shared" si="317"/>
        <v>1</v>
      </c>
      <c r="M4023">
        <f t="shared" si="318"/>
        <v>0</v>
      </c>
      <c r="N4023">
        <f t="shared" si="319"/>
        <v>0</v>
      </c>
      <c r="O4023">
        <f t="shared" si="320"/>
        <v>0</v>
      </c>
      <c r="P4023">
        <f t="shared" si="321"/>
        <v>0</v>
      </c>
      <c r="Q4023">
        <f>COUNTIF('責任職　企業局→市長部局'!A:A,SQLデータ!B4023)</f>
        <v>0</v>
      </c>
      <c r="R4023">
        <f>COUNTIF('一般職員　企業局→市長部局'!A:F,SQLデータ!B4023)</f>
        <v>0</v>
      </c>
    </row>
    <row r="4024" spans="1:18" x14ac:dyDescent="0.4">
      <c r="A4024" s="1">
        <v>202660000343</v>
      </c>
      <c r="B4024" s="1">
        <v>950561</v>
      </c>
      <c r="C4024" s="2">
        <v>46113</v>
      </c>
      <c r="D4024" t="s">
        <v>18</v>
      </c>
      <c r="E4024" t="s">
        <v>8</v>
      </c>
      <c r="G4024" t="s">
        <v>24</v>
      </c>
      <c r="H4024" t="s">
        <v>23</v>
      </c>
      <c r="I4024" t="s">
        <v>23</v>
      </c>
      <c r="J4024" t="s">
        <v>23</v>
      </c>
      <c r="K4024" t="s">
        <v>23</v>
      </c>
      <c r="L4024">
        <f t="shared" si="317"/>
        <v>1</v>
      </c>
      <c r="M4024">
        <f t="shared" si="318"/>
        <v>0</v>
      </c>
      <c r="N4024">
        <f t="shared" si="319"/>
        <v>0</v>
      </c>
      <c r="O4024">
        <f t="shared" si="320"/>
        <v>0</v>
      </c>
      <c r="P4024">
        <f t="shared" si="321"/>
        <v>0</v>
      </c>
      <c r="Q4024">
        <f>COUNTIF('責任職　企業局→市長部局'!A:A,SQLデータ!B4024)</f>
        <v>0</v>
      </c>
      <c r="R4024">
        <f>COUNTIF('一般職員　企業局→市長部局'!A:F,SQLデータ!B4024)</f>
        <v>0</v>
      </c>
    </row>
    <row r="4025" spans="1:18" x14ac:dyDescent="0.4">
      <c r="A4025" s="1">
        <v>202660000344</v>
      </c>
      <c r="B4025" s="1">
        <v>950561</v>
      </c>
      <c r="C4025" s="2">
        <v>46113</v>
      </c>
      <c r="D4025" t="s">
        <v>18</v>
      </c>
      <c r="E4025" t="s">
        <v>8</v>
      </c>
      <c r="G4025" t="s">
        <v>24</v>
      </c>
      <c r="H4025" t="s">
        <v>23</v>
      </c>
      <c r="I4025" t="s">
        <v>23</v>
      </c>
      <c r="J4025" t="s">
        <v>23</v>
      </c>
      <c r="K4025" t="s">
        <v>23</v>
      </c>
      <c r="L4025">
        <f t="shared" si="317"/>
        <v>1</v>
      </c>
      <c r="M4025">
        <f t="shared" si="318"/>
        <v>0</v>
      </c>
      <c r="N4025">
        <f t="shared" si="319"/>
        <v>0</v>
      </c>
      <c r="O4025">
        <f t="shared" si="320"/>
        <v>0</v>
      </c>
      <c r="P4025">
        <f t="shared" si="321"/>
        <v>0</v>
      </c>
      <c r="Q4025">
        <f>COUNTIF('責任職　企業局→市長部局'!A:A,SQLデータ!B4025)</f>
        <v>0</v>
      </c>
      <c r="R4025">
        <f>COUNTIF('一般職員　企業局→市長部局'!A:F,SQLデータ!B4025)</f>
        <v>0</v>
      </c>
    </row>
    <row r="4026" spans="1:18" x14ac:dyDescent="0.4">
      <c r="A4026" s="1">
        <v>202660000345</v>
      </c>
      <c r="B4026" s="1">
        <v>1176035</v>
      </c>
      <c r="C4026" s="2">
        <v>46129</v>
      </c>
      <c r="D4026" t="s">
        <v>18</v>
      </c>
      <c r="E4026" t="s">
        <v>15</v>
      </c>
      <c r="G4026" t="s">
        <v>31</v>
      </c>
      <c r="H4026" t="s">
        <v>20</v>
      </c>
      <c r="L4026">
        <f t="shared" si="317"/>
        <v>0</v>
      </c>
      <c r="M4026">
        <f t="shared" si="318"/>
        <v>0</v>
      </c>
      <c r="N4026">
        <f t="shared" si="319"/>
        <v>0</v>
      </c>
      <c r="O4026">
        <f t="shared" si="320"/>
        <v>1</v>
      </c>
      <c r="P4026">
        <f t="shared" si="321"/>
        <v>1</v>
      </c>
      <c r="Q4026">
        <f>COUNTIF('責任職　企業局→市長部局'!A:A,SQLデータ!B4026)</f>
        <v>0</v>
      </c>
      <c r="R4026">
        <f>COUNTIF('一般職員　企業局→市長部局'!A:F,SQLデータ!B4026)</f>
        <v>0</v>
      </c>
    </row>
    <row r="4027" spans="1:18" x14ac:dyDescent="0.4">
      <c r="A4027" s="1">
        <v>202660000346</v>
      </c>
      <c r="B4027" s="1">
        <v>1212305</v>
      </c>
      <c r="C4027" s="2">
        <v>46129</v>
      </c>
      <c r="D4027" t="s">
        <v>18</v>
      </c>
      <c r="E4027" t="s">
        <v>15</v>
      </c>
      <c r="G4027" t="s">
        <v>31</v>
      </c>
      <c r="H4027" t="s">
        <v>20</v>
      </c>
      <c r="L4027">
        <f t="shared" si="317"/>
        <v>0</v>
      </c>
      <c r="M4027">
        <f t="shared" si="318"/>
        <v>0</v>
      </c>
      <c r="N4027">
        <f t="shared" si="319"/>
        <v>0</v>
      </c>
      <c r="O4027">
        <f t="shared" si="320"/>
        <v>1</v>
      </c>
      <c r="P4027">
        <f t="shared" si="321"/>
        <v>1</v>
      </c>
      <c r="Q4027">
        <f>COUNTIF('責任職　企業局→市長部局'!A:A,SQLデータ!B4027)</f>
        <v>0</v>
      </c>
      <c r="R4027">
        <f>COUNTIF('一般職員　企業局→市長部局'!A:F,SQLデータ!B4027)</f>
        <v>0</v>
      </c>
    </row>
    <row r="4028" spans="1:18" x14ac:dyDescent="0.4">
      <c r="A4028" s="1">
        <v>202660000348</v>
      </c>
      <c r="B4028" s="1">
        <v>930746</v>
      </c>
      <c r="C4028" s="2">
        <v>46130</v>
      </c>
      <c r="D4028" t="s">
        <v>18</v>
      </c>
      <c r="E4028" t="s">
        <v>8</v>
      </c>
      <c r="G4028" t="s">
        <v>24</v>
      </c>
      <c r="H4028" t="s">
        <v>23</v>
      </c>
      <c r="I4028" t="s">
        <v>23</v>
      </c>
      <c r="J4028" t="s">
        <v>23</v>
      </c>
      <c r="K4028" t="s">
        <v>23</v>
      </c>
      <c r="L4028">
        <f t="shared" si="317"/>
        <v>1</v>
      </c>
      <c r="M4028">
        <f t="shared" si="318"/>
        <v>0</v>
      </c>
      <c r="N4028">
        <f t="shared" si="319"/>
        <v>0</v>
      </c>
      <c r="O4028">
        <f t="shared" si="320"/>
        <v>0</v>
      </c>
      <c r="P4028">
        <f t="shared" si="321"/>
        <v>0</v>
      </c>
      <c r="Q4028">
        <f>COUNTIF('責任職　企業局→市長部局'!A:A,SQLデータ!B4028)</f>
        <v>0</v>
      </c>
      <c r="R4028">
        <f>COUNTIF('一般職員　企業局→市長部局'!A:F,SQLデータ!B4028)</f>
        <v>0</v>
      </c>
    </row>
    <row r="4029" spans="1:18" x14ac:dyDescent="0.4">
      <c r="A4029" s="1">
        <v>202660000349</v>
      </c>
      <c r="B4029" s="1">
        <v>1166007</v>
      </c>
      <c r="C4029" s="2">
        <v>46130</v>
      </c>
      <c r="D4029" t="s">
        <v>18</v>
      </c>
      <c r="E4029" t="s">
        <v>8</v>
      </c>
      <c r="G4029" t="s">
        <v>21</v>
      </c>
      <c r="H4029" t="s">
        <v>20</v>
      </c>
      <c r="I4029" t="s">
        <v>20</v>
      </c>
      <c r="J4029" t="s">
        <v>20</v>
      </c>
      <c r="K4029" t="s">
        <v>20</v>
      </c>
      <c r="L4029">
        <f t="shared" si="317"/>
        <v>1</v>
      </c>
      <c r="M4029">
        <f t="shared" si="318"/>
        <v>0</v>
      </c>
      <c r="N4029">
        <f t="shared" si="319"/>
        <v>0</v>
      </c>
      <c r="O4029">
        <f t="shared" si="320"/>
        <v>0</v>
      </c>
      <c r="P4029">
        <f t="shared" si="321"/>
        <v>0</v>
      </c>
      <c r="Q4029">
        <f>COUNTIF('責任職　企業局→市長部局'!A:A,SQLデータ!B4029)</f>
        <v>0</v>
      </c>
      <c r="R4029">
        <f>COUNTIF('一般職員　企業局→市長部局'!A:F,SQLデータ!B4029)</f>
        <v>0</v>
      </c>
    </row>
    <row r="4030" spans="1:18" x14ac:dyDescent="0.4">
      <c r="A4030" s="1">
        <v>202660000350</v>
      </c>
      <c r="B4030" s="1">
        <v>1106049</v>
      </c>
      <c r="C4030" s="2">
        <v>46131</v>
      </c>
      <c r="D4030" t="s">
        <v>18</v>
      </c>
      <c r="E4030" t="s">
        <v>8</v>
      </c>
      <c r="G4030" t="s">
        <v>28</v>
      </c>
      <c r="H4030" t="s">
        <v>20</v>
      </c>
      <c r="I4030" t="s">
        <v>20</v>
      </c>
      <c r="J4030" t="s">
        <v>20</v>
      </c>
      <c r="K4030" t="s">
        <v>20</v>
      </c>
      <c r="L4030">
        <f t="shared" si="317"/>
        <v>1</v>
      </c>
      <c r="M4030">
        <f t="shared" si="318"/>
        <v>0</v>
      </c>
      <c r="N4030">
        <f t="shared" si="319"/>
        <v>0</v>
      </c>
      <c r="O4030">
        <f t="shared" si="320"/>
        <v>0</v>
      </c>
      <c r="P4030">
        <f t="shared" si="321"/>
        <v>0</v>
      </c>
      <c r="Q4030">
        <f>COUNTIF('責任職　企業局→市長部局'!A:A,SQLデータ!B4030)</f>
        <v>0</v>
      </c>
      <c r="R4030">
        <f>COUNTIF('一般職員　企業局→市長部局'!A:F,SQLデータ!B4030)</f>
        <v>0</v>
      </c>
    </row>
    <row r="4031" spans="1:18" x14ac:dyDescent="0.4">
      <c r="A4031" s="1">
        <v>202660000351</v>
      </c>
      <c r="B4031" s="1">
        <v>920034</v>
      </c>
      <c r="C4031" s="2">
        <v>46132</v>
      </c>
      <c r="D4031" t="s">
        <v>18</v>
      </c>
      <c r="E4031" t="s">
        <v>8</v>
      </c>
      <c r="G4031" t="s">
        <v>25</v>
      </c>
      <c r="H4031" t="s">
        <v>20</v>
      </c>
      <c r="I4031" t="s">
        <v>20</v>
      </c>
      <c r="L4031">
        <f t="shared" si="317"/>
        <v>0</v>
      </c>
      <c r="M4031">
        <f t="shared" si="318"/>
        <v>1</v>
      </c>
      <c r="N4031">
        <f t="shared" si="319"/>
        <v>0</v>
      </c>
      <c r="O4031">
        <f t="shared" si="320"/>
        <v>0</v>
      </c>
      <c r="P4031">
        <f t="shared" si="321"/>
        <v>0</v>
      </c>
      <c r="Q4031">
        <f>COUNTIF('責任職　企業局→市長部局'!A:A,SQLデータ!B4031)</f>
        <v>0</v>
      </c>
      <c r="R4031">
        <f>COUNTIF('一般職員　企業局→市長部局'!A:F,SQLデータ!B4031)</f>
        <v>0</v>
      </c>
    </row>
  </sheetData>
  <autoFilter ref="A1:R4031" xr:uid="{E12839A8-1380-4718-ADF4-A8B54BD22625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0DA1-AF74-4492-9AE0-0707D8848AF2}">
  <dimension ref="A1:T130"/>
  <sheetViews>
    <sheetView zoomScale="85" zoomScaleNormal="85" workbookViewId="0">
      <pane ySplit="2" topLeftCell="A57" activePane="bottomLeft" state="frozen"/>
      <selection pane="bottomLeft" activeCell="F67" sqref="F67"/>
    </sheetView>
  </sheetViews>
  <sheetFormatPr defaultRowHeight="18.75" x14ac:dyDescent="0.4"/>
  <cols>
    <col min="2" max="2" width="21.375" bestFit="1" customWidth="1"/>
    <col min="3" max="4" width="21.375" customWidth="1"/>
    <col min="5" max="5" width="7.125" bestFit="1" customWidth="1"/>
    <col min="6" max="6" width="10.25" bestFit="1" customWidth="1"/>
    <col min="7" max="7" width="13" bestFit="1" customWidth="1"/>
    <col min="8" max="9" width="11" bestFit="1" customWidth="1"/>
    <col min="10" max="15" width="10.25" bestFit="1" customWidth="1"/>
    <col min="16" max="16" width="9.25" bestFit="1" customWidth="1"/>
    <col min="17" max="20" width="10.25" bestFit="1" customWidth="1"/>
  </cols>
  <sheetData>
    <row r="1" spans="1:20" x14ac:dyDescent="0.4">
      <c r="A1" s="126" t="s">
        <v>873</v>
      </c>
      <c r="B1" s="128" t="s">
        <v>92</v>
      </c>
      <c r="C1" s="128" t="s">
        <v>874</v>
      </c>
      <c r="D1" s="130" t="s">
        <v>879</v>
      </c>
      <c r="E1" s="4" t="s">
        <v>876</v>
      </c>
      <c r="F1" s="87">
        <v>45658</v>
      </c>
      <c r="G1" s="87">
        <v>46111</v>
      </c>
      <c r="H1" s="87">
        <f>G1+7</f>
        <v>46118</v>
      </c>
      <c r="I1" s="87">
        <f t="shared" ref="I1:L1" si="0">H1+7</f>
        <v>46125</v>
      </c>
      <c r="J1" s="87">
        <f t="shared" si="0"/>
        <v>46132</v>
      </c>
      <c r="K1" s="87">
        <f t="shared" si="0"/>
        <v>46139</v>
      </c>
      <c r="L1" s="87">
        <f t="shared" si="0"/>
        <v>46146</v>
      </c>
      <c r="M1" s="87">
        <f t="shared" ref="M1:R1" si="1">L1+7</f>
        <v>46153</v>
      </c>
      <c r="N1" s="87">
        <f t="shared" si="1"/>
        <v>46160</v>
      </c>
      <c r="O1" s="87">
        <f t="shared" si="1"/>
        <v>46167</v>
      </c>
      <c r="P1" s="87">
        <f t="shared" si="1"/>
        <v>46174</v>
      </c>
      <c r="Q1" s="87">
        <f t="shared" si="1"/>
        <v>46181</v>
      </c>
      <c r="R1" s="87">
        <f t="shared" si="1"/>
        <v>46188</v>
      </c>
      <c r="S1" s="87">
        <f t="shared" ref="S1:T1" si="2">R1+7</f>
        <v>46195</v>
      </c>
      <c r="T1" s="88">
        <f t="shared" si="2"/>
        <v>46202</v>
      </c>
    </row>
    <row r="2" spans="1:20" ht="19.5" thickBot="1" x14ac:dyDescent="0.45">
      <c r="A2" s="127"/>
      <c r="B2" s="129"/>
      <c r="C2" s="129"/>
      <c r="D2" s="131"/>
      <c r="E2" s="5" t="s">
        <v>877</v>
      </c>
      <c r="F2" s="89">
        <v>46110</v>
      </c>
      <c r="G2" s="89">
        <v>46117</v>
      </c>
      <c r="H2" s="89">
        <f>G2+7</f>
        <v>46124</v>
      </c>
      <c r="I2" s="89">
        <f t="shared" ref="I2:L2" si="3">H2+7</f>
        <v>46131</v>
      </c>
      <c r="J2" s="89">
        <f t="shared" si="3"/>
        <v>46138</v>
      </c>
      <c r="K2" s="89">
        <f t="shared" si="3"/>
        <v>46145</v>
      </c>
      <c r="L2" s="89">
        <f t="shared" si="3"/>
        <v>46152</v>
      </c>
      <c r="M2" s="89">
        <f t="shared" ref="M2:R2" si="4">L2+7</f>
        <v>46159</v>
      </c>
      <c r="N2" s="89">
        <f t="shared" si="4"/>
        <v>46166</v>
      </c>
      <c r="O2" s="89">
        <f t="shared" si="4"/>
        <v>46173</v>
      </c>
      <c r="P2" s="89">
        <f t="shared" si="4"/>
        <v>46180</v>
      </c>
      <c r="Q2" s="89">
        <f t="shared" si="4"/>
        <v>46187</v>
      </c>
      <c r="R2" s="89">
        <f t="shared" si="4"/>
        <v>46194</v>
      </c>
      <c r="S2" s="89">
        <f t="shared" ref="S2:T2" si="5">R2+7</f>
        <v>46201</v>
      </c>
      <c r="T2" s="90">
        <f t="shared" si="5"/>
        <v>46208</v>
      </c>
    </row>
    <row r="3" spans="1:20" x14ac:dyDescent="0.4">
      <c r="A3" s="82" t="s">
        <v>55</v>
      </c>
      <c r="B3" s="82" t="s">
        <v>56</v>
      </c>
      <c r="C3" s="82" t="s">
        <v>70</v>
      </c>
      <c r="D3" s="84">
        <f>COUNTIFS(SQLデータ!$D:$D,"扶養",SQLデータ!$H:$H,届出事由・区分・届出年月日ごと集計!$A3,SQLデータ!$G:$G,届出事由・区分・届出年月日ごと集計!$B3,SQLデータ!$L:$L,1)</f>
        <v>17</v>
      </c>
      <c r="E3" s="111"/>
      <c r="F3" s="79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F$1,SQLデータ!$C:$C,"&lt;="&amp;届出事由・区分・届出年月日ごと集計!F$2)</f>
        <v>1</v>
      </c>
      <c r="G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G$1,SQLデータ!$C:$C,"&lt;="&amp;届出事由・区分・届出年月日ごと集計!G$2)</f>
        <v>0</v>
      </c>
      <c r="H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H$1,SQLデータ!$C:$C,"&lt;="&amp;届出事由・区分・届出年月日ごと集計!H$2)</f>
        <v>0</v>
      </c>
      <c r="I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I$1,SQLデータ!$C:$C,"&lt;="&amp;届出事由・区分・届出年月日ごと集計!I$2)</f>
        <v>1</v>
      </c>
      <c r="J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J$1,SQLデータ!$C:$C,"&lt;="&amp;届出事由・区分・届出年月日ごと集計!J$2)</f>
        <v>0</v>
      </c>
      <c r="K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K$1,SQLデータ!$C:$C,"&lt;="&amp;届出事由・区分・届出年月日ごと集計!K$2)</f>
        <v>0</v>
      </c>
      <c r="L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L$1,SQLデータ!$C:$C,"&lt;="&amp;届出事由・区分・届出年月日ごと集計!L$2)</f>
        <v>0</v>
      </c>
      <c r="M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M$1,SQLデータ!$C:$C,"&lt;="&amp;届出事由・区分・届出年月日ごと集計!M$2)</f>
        <v>0</v>
      </c>
      <c r="N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N$1,SQLデータ!$C:$C,"&lt;="&amp;届出事由・区分・届出年月日ごと集計!N$2)</f>
        <v>0</v>
      </c>
      <c r="O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O$1,SQLデータ!$C:$C,"&lt;="&amp;届出事由・区分・届出年月日ごと集計!O$2)</f>
        <v>0</v>
      </c>
      <c r="P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P$1,SQLデータ!$C:$C,"&lt;="&amp;届出事由・区分・届出年月日ごと集計!P$2)</f>
        <v>0</v>
      </c>
      <c r="Q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Q$1,SQLデータ!$C:$C,"&lt;="&amp;届出事由・区分・届出年月日ごと集計!Q$2)</f>
        <v>0</v>
      </c>
      <c r="R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R$1,SQLデータ!$C:$C,"&lt;="&amp;届出事由・区分・届出年月日ごと集計!R$2)</f>
        <v>0</v>
      </c>
      <c r="S3" s="83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S$1,SQLデータ!$C:$C,"&lt;="&amp;届出事由・区分・届出年月日ごと集計!S$2)</f>
        <v>0</v>
      </c>
      <c r="T3" s="91">
        <f>COUNTIFS(SQLデータ!$D:$D,"扶養",SQLデータ!$P:$P,1,SQLデータ!$H:$H,届出事由・区分・届出年月日ごと集計!$A3,SQLデータ!$G:$G,届出事由・区分・届出年月日ごと集計!$B3,SQLデータ!$L:$L,1,SQLデータ!$F:$F,"",SQLデータ!$C:$C,"&gt;="&amp;届出事由・区分・届出年月日ごと集計!T$1,SQLデータ!$C:$C,"&lt;="&amp;届出事由・区分・届出年月日ごと集計!T$2)</f>
        <v>0</v>
      </c>
    </row>
    <row r="4" spans="1:20" x14ac:dyDescent="0.4">
      <c r="A4" s="3" t="s">
        <v>55</v>
      </c>
      <c r="B4" s="3" t="s">
        <v>56</v>
      </c>
      <c r="C4" s="3" t="s">
        <v>71</v>
      </c>
      <c r="D4" s="3">
        <f>COUNTIFS(SQLデータ!$D:$D,"扶養",SQLデータ!$H:$H,届出事由・区分・届出年月日ごと集計!$A4,SQLデータ!$G:$G,届出事由・区分・届出年月日ごと集計!$B4,SQLデータ!$M:$M,1)</f>
        <v>2</v>
      </c>
      <c r="E4" s="107"/>
      <c r="F4" s="80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F$1,SQLデータ!$C:$C,"&lt;="&amp;届出事由・区分・届出年月日ごと集計!F$2)</f>
        <v>0</v>
      </c>
      <c r="G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G$1,SQLデータ!$C:$C,"&lt;="&amp;届出事由・区分・届出年月日ごと集計!G$2)</f>
        <v>0</v>
      </c>
      <c r="H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H$1,SQLデータ!$C:$C,"&lt;="&amp;届出事由・区分・届出年月日ごと集計!H$2)</f>
        <v>0</v>
      </c>
      <c r="I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I$1,SQLデータ!$C:$C,"&lt;="&amp;届出事由・区分・届出年月日ごと集計!I$2)</f>
        <v>0</v>
      </c>
      <c r="J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J$1,SQLデータ!$C:$C,"&lt;="&amp;届出事由・区分・届出年月日ごと集計!J$2)</f>
        <v>0</v>
      </c>
      <c r="K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K$1,SQLデータ!$C:$C,"&lt;="&amp;届出事由・区分・届出年月日ごと集計!K$2)</f>
        <v>0</v>
      </c>
      <c r="L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L$1,SQLデータ!$C:$C,"&lt;="&amp;届出事由・区分・届出年月日ごと集計!L$2)</f>
        <v>0</v>
      </c>
      <c r="M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M$1,SQLデータ!$C:$C,"&lt;="&amp;届出事由・区分・届出年月日ごと集計!M$2)</f>
        <v>0</v>
      </c>
      <c r="N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N$1,SQLデータ!$C:$C,"&lt;="&amp;届出事由・区分・届出年月日ごと集計!N$2)</f>
        <v>0</v>
      </c>
      <c r="O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O$1,SQLデータ!$C:$C,"&lt;="&amp;届出事由・区分・届出年月日ごと集計!O$2)</f>
        <v>0</v>
      </c>
      <c r="P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P$1,SQLデータ!$C:$C,"&lt;="&amp;届出事由・区分・届出年月日ごと集計!P$2)</f>
        <v>0</v>
      </c>
      <c r="Q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Q$1,SQLデータ!$C:$C,"&lt;="&amp;届出事由・区分・届出年月日ごと集計!Q$2)</f>
        <v>0</v>
      </c>
      <c r="R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R$1,SQLデータ!$C:$C,"&lt;="&amp;届出事由・区分・届出年月日ごと集計!R$2)</f>
        <v>0</v>
      </c>
      <c r="S4" s="85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S$1,SQLデータ!$C:$C,"&lt;="&amp;届出事由・区分・届出年月日ごと集計!S$2)</f>
        <v>0</v>
      </c>
      <c r="T4" s="92">
        <f>COUNTIFS(SQLデータ!$D:$D,"扶養",SQLデータ!$P:$P,1,SQLデータ!$H:$H,届出事由・区分・届出年月日ごと集計!$A4,SQLデータ!$G:$G,届出事由・区分・届出年月日ごと集計!$B4,SQLデータ!$M:$M,1,SQLデータ!$F:$F,"",SQLデータ!$C:$C,"&gt;="&amp;届出事由・区分・届出年月日ごと集計!T$1,SQLデータ!$C:$C,"&lt;="&amp;届出事由・区分・届出年月日ごと集計!T$2)</f>
        <v>0</v>
      </c>
    </row>
    <row r="5" spans="1:20" x14ac:dyDescent="0.4">
      <c r="A5" s="3" t="s">
        <v>55</v>
      </c>
      <c r="B5" s="3" t="s">
        <v>56</v>
      </c>
      <c r="C5" s="3" t="s">
        <v>72</v>
      </c>
      <c r="D5" s="3">
        <f>COUNTIFS(SQLデータ!$D:$D,"扶養",SQLデータ!$H:$H,届出事由・区分・届出年月日ごと集計!$A5,SQLデータ!$G:$G,届出事由・区分・届出年月日ごと集計!$B5,SQLデータ!$N:$N,1)</f>
        <v>0</v>
      </c>
      <c r="E5" s="107"/>
      <c r="F5" s="80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F$1,SQLデータ!$C:$C,"&lt;="&amp;届出事由・区分・届出年月日ごと集計!F$2)</f>
        <v>0</v>
      </c>
      <c r="G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G$1,SQLデータ!$C:$C,"&lt;="&amp;届出事由・区分・届出年月日ごと集計!G$2)</f>
        <v>0</v>
      </c>
      <c r="H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H$1,SQLデータ!$C:$C,"&lt;="&amp;届出事由・区分・届出年月日ごと集計!H$2)</f>
        <v>0</v>
      </c>
      <c r="I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I$1,SQLデータ!$C:$C,"&lt;="&amp;届出事由・区分・届出年月日ごと集計!I$2)</f>
        <v>0</v>
      </c>
      <c r="J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J$1,SQLデータ!$C:$C,"&lt;="&amp;届出事由・区分・届出年月日ごと集計!J$2)</f>
        <v>0</v>
      </c>
      <c r="K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K$1,SQLデータ!$C:$C,"&lt;="&amp;届出事由・区分・届出年月日ごと集計!K$2)</f>
        <v>0</v>
      </c>
      <c r="L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L$1,SQLデータ!$C:$C,"&lt;="&amp;届出事由・区分・届出年月日ごと集計!L$2)</f>
        <v>0</v>
      </c>
      <c r="M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M$1,SQLデータ!$C:$C,"&lt;="&amp;届出事由・区分・届出年月日ごと集計!M$2)</f>
        <v>0</v>
      </c>
      <c r="N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N$1,SQLデータ!$C:$C,"&lt;="&amp;届出事由・区分・届出年月日ごと集計!N$2)</f>
        <v>0</v>
      </c>
      <c r="O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O$1,SQLデータ!$C:$C,"&lt;="&amp;届出事由・区分・届出年月日ごと集計!O$2)</f>
        <v>0</v>
      </c>
      <c r="P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P$1,SQLデータ!$C:$C,"&lt;="&amp;届出事由・区分・届出年月日ごと集計!P$2)</f>
        <v>0</v>
      </c>
      <c r="Q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Q$1,SQLデータ!$C:$C,"&lt;="&amp;届出事由・区分・届出年月日ごと集計!Q$2)</f>
        <v>0</v>
      </c>
      <c r="R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R$1,SQLデータ!$C:$C,"&lt;="&amp;届出事由・区分・届出年月日ごと集計!R$2)</f>
        <v>0</v>
      </c>
      <c r="S5" s="85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S$1,SQLデータ!$C:$C,"&lt;="&amp;届出事由・区分・届出年月日ごと集計!S$2)</f>
        <v>0</v>
      </c>
      <c r="T5" s="92">
        <f>COUNTIFS(SQLデータ!$D:$D,"扶養",SQLデータ!$P:$P,1,SQLデータ!$H:$H,届出事由・区分・届出年月日ごと集計!$A5,SQLデータ!$G:$G,届出事由・区分・届出年月日ごと集計!$B5,SQLデータ!$N:$N,1,SQLデータ!$F:$F,"",SQLデータ!$C:$C,"&gt;="&amp;届出事由・区分・届出年月日ごと集計!T$1,SQLデータ!$C:$C,"&lt;="&amp;届出事由・区分・届出年月日ごと集計!T$2)</f>
        <v>0</v>
      </c>
    </row>
    <row r="6" spans="1:20" x14ac:dyDescent="0.4">
      <c r="A6" s="3" t="s">
        <v>55</v>
      </c>
      <c r="B6" s="3" t="s">
        <v>56</v>
      </c>
      <c r="C6" s="3" t="s">
        <v>73</v>
      </c>
      <c r="D6" s="3">
        <f>COUNTIFS(SQLデータ!$D:$D,"扶養",SQLデータ!$H:$H,届出事由・区分・届出年月日ごと集計!$A6,SQLデータ!$G:$G,届出事由・区分・届出年月日ごと集計!$B6,SQLデータ!$O:$O,1)</f>
        <v>0</v>
      </c>
      <c r="E6" s="107"/>
      <c r="F6" s="80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F$1,SQLデータ!$C:$C,"&lt;="&amp;届出事由・区分・届出年月日ごと集計!F$2)</f>
        <v>0</v>
      </c>
      <c r="G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G$1,SQLデータ!$C:$C,"&lt;="&amp;届出事由・区分・届出年月日ごと集計!G$2)</f>
        <v>0</v>
      </c>
      <c r="H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H$1,SQLデータ!$C:$C,"&lt;="&amp;届出事由・区分・届出年月日ごと集計!H$2)</f>
        <v>0</v>
      </c>
      <c r="I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I$1,SQLデータ!$C:$C,"&lt;="&amp;届出事由・区分・届出年月日ごと集計!I$2)</f>
        <v>0</v>
      </c>
      <c r="J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J$1,SQLデータ!$C:$C,"&lt;="&amp;届出事由・区分・届出年月日ごと集計!J$2)</f>
        <v>0</v>
      </c>
      <c r="K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K$1,SQLデータ!$C:$C,"&lt;="&amp;届出事由・区分・届出年月日ごと集計!K$2)</f>
        <v>0</v>
      </c>
      <c r="L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L$1,SQLデータ!$C:$C,"&lt;="&amp;届出事由・区分・届出年月日ごと集計!L$2)</f>
        <v>0</v>
      </c>
      <c r="M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M$1,SQLデータ!$C:$C,"&lt;="&amp;届出事由・区分・届出年月日ごと集計!M$2)</f>
        <v>0</v>
      </c>
      <c r="N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N$1,SQLデータ!$C:$C,"&lt;="&amp;届出事由・区分・届出年月日ごと集計!N$2)</f>
        <v>0</v>
      </c>
      <c r="O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O$1,SQLデータ!$C:$C,"&lt;="&amp;届出事由・区分・届出年月日ごと集計!O$2)</f>
        <v>0</v>
      </c>
      <c r="P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P$1,SQLデータ!$C:$C,"&lt;="&amp;届出事由・区分・届出年月日ごと集計!P$2)</f>
        <v>0</v>
      </c>
      <c r="Q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Q$1,SQLデータ!$C:$C,"&lt;="&amp;届出事由・区分・届出年月日ごと集計!Q$2)</f>
        <v>0</v>
      </c>
      <c r="R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R$1,SQLデータ!$C:$C,"&lt;="&amp;届出事由・区分・届出年月日ごと集計!R$2)</f>
        <v>0</v>
      </c>
      <c r="S6" s="85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S$1,SQLデータ!$C:$C,"&lt;="&amp;届出事由・区分・届出年月日ごと集計!S$2)</f>
        <v>0</v>
      </c>
      <c r="T6" s="92">
        <f>COUNTIFS(SQLデータ!$D:$D,"扶養",SQLデータ!$P:$P,1,SQLデータ!$H:$H,届出事由・区分・届出年月日ごと集計!$A6,SQLデータ!$G:$G,届出事由・区分・届出年月日ごと集計!$B6,SQLデータ!$O:$O,1,SQLデータ!$F:$F,"",SQLデータ!$C:$C,"&gt;="&amp;届出事由・区分・届出年月日ごと集計!T$1,SQLデータ!$C:$C,"&lt;="&amp;届出事由・区分・届出年月日ごと集計!T$2)</f>
        <v>0</v>
      </c>
    </row>
    <row r="7" spans="1:20" x14ac:dyDescent="0.4">
      <c r="A7" s="3" t="s">
        <v>55</v>
      </c>
      <c r="B7" s="3" t="s">
        <v>57</v>
      </c>
      <c r="C7" s="3" t="s">
        <v>70</v>
      </c>
      <c r="D7" s="3">
        <f>COUNTIFS(SQLデータ!$D:$D,"扶養",SQLデータ!$H:$H,届出事由・区分・届出年月日ごと集計!$A7,SQLデータ!$G:$G,届出事由・区分・届出年月日ごと集計!$B7,SQLデータ!$L:$L,1)</f>
        <v>19</v>
      </c>
      <c r="E7" s="107"/>
      <c r="F7" s="80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F$1,SQLデータ!$C:$C,"&lt;="&amp;届出事由・区分・届出年月日ごと集計!F$2)</f>
        <v>2</v>
      </c>
      <c r="G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G$1,SQLデータ!$C:$C,"&lt;="&amp;届出事由・区分・届出年月日ごと集計!G$2)</f>
        <v>3</v>
      </c>
      <c r="H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H$1,SQLデータ!$C:$C,"&lt;="&amp;届出事由・区分・届出年月日ごと集計!H$2)</f>
        <v>1</v>
      </c>
      <c r="I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I$1,SQLデータ!$C:$C,"&lt;="&amp;届出事由・区分・届出年月日ごと集計!I$2)</f>
        <v>0</v>
      </c>
      <c r="J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J$1,SQLデータ!$C:$C,"&lt;="&amp;届出事由・区分・届出年月日ごと集計!J$2)</f>
        <v>0</v>
      </c>
      <c r="K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K$1,SQLデータ!$C:$C,"&lt;="&amp;届出事由・区分・届出年月日ごと集計!K$2)</f>
        <v>0</v>
      </c>
      <c r="L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L$1,SQLデータ!$C:$C,"&lt;="&amp;届出事由・区分・届出年月日ごと集計!L$2)</f>
        <v>0</v>
      </c>
      <c r="M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M$1,SQLデータ!$C:$C,"&lt;="&amp;届出事由・区分・届出年月日ごと集計!M$2)</f>
        <v>0</v>
      </c>
      <c r="N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N$1,SQLデータ!$C:$C,"&lt;="&amp;届出事由・区分・届出年月日ごと集計!N$2)</f>
        <v>0</v>
      </c>
      <c r="O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O$1,SQLデータ!$C:$C,"&lt;="&amp;届出事由・区分・届出年月日ごと集計!O$2)</f>
        <v>0</v>
      </c>
      <c r="P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P$1,SQLデータ!$C:$C,"&lt;="&amp;届出事由・区分・届出年月日ごと集計!P$2)</f>
        <v>0</v>
      </c>
      <c r="Q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Q$1,SQLデータ!$C:$C,"&lt;="&amp;届出事由・区分・届出年月日ごと集計!Q$2)</f>
        <v>0</v>
      </c>
      <c r="R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R$1,SQLデータ!$C:$C,"&lt;="&amp;届出事由・区分・届出年月日ごと集計!R$2)</f>
        <v>0</v>
      </c>
      <c r="S7" s="85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S$1,SQLデータ!$C:$C,"&lt;="&amp;届出事由・区分・届出年月日ごと集計!S$2)</f>
        <v>0</v>
      </c>
      <c r="T7" s="92">
        <f>COUNTIFS(SQLデータ!$D:$D,"扶養",SQLデータ!$P:$P,1,SQLデータ!$H:$H,届出事由・区分・届出年月日ごと集計!$A7,SQLデータ!$G:$G,届出事由・区分・届出年月日ごと集計!$B7,SQLデータ!$L:$L,1,SQLデータ!$F:$F,"",SQLデータ!$C:$C,"&gt;="&amp;届出事由・区分・届出年月日ごと集計!T$1,SQLデータ!$C:$C,"&lt;="&amp;届出事由・区分・届出年月日ごと集計!T$2)</f>
        <v>0</v>
      </c>
    </row>
    <row r="8" spans="1:20" x14ac:dyDescent="0.4">
      <c r="A8" s="3" t="s">
        <v>55</v>
      </c>
      <c r="B8" s="3" t="s">
        <v>57</v>
      </c>
      <c r="C8" s="3" t="s">
        <v>71</v>
      </c>
      <c r="D8" s="3">
        <f>COUNTIFS(SQLデータ!$D:$D,"扶養",SQLデータ!$H:$H,届出事由・区分・届出年月日ごと集計!$A8,SQLデータ!$G:$G,届出事由・区分・届出年月日ごと集計!$B8,SQLデータ!$M:$M,1)</f>
        <v>0</v>
      </c>
      <c r="E8" s="107"/>
      <c r="F8" s="80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F$1,SQLデータ!$C:$C,"&lt;="&amp;届出事由・区分・届出年月日ごと集計!F$2)</f>
        <v>0</v>
      </c>
      <c r="G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G$1,SQLデータ!$C:$C,"&lt;="&amp;届出事由・区分・届出年月日ごと集計!G$2)</f>
        <v>0</v>
      </c>
      <c r="H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H$1,SQLデータ!$C:$C,"&lt;="&amp;届出事由・区分・届出年月日ごと集計!H$2)</f>
        <v>0</v>
      </c>
      <c r="I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I$1,SQLデータ!$C:$C,"&lt;="&amp;届出事由・区分・届出年月日ごと集計!I$2)</f>
        <v>0</v>
      </c>
      <c r="J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J$1,SQLデータ!$C:$C,"&lt;="&amp;届出事由・区分・届出年月日ごと集計!J$2)</f>
        <v>0</v>
      </c>
      <c r="K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K$1,SQLデータ!$C:$C,"&lt;="&amp;届出事由・区分・届出年月日ごと集計!K$2)</f>
        <v>0</v>
      </c>
      <c r="L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L$1,SQLデータ!$C:$C,"&lt;="&amp;届出事由・区分・届出年月日ごと集計!L$2)</f>
        <v>0</v>
      </c>
      <c r="M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M$1,SQLデータ!$C:$C,"&lt;="&amp;届出事由・区分・届出年月日ごと集計!M$2)</f>
        <v>0</v>
      </c>
      <c r="N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N$1,SQLデータ!$C:$C,"&lt;="&amp;届出事由・区分・届出年月日ごと集計!N$2)</f>
        <v>0</v>
      </c>
      <c r="O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O$1,SQLデータ!$C:$C,"&lt;="&amp;届出事由・区分・届出年月日ごと集計!O$2)</f>
        <v>0</v>
      </c>
      <c r="P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P$1,SQLデータ!$C:$C,"&lt;="&amp;届出事由・区分・届出年月日ごと集計!P$2)</f>
        <v>0</v>
      </c>
      <c r="Q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Q$1,SQLデータ!$C:$C,"&lt;="&amp;届出事由・区分・届出年月日ごと集計!Q$2)</f>
        <v>0</v>
      </c>
      <c r="R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R$1,SQLデータ!$C:$C,"&lt;="&amp;届出事由・区分・届出年月日ごと集計!R$2)</f>
        <v>0</v>
      </c>
      <c r="S8" s="85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S$1,SQLデータ!$C:$C,"&lt;="&amp;届出事由・区分・届出年月日ごと集計!S$2)</f>
        <v>0</v>
      </c>
      <c r="T8" s="92">
        <f>COUNTIFS(SQLデータ!$D:$D,"扶養",SQLデータ!$P:$P,1,SQLデータ!$H:$H,届出事由・区分・届出年月日ごと集計!$A8,SQLデータ!$G:$G,届出事由・区分・届出年月日ごと集計!$B8,SQLデータ!$M:$M,1,SQLデータ!$F:$F,"",SQLデータ!$C:$C,"&gt;="&amp;届出事由・区分・届出年月日ごと集計!T$1,SQLデータ!$C:$C,"&lt;="&amp;届出事由・区分・届出年月日ごと集計!T$2)</f>
        <v>0</v>
      </c>
    </row>
    <row r="9" spans="1:20" x14ac:dyDescent="0.4">
      <c r="A9" s="3" t="s">
        <v>55</v>
      </c>
      <c r="B9" s="3" t="s">
        <v>57</v>
      </c>
      <c r="C9" s="3" t="s">
        <v>72</v>
      </c>
      <c r="D9" s="3">
        <f>COUNTIFS(SQLデータ!$D:$D,"扶養",SQLデータ!$H:$H,届出事由・区分・届出年月日ごと集計!$A9,SQLデータ!$G:$G,届出事由・区分・届出年月日ごと集計!$B9,SQLデータ!$N:$N,1)</f>
        <v>0</v>
      </c>
      <c r="E9" s="107"/>
      <c r="F9" s="80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F$1,SQLデータ!$C:$C,"&lt;="&amp;届出事由・区分・届出年月日ごと集計!F$2)</f>
        <v>0</v>
      </c>
      <c r="G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G$1,SQLデータ!$C:$C,"&lt;="&amp;届出事由・区分・届出年月日ごと集計!G$2)</f>
        <v>0</v>
      </c>
      <c r="H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H$1,SQLデータ!$C:$C,"&lt;="&amp;届出事由・区分・届出年月日ごと集計!H$2)</f>
        <v>0</v>
      </c>
      <c r="I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I$1,SQLデータ!$C:$C,"&lt;="&amp;届出事由・区分・届出年月日ごと集計!I$2)</f>
        <v>0</v>
      </c>
      <c r="J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J$1,SQLデータ!$C:$C,"&lt;="&amp;届出事由・区分・届出年月日ごと集計!J$2)</f>
        <v>0</v>
      </c>
      <c r="K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K$1,SQLデータ!$C:$C,"&lt;="&amp;届出事由・区分・届出年月日ごと集計!K$2)</f>
        <v>0</v>
      </c>
      <c r="L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L$1,SQLデータ!$C:$C,"&lt;="&amp;届出事由・区分・届出年月日ごと集計!L$2)</f>
        <v>0</v>
      </c>
      <c r="M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M$1,SQLデータ!$C:$C,"&lt;="&amp;届出事由・区分・届出年月日ごと集計!M$2)</f>
        <v>0</v>
      </c>
      <c r="N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N$1,SQLデータ!$C:$C,"&lt;="&amp;届出事由・区分・届出年月日ごと集計!N$2)</f>
        <v>0</v>
      </c>
      <c r="O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O$1,SQLデータ!$C:$C,"&lt;="&amp;届出事由・区分・届出年月日ごと集計!O$2)</f>
        <v>0</v>
      </c>
      <c r="P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P$1,SQLデータ!$C:$C,"&lt;="&amp;届出事由・区分・届出年月日ごと集計!P$2)</f>
        <v>0</v>
      </c>
      <c r="Q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Q$1,SQLデータ!$C:$C,"&lt;="&amp;届出事由・区分・届出年月日ごと集計!Q$2)</f>
        <v>0</v>
      </c>
      <c r="R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R$1,SQLデータ!$C:$C,"&lt;="&amp;届出事由・区分・届出年月日ごと集計!R$2)</f>
        <v>0</v>
      </c>
      <c r="S9" s="85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S$1,SQLデータ!$C:$C,"&lt;="&amp;届出事由・区分・届出年月日ごと集計!S$2)</f>
        <v>0</v>
      </c>
      <c r="T9" s="92">
        <f>COUNTIFS(SQLデータ!$D:$D,"扶養",SQLデータ!$P:$P,1,SQLデータ!$H:$H,届出事由・区分・届出年月日ごと集計!$A9,SQLデータ!$G:$G,届出事由・区分・届出年月日ごと集計!$B9,SQLデータ!$N:$N,1,SQLデータ!$F:$F,"",SQLデータ!$C:$C,"&gt;="&amp;届出事由・区分・届出年月日ごと集計!T$1,SQLデータ!$C:$C,"&lt;="&amp;届出事由・区分・届出年月日ごと集計!T$2)</f>
        <v>0</v>
      </c>
    </row>
    <row r="10" spans="1:20" x14ac:dyDescent="0.4">
      <c r="A10" s="3" t="s">
        <v>55</v>
      </c>
      <c r="B10" s="3" t="s">
        <v>57</v>
      </c>
      <c r="C10" s="3" t="s">
        <v>73</v>
      </c>
      <c r="D10" s="3">
        <f>COUNTIFS(SQLデータ!$D:$D,"扶養",SQLデータ!$H:$H,届出事由・区分・届出年月日ごと集計!$A10,SQLデータ!$G:$G,届出事由・区分・届出年月日ごと集計!$B10,SQLデータ!$O:$O,1)</f>
        <v>0</v>
      </c>
      <c r="E10" s="107"/>
      <c r="F10" s="80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F$1,SQLデータ!$C:$C,"&lt;="&amp;届出事由・区分・届出年月日ごと集計!F$2)</f>
        <v>0</v>
      </c>
      <c r="G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G$1,SQLデータ!$C:$C,"&lt;="&amp;届出事由・区分・届出年月日ごと集計!G$2)</f>
        <v>0</v>
      </c>
      <c r="H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H$1,SQLデータ!$C:$C,"&lt;="&amp;届出事由・区分・届出年月日ごと集計!H$2)</f>
        <v>0</v>
      </c>
      <c r="I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I$1,SQLデータ!$C:$C,"&lt;="&amp;届出事由・区分・届出年月日ごと集計!I$2)</f>
        <v>0</v>
      </c>
      <c r="J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J$1,SQLデータ!$C:$C,"&lt;="&amp;届出事由・区分・届出年月日ごと集計!J$2)</f>
        <v>0</v>
      </c>
      <c r="K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K$1,SQLデータ!$C:$C,"&lt;="&amp;届出事由・区分・届出年月日ごと集計!K$2)</f>
        <v>0</v>
      </c>
      <c r="L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L$1,SQLデータ!$C:$C,"&lt;="&amp;届出事由・区分・届出年月日ごと集計!L$2)</f>
        <v>0</v>
      </c>
      <c r="M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M$1,SQLデータ!$C:$C,"&lt;="&amp;届出事由・区分・届出年月日ごと集計!M$2)</f>
        <v>0</v>
      </c>
      <c r="N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N$1,SQLデータ!$C:$C,"&lt;="&amp;届出事由・区分・届出年月日ごと集計!N$2)</f>
        <v>0</v>
      </c>
      <c r="O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O$1,SQLデータ!$C:$C,"&lt;="&amp;届出事由・区分・届出年月日ごと集計!O$2)</f>
        <v>0</v>
      </c>
      <c r="P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P$1,SQLデータ!$C:$C,"&lt;="&amp;届出事由・区分・届出年月日ごと集計!P$2)</f>
        <v>0</v>
      </c>
      <c r="Q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Q$1,SQLデータ!$C:$C,"&lt;="&amp;届出事由・区分・届出年月日ごと集計!Q$2)</f>
        <v>0</v>
      </c>
      <c r="R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R$1,SQLデータ!$C:$C,"&lt;="&amp;届出事由・区分・届出年月日ごと集計!R$2)</f>
        <v>0</v>
      </c>
      <c r="S10" s="85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S$1,SQLデータ!$C:$C,"&lt;="&amp;届出事由・区分・届出年月日ごと集計!S$2)</f>
        <v>0</v>
      </c>
      <c r="T10" s="92">
        <f>COUNTIFS(SQLデータ!$D:$D,"扶養",SQLデータ!$P:$P,1,SQLデータ!$H:$H,届出事由・区分・届出年月日ごと集計!$A10,SQLデータ!$G:$G,届出事由・区分・届出年月日ごと集計!$B10,SQLデータ!$O:$O,1,SQLデータ!$F:$F,"",SQLデータ!$C:$C,"&gt;="&amp;届出事由・区分・届出年月日ごと集計!T$1,SQLデータ!$C:$C,"&lt;="&amp;届出事由・区分・届出年月日ごと集計!T$2)</f>
        <v>0</v>
      </c>
    </row>
    <row r="11" spans="1:20" x14ac:dyDescent="0.4">
      <c r="A11" s="3" t="s">
        <v>55</v>
      </c>
      <c r="B11" s="3" t="s">
        <v>872</v>
      </c>
      <c r="C11" s="3" t="s">
        <v>70</v>
      </c>
      <c r="D11" s="3">
        <f>COUNTIFS(SQLデータ!$D:$D,"扶養",SQLデータ!$H:$H,届出事由・区分・届出年月日ごと集計!$A11,SQLデータ!$G:$G,届出事由・区分・届出年月日ごと集計!$B11,SQLデータ!$L:$L,1)</f>
        <v>3</v>
      </c>
      <c r="E11" s="107"/>
      <c r="F11" s="80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F$1,SQLデータ!$C:$C,"&lt;="&amp;届出事由・区分・届出年月日ごと集計!F$2)</f>
        <v>0</v>
      </c>
      <c r="G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G$1,SQLデータ!$C:$C,"&lt;="&amp;届出事由・区分・届出年月日ごと集計!G$2)</f>
        <v>1</v>
      </c>
      <c r="H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H$1,SQLデータ!$C:$C,"&lt;="&amp;届出事由・区分・届出年月日ごと集計!H$2)</f>
        <v>0</v>
      </c>
      <c r="I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I$1,SQLデータ!$C:$C,"&lt;="&amp;届出事由・区分・届出年月日ごと集計!I$2)</f>
        <v>0</v>
      </c>
      <c r="J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J$1,SQLデータ!$C:$C,"&lt;="&amp;届出事由・区分・届出年月日ごと集計!J$2)</f>
        <v>0</v>
      </c>
      <c r="K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K$1,SQLデータ!$C:$C,"&lt;="&amp;届出事由・区分・届出年月日ごと集計!K$2)</f>
        <v>0</v>
      </c>
      <c r="L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L$1,SQLデータ!$C:$C,"&lt;="&amp;届出事由・区分・届出年月日ごと集計!L$2)</f>
        <v>0</v>
      </c>
      <c r="M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M$1,SQLデータ!$C:$C,"&lt;="&amp;届出事由・区分・届出年月日ごと集計!M$2)</f>
        <v>0</v>
      </c>
      <c r="N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N$1,SQLデータ!$C:$C,"&lt;="&amp;届出事由・区分・届出年月日ごと集計!N$2)</f>
        <v>0</v>
      </c>
      <c r="O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O$1,SQLデータ!$C:$C,"&lt;="&amp;届出事由・区分・届出年月日ごと集計!O$2)</f>
        <v>0</v>
      </c>
      <c r="P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P$1,SQLデータ!$C:$C,"&lt;="&amp;届出事由・区分・届出年月日ごと集計!P$2)</f>
        <v>0</v>
      </c>
      <c r="Q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Q$1,SQLデータ!$C:$C,"&lt;="&amp;届出事由・区分・届出年月日ごと集計!Q$2)</f>
        <v>0</v>
      </c>
      <c r="R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R$1,SQLデータ!$C:$C,"&lt;="&amp;届出事由・区分・届出年月日ごと集計!R$2)</f>
        <v>0</v>
      </c>
      <c r="S11" s="85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S$1,SQLデータ!$C:$C,"&lt;="&amp;届出事由・区分・届出年月日ごと集計!S$2)</f>
        <v>0</v>
      </c>
      <c r="T11" s="92">
        <f>COUNTIFS(SQLデータ!$D:$D,"扶養",SQLデータ!$P:$P,1,SQLデータ!$H:$H,届出事由・区分・届出年月日ごと集計!$A11,SQLデータ!$G:$G,届出事由・区分・届出年月日ごと集計!$B11,SQLデータ!$L:$L,1,SQLデータ!$F:$F,"",SQLデータ!$C:$C,"&gt;="&amp;届出事由・区分・届出年月日ごと集計!T$1,SQLデータ!$C:$C,"&lt;="&amp;届出事由・区分・届出年月日ごと集計!T$2)</f>
        <v>0</v>
      </c>
    </row>
    <row r="12" spans="1:20" x14ac:dyDescent="0.4">
      <c r="A12" s="3" t="s">
        <v>55</v>
      </c>
      <c r="B12" s="3" t="s">
        <v>872</v>
      </c>
      <c r="C12" s="3" t="s">
        <v>71</v>
      </c>
      <c r="D12" s="3">
        <f>COUNTIFS(SQLデータ!$D:$D,"扶養",SQLデータ!$H:$H,届出事由・区分・届出年月日ごと集計!$A12,SQLデータ!$G:$G,届出事由・区分・届出年月日ごと集計!$B12,SQLデータ!$M:$M,1)</f>
        <v>0</v>
      </c>
      <c r="E12" s="107"/>
      <c r="F12" s="80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F$1,SQLデータ!$C:$C,"&lt;="&amp;届出事由・区分・届出年月日ごと集計!F$2)</f>
        <v>0</v>
      </c>
      <c r="G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G$1,SQLデータ!$C:$C,"&lt;="&amp;届出事由・区分・届出年月日ごと集計!G$2)</f>
        <v>0</v>
      </c>
      <c r="H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H$1,SQLデータ!$C:$C,"&lt;="&amp;届出事由・区分・届出年月日ごと集計!H$2)</f>
        <v>0</v>
      </c>
      <c r="I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I$1,SQLデータ!$C:$C,"&lt;="&amp;届出事由・区分・届出年月日ごと集計!I$2)</f>
        <v>0</v>
      </c>
      <c r="J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J$1,SQLデータ!$C:$C,"&lt;="&amp;届出事由・区分・届出年月日ごと集計!J$2)</f>
        <v>0</v>
      </c>
      <c r="K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K$1,SQLデータ!$C:$C,"&lt;="&amp;届出事由・区分・届出年月日ごと集計!K$2)</f>
        <v>0</v>
      </c>
      <c r="L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L$1,SQLデータ!$C:$C,"&lt;="&amp;届出事由・区分・届出年月日ごと集計!L$2)</f>
        <v>0</v>
      </c>
      <c r="M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M$1,SQLデータ!$C:$C,"&lt;="&amp;届出事由・区分・届出年月日ごと集計!M$2)</f>
        <v>0</v>
      </c>
      <c r="N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N$1,SQLデータ!$C:$C,"&lt;="&amp;届出事由・区分・届出年月日ごと集計!N$2)</f>
        <v>0</v>
      </c>
      <c r="O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O$1,SQLデータ!$C:$C,"&lt;="&amp;届出事由・区分・届出年月日ごと集計!O$2)</f>
        <v>0</v>
      </c>
      <c r="P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P$1,SQLデータ!$C:$C,"&lt;="&amp;届出事由・区分・届出年月日ごと集計!P$2)</f>
        <v>0</v>
      </c>
      <c r="Q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Q$1,SQLデータ!$C:$C,"&lt;="&amp;届出事由・区分・届出年月日ごと集計!Q$2)</f>
        <v>0</v>
      </c>
      <c r="R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R$1,SQLデータ!$C:$C,"&lt;="&amp;届出事由・区分・届出年月日ごと集計!R$2)</f>
        <v>0</v>
      </c>
      <c r="S12" s="85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S$1,SQLデータ!$C:$C,"&lt;="&amp;届出事由・区分・届出年月日ごと集計!S$2)</f>
        <v>0</v>
      </c>
      <c r="T12" s="92">
        <f>COUNTIFS(SQLデータ!$D:$D,"扶養",SQLデータ!$P:$P,1,SQLデータ!$H:$H,届出事由・区分・届出年月日ごと集計!$A12,SQLデータ!$G:$G,届出事由・区分・届出年月日ごと集計!$B12,SQLデータ!$M:$M,1,SQLデータ!$F:$F,"",SQLデータ!$C:$C,"&gt;="&amp;届出事由・区分・届出年月日ごと集計!T$1,SQLデータ!$C:$C,"&lt;="&amp;届出事由・区分・届出年月日ごと集計!T$2)</f>
        <v>0</v>
      </c>
    </row>
    <row r="13" spans="1:20" x14ac:dyDescent="0.4">
      <c r="A13" s="3" t="s">
        <v>55</v>
      </c>
      <c r="B13" s="3" t="s">
        <v>872</v>
      </c>
      <c r="C13" s="3" t="s">
        <v>72</v>
      </c>
      <c r="D13" s="3">
        <f>COUNTIFS(SQLデータ!$D:$D,"扶養",SQLデータ!$H:$H,届出事由・区分・届出年月日ごと集計!$A13,SQLデータ!$G:$G,届出事由・区分・届出年月日ごと集計!$B13,SQLデータ!$N:$N,1)</f>
        <v>1</v>
      </c>
      <c r="E13" s="107"/>
      <c r="F13" s="80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F$1,SQLデータ!$C:$C,"&lt;="&amp;届出事由・区分・届出年月日ごと集計!F$2)</f>
        <v>0</v>
      </c>
      <c r="G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G$1,SQLデータ!$C:$C,"&lt;="&amp;届出事由・区分・届出年月日ごと集計!G$2)</f>
        <v>0</v>
      </c>
      <c r="H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H$1,SQLデータ!$C:$C,"&lt;="&amp;届出事由・区分・届出年月日ごと集計!H$2)</f>
        <v>0</v>
      </c>
      <c r="I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I$1,SQLデータ!$C:$C,"&lt;="&amp;届出事由・区分・届出年月日ごと集計!I$2)</f>
        <v>0</v>
      </c>
      <c r="J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J$1,SQLデータ!$C:$C,"&lt;="&amp;届出事由・区分・届出年月日ごと集計!J$2)</f>
        <v>0</v>
      </c>
      <c r="K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K$1,SQLデータ!$C:$C,"&lt;="&amp;届出事由・区分・届出年月日ごと集計!K$2)</f>
        <v>0</v>
      </c>
      <c r="L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L$1,SQLデータ!$C:$C,"&lt;="&amp;届出事由・区分・届出年月日ごと集計!L$2)</f>
        <v>0</v>
      </c>
      <c r="M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M$1,SQLデータ!$C:$C,"&lt;="&amp;届出事由・区分・届出年月日ごと集計!M$2)</f>
        <v>0</v>
      </c>
      <c r="N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N$1,SQLデータ!$C:$C,"&lt;="&amp;届出事由・区分・届出年月日ごと集計!N$2)</f>
        <v>0</v>
      </c>
      <c r="O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O$1,SQLデータ!$C:$C,"&lt;="&amp;届出事由・区分・届出年月日ごと集計!O$2)</f>
        <v>0</v>
      </c>
      <c r="P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P$1,SQLデータ!$C:$C,"&lt;="&amp;届出事由・区分・届出年月日ごと集計!P$2)</f>
        <v>0</v>
      </c>
      <c r="Q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Q$1,SQLデータ!$C:$C,"&lt;="&amp;届出事由・区分・届出年月日ごと集計!Q$2)</f>
        <v>0</v>
      </c>
      <c r="R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R$1,SQLデータ!$C:$C,"&lt;="&amp;届出事由・区分・届出年月日ごと集計!R$2)</f>
        <v>0</v>
      </c>
      <c r="S13" s="85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S$1,SQLデータ!$C:$C,"&lt;="&amp;届出事由・区分・届出年月日ごと集計!S$2)</f>
        <v>0</v>
      </c>
      <c r="T13" s="92">
        <f>COUNTIFS(SQLデータ!$D:$D,"扶養",SQLデータ!$P:$P,1,SQLデータ!$H:$H,届出事由・区分・届出年月日ごと集計!$A13,SQLデータ!$G:$G,届出事由・区分・届出年月日ごと集計!$B13,SQLデータ!$N:$N,1,SQLデータ!$F:$F,"",SQLデータ!$C:$C,"&gt;="&amp;届出事由・区分・届出年月日ごと集計!T$1,SQLデータ!$C:$C,"&lt;="&amp;届出事由・区分・届出年月日ごと集計!T$2)</f>
        <v>0</v>
      </c>
    </row>
    <row r="14" spans="1:20" x14ac:dyDescent="0.4">
      <c r="A14" s="3" t="s">
        <v>55</v>
      </c>
      <c r="B14" s="3" t="s">
        <v>872</v>
      </c>
      <c r="C14" s="3" t="s">
        <v>73</v>
      </c>
      <c r="D14" s="3">
        <f>COUNTIFS(SQLデータ!$D:$D,"扶養",SQLデータ!$H:$H,届出事由・区分・届出年月日ごと集計!$A14,SQLデータ!$G:$G,届出事由・区分・届出年月日ごと集計!$B14,SQLデータ!$O:$O,1)</f>
        <v>40</v>
      </c>
      <c r="E14" s="107"/>
      <c r="F14" s="80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F$1,SQLデータ!$C:$C,"&lt;="&amp;届出事由・区分・届出年月日ごと集計!F$2)</f>
        <v>27</v>
      </c>
      <c r="G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G$1,SQLデータ!$C:$C,"&lt;="&amp;届出事由・区分・届出年月日ごと集計!G$2)</f>
        <v>3</v>
      </c>
      <c r="H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H$1,SQLデータ!$C:$C,"&lt;="&amp;届出事由・区分・届出年月日ごと集計!H$2)</f>
        <v>5</v>
      </c>
      <c r="I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I$1,SQLデータ!$C:$C,"&lt;="&amp;届出事由・区分・届出年月日ごと集計!I$2)</f>
        <v>5</v>
      </c>
      <c r="J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J$1,SQLデータ!$C:$C,"&lt;="&amp;届出事由・区分・届出年月日ごと集計!J$2)</f>
        <v>0</v>
      </c>
      <c r="K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K$1,SQLデータ!$C:$C,"&lt;="&amp;届出事由・区分・届出年月日ごと集計!K$2)</f>
        <v>0</v>
      </c>
      <c r="L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L$1,SQLデータ!$C:$C,"&lt;="&amp;届出事由・区分・届出年月日ごと集計!L$2)</f>
        <v>0</v>
      </c>
      <c r="M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M$1,SQLデータ!$C:$C,"&lt;="&amp;届出事由・区分・届出年月日ごと集計!M$2)</f>
        <v>0</v>
      </c>
      <c r="N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N$1,SQLデータ!$C:$C,"&lt;="&amp;届出事由・区分・届出年月日ごと集計!N$2)</f>
        <v>0</v>
      </c>
      <c r="O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O$1,SQLデータ!$C:$C,"&lt;="&amp;届出事由・区分・届出年月日ごと集計!O$2)</f>
        <v>0</v>
      </c>
      <c r="P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P$1,SQLデータ!$C:$C,"&lt;="&amp;届出事由・区分・届出年月日ごと集計!P$2)</f>
        <v>0</v>
      </c>
      <c r="Q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Q$1,SQLデータ!$C:$C,"&lt;="&amp;届出事由・区分・届出年月日ごと集計!Q$2)</f>
        <v>0</v>
      </c>
      <c r="R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R$1,SQLデータ!$C:$C,"&lt;="&amp;届出事由・区分・届出年月日ごと集計!R$2)</f>
        <v>0</v>
      </c>
      <c r="S14" s="85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S$1,SQLデータ!$C:$C,"&lt;="&amp;届出事由・区分・届出年月日ごと集計!S$2)</f>
        <v>0</v>
      </c>
      <c r="T14" s="92">
        <f>COUNTIFS(SQLデータ!$D:$D,"扶養",SQLデータ!$P:$P,1,SQLデータ!$H:$H,届出事由・区分・届出年月日ごと集計!$A14,SQLデータ!$G:$G,届出事由・区分・届出年月日ごと集計!$B14,SQLデータ!$O:$O,1,SQLデータ!$F:$F,"",SQLデータ!$C:$C,"&gt;="&amp;届出事由・区分・届出年月日ごと集計!T$1,SQLデータ!$C:$C,"&lt;="&amp;届出事由・区分・届出年月日ごと集計!T$2)</f>
        <v>0</v>
      </c>
    </row>
    <row r="15" spans="1:20" x14ac:dyDescent="0.4">
      <c r="A15" s="3" t="s">
        <v>55</v>
      </c>
      <c r="B15" s="3" t="s">
        <v>58</v>
      </c>
      <c r="C15" s="3" t="s">
        <v>70</v>
      </c>
      <c r="D15" s="3">
        <f>COUNTIFS(SQLデータ!$D:$D,"扶養",SQLデータ!$H:$H,届出事由・区分・届出年月日ごと集計!$A15,SQLデータ!$G:$G,届出事由・区分・届出年月日ごと集計!$B15,SQLデータ!$L:$L,1)</f>
        <v>3</v>
      </c>
      <c r="E15" s="107"/>
      <c r="F15" s="80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F$1,SQLデータ!$C:$C,"&lt;="&amp;届出事由・区分・届出年月日ごと集計!F$2)</f>
        <v>1</v>
      </c>
      <c r="G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G$1,SQLデータ!$C:$C,"&lt;="&amp;届出事由・区分・届出年月日ごと集計!G$2)</f>
        <v>0</v>
      </c>
      <c r="H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H$1,SQLデータ!$C:$C,"&lt;="&amp;届出事由・区分・届出年月日ごと集計!H$2)</f>
        <v>0</v>
      </c>
      <c r="I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I$1,SQLデータ!$C:$C,"&lt;="&amp;届出事由・区分・届出年月日ごと集計!I$2)</f>
        <v>0</v>
      </c>
      <c r="J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J$1,SQLデータ!$C:$C,"&lt;="&amp;届出事由・区分・届出年月日ごと集計!J$2)</f>
        <v>0</v>
      </c>
      <c r="K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K$1,SQLデータ!$C:$C,"&lt;="&amp;届出事由・区分・届出年月日ごと集計!K$2)</f>
        <v>0</v>
      </c>
      <c r="L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L$1,SQLデータ!$C:$C,"&lt;="&amp;届出事由・区分・届出年月日ごと集計!L$2)</f>
        <v>0</v>
      </c>
      <c r="M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M$1,SQLデータ!$C:$C,"&lt;="&amp;届出事由・区分・届出年月日ごと集計!M$2)</f>
        <v>0</v>
      </c>
      <c r="N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N$1,SQLデータ!$C:$C,"&lt;="&amp;届出事由・区分・届出年月日ごと集計!N$2)</f>
        <v>0</v>
      </c>
      <c r="O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O$1,SQLデータ!$C:$C,"&lt;="&amp;届出事由・区分・届出年月日ごと集計!O$2)</f>
        <v>0</v>
      </c>
      <c r="P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P$1,SQLデータ!$C:$C,"&lt;="&amp;届出事由・区分・届出年月日ごと集計!P$2)</f>
        <v>0</v>
      </c>
      <c r="Q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Q$1,SQLデータ!$C:$C,"&lt;="&amp;届出事由・区分・届出年月日ごと集計!Q$2)</f>
        <v>0</v>
      </c>
      <c r="R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R$1,SQLデータ!$C:$C,"&lt;="&amp;届出事由・区分・届出年月日ごと集計!R$2)</f>
        <v>0</v>
      </c>
      <c r="S15" s="85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S$1,SQLデータ!$C:$C,"&lt;="&amp;届出事由・区分・届出年月日ごと集計!S$2)</f>
        <v>0</v>
      </c>
      <c r="T15" s="92">
        <f>COUNTIFS(SQLデータ!$D:$D,"扶養",SQLデータ!$P:$P,1,SQLデータ!$H:$H,届出事由・区分・届出年月日ごと集計!$A15,SQLデータ!$G:$G,届出事由・区分・届出年月日ごと集計!$B15,SQLデータ!$L:$L,1,SQLデータ!$F:$F,"",SQLデータ!$C:$C,"&gt;="&amp;届出事由・区分・届出年月日ごと集計!T$1,SQLデータ!$C:$C,"&lt;="&amp;届出事由・区分・届出年月日ごと集計!T$2)</f>
        <v>0</v>
      </c>
    </row>
    <row r="16" spans="1:20" x14ac:dyDescent="0.4">
      <c r="A16" s="3" t="s">
        <v>55</v>
      </c>
      <c r="B16" s="3" t="s">
        <v>58</v>
      </c>
      <c r="C16" s="3" t="s">
        <v>71</v>
      </c>
      <c r="D16" s="3">
        <f>COUNTIFS(SQLデータ!$D:$D,"扶養",SQLデータ!$H:$H,届出事由・区分・届出年月日ごと集計!$A16,SQLデータ!$G:$G,届出事由・区分・届出年月日ごと集計!$B16,SQLデータ!$M:$M,1)</f>
        <v>0</v>
      </c>
      <c r="E16" s="107"/>
      <c r="F16" s="80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F$1,SQLデータ!$C:$C,"&lt;="&amp;届出事由・区分・届出年月日ごと集計!F$2)</f>
        <v>0</v>
      </c>
      <c r="G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G$1,SQLデータ!$C:$C,"&lt;="&amp;届出事由・区分・届出年月日ごと集計!G$2)</f>
        <v>0</v>
      </c>
      <c r="H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H$1,SQLデータ!$C:$C,"&lt;="&amp;届出事由・区分・届出年月日ごと集計!H$2)</f>
        <v>0</v>
      </c>
      <c r="I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I$1,SQLデータ!$C:$C,"&lt;="&amp;届出事由・区分・届出年月日ごと集計!I$2)</f>
        <v>0</v>
      </c>
      <c r="J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J$1,SQLデータ!$C:$C,"&lt;="&amp;届出事由・区分・届出年月日ごと集計!J$2)</f>
        <v>0</v>
      </c>
      <c r="K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K$1,SQLデータ!$C:$C,"&lt;="&amp;届出事由・区分・届出年月日ごと集計!K$2)</f>
        <v>0</v>
      </c>
      <c r="L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L$1,SQLデータ!$C:$C,"&lt;="&amp;届出事由・区分・届出年月日ごと集計!L$2)</f>
        <v>0</v>
      </c>
      <c r="M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M$1,SQLデータ!$C:$C,"&lt;="&amp;届出事由・区分・届出年月日ごと集計!M$2)</f>
        <v>0</v>
      </c>
      <c r="N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N$1,SQLデータ!$C:$C,"&lt;="&amp;届出事由・区分・届出年月日ごと集計!N$2)</f>
        <v>0</v>
      </c>
      <c r="O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O$1,SQLデータ!$C:$C,"&lt;="&amp;届出事由・区分・届出年月日ごと集計!O$2)</f>
        <v>0</v>
      </c>
      <c r="P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P$1,SQLデータ!$C:$C,"&lt;="&amp;届出事由・区分・届出年月日ごと集計!P$2)</f>
        <v>0</v>
      </c>
      <c r="Q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Q$1,SQLデータ!$C:$C,"&lt;="&amp;届出事由・区分・届出年月日ごと集計!Q$2)</f>
        <v>0</v>
      </c>
      <c r="R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R$1,SQLデータ!$C:$C,"&lt;="&amp;届出事由・区分・届出年月日ごと集計!R$2)</f>
        <v>0</v>
      </c>
      <c r="S16" s="85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S$1,SQLデータ!$C:$C,"&lt;="&amp;届出事由・区分・届出年月日ごと集計!S$2)</f>
        <v>0</v>
      </c>
      <c r="T16" s="92">
        <f>COUNTIFS(SQLデータ!$D:$D,"扶養",SQLデータ!$P:$P,1,SQLデータ!$H:$H,届出事由・区分・届出年月日ごと集計!$A16,SQLデータ!$G:$G,届出事由・区分・届出年月日ごと集計!$B16,SQLデータ!$M:$M,1,SQLデータ!$F:$F,"",SQLデータ!$C:$C,"&gt;="&amp;届出事由・区分・届出年月日ごと集計!T$1,SQLデータ!$C:$C,"&lt;="&amp;届出事由・区分・届出年月日ごと集計!T$2)</f>
        <v>0</v>
      </c>
    </row>
    <row r="17" spans="1:20" x14ac:dyDescent="0.4">
      <c r="A17" s="3" t="s">
        <v>55</v>
      </c>
      <c r="B17" s="3" t="s">
        <v>58</v>
      </c>
      <c r="C17" s="3" t="s">
        <v>72</v>
      </c>
      <c r="D17" s="3">
        <f>COUNTIFS(SQLデータ!$D:$D,"扶養",SQLデータ!$H:$H,届出事由・区分・届出年月日ごと集計!$A17,SQLデータ!$G:$G,届出事由・区分・届出年月日ごと集計!$B17,SQLデータ!$N:$N,1)</f>
        <v>1</v>
      </c>
      <c r="E17" s="107"/>
      <c r="F17" s="80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F$1,SQLデータ!$C:$C,"&lt;="&amp;届出事由・区分・届出年月日ごと集計!F$2)</f>
        <v>0</v>
      </c>
      <c r="G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G$1,SQLデータ!$C:$C,"&lt;="&amp;届出事由・区分・届出年月日ごと集計!G$2)</f>
        <v>0</v>
      </c>
      <c r="H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H$1,SQLデータ!$C:$C,"&lt;="&amp;届出事由・区分・届出年月日ごと集計!H$2)</f>
        <v>0</v>
      </c>
      <c r="I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I$1,SQLデータ!$C:$C,"&lt;="&amp;届出事由・区分・届出年月日ごと集計!I$2)</f>
        <v>1</v>
      </c>
      <c r="J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J$1,SQLデータ!$C:$C,"&lt;="&amp;届出事由・区分・届出年月日ごと集計!J$2)</f>
        <v>0</v>
      </c>
      <c r="K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K$1,SQLデータ!$C:$C,"&lt;="&amp;届出事由・区分・届出年月日ごと集計!K$2)</f>
        <v>0</v>
      </c>
      <c r="L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L$1,SQLデータ!$C:$C,"&lt;="&amp;届出事由・区分・届出年月日ごと集計!L$2)</f>
        <v>0</v>
      </c>
      <c r="M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M$1,SQLデータ!$C:$C,"&lt;="&amp;届出事由・区分・届出年月日ごと集計!M$2)</f>
        <v>0</v>
      </c>
      <c r="N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N$1,SQLデータ!$C:$C,"&lt;="&amp;届出事由・区分・届出年月日ごと集計!N$2)</f>
        <v>0</v>
      </c>
      <c r="O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O$1,SQLデータ!$C:$C,"&lt;="&amp;届出事由・区分・届出年月日ごと集計!O$2)</f>
        <v>0</v>
      </c>
      <c r="P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P$1,SQLデータ!$C:$C,"&lt;="&amp;届出事由・区分・届出年月日ごと集計!P$2)</f>
        <v>0</v>
      </c>
      <c r="Q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Q$1,SQLデータ!$C:$C,"&lt;="&amp;届出事由・区分・届出年月日ごと集計!Q$2)</f>
        <v>0</v>
      </c>
      <c r="R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R$1,SQLデータ!$C:$C,"&lt;="&amp;届出事由・区分・届出年月日ごと集計!R$2)</f>
        <v>0</v>
      </c>
      <c r="S17" s="85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S$1,SQLデータ!$C:$C,"&lt;="&amp;届出事由・区分・届出年月日ごと集計!S$2)</f>
        <v>0</v>
      </c>
      <c r="T17" s="92">
        <f>COUNTIFS(SQLデータ!$D:$D,"扶養",SQLデータ!$P:$P,1,SQLデータ!$H:$H,届出事由・区分・届出年月日ごと集計!$A17,SQLデータ!$G:$G,届出事由・区分・届出年月日ごと集計!$B17,SQLデータ!$N:$N,1,SQLデータ!$F:$F,"",SQLデータ!$C:$C,"&gt;="&amp;届出事由・区分・届出年月日ごと集計!T$1,SQLデータ!$C:$C,"&lt;="&amp;届出事由・区分・届出年月日ごと集計!T$2)</f>
        <v>0</v>
      </c>
    </row>
    <row r="18" spans="1:20" x14ac:dyDescent="0.4">
      <c r="A18" s="3" t="s">
        <v>55</v>
      </c>
      <c r="B18" s="3" t="s">
        <v>58</v>
      </c>
      <c r="C18" s="3" t="s">
        <v>73</v>
      </c>
      <c r="D18" s="3">
        <f>COUNTIFS(SQLデータ!$D:$D,"扶養",SQLデータ!$H:$H,届出事由・区分・届出年月日ごと集計!$A18,SQLデータ!$G:$G,届出事由・区分・届出年月日ごと集計!$B18,SQLデータ!$O:$O,1)</f>
        <v>0</v>
      </c>
      <c r="E18" s="107"/>
      <c r="F18" s="80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F$1,SQLデータ!$C:$C,"&lt;="&amp;届出事由・区分・届出年月日ごと集計!F$2)</f>
        <v>0</v>
      </c>
      <c r="G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G$1,SQLデータ!$C:$C,"&lt;="&amp;届出事由・区分・届出年月日ごと集計!G$2)</f>
        <v>0</v>
      </c>
      <c r="H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H$1,SQLデータ!$C:$C,"&lt;="&amp;届出事由・区分・届出年月日ごと集計!H$2)</f>
        <v>0</v>
      </c>
      <c r="I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I$1,SQLデータ!$C:$C,"&lt;="&amp;届出事由・区分・届出年月日ごと集計!I$2)</f>
        <v>0</v>
      </c>
      <c r="J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J$1,SQLデータ!$C:$C,"&lt;="&amp;届出事由・区分・届出年月日ごと集計!J$2)</f>
        <v>0</v>
      </c>
      <c r="K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K$1,SQLデータ!$C:$C,"&lt;="&amp;届出事由・区分・届出年月日ごと集計!K$2)</f>
        <v>0</v>
      </c>
      <c r="L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L$1,SQLデータ!$C:$C,"&lt;="&amp;届出事由・区分・届出年月日ごと集計!L$2)</f>
        <v>0</v>
      </c>
      <c r="M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M$1,SQLデータ!$C:$C,"&lt;="&amp;届出事由・区分・届出年月日ごと集計!M$2)</f>
        <v>0</v>
      </c>
      <c r="N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N$1,SQLデータ!$C:$C,"&lt;="&amp;届出事由・区分・届出年月日ごと集計!N$2)</f>
        <v>0</v>
      </c>
      <c r="O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O$1,SQLデータ!$C:$C,"&lt;="&amp;届出事由・区分・届出年月日ごと集計!O$2)</f>
        <v>0</v>
      </c>
      <c r="P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P$1,SQLデータ!$C:$C,"&lt;="&amp;届出事由・区分・届出年月日ごと集計!P$2)</f>
        <v>0</v>
      </c>
      <c r="Q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Q$1,SQLデータ!$C:$C,"&lt;="&amp;届出事由・区分・届出年月日ごと集計!Q$2)</f>
        <v>0</v>
      </c>
      <c r="R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R$1,SQLデータ!$C:$C,"&lt;="&amp;届出事由・区分・届出年月日ごと集計!R$2)</f>
        <v>0</v>
      </c>
      <c r="S18" s="85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S$1,SQLデータ!$C:$C,"&lt;="&amp;届出事由・区分・届出年月日ごと集計!S$2)</f>
        <v>0</v>
      </c>
      <c r="T18" s="92">
        <f>COUNTIFS(SQLデータ!$D:$D,"扶養",SQLデータ!$P:$P,1,SQLデータ!$H:$H,届出事由・区分・届出年月日ごと集計!$A18,SQLデータ!$G:$G,届出事由・区分・届出年月日ごと集計!$B18,SQLデータ!$O:$O,1,SQLデータ!$F:$F,"",SQLデータ!$C:$C,"&gt;="&amp;届出事由・区分・届出年月日ごと集計!T$1,SQLデータ!$C:$C,"&lt;="&amp;届出事由・区分・届出年月日ごと集計!T$2)</f>
        <v>0</v>
      </c>
    </row>
    <row r="19" spans="1:20" x14ac:dyDescent="0.4">
      <c r="A19" s="3" t="s">
        <v>55</v>
      </c>
      <c r="B19" s="3" t="s">
        <v>59</v>
      </c>
      <c r="C19" s="3" t="s">
        <v>70</v>
      </c>
      <c r="D19" s="3">
        <f>COUNTIFS(SQLデータ!$D:$D,"扶養",SQLデータ!$H:$H,届出事由・区分・届出年月日ごと集計!$A19,SQLデータ!$G:$G,届出事由・区分・届出年月日ごと集計!$B19,SQLデータ!$L:$L,1)</f>
        <v>0</v>
      </c>
      <c r="E19" s="107"/>
      <c r="F19" s="80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F$1,SQLデータ!$C:$C,"&lt;="&amp;届出事由・区分・届出年月日ごと集計!F$2)</f>
        <v>0</v>
      </c>
      <c r="G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G$1,SQLデータ!$C:$C,"&lt;="&amp;届出事由・区分・届出年月日ごと集計!G$2)</f>
        <v>0</v>
      </c>
      <c r="H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H$1,SQLデータ!$C:$C,"&lt;="&amp;届出事由・区分・届出年月日ごと集計!H$2)</f>
        <v>0</v>
      </c>
      <c r="I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I$1,SQLデータ!$C:$C,"&lt;="&amp;届出事由・区分・届出年月日ごと集計!I$2)</f>
        <v>0</v>
      </c>
      <c r="J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J$1,SQLデータ!$C:$C,"&lt;="&amp;届出事由・区分・届出年月日ごと集計!J$2)</f>
        <v>0</v>
      </c>
      <c r="K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K$1,SQLデータ!$C:$C,"&lt;="&amp;届出事由・区分・届出年月日ごと集計!K$2)</f>
        <v>0</v>
      </c>
      <c r="L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L$1,SQLデータ!$C:$C,"&lt;="&amp;届出事由・区分・届出年月日ごと集計!L$2)</f>
        <v>0</v>
      </c>
      <c r="M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M$1,SQLデータ!$C:$C,"&lt;="&amp;届出事由・区分・届出年月日ごと集計!M$2)</f>
        <v>0</v>
      </c>
      <c r="N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N$1,SQLデータ!$C:$C,"&lt;="&amp;届出事由・区分・届出年月日ごと集計!N$2)</f>
        <v>0</v>
      </c>
      <c r="O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O$1,SQLデータ!$C:$C,"&lt;="&amp;届出事由・区分・届出年月日ごと集計!O$2)</f>
        <v>0</v>
      </c>
      <c r="P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P$1,SQLデータ!$C:$C,"&lt;="&amp;届出事由・区分・届出年月日ごと集計!P$2)</f>
        <v>0</v>
      </c>
      <c r="Q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Q$1,SQLデータ!$C:$C,"&lt;="&amp;届出事由・区分・届出年月日ごと集計!Q$2)</f>
        <v>0</v>
      </c>
      <c r="R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R$1,SQLデータ!$C:$C,"&lt;="&amp;届出事由・区分・届出年月日ごと集計!R$2)</f>
        <v>0</v>
      </c>
      <c r="S19" s="85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S$1,SQLデータ!$C:$C,"&lt;="&amp;届出事由・区分・届出年月日ごと集計!S$2)</f>
        <v>0</v>
      </c>
      <c r="T19" s="92">
        <f>COUNTIFS(SQLデータ!$D:$D,"扶養",SQLデータ!$P:$P,1,SQLデータ!$H:$H,届出事由・区分・届出年月日ごと集計!$A19,SQLデータ!$G:$G,届出事由・区分・届出年月日ごと集計!$B19,SQLデータ!$L:$L,1,SQLデータ!$F:$F,"",SQLデータ!$C:$C,"&gt;="&amp;届出事由・区分・届出年月日ごと集計!T$1,SQLデータ!$C:$C,"&lt;="&amp;届出事由・区分・届出年月日ごと集計!T$2)</f>
        <v>0</v>
      </c>
    </row>
    <row r="20" spans="1:20" x14ac:dyDescent="0.4">
      <c r="A20" s="3" t="s">
        <v>55</v>
      </c>
      <c r="B20" s="3" t="s">
        <v>59</v>
      </c>
      <c r="C20" s="3" t="s">
        <v>71</v>
      </c>
      <c r="D20" s="3">
        <f>COUNTIFS(SQLデータ!$D:$D,"扶養",SQLデータ!$H:$H,届出事由・区分・届出年月日ごと集計!$A20,SQLデータ!$G:$G,届出事由・区分・届出年月日ごと集計!$B20,SQLデータ!$M:$M,1)</f>
        <v>1</v>
      </c>
      <c r="E20" s="107"/>
      <c r="F20" s="80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F$1,SQLデータ!$C:$C,"&lt;="&amp;届出事由・区分・届出年月日ごと集計!F$2)</f>
        <v>0</v>
      </c>
      <c r="G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G$1,SQLデータ!$C:$C,"&lt;="&amp;届出事由・区分・届出年月日ごと集計!G$2)</f>
        <v>0</v>
      </c>
      <c r="H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H$1,SQLデータ!$C:$C,"&lt;="&amp;届出事由・区分・届出年月日ごと集計!H$2)</f>
        <v>0</v>
      </c>
      <c r="I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I$1,SQLデータ!$C:$C,"&lt;="&amp;届出事由・区分・届出年月日ごと集計!I$2)</f>
        <v>0</v>
      </c>
      <c r="J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J$1,SQLデータ!$C:$C,"&lt;="&amp;届出事由・区分・届出年月日ごと集計!J$2)</f>
        <v>0</v>
      </c>
      <c r="K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K$1,SQLデータ!$C:$C,"&lt;="&amp;届出事由・区分・届出年月日ごと集計!K$2)</f>
        <v>0</v>
      </c>
      <c r="L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L$1,SQLデータ!$C:$C,"&lt;="&amp;届出事由・区分・届出年月日ごと集計!L$2)</f>
        <v>0</v>
      </c>
      <c r="M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M$1,SQLデータ!$C:$C,"&lt;="&amp;届出事由・区分・届出年月日ごと集計!M$2)</f>
        <v>0</v>
      </c>
      <c r="N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N$1,SQLデータ!$C:$C,"&lt;="&amp;届出事由・区分・届出年月日ごと集計!N$2)</f>
        <v>0</v>
      </c>
      <c r="O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O$1,SQLデータ!$C:$C,"&lt;="&amp;届出事由・区分・届出年月日ごと集計!O$2)</f>
        <v>0</v>
      </c>
      <c r="P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P$1,SQLデータ!$C:$C,"&lt;="&amp;届出事由・区分・届出年月日ごと集計!P$2)</f>
        <v>0</v>
      </c>
      <c r="Q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Q$1,SQLデータ!$C:$C,"&lt;="&amp;届出事由・区分・届出年月日ごと集計!Q$2)</f>
        <v>0</v>
      </c>
      <c r="R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R$1,SQLデータ!$C:$C,"&lt;="&amp;届出事由・区分・届出年月日ごと集計!R$2)</f>
        <v>0</v>
      </c>
      <c r="S20" s="85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S$1,SQLデータ!$C:$C,"&lt;="&amp;届出事由・区分・届出年月日ごと集計!S$2)</f>
        <v>0</v>
      </c>
      <c r="T20" s="92">
        <f>COUNTIFS(SQLデータ!$D:$D,"扶養",SQLデータ!$P:$P,1,SQLデータ!$H:$H,届出事由・区分・届出年月日ごと集計!$A20,SQLデータ!$G:$G,届出事由・区分・届出年月日ごと集計!$B20,SQLデータ!$M:$M,1,SQLデータ!$F:$F,"",SQLデータ!$C:$C,"&gt;="&amp;届出事由・区分・届出年月日ごと集計!T$1,SQLデータ!$C:$C,"&lt;="&amp;届出事由・区分・届出年月日ごと集計!T$2)</f>
        <v>0</v>
      </c>
    </row>
    <row r="21" spans="1:20" x14ac:dyDescent="0.4">
      <c r="A21" s="3" t="s">
        <v>55</v>
      </c>
      <c r="B21" s="3" t="s">
        <v>59</v>
      </c>
      <c r="C21" s="3" t="s">
        <v>72</v>
      </c>
      <c r="D21" s="3">
        <f>COUNTIFS(SQLデータ!$D:$D,"扶養",SQLデータ!$H:$H,届出事由・区分・届出年月日ごと集計!$A21,SQLデータ!$G:$G,届出事由・区分・届出年月日ごと集計!$B21,SQLデータ!$N:$N,1)</f>
        <v>0</v>
      </c>
      <c r="E21" s="107"/>
      <c r="F21" s="80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F$1,SQLデータ!$C:$C,"&lt;="&amp;届出事由・区分・届出年月日ごと集計!F$2)</f>
        <v>0</v>
      </c>
      <c r="G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G$1,SQLデータ!$C:$C,"&lt;="&amp;届出事由・区分・届出年月日ごと集計!G$2)</f>
        <v>0</v>
      </c>
      <c r="H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H$1,SQLデータ!$C:$C,"&lt;="&amp;届出事由・区分・届出年月日ごと集計!H$2)</f>
        <v>0</v>
      </c>
      <c r="I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I$1,SQLデータ!$C:$C,"&lt;="&amp;届出事由・区分・届出年月日ごと集計!I$2)</f>
        <v>0</v>
      </c>
      <c r="J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J$1,SQLデータ!$C:$C,"&lt;="&amp;届出事由・区分・届出年月日ごと集計!J$2)</f>
        <v>0</v>
      </c>
      <c r="K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K$1,SQLデータ!$C:$C,"&lt;="&amp;届出事由・区分・届出年月日ごと集計!K$2)</f>
        <v>0</v>
      </c>
      <c r="L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L$1,SQLデータ!$C:$C,"&lt;="&amp;届出事由・区分・届出年月日ごと集計!L$2)</f>
        <v>0</v>
      </c>
      <c r="M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M$1,SQLデータ!$C:$C,"&lt;="&amp;届出事由・区分・届出年月日ごと集計!M$2)</f>
        <v>0</v>
      </c>
      <c r="N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N$1,SQLデータ!$C:$C,"&lt;="&amp;届出事由・区分・届出年月日ごと集計!N$2)</f>
        <v>0</v>
      </c>
      <c r="O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O$1,SQLデータ!$C:$C,"&lt;="&amp;届出事由・区分・届出年月日ごと集計!O$2)</f>
        <v>0</v>
      </c>
      <c r="P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P$1,SQLデータ!$C:$C,"&lt;="&amp;届出事由・区分・届出年月日ごと集計!P$2)</f>
        <v>0</v>
      </c>
      <c r="Q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Q$1,SQLデータ!$C:$C,"&lt;="&amp;届出事由・区分・届出年月日ごと集計!Q$2)</f>
        <v>0</v>
      </c>
      <c r="R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R$1,SQLデータ!$C:$C,"&lt;="&amp;届出事由・区分・届出年月日ごと集計!R$2)</f>
        <v>0</v>
      </c>
      <c r="S21" s="85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S$1,SQLデータ!$C:$C,"&lt;="&amp;届出事由・区分・届出年月日ごと集計!S$2)</f>
        <v>0</v>
      </c>
      <c r="T21" s="92">
        <f>COUNTIFS(SQLデータ!$D:$D,"扶養",SQLデータ!$P:$P,1,SQLデータ!$H:$H,届出事由・区分・届出年月日ごと集計!$A21,SQLデータ!$G:$G,届出事由・区分・届出年月日ごと集計!$B21,SQLデータ!$N:$N,1,SQLデータ!$F:$F,"",SQLデータ!$C:$C,"&gt;="&amp;届出事由・区分・届出年月日ごと集計!T$1,SQLデータ!$C:$C,"&lt;="&amp;届出事由・区分・届出年月日ごと集計!T$2)</f>
        <v>0</v>
      </c>
    </row>
    <row r="22" spans="1:20" x14ac:dyDescent="0.4">
      <c r="A22" s="3" t="s">
        <v>55</v>
      </c>
      <c r="B22" s="3" t="s">
        <v>59</v>
      </c>
      <c r="C22" s="3" t="s">
        <v>73</v>
      </c>
      <c r="D22" s="3">
        <f>COUNTIFS(SQLデータ!$D:$D,"扶養",SQLデータ!$H:$H,届出事由・区分・届出年月日ごと集計!$A22,SQLデータ!$G:$G,届出事由・区分・届出年月日ごと集計!$B22,SQLデータ!$O:$O,1)</f>
        <v>0</v>
      </c>
      <c r="E22" s="107"/>
      <c r="F22" s="80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F$1,SQLデータ!$C:$C,"&lt;="&amp;届出事由・区分・届出年月日ごと集計!F$2)</f>
        <v>0</v>
      </c>
      <c r="G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G$1,SQLデータ!$C:$C,"&lt;="&amp;届出事由・区分・届出年月日ごと集計!G$2)</f>
        <v>0</v>
      </c>
      <c r="H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H$1,SQLデータ!$C:$C,"&lt;="&amp;届出事由・区分・届出年月日ごと集計!H$2)</f>
        <v>0</v>
      </c>
      <c r="I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I$1,SQLデータ!$C:$C,"&lt;="&amp;届出事由・区分・届出年月日ごと集計!I$2)</f>
        <v>0</v>
      </c>
      <c r="J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J$1,SQLデータ!$C:$C,"&lt;="&amp;届出事由・区分・届出年月日ごと集計!J$2)</f>
        <v>0</v>
      </c>
      <c r="K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K$1,SQLデータ!$C:$C,"&lt;="&amp;届出事由・区分・届出年月日ごと集計!K$2)</f>
        <v>0</v>
      </c>
      <c r="L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L$1,SQLデータ!$C:$C,"&lt;="&amp;届出事由・区分・届出年月日ごと集計!L$2)</f>
        <v>0</v>
      </c>
      <c r="M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M$1,SQLデータ!$C:$C,"&lt;="&amp;届出事由・区分・届出年月日ごと集計!M$2)</f>
        <v>0</v>
      </c>
      <c r="N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N$1,SQLデータ!$C:$C,"&lt;="&amp;届出事由・区分・届出年月日ごと集計!N$2)</f>
        <v>0</v>
      </c>
      <c r="O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O$1,SQLデータ!$C:$C,"&lt;="&amp;届出事由・区分・届出年月日ごと集計!O$2)</f>
        <v>0</v>
      </c>
      <c r="P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P$1,SQLデータ!$C:$C,"&lt;="&amp;届出事由・区分・届出年月日ごと集計!P$2)</f>
        <v>0</v>
      </c>
      <c r="Q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Q$1,SQLデータ!$C:$C,"&lt;="&amp;届出事由・区分・届出年月日ごと集計!Q$2)</f>
        <v>0</v>
      </c>
      <c r="R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R$1,SQLデータ!$C:$C,"&lt;="&amp;届出事由・区分・届出年月日ごと集計!R$2)</f>
        <v>0</v>
      </c>
      <c r="S22" s="85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S$1,SQLデータ!$C:$C,"&lt;="&amp;届出事由・区分・届出年月日ごと集計!S$2)</f>
        <v>0</v>
      </c>
      <c r="T22" s="92">
        <f>COUNTIFS(SQLデータ!$D:$D,"扶養",SQLデータ!$P:$P,1,SQLデータ!$H:$H,届出事由・区分・届出年月日ごと集計!$A22,SQLデータ!$G:$G,届出事由・区分・届出年月日ごと集計!$B22,SQLデータ!$O:$O,1,SQLデータ!$F:$F,"",SQLデータ!$C:$C,"&gt;="&amp;届出事由・区分・届出年月日ごと集計!T$1,SQLデータ!$C:$C,"&lt;="&amp;届出事由・区分・届出年月日ごと集計!T$2)</f>
        <v>0</v>
      </c>
    </row>
    <row r="23" spans="1:20" x14ac:dyDescent="0.4">
      <c r="A23" s="3" t="s">
        <v>55</v>
      </c>
      <c r="B23" s="3" t="s">
        <v>60</v>
      </c>
      <c r="C23" s="3" t="s">
        <v>70</v>
      </c>
      <c r="D23" s="3">
        <f>COUNTIFS(SQLデータ!$D:$D,"扶養",SQLデータ!$H:$H,届出事由・区分・届出年月日ごと集計!$A23,SQLデータ!$G:$G,届出事由・区分・届出年月日ごと集計!$B23,SQLデータ!$L:$L,1)</f>
        <v>8</v>
      </c>
      <c r="E23" s="107"/>
      <c r="F23" s="80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F$1,SQLデータ!$C:$C,"&lt;="&amp;届出事由・区分・届出年月日ごと集計!F$2)</f>
        <v>0</v>
      </c>
      <c r="G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G$1,SQLデータ!$C:$C,"&lt;="&amp;届出事由・区分・届出年月日ごと集計!G$2)</f>
        <v>1</v>
      </c>
      <c r="H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H$1,SQLデータ!$C:$C,"&lt;="&amp;届出事由・区分・届出年月日ごと集計!H$2)</f>
        <v>2</v>
      </c>
      <c r="I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I$1,SQLデータ!$C:$C,"&lt;="&amp;届出事由・区分・届出年月日ごと集計!I$2)</f>
        <v>2</v>
      </c>
      <c r="J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J$1,SQLデータ!$C:$C,"&lt;="&amp;届出事由・区分・届出年月日ごと集計!J$2)</f>
        <v>0</v>
      </c>
      <c r="K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K$1,SQLデータ!$C:$C,"&lt;="&amp;届出事由・区分・届出年月日ごと集計!K$2)</f>
        <v>0</v>
      </c>
      <c r="L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L$1,SQLデータ!$C:$C,"&lt;="&amp;届出事由・区分・届出年月日ごと集計!L$2)</f>
        <v>0</v>
      </c>
      <c r="M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M$1,SQLデータ!$C:$C,"&lt;="&amp;届出事由・区分・届出年月日ごと集計!M$2)</f>
        <v>0</v>
      </c>
      <c r="N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N$1,SQLデータ!$C:$C,"&lt;="&amp;届出事由・区分・届出年月日ごと集計!N$2)</f>
        <v>0</v>
      </c>
      <c r="O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O$1,SQLデータ!$C:$C,"&lt;="&amp;届出事由・区分・届出年月日ごと集計!O$2)</f>
        <v>0</v>
      </c>
      <c r="P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P$1,SQLデータ!$C:$C,"&lt;="&amp;届出事由・区分・届出年月日ごと集計!P$2)</f>
        <v>0</v>
      </c>
      <c r="Q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Q$1,SQLデータ!$C:$C,"&lt;="&amp;届出事由・区分・届出年月日ごと集計!Q$2)</f>
        <v>0</v>
      </c>
      <c r="R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R$1,SQLデータ!$C:$C,"&lt;="&amp;届出事由・区分・届出年月日ごと集計!R$2)</f>
        <v>0</v>
      </c>
      <c r="S23" s="85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S$1,SQLデータ!$C:$C,"&lt;="&amp;届出事由・区分・届出年月日ごと集計!S$2)</f>
        <v>0</v>
      </c>
      <c r="T23" s="92">
        <f>COUNTIFS(SQLデータ!$D:$D,"扶養",SQLデータ!$P:$P,1,SQLデータ!$H:$H,届出事由・区分・届出年月日ごと集計!$A23,SQLデータ!$G:$G,届出事由・区分・届出年月日ごと集計!$B23,SQLデータ!$L:$L,1,SQLデータ!$F:$F,"",SQLデータ!$C:$C,"&gt;="&amp;届出事由・区分・届出年月日ごと集計!T$1,SQLデータ!$C:$C,"&lt;="&amp;届出事由・区分・届出年月日ごと集計!T$2)</f>
        <v>0</v>
      </c>
    </row>
    <row r="24" spans="1:20" x14ac:dyDescent="0.4">
      <c r="A24" s="3" t="s">
        <v>55</v>
      </c>
      <c r="B24" s="3" t="s">
        <v>60</v>
      </c>
      <c r="C24" s="3" t="s">
        <v>71</v>
      </c>
      <c r="D24" s="3">
        <f>COUNTIFS(SQLデータ!$D:$D,"扶養",SQLデータ!$H:$H,届出事由・区分・届出年月日ごと集計!$A24,SQLデータ!$G:$G,届出事由・区分・届出年月日ごと集計!$B24,SQLデータ!$M:$M,1)</f>
        <v>2</v>
      </c>
      <c r="E24" s="107"/>
      <c r="F24" s="80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F$1,SQLデータ!$C:$C,"&lt;="&amp;届出事由・区分・届出年月日ごと集計!F$2)</f>
        <v>0</v>
      </c>
      <c r="G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G$1,SQLデータ!$C:$C,"&lt;="&amp;届出事由・区分・届出年月日ごと集計!G$2)</f>
        <v>0</v>
      </c>
      <c r="H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H$1,SQLデータ!$C:$C,"&lt;="&amp;届出事由・区分・届出年月日ごと集計!H$2)</f>
        <v>0</v>
      </c>
      <c r="I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I$1,SQLデータ!$C:$C,"&lt;="&amp;届出事由・区分・届出年月日ごと集計!I$2)</f>
        <v>0</v>
      </c>
      <c r="J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J$1,SQLデータ!$C:$C,"&lt;="&amp;届出事由・区分・届出年月日ごと集計!J$2)</f>
        <v>0</v>
      </c>
      <c r="K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K$1,SQLデータ!$C:$C,"&lt;="&amp;届出事由・区分・届出年月日ごと集計!K$2)</f>
        <v>0</v>
      </c>
      <c r="L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L$1,SQLデータ!$C:$C,"&lt;="&amp;届出事由・区分・届出年月日ごと集計!L$2)</f>
        <v>0</v>
      </c>
      <c r="M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M$1,SQLデータ!$C:$C,"&lt;="&amp;届出事由・区分・届出年月日ごと集計!M$2)</f>
        <v>0</v>
      </c>
      <c r="N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N$1,SQLデータ!$C:$C,"&lt;="&amp;届出事由・区分・届出年月日ごと集計!N$2)</f>
        <v>0</v>
      </c>
      <c r="O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O$1,SQLデータ!$C:$C,"&lt;="&amp;届出事由・区分・届出年月日ごと集計!O$2)</f>
        <v>0</v>
      </c>
      <c r="P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P$1,SQLデータ!$C:$C,"&lt;="&amp;届出事由・区分・届出年月日ごと集計!P$2)</f>
        <v>0</v>
      </c>
      <c r="Q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Q$1,SQLデータ!$C:$C,"&lt;="&amp;届出事由・区分・届出年月日ごと集計!Q$2)</f>
        <v>0</v>
      </c>
      <c r="R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R$1,SQLデータ!$C:$C,"&lt;="&amp;届出事由・区分・届出年月日ごと集計!R$2)</f>
        <v>0</v>
      </c>
      <c r="S24" s="85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S$1,SQLデータ!$C:$C,"&lt;="&amp;届出事由・区分・届出年月日ごと集計!S$2)</f>
        <v>0</v>
      </c>
      <c r="T24" s="92">
        <f>COUNTIFS(SQLデータ!$D:$D,"扶養",SQLデータ!$P:$P,1,SQLデータ!$H:$H,届出事由・区分・届出年月日ごと集計!$A24,SQLデータ!$G:$G,届出事由・区分・届出年月日ごと集計!$B24,SQLデータ!$M:$M,1,SQLデータ!$F:$F,"",SQLデータ!$C:$C,"&gt;="&amp;届出事由・区分・届出年月日ごと集計!T$1,SQLデータ!$C:$C,"&lt;="&amp;届出事由・区分・届出年月日ごと集計!T$2)</f>
        <v>0</v>
      </c>
    </row>
    <row r="25" spans="1:20" x14ac:dyDescent="0.4">
      <c r="A25" s="3" t="s">
        <v>55</v>
      </c>
      <c r="B25" s="3" t="s">
        <v>60</v>
      </c>
      <c r="C25" s="3" t="s">
        <v>72</v>
      </c>
      <c r="D25" s="3">
        <f>COUNTIFS(SQLデータ!$D:$D,"扶養",SQLデータ!$H:$H,届出事由・区分・届出年月日ごと集計!$A25,SQLデータ!$G:$G,届出事由・区分・届出年月日ごと集計!$B25,SQLデータ!$N:$N,1)</f>
        <v>0</v>
      </c>
      <c r="E25" s="107"/>
      <c r="F25" s="80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F$1,SQLデータ!$C:$C,"&lt;="&amp;届出事由・区分・届出年月日ごと集計!F$2)</f>
        <v>0</v>
      </c>
      <c r="G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G$1,SQLデータ!$C:$C,"&lt;="&amp;届出事由・区分・届出年月日ごと集計!G$2)</f>
        <v>0</v>
      </c>
      <c r="H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H$1,SQLデータ!$C:$C,"&lt;="&amp;届出事由・区分・届出年月日ごと集計!H$2)</f>
        <v>0</v>
      </c>
      <c r="I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I$1,SQLデータ!$C:$C,"&lt;="&amp;届出事由・区分・届出年月日ごと集計!I$2)</f>
        <v>0</v>
      </c>
      <c r="J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J$1,SQLデータ!$C:$C,"&lt;="&amp;届出事由・区分・届出年月日ごと集計!J$2)</f>
        <v>0</v>
      </c>
      <c r="K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K$1,SQLデータ!$C:$C,"&lt;="&amp;届出事由・区分・届出年月日ごと集計!K$2)</f>
        <v>0</v>
      </c>
      <c r="L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L$1,SQLデータ!$C:$C,"&lt;="&amp;届出事由・区分・届出年月日ごと集計!L$2)</f>
        <v>0</v>
      </c>
      <c r="M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M$1,SQLデータ!$C:$C,"&lt;="&amp;届出事由・区分・届出年月日ごと集計!M$2)</f>
        <v>0</v>
      </c>
      <c r="N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N$1,SQLデータ!$C:$C,"&lt;="&amp;届出事由・区分・届出年月日ごと集計!N$2)</f>
        <v>0</v>
      </c>
      <c r="O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O$1,SQLデータ!$C:$C,"&lt;="&amp;届出事由・区分・届出年月日ごと集計!O$2)</f>
        <v>0</v>
      </c>
      <c r="P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P$1,SQLデータ!$C:$C,"&lt;="&amp;届出事由・区分・届出年月日ごと集計!P$2)</f>
        <v>0</v>
      </c>
      <c r="Q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Q$1,SQLデータ!$C:$C,"&lt;="&amp;届出事由・区分・届出年月日ごと集計!Q$2)</f>
        <v>0</v>
      </c>
      <c r="R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R$1,SQLデータ!$C:$C,"&lt;="&amp;届出事由・区分・届出年月日ごと集計!R$2)</f>
        <v>0</v>
      </c>
      <c r="S25" s="85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S$1,SQLデータ!$C:$C,"&lt;="&amp;届出事由・区分・届出年月日ごと集計!S$2)</f>
        <v>0</v>
      </c>
      <c r="T25" s="92">
        <f>COUNTIFS(SQLデータ!$D:$D,"扶養",SQLデータ!$P:$P,1,SQLデータ!$H:$H,届出事由・区分・届出年月日ごと集計!$A25,SQLデータ!$G:$G,届出事由・区分・届出年月日ごと集計!$B25,SQLデータ!$N:$N,1,SQLデータ!$F:$F,"",SQLデータ!$C:$C,"&gt;="&amp;届出事由・区分・届出年月日ごと集計!T$1,SQLデータ!$C:$C,"&lt;="&amp;届出事由・区分・届出年月日ごと集計!T$2)</f>
        <v>0</v>
      </c>
    </row>
    <row r="26" spans="1:20" x14ac:dyDescent="0.4">
      <c r="A26" s="3" t="s">
        <v>55</v>
      </c>
      <c r="B26" s="3" t="s">
        <v>60</v>
      </c>
      <c r="C26" s="3" t="s">
        <v>73</v>
      </c>
      <c r="D26" s="3">
        <f>COUNTIFS(SQLデータ!$D:$D,"扶養",SQLデータ!$H:$H,届出事由・区分・届出年月日ごと集計!$A26,SQLデータ!$G:$G,届出事由・区分・届出年月日ごと集計!$B26,SQLデータ!$O:$O,1)</f>
        <v>0</v>
      </c>
      <c r="E26" s="107"/>
      <c r="F26" s="80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F$1,SQLデータ!$C:$C,"&lt;="&amp;届出事由・区分・届出年月日ごと集計!F$2)</f>
        <v>0</v>
      </c>
      <c r="G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G$1,SQLデータ!$C:$C,"&lt;="&amp;届出事由・区分・届出年月日ごと集計!G$2)</f>
        <v>0</v>
      </c>
      <c r="H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H$1,SQLデータ!$C:$C,"&lt;="&amp;届出事由・区分・届出年月日ごと集計!H$2)</f>
        <v>0</v>
      </c>
      <c r="I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I$1,SQLデータ!$C:$C,"&lt;="&amp;届出事由・区分・届出年月日ごと集計!I$2)</f>
        <v>0</v>
      </c>
      <c r="J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J$1,SQLデータ!$C:$C,"&lt;="&amp;届出事由・区分・届出年月日ごと集計!J$2)</f>
        <v>0</v>
      </c>
      <c r="K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K$1,SQLデータ!$C:$C,"&lt;="&amp;届出事由・区分・届出年月日ごと集計!K$2)</f>
        <v>0</v>
      </c>
      <c r="L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L$1,SQLデータ!$C:$C,"&lt;="&amp;届出事由・区分・届出年月日ごと集計!L$2)</f>
        <v>0</v>
      </c>
      <c r="M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M$1,SQLデータ!$C:$C,"&lt;="&amp;届出事由・区分・届出年月日ごと集計!M$2)</f>
        <v>0</v>
      </c>
      <c r="N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N$1,SQLデータ!$C:$C,"&lt;="&amp;届出事由・区分・届出年月日ごと集計!N$2)</f>
        <v>0</v>
      </c>
      <c r="O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O$1,SQLデータ!$C:$C,"&lt;="&amp;届出事由・区分・届出年月日ごと集計!O$2)</f>
        <v>0</v>
      </c>
      <c r="P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P$1,SQLデータ!$C:$C,"&lt;="&amp;届出事由・区分・届出年月日ごと集計!P$2)</f>
        <v>0</v>
      </c>
      <c r="Q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Q$1,SQLデータ!$C:$C,"&lt;="&amp;届出事由・区分・届出年月日ごと集計!Q$2)</f>
        <v>0</v>
      </c>
      <c r="R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R$1,SQLデータ!$C:$C,"&lt;="&amp;届出事由・区分・届出年月日ごと集計!R$2)</f>
        <v>0</v>
      </c>
      <c r="S26" s="85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S$1,SQLデータ!$C:$C,"&lt;="&amp;届出事由・区分・届出年月日ごと集計!S$2)</f>
        <v>0</v>
      </c>
      <c r="T26" s="92">
        <f>COUNTIFS(SQLデータ!$D:$D,"扶養",SQLデータ!$P:$P,1,SQLデータ!$H:$H,届出事由・区分・届出年月日ごと集計!$A26,SQLデータ!$G:$G,届出事由・区分・届出年月日ごと集計!$B26,SQLデータ!$O:$O,1,SQLデータ!$F:$F,"",SQLデータ!$C:$C,"&gt;="&amp;届出事由・区分・届出年月日ごと集計!T$1,SQLデータ!$C:$C,"&lt;="&amp;届出事由・区分・届出年月日ごと集計!T$2)</f>
        <v>0</v>
      </c>
    </row>
    <row r="27" spans="1:20" x14ac:dyDescent="0.4">
      <c r="A27" s="3" t="s">
        <v>55</v>
      </c>
      <c r="B27" s="3" t="s">
        <v>61</v>
      </c>
      <c r="C27" s="3" t="s">
        <v>70</v>
      </c>
      <c r="D27" s="3">
        <f>COUNTIFS(SQLデータ!$D:$D,"扶養",SQLデータ!$H:$H,届出事由・区分・届出年月日ごと集計!$A27,SQLデータ!$G:$G,届出事由・区分・届出年月日ごと集計!$B27,SQLデータ!$L:$L,1)</f>
        <v>11</v>
      </c>
      <c r="E27" s="107"/>
      <c r="F27" s="80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F$1,SQLデータ!$C:$C,"&lt;="&amp;届出事由・区分・届出年月日ごと集計!F$2)</f>
        <v>2</v>
      </c>
      <c r="G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G$1,SQLデータ!$C:$C,"&lt;="&amp;届出事由・区分・届出年月日ごと集計!G$2)</f>
        <v>2</v>
      </c>
      <c r="H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H$1,SQLデータ!$C:$C,"&lt;="&amp;届出事由・区分・届出年月日ごと集計!H$2)</f>
        <v>1</v>
      </c>
      <c r="I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I$1,SQLデータ!$C:$C,"&lt;="&amp;届出事由・区分・届出年月日ごと集計!I$2)</f>
        <v>0</v>
      </c>
      <c r="J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J$1,SQLデータ!$C:$C,"&lt;="&amp;届出事由・区分・届出年月日ごと集計!J$2)</f>
        <v>0</v>
      </c>
      <c r="K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K$1,SQLデータ!$C:$C,"&lt;="&amp;届出事由・区分・届出年月日ごと集計!K$2)</f>
        <v>0</v>
      </c>
      <c r="L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L$1,SQLデータ!$C:$C,"&lt;="&amp;届出事由・区分・届出年月日ごと集計!L$2)</f>
        <v>0</v>
      </c>
      <c r="M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M$1,SQLデータ!$C:$C,"&lt;="&amp;届出事由・区分・届出年月日ごと集計!M$2)</f>
        <v>0</v>
      </c>
      <c r="N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N$1,SQLデータ!$C:$C,"&lt;="&amp;届出事由・区分・届出年月日ごと集計!N$2)</f>
        <v>0</v>
      </c>
      <c r="O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O$1,SQLデータ!$C:$C,"&lt;="&amp;届出事由・区分・届出年月日ごと集計!O$2)</f>
        <v>0</v>
      </c>
      <c r="P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P$1,SQLデータ!$C:$C,"&lt;="&amp;届出事由・区分・届出年月日ごと集計!P$2)</f>
        <v>0</v>
      </c>
      <c r="Q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Q$1,SQLデータ!$C:$C,"&lt;="&amp;届出事由・区分・届出年月日ごと集計!Q$2)</f>
        <v>0</v>
      </c>
      <c r="R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R$1,SQLデータ!$C:$C,"&lt;="&amp;届出事由・区分・届出年月日ごと集計!R$2)</f>
        <v>0</v>
      </c>
      <c r="S27" s="85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S$1,SQLデータ!$C:$C,"&lt;="&amp;届出事由・区分・届出年月日ごと集計!S$2)</f>
        <v>0</v>
      </c>
      <c r="T27" s="92">
        <f>COUNTIFS(SQLデータ!$D:$D,"扶養",SQLデータ!$P:$P,1,SQLデータ!$H:$H,届出事由・区分・届出年月日ごと集計!$A27,SQLデータ!$G:$G,届出事由・区分・届出年月日ごと集計!$B27,SQLデータ!$L:$L,1,SQLデータ!$F:$F,"",SQLデータ!$C:$C,"&gt;="&amp;届出事由・区分・届出年月日ごと集計!T$1,SQLデータ!$C:$C,"&lt;="&amp;届出事由・区分・届出年月日ごと集計!T$2)</f>
        <v>0</v>
      </c>
    </row>
    <row r="28" spans="1:20" x14ac:dyDescent="0.4">
      <c r="A28" s="3" t="s">
        <v>55</v>
      </c>
      <c r="B28" s="3" t="s">
        <v>61</v>
      </c>
      <c r="C28" s="3" t="s">
        <v>71</v>
      </c>
      <c r="D28" s="3">
        <f>COUNTIFS(SQLデータ!$D:$D,"扶養",SQLデータ!$H:$H,届出事由・区分・届出年月日ごと集計!$A28,SQLデータ!$G:$G,届出事由・区分・届出年月日ごと集計!$B28,SQLデータ!$M:$M,1)</f>
        <v>0</v>
      </c>
      <c r="E28" s="107"/>
      <c r="F28" s="80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F$1,SQLデータ!$C:$C,"&lt;="&amp;届出事由・区分・届出年月日ごと集計!F$2)</f>
        <v>0</v>
      </c>
      <c r="G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G$1,SQLデータ!$C:$C,"&lt;="&amp;届出事由・区分・届出年月日ごと集計!G$2)</f>
        <v>0</v>
      </c>
      <c r="H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H$1,SQLデータ!$C:$C,"&lt;="&amp;届出事由・区分・届出年月日ごと集計!H$2)</f>
        <v>0</v>
      </c>
      <c r="I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I$1,SQLデータ!$C:$C,"&lt;="&amp;届出事由・区分・届出年月日ごと集計!I$2)</f>
        <v>0</v>
      </c>
      <c r="J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J$1,SQLデータ!$C:$C,"&lt;="&amp;届出事由・区分・届出年月日ごと集計!J$2)</f>
        <v>0</v>
      </c>
      <c r="K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K$1,SQLデータ!$C:$C,"&lt;="&amp;届出事由・区分・届出年月日ごと集計!K$2)</f>
        <v>0</v>
      </c>
      <c r="L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L$1,SQLデータ!$C:$C,"&lt;="&amp;届出事由・区分・届出年月日ごと集計!L$2)</f>
        <v>0</v>
      </c>
      <c r="M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M$1,SQLデータ!$C:$C,"&lt;="&amp;届出事由・区分・届出年月日ごと集計!M$2)</f>
        <v>0</v>
      </c>
      <c r="N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N$1,SQLデータ!$C:$C,"&lt;="&amp;届出事由・区分・届出年月日ごと集計!N$2)</f>
        <v>0</v>
      </c>
      <c r="O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O$1,SQLデータ!$C:$C,"&lt;="&amp;届出事由・区分・届出年月日ごと集計!O$2)</f>
        <v>0</v>
      </c>
      <c r="P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P$1,SQLデータ!$C:$C,"&lt;="&amp;届出事由・区分・届出年月日ごと集計!P$2)</f>
        <v>0</v>
      </c>
      <c r="Q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Q$1,SQLデータ!$C:$C,"&lt;="&amp;届出事由・区分・届出年月日ごと集計!Q$2)</f>
        <v>0</v>
      </c>
      <c r="R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R$1,SQLデータ!$C:$C,"&lt;="&amp;届出事由・区分・届出年月日ごと集計!R$2)</f>
        <v>0</v>
      </c>
      <c r="S28" s="85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S$1,SQLデータ!$C:$C,"&lt;="&amp;届出事由・区分・届出年月日ごと集計!S$2)</f>
        <v>0</v>
      </c>
      <c r="T28" s="92">
        <f>COUNTIFS(SQLデータ!$D:$D,"扶養",SQLデータ!$P:$P,1,SQLデータ!$H:$H,届出事由・区分・届出年月日ごと集計!$A28,SQLデータ!$G:$G,届出事由・区分・届出年月日ごと集計!$B28,SQLデータ!$M:$M,1,SQLデータ!$F:$F,"",SQLデータ!$C:$C,"&gt;="&amp;届出事由・区分・届出年月日ごと集計!T$1,SQLデータ!$C:$C,"&lt;="&amp;届出事由・区分・届出年月日ごと集計!T$2)</f>
        <v>0</v>
      </c>
    </row>
    <row r="29" spans="1:20" x14ac:dyDescent="0.4">
      <c r="A29" s="3" t="s">
        <v>55</v>
      </c>
      <c r="B29" s="3" t="s">
        <v>61</v>
      </c>
      <c r="C29" s="3" t="s">
        <v>72</v>
      </c>
      <c r="D29" s="3">
        <f>COUNTIFS(SQLデータ!$D:$D,"扶養",SQLデータ!$H:$H,届出事由・区分・届出年月日ごと集計!$A29,SQLデータ!$G:$G,届出事由・区分・届出年月日ごと集計!$B29,SQLデータ!$N:$N,1)</f>
        <v>0</v>
      </c>
      <c r="E29" s="107"/>
      <c r="F29" s="80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F$1,SQLデータ!$C:$C,"&lt;="&amp;届出事由・区分・届出年月日ごと集計!F$2)</f>
        <v>0</v>
      </c>
      <c r="G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G$1,SQLデータ!$C:$C,"&lt;="&amp;届出事由・区分・届出年月日ごと集計!G$2)</f>
        <v>0</v>
      </c>
      <c r="H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H$1,SQLデータ!$C:$C,"&lt;="&amp;届出事由・区分・届出年月日ごと集計!H$2)</f>
        <v>0</v>
      </c>
      <c r="I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I$1,SQLデータ!$C:$C,"&lt;="&amp;届出事由・区分・届出年月日ごと集計!I$2)</f>
        <v>0</v>
      </c>
      <c r="J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J$1,SQLデータ!$C:$C,"&lt;="&amp;届出事由・区分・届出年月日ごと集計!J$2)</f>
        <v>0</v>
      </c>
      <c r="K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K$1,SQLデータ!$C:$C,"&lt;="&amp;届出事由・区分・届出年月日ごと集計!K$2)</f>
        <v>0</v>
      </c>
      <c r="L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L$1,SQLデータ!$C:$C,"&lt;="&amp;届出事由・区分・届出年月日ごと集計!L$2)</f>
        <v>0</v>
      </c>
      <c r="M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M$1,SQLデータ!$C:$C,"&lt;="&amp;届出事由・区分・届出年月日ごと集計!M$2)</f>
        <v>0</v>
      </c>
      <c r="N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N$1,SQLデータ!$C:$C,"&lt;="&amp;届出事由・区分・届出年月日ごと集計!N$2)</f>
        <v>0</v>
      </c>
      <c r="O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O$1,SQLデータ!$C:$C,"&lt;="&amp;届出事由・区分・届出年月日ごと集計!O$2)</f>
        <v>0</v>
      </c>
      <c r="P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P$1,SQLデータ!$C:$C,"&lt;="&amp;届出事由・区分・届出年月日ごと集計!P$2)</f>
        <v>0</v>
      </c>
      <c r="Q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Q$1,SQLデータ!$C:$C,"&lt;="&amp;届出事由・区分・届出年月日ごと集計!Q$2)</f>
        <v>0</v>
      </c>
      <c r="R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R$1,SQLデータ!$C:$C,"&lt;="&amp;届出事由・区分・届出年月日ごと集計!R$2)</f>
        <v>0</v>
      </c>
      <c r="S29" s="85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S$1,SQLデータ!$C:$C,"&lt;="&amp;届出事由・区分・届出年月日ごと集計!S$2)</f>
        <v>0</v>
      </c>
      <c r="T29" s="92">
        <f>COUNTIFS(SQLデータ!$D:$D,"扶養",SQLデータ!$P:$P,1,SQLデータ!$H:$H,届出事由・区分・届出年月日ごと集計!$A29,SQLデータ!$G:$G,届出事由・区分・届出年月日ごと集計!$B29,SQLデータ!$N:$N,1,SQLデータ!$F:$F,"",SQLデータ!$C:$C,"&gt;="&amp;届出事由・区分・届出年月日ごと集計!T$1,SQLデータ!$C:$C,"&lt;="&amp;届出事由・区分・届出年月日ごと集計!T$2)</f>
        <v>0</v>
      </c>
    </row>
    <row r="30" spans="1:20" x14ac:dyDescent="0.4">
      <c r="A30" s="3" t="s">
        <v>55</v>
      </c>
      <c r="B30" s="3" t="s">
        <v>61</v>
      </c>
      <c r="C30" s="3" t="s">
        <v>73</v>
      </c>
      <c r="D30" s="3">
        <f>COUNTIFS(SQLデータ!$D:$D,"扶養",SQLデータ!$H:$H,届出事由・区分・届出年月日ごと集計!$A30,SQLデータ!$G:$G,届出事由・区分・届出年月日ごと集計!$B30,SQLデータ!$O:$O,1)</f>
        <v>0</v>
      </c>
      <c r="E30" s="107"/>
      <c r="F30" s="80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F$1,SQLデータ!$C:$C,"&lt;="&amp;届出事由・区分・届出年月日ごと集計!F$2)</f>
        <v>0</v>
      </c>
      <c r="G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G$1,SQLデータ!$C:$C,"&lt;="&amp;届出事由・区分・届出年月日ごと集計!G$2)</f>
        <v>0</v>
      </c>
      <c r="H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H$1,SQLデータ!$C:$C,"&lt;="&amp;届出事由・区分・届出年月日ごと集計!H$2)</f>
        <v>0</v>
      </c>
      <c r="I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I$1,SQLデータ!$C:$C,"&lt;="&amp;届出事由・区分・届出年月日ごと集計!I$2)</f>
        <v>0</v>
      </c>
      <c r="J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J$1,SQLデータ!$C:$C,"&lt;="&amp;届出事由・区分・届出年月日ごと集計!J$2)</f>
        <v>0</v>
      </c>
      <c r="K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K$1,SQLデータ!$C:$C,"&lt;="&amp;届出事由・区分・届出年月日ごと集計!K$2)</f>
        <v>0</v>
      </c>
      <c r="L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L$1,SQLデータ!$C:$C,"&lt;="&amp;届出事由・区分・届出年月日ごと集計!L$2)</f>
        <v>0</v>
      </c>
      <c r="M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M$1,SQLデータ!$C:$C,"&lt;="&amp;届出事由・区分・届出年月日ごと集計!M$2)</f>
        <v>0</v>
      </c>
      <c r="N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N$1,SQLデータ!$C:$C,"&lt;="&amp;届出事由・区分・届出年月日ごと集計!N$2)</f>
        <v>0</v>
      </c>
      <c r="O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O$1,SQLデータ!$C:$C,"&lt;="&amp;届出事由・区分・届出年月日ごと集計!O$2)</f>
        <v>0</v>
      </c>
      <c r="P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P$1,SQLデータ!$C:$C,"&lt;="&amp;届出事由・区分・届出年月日ごと集計!P$2)</f>
        <v>0</v>
      </c>
      <c r="Q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Q$1,SQLデータ!$C:$C,"&lt;="&amp;届出事由・区分・届出年月日ごと集計!Q$2)</f>
        <v>0</v>
      </c>
      <c r="R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R$1,SQLデータ!$C:$C,"&lt;="&amp;届出事由・区分・届出年月日ごと集計!R$2)</f>
        <v>0</v>
      </c>
      <c r="S30" s="85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S$1,SQLデータ!$C:$C,"&lt;="&amp;届出事由・区分・届出年月日ごと集計!S$2)</f>
        <v>0</v>
      </c>
      <c r="T30" s="92">
        <f>COUNTIFS(SQLデータ!$D:$D,"扶養",SQLデータ!$P:$P,1,SQLデータ!$H:$H,届出事由・区分・届出年月日ごと集計!$A30,SQLデータ!$G:$G,届出事由・区分・届出年月日ごと集計!$B30,SQLデータ!$O:$O,1,SQLデータ!$F:$F,"",SQLデータ!$C:$C,"&gt;="&amp;届出事由・区分・届出年月日ごと集計!T$1,SQLデータ!$C:$C,"&lt;="&amp;届出事由・区分・届出年月日ごと集計!T$2)</f>
        <v>0</v>
      </c>
    </row>
    <row r="31" spans="1:20" x14ac:dyDescent="0.4">
      <c r="A31" s="3" t="s">
        <v>55</v>
      </c>
      <c r="B31" s="3" t="s">
        <v>62</v>
      </c>
      <c r="C31" s="3" t="s">
        <v>70</v>
      </c>
      <c r="D31" s="3">
        <f>COUNTIFS(SQLデータ!$D:$D,"扶養",SQLデータ!$H:$H,届出事由・区分・届出年月日ごと集計!$A31,SQLデータ!$G:$G,届出事由・区分・届出年月日ごと集計!$B31,SQLデータ!$L:$L,1)</f>
        <v>0</v>
      </c>
      <c r="E31" s="107"/>
      <c r="F31" s="80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F$1,SQLデータ!$C:$C,"&lt;="&amp;届出事由・区分・届出年月日ごと集計!F$2)</f>
        <v>0</v>
      </c>
      <c r="G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G$1,SQLデータ!$C:$C,"&lt;="&amp;届出事由・区分・届出年月日ごと集計!G$2)</f>
        <v>0</v>
      </c>
      <c r="H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H$1,SQLデータ!$C:$C,"&lt;="&amp;届出事由・区分・届出年月日ごと集計!H$2)</f>
        <v>0</v>
      </c>
      <c r="I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I$1,SQLデータ!$C:$C,"&lt;="&amp;届出事由・区分・届出年月日ごと集計!I$2)</f>
        <v>0</v>
      </c>
      <c r="J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J$1,SQLデータ!$C:$C,"&lt;="&amp;届出事由・区分・届出年月日ごと集計!J$2)</f>
        <v>0</v>
      </c>
      <c r="K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K$1,SQLデータ!$C:$C,"&lt;="&amp;届出事由・区分・届出年月日ごと集計!K$2)</f>
        <v>0</v>
      </c>
      <c r="L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L$1,SQLデータ!$C:$C,"&lt;="&amp;届出事由・区分・届出年月日ごと集計!L$2)</f>
        <v>0</v>
      </c>
      <c r="M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M$1,SQLデータ!$C:$C,"&lt;="&amp;届出事由・区分・届出年月日ごと集計!M$2)</f>
        <v>0</v>
      </c>
      <c r="N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N$1,SQLデータ!$C:$C,"&lt;="&amp;届出事由・区分・届出年月日ごと集計!N$2)</f>
        <v>0</v>
      </c>
      <c r="O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O$1,SQLデータ!$C:$C,"&lt;="&amp;届出事由・区分・届出年月日ごと集計!O$2)</f>
        <v>0</v>
      </c>
      <c r="P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P$1,SQLデータ!$C:$C,"&lt;="&amp;届出事由・区分・届出年月日ごと集計!P$2)</f>
        <v>0</v>
      </c>
      <c r="Q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Q$1,SQLデータ!$C:$C,"&lt;="&amp;届出事由・区分・届出年月日ごと集計!Q$2)</f>
        <v>0</v>
      </c>
      <c r="R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R$1,SQLデータ!$C:$C,"&lt;="&amp;届出事由・区分・届出年月日ごと集計!R$2)</f>
        <v>0</v>
      </c>
      <c r="S31" s="85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S$1,SQLデータ!$C:$C,"&lt;="&amp;届出事由・区分・届出年月日ごと集計!S$2)</f>
        <v>0</v>
      </c>
      <c r="T31" s="92">
        <f>COUNTIFS(SQLデータ!$D:$D,"扶養",SQLデータ!$P:$P,1,SQLデータ!$H:$H,届出事由・区分・届出年月日ごと集計!$A31,SQLデータ!$G:$G,届出事由・区分・届出年月日ごと集計!$B31,SQLデータ!$L:$L,1,SQLデータ!$F:$F,"",SQLデータ!$C:$C,"&gt;="&amp;届出事由・区分・届出年月日ごと集計!T$1,SQLデータ!$C:$C,"&lt;="&amp;届出事由・区分・届出年月日ごと集計!T$2)</f>
        <v>0</v>
      </c>
    </row>
    <row r="32" spans="1:20" x14ac:dyDescent="0.4">
      <c r="A32" s="3" t="s">
        <v>55</v>
      </c>
      <c r="B32" s="3" t="s">
        <v>62</v>
      </c>
      <c r="C32" s="3" t="s">
        <v>71</v>
      </c>
      <c r="D32" s="3">
        <f>COUNTIFS(SQLデータ!$D:$D,"扶養",SQLデータ!$H:$H,届出事由・区分・届出年月日ごと集計!$A32,SQLデータ!$G:$G,届出事由・区分・届出年月日ごと集計!$B32,SQLデータ!$M:$M,1)</f>
        <v>0</v>
      </c>
      <c r="E32" s="107"/>
      <c r="F32" s="80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F$1,SQLデータ!$C:$C,"&lt;="&amp;届出事由・区分・届出年月日ごと集計!F$2)</f>
        <v>0</v>
      </c>
      <c r="G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G$1,SQLデータ!$C:$C,"&lt;="&amp;届出事由・区分・届出年月日ごと集計!G$2)</f>
        <v>0</v>
      </c>
      <c r="H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H$1,SQLデータ!$C:$C,"&lt;="&amp;届出事由・区分・届出年月日ごと集計!H$2)</f>
        <v>0</v>
      </c>
      <c r="I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I$1,SQLデータ!$C:$C,"&lt;="&amp;届出事由・区分・届出年月日ごと集計!I$2)</f>
        <v>0</v>
      </c>
      <c r="J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J$1,SQLデータ!$C:$C,"&lt;="&amp;届出事由・区分・届出年月日ごと集計!J$2)</f>
        <v>0</v>
      </c>
      <c r="K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K$1,SQLデータ!$C:$C,"&lt;="&amp;届出事由・区分・届出年月日ごと集計!K$2)</f>
        <v>0</v>
      </c>
      <c r="L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L$1,SQLデータ!$C:$C,"&lt;="&amp;届出事由・区分・届出年月日ごと集計!L$2)</f>
        <v>0</v>
      </c>
      <c r="M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M$1,SQLデータ!$C:$C,"&lt;="&amp;届出事由・区分・届出年月日ごと集計!M$2)</f>
        <v>0</v>
      </c>
      <c r="N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N$1,SQLデータ!$C:$C,"&lt;="&amp;届出事由・区分・届出年月日ごと集計!N$2)</f>
        <v>0</v>
      </c>
      <c r="O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O$1,SQLデータ!$C:$C,"&lt;="&amp;届出事由・区分・届出年月日ごと集計!O$2)</f>
        <v>0</v>
      </c>
      <c r="P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P$1,SQLデータ!$C:$C,"&lt;="&amp;届出事由・区分・届出年月日ごと集計!P$2)</f>
        <v>0</v>
      </c>
      <c r="Q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Q$1,SQLデータ!$C:$C,"&lt;="&amp;届出事由・区分・届出年月日ごと集計!Q$2)</f>
        <v>0</v>
      </c>
      <c r="R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R$1,SQLデータ!$C:$C,"&lt;="&amp;届出事由・区分・届出年月日ごと集計!R$2)</f>
        <v>0</v>
      </c>
      <c r="S32" s="85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S$1,SQLデータ!$C:$C,"&lt;="&amp;届出事由・区分・届出年月日ごと集計!S$2)</f>
        <v>0</v>
      </c>
      <c r="T32" s="92">
        <f>COUNTIFS(SQLデータ!$D:$D,"扶養",SQLデータ!$P:$P,1,SQLデータ!$H:$H,届出事由・区分・届出年月日ごと集計!$A32,SQLデータ!$G:$G,届出事由・区分・届出年月日ごと集計!$B32,SQLデータ!$M:$M,1,SQLデータ!$F:$F,"",SQLデータ!$C:$C,"&gt;="&amp;届出事由・区分・届出年月日ごと集計!T$1,SQLデータ!$C:$C,"&lt;="&amp;届出事由・区分・届出年月日ごと集計!T$2)</f>
        <v>0</v>
      </c>
    </row>
    <row r="33" spans="1:20" x14ac:dyDescent="0.4">
      <c r="A33" s="3" t="s">
        <v>55</v>
      </c>
      <c r="B33" s="3" t="s">
        <v>62</v>
      </c>
      <c r="C33" s="3" t="s">
        <v>72</v>
      </c>
      <c r="D33" s="3">
        <f>COUNTIFS(SQLデータ!$D:$D,"扶養",SQLデータ!$H:$H,届出事由・区分・届出年月日ごと集計!$A33,SQLデータ!$G:$G,届出事由・区分・届出年月日ごと集計!$B33,SQLデータ!$N:$N,1)</f>
        <v>0</v>
      </c>
      <c r="E33" s="107"/>
      <c r="F33" s="80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F$1,SQLデータ!$C:$C,"&lt;="&amp;届出事由・区分・届出年月日ごと集計!F$2)</f>
        <v>0</v>
      </c>
      <c r="G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G$1,SQLデータ!$C:$C,"&lt;="&amp;届出事由・区分・届出年月日ごと集計!G$2)</f>
        <v>0</v>
      </c>
      <c r="H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H$1,SQLデータ!$C:$C,"&lt;="&amp;届出事由・区分・届出年月日ごと集計!H$2)</f>
        <v>0</v>
      </c>
      <c r="I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I$1,SQLデータ!$C:$C,"&lt;="&amp;届出事由・区分・届出年月日ごと集計!I$2)</f>
        <v>0</v>
      </c>
      <c r="J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J$1,SQLデータ!$C:$C,"&lt;="&amp;届出事由・区分・届出年月日ごと集計!J$2)</f>
        <v>0</v>
      </c>
      <c r="K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K$1,SQLデータ!$C:$C,"&lt;="&amp;届出事由・区分・届出年月日ごと集計!K$2)</f>
        <v>0</v>
      </c>
      <c r="L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L$1,SQLデータ!$C:$C,"&lt;="&amp;届出事由・区分・届出年月日ごと集計!L$2)</f>
        <v>0</v>
      </c>
      <c r="M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M$1,SQLデータ!$C:$C,"&lt;="&amp;届出事由・区分・届出年月日ごと集計!M$2)</f>
        <v>0</v>
      </c>
      <c r="N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N$1,SQLデータ!$C:$C,"&lt;="&amp;届出事由・区分・届出年月日ごと集計!N$2)</f>
        <v>0</v>
      </c>
      <c r="O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O$1,SQLデータ!$C:$C,"&lt;="&amp;届出事由・区分・届出年月日ごと集計!O$2)</f>
        <v>0</v>
      </c>
      <c r="P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P$1,SQLデータ!$C:$C,"&lt;="&amp;届出事由・区分・届出年月日ごと集計!P$2)</f>
        <v>0</v>
      </c>
      <c r="Q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Q$1,SQLデータ!$C:$C,"&lt;="&amp;届出事由・区分・届出年月日ごと集計!Q$2)</f>
        <v>0</v>
      </c>
      <c r="R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R$1,SQLデータ!$C:$C,"&lt;="&amp;届出事由・区分・届出年月日ごと集計!R$2)</f>
        <v>0</v>
      </c>
      <c r="S33" s="85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S$1,SQLデータ!$C:$C,"&lt;="&amp;届出事由・区分・届出年月日ごと集計!S$2)</f>
        <v>0</v>
      </c>
      <c r="T33" s="92">
        <f>COUNTIFS(SQLデータ!$D:$D,"扶養",SQLデータ!$P:$P,1,SQLデータ!$H:$H,届出事由・区分・届出年月日ごと集計!$A33,SQLデータ!$G:$G,届出事由・区分・届出年月日ごと集計!$B33,SQLデータ!$N:$N,1,SQLデータ!$F:$F,"",SQLデータ!$C:$C,"&gt;="&amp;届出事由・区分・届出年月日ごと集計!T$1,SQLデータ!$C:$C,"&lt;="&amp;届出事由・区分・届出年月日ごと集計!T$2)</f>
        <v>0</v>
      </c>
    </row>
    <row r="34" spans="1:20" x14ac:dyDescent="0.4">
      <c r="A34" s="3" t="s">
        <v>55</v>
      </c>
      <c r="B34" s="3" t="s">
        <v>62</v>
      </c>
      <c r="C34" s="3" t="s">
        <v>73</v>
      </c>
      <c r="D34" s="3">
        <f>COUNTIFS(SQLデータ!$D:$D,"扶養",SQLデータ!$H:$H,届出事由・区分・届出年月日ごと集計!$A34,SQLデータ!$G:$G,届出事由・区分・届出年月日ごと集計!$B34,SQLデータ!$O:$O,1)</f>
        <v>1</v>
      </c>
      <c r="E34" s="107"/>
      <c r="F34" s="80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F$1,SQLデータ!$C:$C,"&lt;="&amp;届出事由・区分・届出年月日ごと集計!F$2)</f>
        <v>1</v>
      </c>
      <c r="G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G$1,SQLデータ!$C:$C,"&lt;="&amp;届出事由・区分・届出年月日ごと集計!G$2)</f>
        <v>0</v>
      </c>
      <c r="H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H$1,SQLデータ!$C:$C,"&lt;="&amp;届出事由・区分・届出年月日ごと集計!H$2)</f>
        <v>0</v>
      </c>
      <c r="I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I$1,SQLデータ!$C:$C,"&lt;="&amp;届出事由・区分・届出年月日ごと集計!I$2)</f>
        <v>0</v>
      </c>
      <c r="J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J$1,SQLデータ!$C:$C,"&lt;="&amp;届出事由・区分・届出年月日ごと集計!J$2)</f>
        <v>0</v>
      </c>
      <c r="K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K$1,SQLデータ!$C:$C,"&lt;="&amp;届出事由・区分・届出年月日ごと集計!K$2)</f>
        <v>0</v>
      </c>
      <c r="L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L$1,SQLデータ!$C:$C,"&lt;="&amp;届出事由・区分・届出年月日ごと集計!L$2)</f>
        <v>0</v>
      </c>
      <c r="M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M$1,SQLデータ!$C:$C,"&lt;="&amp;届出事由・区分・届出年月日ごと集計!M$2)</f>
        <v>0</v>
      </c>
      <c r="N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N$1,SQLデータ!$C:$C,"&lt;="&amp;届出事由・区分・届出年月日ごと集計!N$2)</f>
        <v>0</v>
      </c>
      <c r="O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O$1,SQLデータ!$C:$C,"&lt;="&amp;届出事由・区分・届出年月日ごと集計!O$2)</f>
        <v>0</v>
      </c>
      <c r="P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P$1,SQLデータ!$C:$C,"&lt;="&amp;届出事由・区分・届出年月日ごと集計!P$2)</f>
        <v>0</v>
      </c>
      <c r="Q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Q$1,SQLデータ!$C:$C,"&lt;="&amp;届出事由・区分・届出年月日ごと集計!Q$2)</f>
        <v>0</v>
      </c>
      <c r="R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R$1,SQLデータ!$C:$C,"&lt;="&amp;届出事由・区分・届出年月日ごと集計!R$2)</f>
        <v>0</v>
      </c>
      <c r="S34" s="85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S$1,SQLデータ!$C:$C,"&lt;="&amp;届出事由・区分・届出年月日ごと集計!S$2)</f>
        <v>0</v>
      </c>
      <c r="T34" s="92">
        <f>COUNTIFS(SQLデータ!$D:$D,"扶養",SQLデータ!$P:$P,1,SQLデータ!$H:$H,届出事由・区分・届出年月日ごと集計!$A34,SQLデータ!$G:$G,届出事由・区分・届出年月日ごと集計!$B34,SQLデータ!$O:$O,1,SQLデータ!$F:$F,"",SQLデータ!$C:$C,"&gt;="&amp;届出事由・区分・届出年月日ごと集計!T$1,SQLデータ!$C:$C,"&lt;="&amp;届出事由・区分・届出年月日ごと集計!T$2)</f>
        <v>0</v>
      </c>
    </row>
    <row r="35" spans="1:20" x14ac:dyDescent="0.4">
      <c r="A35" s="3" t="s">
        <v>55</v>
      </c>
      <c r="B35" s="3" t="s">
        <v>63</v>
      </c>
      <c r="C35" s="3" t="s">
        <v>70</v>
      </c>
      <c r="D35" s="3">
        <f>COUNTIFS(SQLデータ!$D:$D,"扶養",SQLデータ!$H:$H,届出事由・区分・届出年月日ごと集計!$A35,SQLデータ!$G:$G,届出事由・区分・届出年月日ごと集計!$B35,SQLデータ!$L:$L,1)</f>
        <v>1</v>
      </c>
      <c r="E35" s="107"/>
      <c r="F35" s="80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F$1,SQLデータ!$C:$C,"&lt;="&amp;届出事由・区分・届出年月日ごと集計!F$2)</f>
        <v>0</v>
      </c>
      <c r="G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G$1,SQLデータ!$C:$C,"&lt;="&amp;届出事由・区分・届出年月日ごと集計!G$2)</f>
        <v>0</v>
      </c>
      <c r="H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H$1,SQLデータ!$C:$C,"&lt;="&amp;届出事由・区分・届出年月日ごと集計!H$2)</f>
        <v>0</v>
      </c>
      <c r="I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I$1,SQLデータ!$C:$C,"&lt;="&amp;届出事由・区分・届出年月日ごと集計!I$2)</f>
        <v>0</v>
      </c>
      <c r="J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J$1,SQLデータ!$C:$C,"&lt;="&amp;届出事由・区分・届出年月日ごと集計!J$2)</f>
        <v>0</v>
      </c>
      <c r="K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K$1,SQLデータ!$C:$C,"&lt;="&amp;届出事由・区分・届出年月日ごと集計!K$2)</f>
        <v>0</v>
      </c>
      <c r="L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L$1,SQLデータ!$C:$C,"&lt;="&amp;届出事由・区分・届出年月日ごと集計!L$2)</f>
        <v>0</v>
      </c>
      <c r="M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M$1,SQLデータ!$C:$C,"&lt;="&amp;届出事由・区分・届出年月日ごと集計!M$2)</f>
        <v>0</v>
      </c>
      <c r="N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N$1,SQLデータ!$C:$C,"&lt;="&amp;届出事由・区分・届出年月日ごと集計!N$2)</f>
        <v>0</v>
      </c>
      <c r="O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O$1,SQLデータ!$C:$C,"&lt;="&amp;届出事由・区分・届出年月日ごと集計!O$2)</f>
        <v>0</v>
      </c>
      <c r="P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P$1,SQLデータ!$C:$C,"&lt;="&amp;届出事由・区分・届出年月日ごと集計!P$2)</f>
        <v>0</v>
      </c>
      <c r="Q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Q$1,SQLデータ!$C:$C,"&lt;="&amp;届出事由・区分・届出年月日ごと集計!Q$2)</f>
        <v>0</v>
      </c>
      <c r="R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R$1,SQLデータ!$C:$C,"&lt;="&amp;届出事由・区分・届出年月日ごと集計!R$2)</f>
        <v>0</v>
      </c>
      <c r="S35" s="85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S$1,SQLデータ!$C:$C,"&lt;="&amp;届出事由・区分・届出年月日ごと集計!S$2)</f>
        <v>0</v>
      </c>
      <c r="T35" s="92">
        <f>COUNTIFS(SQLデータ!$D:$D,"扶養",SQLデータ!$P:$P,1,SQLデータ!$H:$H,届出事由・区分・届出年月日ごと集計!$A35,SQLデータ!$G:$G,届出事由・区分・届出年月日ごと集計!$B35,SQLデータ!$L:$L,1,SQLデータ!$F:$F,"",SQLデータ!$C:$C,"&gt;="&amp;届出事由・区分・届出年月日ごと集計!T$1,SQLデータ!$C:$C,"&lt;="&amp;届出事由・区分・届出年月日ごと集計!T$2)</f>
        <v>0</v>
      </c>
    </row>
    <row r="36" spans="1:20" x14ac:dyDescent="0.4">
      <c r="A36" s="3" t="s">
        <v>55</v>
      </c>
      <c r="B36" s="3" t="s">
        <v>63</v>
      </c>
      <c r="C36" s="3" t="s">
        <v>71</v>
      </c>
      <c r="D36" s="3">
        <f>COUNTIFS(SQLデータ!$D:$D,"扶養",SQLデータ!$H:$H,届出事由・区分・届出年月日ごと集計!$A36,SQLデータ!$G:$G,届出事由・区分・届出年月日ごと集計!$B36,SQLデータ!$M:$M,1)</f>
        <v>0</v>
      </c>
      <c r="E36" s="107"/>
      <c r="F36" s="80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F$1,SQLデータ!$C:$C,"&lt;="&amp;届出事由・区分・届出年月日ごと集計!F$2)</f>
        <v>0</v>
      </c>
      <c r="G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G$1,SQLデータ!$C:$C,"&lt;="&amp;届出事由・区分・届出年月日ごと集計!G$2)</f>
        <v>0</v>
      </c>
      <c r="H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H$1,SQLデータ!$C:$C,"&lt;="&amp;届出事由・区分・届出年月日ごと集計!H$2)</f>
        <v>0</v>
      </c>
      <c r="I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I$1,SQLデータ!$C:$C,"&lt;="&amp;届出事由・区分・届出年月日ごと集計!I$2)</f>
        <v>0</v>
      </c>
      <c r="J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J$1,SQLデータ!$C:$C,"&lt;="&amp;届出事由・区分・届出年月日ごと集計!J$2)</f>
        <v>0</v>
      </c>
      <c r="K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K$1,SQLデータ!$C:$C,"&lt;="&amp;届出事由・区分・届出年月日ごと集計!K$2)</f>
        <v>0</v>
      </c>
      <c r="L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L$1,SQLデータ!$C:$C,"&lt;="&amp;届出事由・区分・届出年月日ごと集計!L$2)</f>
        <v>0</v>
      </c>
      <c r="M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M$1,SQLデータ!$C:$C,"&lt;="&amp;届出事由・区分・届出年月日ごと集計!M$2)</f>
        <v>0</v>
      </c>
      <c r="N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N$1,SQLデータ!$C:$C,"&lt;="&amp;届出事由・区分・届出年月日ごと集計!N$2)</f>
        <v>0</v>
      </c>
      <c r="O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O$1,SQLデータ!$C:$C,"&lt;="&amp;届出事由・区分・届出年月日ごと集計!O$2)</f>
        <v>0</v>
      </c>
      <c r="P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P$1,SQLデータ!$C:$C,"&lt;="&amp;届出事由・区分・届出年月日ごと集計!P$2)</f>
        <v>0</v>
      </c>
      <c r="Q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Q$1,SQLデータ!$C:$C,"&lt;="&amp;届出事由・区分・届出年月日ごと集計!Q$2)</f>
        <v>0</v>
      </c>
      <c r="R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R$1,SQLデータ!$C:$C,"&lt;="&amp;届出事由・区分・届出年月日ごと集計!R$2)</f>
        <v>0</v>
      </c>
      <c r="S36" s="85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S$1,SQLデータ!$C:$C,"&lt;="&amp;届出事由・区分・届出年月日ごと集計!S$2)</f>
        <v>0</v>
      </c>
      <c r="T36" s="92">
        <f>COUNTIFS(SQLデータ!$D:$D,"扶養",SQLデータ!$P:$P,1,SQLデータ!$H:$H,届出事由・区分・届出年月日ごと集計!$A36,SQLデータ!$G:$G,届出事由・区分・届出年月日ごと集計!$B36,SQLデータ!$M:$M,1,SQLデータ!$F:$F,"",SQLデータ!$C:$C,"&gt;="&amp;届出事由・区分・届出年月日ごと集計!T$1,SQLデータ!$C:$C,"&lt;="&amp;届出事由・区分・届出年月日ごと集計!T$2)</f>
        <v>0</v>
      </c>
    </row>
    <row r="37" spans="1:20" x14ac:dyDescent="0.4">
      <c r="A37" s="3" t="s">
        <v>55</v>
      </c>
      <c r="B37" s="3" t="s">
        <v>63</v>
      </c>
      <c r="C37" s="3" t="s">
        <v>72</v>
      </c>
      <c r="D37" s="3">
        <f>COUNTIFS(SQLデータ!$D:$D,"扶養",SQLデータ!$H:$H,届出事由・区分・届出年月日ごと集計!$A37,SQLデータ!$G:$G,届出事由・区分・届出年月日ごと集計!$B37,SQLデータ!$N:$N,1)</f>
        <v>0</v>
      </c>
      <c r="E37" s="107"/>
      <c r="F37" s="80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F$1,SQLデータ!$C:$C,"&lt;="&amp;届出事由・区分・届出年月日ごと集計!F$2)</f>
        <v>0</v>
      </c>
      <c r="G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G$1,SQLデータ!$C:$C,"&lt;="&amp;届出事由・区分・届出年月日ごと集計!G$2)</f>
        <v>0</v>
      </c>
      <c r="H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H$1,SQLデータ!$C:$C,"&lt;="&amp;届出事由・区分・届出年月日ごと集計!H$2)</f>
        <v>0</v>
      </c>
      <c r="I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I$1,SQLデータ!$C:$C,"&lt;="&amp;届出事由・区分・届出年月日ごと集計!I$2)</f>
        <v>0</v>
      </c>
      <c r="J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J$1,SQLデータ!$C:$C,"&lt;="&amp;届出事由・区分・届出年月日ごと集計!J$2)</f>
        <v>0</v>
      </c>
      <c r="K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K$1,SQLデータ!$C:$C,"&lt;="&amp;届出事由・区分・届出年月日ごと集計!K$2)</f>
        <v>0</v>
      </c>
      <c r="L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L$1,SQLデータ!$C:$C,"&lt;="&amp;届出事由・区分・届出年月日ごと集計!L$2)</f>
        <v>0</v>
      </c>
      <c r="M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M$1,SQLデータ!$C:$C,"&lt;="&amp;届出事由・区分・届出年月日ごと集計!M$2)</f>
        <v>0</v>
      </c>
      <c r="N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N$1,SQLデータ!$C:$C,"&lt;="&amp;届出事由・区分・届出年月日ごと集計!N$2)</f>
        <v>0</v>
      </c>
      <c r="O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O$1,SQLデータ!$C:$C,"&lt;="&amp;届出事由・区分・届出年月日ごと集計!O$2)</f>
        <v>0</v>
      </c>
      <c r="P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P$1,SQLデータ!$C:$C,"&lt;="&amp;届出事由・区分・届出年月日ごと集計!P$2)</f>
        <v>0</v>
      </c>
      <c r="Q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Q$1,SQLデータ!$C:$C,"&lt;="&amp;届出事由・区分・届出年月日ごと集計!Q$2)</f>
        <v>0</v>
      </c>
      <c r="R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R$1,SQLデータ!$C:$C,"&lt;="&amp;届出事由・区分・届出年月日ごと集計!R$2)</f>
        <v>0</v>
      </c>
      <c r="S37" s="85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S$1,SQLデータ!$C:$C,"&lt;="&amp;届出事由・区分・届出年月日ごと集計!S$2)</f>
        <v>0</v>
      </c>
      <c r="T37" s="92">
        <f>COUNTIFS(SQLデータ!$D:$D,"扶養",SQLデータ!$P:$P,1,SQLデータ!$H:$H,届出事由・区分・届出年月日ごと集計!$A37,SQLデータ!$G:$G,届出事由・区分・届出年月日ごと集計!$B37,SQLデータ!$N:$N,1,SQLデータ!$F:$F,"",SQLデータ!$C:$C,"&gt;="&amp;届出事由・区分・届出年月日ごと集計!T$1,SQLデータ!$C:$C,"&lt;="&amp;届出事由・区分・届出年月日ごと集計!T$2)</f>
        <v>0</v>
      </c>
    </row>
    <row r="38" spans="1:20" x14ac:dyDescent="0.4">
      <c r="A38" s="3" t="s">
        <v>55</v>
      </c>
      <c r="B38" s="3" t="s">
        <v>63</v>
      </c>
      <c r="C38" s="3" t="s">
        <v>73</v>
      </c>
      <c r="D38" s="3">
        <f>COUNTIFS(SQLデータ!$D:$D,"扶養",SQLデータ!$H:$H,届出事由・区分・届出年月日ごと集計!$A38,SQLデータ!$G:$G,届出事由・区分・届出年月日ごと集計!$B38,SQLデータ!$O:$O,1)</f>
        <v>0</v>
      </c>
      <c r="E38" s="107"/>
      <c r="F38" s="80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F$1,SQLデータ!$C:$C,"&lt;="&amp;届出事由・区分・届出年月日ごと集計!F$2)</f>
        <v>0</v>
      </c>
      <c r="G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G$1,SQLデータ!$C:$C,"&lt;="&amp;届出事由・区分・届出年月日ごと集計!G$2)</f>
        <v>0</v>
      </c>
      <c r="H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H$1,SQLデータ!$C:$C,"&lt;="&amp;届出事由・区分・届出年月日ごと集計!H$2)</f>
        <v>0</v>
      </c>
      <c r="I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I$1,SQLデータ!$C:$C,"&lt;="&amp;届出事由・区分・届出年月日ごと集計!I$2)</f>
        <v>0</v>
      </c>
      <c r="J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J$1,SQLデータ!$C:$C,"&lt;="&amp;届出事由・区分・届出年月日ごと集計!J$2)</f>
        <v>0</v>
      </c>
      <c r="K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K$1,SQLデータ!$C:$C,"&lt;="&amp;届出事由・区分・届出年月日ごと集計!K$2)</f>
        <v>0</v>
      </c>
      <c r="L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L$1,SQLデータ!$C:$C,"&lt;="&amp;届出事由・区分・届出年月日ごと集計!L$2)</f>
        <v>0</v>
      </c>
      <c r="M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M$1,SQLデータ!$C:$C,"&lt;="&amp;届出事由・区分・届出年月日ごと集計!M$2)</f>
        <v>0</v>
      </c>
      <c r="N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N$1,SQLデータ!$C:$C,"&lt;="&amp;届出事由・区分・届出年月日ごと集計!N$2)</f>
        <v>0</v>
      </c>
      <c r="O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O$1,SQLデータ!$C:$C,"&lt;="&amp;届出事由・区分・届出年月日ごと集計!O$2)</f>
        <v>0</v>
      </c>
      <c r="P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P$1,SQLデータ!$C:$C,"&lt;="&amp;届出事由・区分・届出年月日ごと集計!P$2)</f>
        <v>0</v>
      </c>
      <c r="Q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Q$1,SQLデータ!$C:$C,"&lt;="&amp;届出事由・区分・届出年月日ごと集計!Q$2)</f>
        <v>0</v>
      </c>
      <c r="R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R$1,SQLデータ!$C:$C,"&lt;="&amp;届出事由・区分・届出年月日ごと集計!R$2)</f>
        <v>0</v>
      </c>
      <c r="S38" s="85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S$1,SQLデータ!$C:$C,"&lt;="&amp;届出事由・区分・届出年月日ごと集計!S$2)</f>
        <v>0</v>
      </c>
      <c r="T38" s="92">
        <f>COUNTIFS(SQLデータ!$D:$D,"扶養",SQLデータ!$P:$P,1,SQLデータ!$H:$H,届出事由・区分・届出年月日ごと集計!$A38,SQLデータ!$G:$G,届出事由・区分・届出年月日ごと集計!$B38,SQLデータ!$O:$O,1,SQLデータ!$F:$F,"",SQLデータ!$C:$C,"&gt;="&amp;届出事由・区分・届出年月日ごと集計!T$1,SQLデータ!$C:$C,"&lt;="&amp;届出事由・区分・届出年月日ごと集計!T$2)</f>
        <v>0</v>
      </c>
    </row>
    <row r="39" spans="1:20" x14ac:dyDescent="0.4">
      <c r="A39" s="3" t="s">
        <v>55</v>
      </c>
      <c r="B39" s="3" t="s">
        <v>64</v>
      </c>
      <c r="C39" s="3" t="s">
        <v>70</v>
      </c>
      <c r="D39" s="3">
        <f>COUNTIFS(SQLデータ!$D:$D,"扶養",SQLデータ!$H:$H,届出事由・区分・届出年月日ごと集計!$A39,SQLデータ!$G:$G,届出事由・区分・届出年月日ごと集計!$B39,SQLデータ!$L:$L,1)</f>
        <v>6</v>
      </c>
      <c r="E39" s="107"/>
      <c r="F39" s="80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F$1,SQLデータ!$C:$C,"&lt;="&amp;届出事由・区分・届出年月日ごと集計!F$2)</f>
        <v>0</v>
      </c>
      <c r="G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G$1,SQLデータ!$C:$C,"&lt;="&amp;届出事由・区分・届出年月日ごと集計!G$2)</f>
        <v>1</v>
      </c>
      <c r="H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H$1,SQLデータ!$C:$C,"&lt;="&amp;届出事由・区分・届出年月日ごと集計!H$2)</f>
        <v>3</v>
      </c>
      <c r="I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I$1,SQLデータ!$C:$C,"&lt;="&amp;届出事由・区分・届出年月日ごと集計!I$2)</f>
        <v>1</v>
      </c>
      <c r="J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J$1,SQLデータ!$C:$C,"&lt;="&amp;届出事由・区分・届出年月日ごと集計!J$2)</f>
        <v>0</v>
      </c>
      <c r="K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K$1,SQLデータ!$C:$C,"&lt;="&amp;届出事由・区分・届出年月日ごと集計!K$2)</f>
        <v>0</v>
      </c>
      <c r="L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L$1,SQLデータ!$C:$C,"&lt;="&amp;届出事由・区分・届出年月日ごと集計!L$2)</f>
        <v>0</v>
      </c>
      <c r="M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M$1,SQLデータ!$C:$C,"&lt;="&amp;届出事由・区分・届出年月日ごと集計!M$2)</f>
        <v>0</v>
      </c>
      <c r="N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N$1,SQLデータ!$C:$C,"&lt;="&amp;届出事由・区分・届出年月日ごと集計!N$2)</f>
        <v>0</v>
      </c>
      <c r="O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O$1,SQLデータ!$C:$C,"&lt;="&amp;届出事由・区分・届出年月日ごと集計!O$2)</f>
        <v>0</v>
      </c>
      <c r="P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P$1,SQLデータ!$C:$C,"&lt;="&amp;届出事由・区分・届出年月日ごと集計!P$2)</f>
        <v>0</v>
      </c>
      <c r="Q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Q$1,SQLデータ!$C:$C,"&lt;="&amp;届出事由・区分・届出年月日ごと集計!Q$2)</f>
        <v>0</v>
      </c>
      <c r="R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R$1,SQLデータ!$C:$C,"&lt;="&amp;届出事由・区分・届出年月日ごと集計!R$2)</f>
        <v>0</v>
      </c>
      <c r="S39" s="85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S$1,SQLデータ!$C:$C,"&lt;="&amp;届出事由・区分・届出年月日ごと集計!S$2)</f>
        <v>0</v>
      </c>
      <c r="T39" s="92">
        <f>COUNTIFS(SQLデータ!$D:$D,"扶養",SQLデータ!$P:$P,1,SQLデータ!$H:$H,届出事由・区分・届出年月日ごと集計!$A39,SQLデータ!$G:$G,届出事由・区分・届出年月日ごと集計!$B39,SQLデータ!$L:$L,1,SQLデータ!$F:$F,"",SQLデータ!$C:$C,"&gt;="&amp;届出事由・区分・届出年月日ごと集計!T$1,SQLデータ!$C:$C,"&lt;="&amp;届出事由・区分・届出年月日ごと集計!T$2)</f>
        <v>0</v>
      </c>
    </row>
    <row r="40" spans="1:20" x14ac:dyDescent="0.4">
      <c r="A40" s="3" t="s">
        <v>55</v>
      </c>
      <c r="B40" s="3" t="s">
        <v>64</v>
      </c>
      <c r="C40" s="3" t="s">
        <v>71</v>
      </c>
      <c r="D40" s="3">
        <f>COUNTIFS(SQLデータ!$D:$D,"扶養",SQLデータ!$H:$H,届出事由・区分・届出年月日ごと集計!$A40,SQLデータ!$G:$G,届出事由・区分・届出年月日ごと集計!$B40,SQLデータ!$M:$M,1)</f>
        <v>1</v>
      </c>
      <c r="E40" s="107"/>
      <c r="F40" s="80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F$1,SQLデータ!$C:$C,"&lt;="&amp;届出事由・区分・届出年月日ごと集計!F$2)</f>
        <v>0</v>
      </c>
      <c r="G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G$1,SQLデータ!$C:$C,"&lt;="&amp;届出事由・区分・届出年月日ごと集計!G$2)</f>
        <v>0</v>
      </c>
      <c r="H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H$1,SQLデータ!$C:$C,"&lt;="&amp;届出事由・区分・届出年月日ごと集計!H$2)</f>
        <v>0</v>
      </c>
      <c r="I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I$1,SQLデータ!$C:$C,"&lt;="&amp;届出事由・区分・届出年月日ごと集計!I$2)</f>
        <v>0</v>
      </c>
      <c r="J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J$1,SQLデータ!$C:$C,"&lt;="&amp;届出事由・区分・届出年月日ごと集計!J$2)</f>
        <v>0</v>
      </c>
      <c r="K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K$1,SQLデータ!$C:$C,"&lt;="&amp;届出事由・区分・届出年月日ごと集計!K$2)</f>
        <v>0</v>
      </c>
      <c r="L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L$1,SQLデータ!$C:$C,"&lt;="&amp;届出事由・区分・届出年月日ごと集計!L$2)</f>
        <v>0</v>
      </c>
      <c r="M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M$1,SQLデータ!$C:$C,"&lt;="&amp;届出事由・区分・届出年月日ごと集計!M$2)</f>
        <v>0</v>
      </c>
      <c r="N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N$1,SQLデータ!$C:$C,"&lt;="&amp;届出事由・区分・届出年月日ごと集計!N$2)</f>
        <v>0</v>
      </c>
      <c r="O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O$1,SQLデータ!$C:$C,"&lt;="&amp;届出事由・区分・届出年月日ごと集計!O$2)</f>
        <v>0</v>
      </c>
      <c r="P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P$1,SQLデータ!$C:$C,"&lt;="&amp;届出事由・区分・届出年月日ごと集計!P$2)</f>
        <v>0</v>
      </c>
      <c r="Q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Q$1,SQLデータ!$C:$C,"&lt;="&amp;届出事由・区分・届出年月日ごと集計!Q$2)</f>
        <v>0</v>
      </c>
      <c r="R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R$1,SQLデータ!$C:$C,"&lt;="&amp;届出事由・区分・届出年月日ごと集計!R$2)</f>
        <v>0</v>
      </c>
      <c r="S40" s="85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S$1,SQLデータ!$C:$C,"&lt;="&amp;届出事由・区分・届出年月日ごと集計!S$2)</f>
        <v>0</v>
      </c>
      <c r="T40" s="92">
        <f>COUNTIFS(SQLデータ!$D:$D,"扶養",SQLデータ!$P:$P,1,SQLデータ!$H:$H,届出事由・区分・届出年月日ごと集計!$A40,SQLデータ!$G:$G,届出事由・区分・届出年月日ごと集計!$B40,SQLデータ!$M:$M,1,SQLデータ!$F:$F,"",SQLデータ!$C:$C,"&gt;="&amp;届出事由・区分・届出年月日ごと集計!T$1,SQLデータ!$C:$C,"&lt;="&amp;届出事由・区分・届出年月日ごと集計!T$2)</f>
        <v>0</v>
      </c>
    </row>
    <row r="41" spans="1:20" x14ac:dyDescent="0.4">
      <c r="A41" s="3" t="s">
        <v>55</v>
      </c>
      <c r="B41" s="3" t="s">
        <v>64</v>
      </c>
      <c r="C41" s="3" t="s">
        <v>72</v>
      </c>
      <c r="D41" s="3">
        <f>COUNTIFS(SQLデータ!$D:$D,"扶養",SQLデータ!$H:$H,届出事由・区分・届出年月日ごと集計!$A41,SQLデータ!$G:$G,届出事由・区分・届出年月日ごと集計!$B41,SQLデータ!$N:$N,1)</f>
        <v>0</v>
      </c>
      <c r="E41" s="107"/>
      <c r="F41" s="80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F$1,SQLデータ!$C:$C,"&lt;="&amp;届出事由・区分・届出年月日ごと集計!F$2)</f>
        <v>0</v>
      </c>
      <c r="G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G$1,SQLデータ!$C:$C,"&lt;="&amp;届出事由・区分・届出年月日ごと集計!G$2)</f>
        <v>0</v>
      </c>
      <c r="H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H$1,SQLデータ!$C:$C,"&lt;="&amp;届出事由・区分・届出年月日ごと集計!H$2)</f>
        <v>0</v>
      </c>
      <c r="I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I$1,SQLデータ!$C:$C,"&lt;="&amp;届出事由・区分・届出年月日ごと集計!I$2)</f>
        <v>0</v>
      </c>
      <c r="J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J$1,SQLデータ!$C:$C,"&lt;="&amp;届出事由・区分・届出年月日ごと集計!J$2)</f>
        <v>0</v>
      </c>
      <c r="K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K$1,SQLデータ!$C:$C,"&lt;="&amp;届出事由・区分・届出年月日ごと集計!K$2)</f>
        <v>0</v>
      </c>
      <c r="L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L$1,SQLデータ!$C:$C,"&lt;="&amp;届出事由・区分・届出年月日ごと集計!L$2)</f>
        <v>0</v>
      </c>
      <c r="M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M$1,SQLデータ!$C:$C,"&lt;="&amp;届出事由・区分・届出年月日ごと集計!M$2)</f>
        <v>0</v>
      </c>
      <c r="N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N$1,SQLデータ!$C:$C,"&lt;="&amp;届出事由・区分・届出年月日ごと集計!N$2)</f>
        <v>0</v>
      </c>
      <c r="O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O$1,SQLデータ!$C:$C,"&lt;="&amp;届出事由・区分・届出年月日ごと集計!O$2)</f>
        <v>0</v>
      </c>
      <c r="P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P$1,SQLデータ!$C:$C,"&lt;="&amp;届出事由・区分・届出年月日ごと集計!P$2)</f>
        <v>0</v>
      </c>
      <c r="Q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Q$1,SQLデータ!$C:$C,"&lt;="&amp;届出事由・区分・届出年月日ごと集計!Q$2)</f>
        <v>0</v>
      </c>
      <c r="R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R$1,SQLデータ!$C:$C,"&lt;="&amp;届出事由・区分・届出年月日ごと集計!R$2)</f>
        <v>0</v>
      </c>
      <c r="S41" s="85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S$1,SQLデータ!$C:$C,"&lt;="&amp;届出事由・区分・届出年月日ごと集計!S$2)</f>
        <v>0</v>
      </c>
      <c r="T41" s="92">
        <f>COUNTIFS(SQLデータ!$D:$D,"扶養",SQLデータ!$P:$P,1,SQLデータ!$H:$H,届出事由・区分・届出年月日ごと集計!$A41,SQLデータ!$G:$G,届出事由・区分・届出年月日ごと集計!$B41,SQLデータ!$N:$N,1,SQLデータ!$F:$F,"",SQLデータ!$C:$C,"&gt;="&amp;届出事由・区分・届出年月日ごと集計!T$1,SQLデータ!$C:$C,"&lt;="&amp;届出事由・区分・届出年月日ごと集計!T$2)</f>
        <v>0</v>
      </c>
    </row>
    <row r="42" spans="1:20" x14ac:dyDescent="0.4">
      <c r="A42" s="3" t="s">
        <v>55</v>
      </c>
      <c r="B42" s="3" t="s">
        <v>64</v>
      </c>
      <c r="C42" s="3" t="s">
        <v>73</v>
      </c>
      <c r="D42" s="3">
        <f>COUNTIFS(SQLデータ!$D:$D,"扶養",SQLデータ!$H:$H,届出事由・区分・届出年月日ごと集計!$A42,SQLデータ!$G:$G,届出事由・区分・届出年月日ごと集計!$B42,SQLデータ!$O:$O,1)</f>
        <v>0</v>
      </c>
      <c r="E42" s="107"/>
      <c r="F42" s="80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F$1,SQLデータ!$C:$C,"&lt;="&amp;届出事由・区分・届出年月日ごと集計!F$2)</f>
        <v>0</v>
      </c>
      <c r="G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G$1,SQLデータ!$C:$C,"&lt;="&amp;届出事由・区分・届出年月日ごと集計!G$2)</f>
        <v>0</v>
      </c>
      <c r="H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H$1,SQLデータ!$C:$C,"&lt;="&amp;届出事由・区分・届出年月日ごと集計!H$2)</f>
        <v>0</v>
      </c>
      <c r="I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I$1,SQLデータ!$C:$C,"&lt;="&amp;届出事由・区分・届出年月日ごと集計!I$2)</f>
        <v>0</v>
      </c>
      <c r="J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J$1,SQLデータ!$C:$C,"&lt;="&amp;届出事由・区分・届出年月日ごと集計!J$2)</f>
        <v>0</v>
      </c>
      <c r="K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K$1,SQLデータ!$C:$C,"&lt;="&amp;届出事由・区分・届出年月日ごと集計!K$2)</f>
        <v>0</v>
      </c>
      <c r="L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L$1,SQLデータ!$C:$C,"&lt;="&amp;届出事由・区分・届出年月日ごと集計!L$2)</f>
        <v>0</v>
      </c>
      <c r="M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M$1,SQLデータ!$C:$C,"&lt;="&amp;届出事由・区分・届出年月日ごと集計!M$2)</f>
        <v>0</v>
      </c>
      <c r="N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N$1,SQLデータ!$C:$C,"&lt;="&amp;届出事由・区分・届出年月日ごと集計!N$2)</f>
        <v>0</v>
      </c>
      <c r="O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O$1,SQLデータ!$C:$C,"&lt;="&amp;届出事由・区分・届出年月日ごと集計!O$2)</f>
        <v>0</v>
      </c>
      <c r="P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P$1,SQLデータ!$C:$C,"&lt;="&amp;届出事由・区分・届出年月日ごと集計!P$2)</f>
        <v>0</v>
      </c>
      <c r="Q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Q$1,SQLデータ!$C:$C,"&lt;="&amp;届出事由・区分・届出年月日ごと集計!Q$2)</f>
        <v>0</v>
      </c>
      <c r="R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R$1,SQLデータ!$C:$C,"&lt;="&amp;届出事由・区分・届出年月日ごと集計!R$2)</f>
        <v>0</v>
      </c>
      <c r="S42" s="85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S$1,SQLデータ!$C:$C,"&lt;="&amp;届出事由・区分・届出年月日ごと集計!S$2)</f>
        <v>0</v>
      </c>
      <c r="T42" s="92">
        <f>COUNTIFS(SQLデータ!$D:$D,"扶養",SQLデータ!$P:$P,1,SQLデータ!$H:$H,届出事由・区分・届出年月日ごと集計!$A42,SQLデータ!$G:$G,届出事由・区分・届出年月日ごと集計!$B42,SQLデータ!$O:$O,1,SQLデータ!$F:$F,"",SQLデータ!$C:$C,"&gt;="&amp;届出事由・区分・届出年月日ごと集計!T$1,SQLデータ!$C:$C,"&lt;="&amp;届出事由・区分・届出年月日ごと集計!T$2)</f>
        <v>0</v>
      </c>
    </row>
    <row r="43" spans="1:20" x14ac:dyDescent="0.4">
      <c r="A43" s="3" t="s">
        <v>55</v>
      </c>
      <c r="B43" s="3" t="s">
        <v>65</v>
      </c>
      <c r="C43" s="3" t="s">
        <v>70</v>
      </c>
      <c r="D43" s="3">
        <f>COUNTIFS(SQLデータ!$D:$D,"扶養",SQLデータ!$H:$H,届出事由・区分・届出年月日ごと集計!$A43,SQLデータ!$G:$G,届出事由・区分・届出年月日ごと集計!$B43,SQLデータ!$L:$L,1)</f>
        <v>1</v>
      </c>
      <c r="E43" s="107"/>
      <c r="F43" s="80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F$1,SQLデータ!$C:$C,"&lt;="&amp;届出事由・区分・届出年月日ごと集計!F$2)</f>
        <v>0</v>
      </c>
      <c r="G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G$1,SQLデータ!$C:$C,"&lt;="&amp;届出事由・区分・届出年月日ごと集計!G$2)</f>
        <v>0</v>
      </c>
      <c r="H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H$1,SQLデータ!$C:$C,"&lt;="&amp;届出事由・区分・届出年月日ごと集計!H$2)</f>
        <v>0</v>
      </c>
      <c r="I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I$1,SQLデータ!$C:$C,"&lt;="&amp;届出事由・区分・届出年月日ごと集計!I$2)</f>
        <v>0</v>
      </c>
      <c r="J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J$1,SQLデータ!$C:$C,"&lt;="&amp;届出事由・区分・届出年月日ごと集計!J$2)</f>
        <v>0</v>
      </c>
      <c r="K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K$1,SQLデータ!$C:$C,"&lt;="&amp;届出事由・区分・届出年月日ごと集計!K$2)</f>
        <v>0</v>
      </c>
      <c r="L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L$1,SQLデータ!$C:$C,"&lt;="&amp;届出事由・区分・届出年月日ごと集計!L$2)</f>
        <v>0</v>
      </c>
      <c r="M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M$1,SQLデータ!$C:$C,"&lt;="&amp;届出事由・区分・届出年月日ごと集計!M$2)</f>
        <v>0</v>
      </c>
      <c r="N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N$1,SQLデータ!$C:$C,"&lt;="&amp;届出事由・区分・届出年月日ごと集計!N$2)</f>
        <v>0</v>
      </c>
      <c r="O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O$1,SQLデータ!$C:$C,"&lt;="&amp;届出事由・区分・届出年月日ごと集計!O$2)</f>
        <v>0</v>
      </c>
      <c r="P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P$1,SQLデータ!$C:$C,"&lt;="&amp;届出事由・区分・届出年月日ごと集計!P$2)</f>
        <v>0</v>
      </c>
      <c r="Q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Q$1,SQLデータ!$C:$C,"&lt;="&amp;届出事由・区分・届出年月日ごと集計!Q$2)</f>
        <v>0</v>
      </c>
      <c r="R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R$1,SQLデータ!$C:$C,"&lt;="&amp;届出事由・区分・届出年月日ごと集計!R$2)</f>
        <v>0</v>
      </c>
      <c r="S43" s="85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S$1,SQLデータ!$C:$C,"&lt;="&amp;届出事由・区分・届出年月日ごと集計!S$2)</f>
        <v>0</v>
      </c>
      <c r="T43" s="92">
        <f>COUNTIFS(SQLデータ!$D:$D,"扶養",SQLデータ!$P:$P,1,SQLデータ!$H:$H,届出事由・区分・届出年月日ごと集計!$A43,SQLデータ!$G:$G,届出事由・区分・届出年月日ごと集計!$B43,SQLデータ!$L:$L,1,SQLデータ!$F:$F,"",SQLデータ!$C:$C,"&gt;="&amp;届出事由・区分・届出年月日ごと集計!T$1,SQLデータ!$C:$C,"&lt;="&amp;届出事由・区分・届出年月日ごと集計!T$2)</f>
        <v>0</v>
      </c>
    </row>
    <row r="44" spans="1:20" x14ac:dyDescent="0.4">
      <c r="A44" s="3" t="s">
        <v>55</v>
      </c>
      <c r="B44" s="3" t="s">
        <v>65</v>
      </c>
      <c r="C44" s="3" t="s">
        <v>71</v>
      </c>
      <c r="D44" s="3">
        <f>COUNTIFS(SQLデータ!$D:$D,"扶養",SQLデータ!$H:$H,届出事由・区分・届出年月日ごと集計!$A44,SQLデータ!$G:$G,届出事由・区分・届出年月日ごと集計!$B44,SQLデータ!$M:$M,1)</f>
        <v>0</v>
      </c>
      <c r="E44" s="107"/>
      <c r="F44" s="80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F$1,SQLデータ!$C:$C,"&lt;="&amp;届出事由・区分・届出年月日ごと集計!F$2)</f>
        <v>0</v>
      </c>
      <c r="G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G$1,SQLデータ!$C:$C,"&lt;="&amp;届出事由・区分・届出年月日ごと集計!G$2)</f>
        <v>0</v>
      </c>
      <c r="H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H$1,SQLデータ!$C:$C,"&lt;="&amp;届出事由・区分・届出年月日ごと集計!H$2)</f>
        <v>0</v>
      </c>
      <c r="I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I$1,SQLデータ!$C:$C,"&lt;="&amp;届出事由・区分・届出年月日ごと集計!I$2)</f>
        <v>0</v>
      </c>
      <c r="J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J$1,SQLデータ!$C:$C,"&lt;="&amp;届出事由・区分・届出年月日ごと集計!J$2)</f>
        <v>0</v>
      </c>
      <c r="K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K$1,SQLデータ!$C:$C,"&lt;="&amp;届出事由・区分・届出年月日ごと集計!K$2)</f>
        <v>0</v>
      </c>
      <c r="L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L$1,SQLデータ!$C:$C,"&lt;="&amp;届出事由・区分・届出年月日ごと集計!L$2)</f>
        <v>0</v>
      </c>
      <c r="M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M$1,SQLデータ!$C:$C,"&lt;="&amp;届出事由・区分・届出年月日ごと集計!M$2)</f>
        <v>0</v>
      </c>
      <c r="N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N$1,SQLデータ!$C:$C,"&lt;="&amp;届出事由・区分・届出年月日ごと集計!N$2)</f>
        <v>0</v>
      </c>
      <c r="O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O$1,SQLデータ!$C:$C,"&lt;="&amp;届出事由・区分・届出年月日ごと集計!O$2)</f>
        <v>0</v>
      </c>
      <c r="P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P$1,SQLデータ!$C:$C,"&lt;="&amp;届出事由・区分・届出年月日ごと集計!P$2)</f>
        <v>0</v>
      </c>
      <c r="Q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Q$1,SQLデータ!$C:$C,"&lt;="&amp;届出事由・区分・届出年月日ごと集計!Q$2)</f>
        <v>0</v>
      </c>
      <c r="R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R$1,SQLデータ!$C:$C,"&lt;="&amp;届出事由・区分・届出年月日ごと集計!R$2)</f>
        <v>0</v>
      </c>
      <c r="S44" s="85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S$1,SQLデータ!$C:$C,"&lt;="&amp;届出事由・区分・届出年月日ごと集計!S$2)</f>
        <v>0</v>
      </c>
      <c r="T44" s="92">
        <f>COUNTIFS(SQLデータ!$D:$D,"扶養",SQLデータ!$P:$P,1,SQLデータ!$H:$H,届出事由・区分・届出年月日ごと集計!$A44,SQLデータ!$G:$G,届出事由・区分・届出年月日ごと集計!$B44,SQLデータ!$M:$M,1,SQLデータ!$F:$F,"",SQLデータ!$C:$C,"&gt;="&amp;届出事由・区分・届出年月日ごと集計!T$1,SQLデータ!$C:$C,"&lt;="&amp;届出事由・区分・届出年月日ごと集計!T$2)</f>
        <v>0</v>
      </c>
    </row>
    <row r="45" spans="1:20" x14ac:dyDescent="0.4">
      <c r="A45" s="3" t="s">
        <v>55</v>
      </c>
      <c r="B45" s="3" t="s">
        <v>65</v>
      </c>
      <c r="C45" s="3" t="s">
        <v>72</v>
      </c>
      <c r="D45" s="3">
        <f>COUNTIFS(SQLデータ!$D:$D,"扶養",SQLデータ!$H:$H,届出事由・区分・届出年月日ごと集計!$A45,SQLデータ!$G:$G,届出事由・区分・届出年月日ごと集計!$B45,SQLデータ!$N:$N,1)</f>
        <v>0</v>
      </c>
      <c r="E45" s="107"/>
      <c r="F45" s="80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F$1,SQLデータ!$C:$C,"&lt;="&amp;届出事由・区分・届出年月日ごと集計!F$2)</f>
        <v>0</v>
      </c>
      <c r="G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G$1,SQLデータ!$C:$C,"&lt;="&amp;届出事由・区分・届出年月日ごと集計!G$2)</f>
        <v>0</v>
      </c>
      <c r="H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H$1,SQLデータ!$C:$C,"&lt;="&amp;届出事由・区分・届出年月日ごと集計!H$2)</f>
        <v>0</v>
      </c>
      <c r="I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I$1,SQLデータ!$C:$C,"&lt;="&amp;届出事由・区分・届出年月日ごと集計!I$2)</f>
        <v>0</v>
      </c>
      <c r="J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J$1,SQLデータ!$C:$C,"&lt;="&amp;届出事由・区分・届出年月日ごと集計!J$2)</f>
        <v>0</v>
      </c>
      <c r="K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K$1,SQLデータ!$C:$C,"&lt;="&amp;届出事由・区分・届出年月日ごと集計!K$2)</f>
        <v>0</v>
      </c>
      <c r="L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L$1,SQLデータ!$C:$C,"&lt;="&amp;届出事由・区分・届出年月日ごと集計!L$2)</f>
        <v>0</v>
      </c>
      <c r="M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M$1,SQLデータ!$C:$C,"&lt;="&amp;届出事由・区分・届出年月日ごと集計!M$2)</f>
        <v>0</v>
      </c>
      <c r="N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N$1,SQLデータ!$C:$C,"&lt;="&amp;届出事由・区分・届出年月日ごと集計!N$2)</f>
        <v>0</v>
      </c>
      <c r="O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O$1,SQLデータ!$C:$C,"&lt;="&amp;届出事由・区分・届出年月日ごと集計!O$2)</f>
        <v>0</v>
      </c>
      <c r="P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P$1,SQLデータ!$C:$C,"&lt;="&amp;届出事由・区分・届出年月日ごと集計!P$2)</f>
        <v>0</v>
      </c>
      <c r="Q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Q$1,SQLデータ!$C:$C,"&lt;="&amp;届出事由・区分・届出年月日ごと集計!Q$2)</f>
        <v>0</v>
      </c>
      <c r="R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R$1,SQLデータ!$C:$C,"&lt;="&amp;届出事由・区分・届出年月日ごと集計!R$2)</f>
        <v>0</v>
      </c>
      <c r="S45" s="85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S$1,SQLデータ!$C:$C,"&lt;="&amp;届出事由・区分・届出年月日ごと集計!S$2)</f>
        <v>0</v>
      </c>
      <c r="T45" s="92">
        <f>COUNTIFS(SQLデータ!$D:$D,"扶養",SQLデータ!$P:$P,1,SQLデータ!$H:$H,届出事由・区分・届出年月日ごと集計!$A45,SQLデータ!$G:$G,届出事由・区分・届出年月日ごと集計!$B45,SQLデータ!$N:$N,1,SQLデータ!$F:$F,"",SQLデータ!$C:$C,"&gt;="&amp;届出事由・区分・届出年月日ごと集計!T$1,SQLデータ!$C:$C,"&lt;="&amp;届出事由・区分・届出年月日ごと集計!T$2)</f>
        <v>0</v>
      </c>
    </row>
    <row r="46" spans="1:20" x14ac:dyDescent="0.4">
      <c r="A46" s="3" t="s">
        <v>55</v>
      </c>
      <c r="B46" s="3" t="s">
        <v>65</v>
      </c>
      <c r="C46" s="3" t="s">
        <v>73</v>
      </c>
      <c r="D46" s="3">
        <f>COUNTIFS(SQLデータ!$D:$D,"扶養",SQLデータ!$H:$H,届出事由・区分・届出年月日ごと集計!$A46,SQLデータ!$G:$G,届出事由・区分・届出年月日ごと集計!$B46,SQLデータ!$O:$O,1)</f>
        <v>0</v>
      </c>
      <c r="E46" s="107"/>
      <c r="F46" s="80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F$1,SQLデータ!$C:$C,"&lt;="&amp;届出事由・区分・届出年月日ごと集計!F$2)</f>
        <v>0</v>
      </c>
      <c r="G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G$1,SQLデータ!$C:$C,"&lt;="&amp;届出事由・区分・届出年月日ごと集計!G$2)</f>
        <v>0</v>
      </c>
      <c r="H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H$1,SQLデータ!$C:$C,"&lt;="&amp;届出事由・区分・届出年月日ごと集計!H$2)</f>
        <v>0</v>
      </c>
      <c r="I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I$1,SQLデータ!$C:$C,"&lt;="&amp;届出事由・区分・届出年月日ごと集計!I$2)</f>
        <v>0</v>
      </c>
      <c r="J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J$1,SQLデータ!$C:$C,"&lt;="&amp;届出事由・区分・届出年月日ごと集計!J$2)</f>
        <v>0</v>
      </c>
      <c r="K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K$1,SQLデータ!$C:$C,"&lt;="&amp;届出事由・区分・届出年月日ごと集計!K$2)</f>
        <v>0</v>
      </c>
      <c r="L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L$1,SQLデータ!$C:$C,"&lt;="&amp;届出事由・区分・届出年月日ごと集計!L$2)</f>
        <v>0</v>
      </c>
      <c r="M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M$1,SQLデータ!$C:$C,"&lt;="&amp;届出事由・区分・届出年月日ごと集計!M$2)</f>
        <v>0</v>
      </c>
      <c r="N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N$1,SQLデータ!$C:$C,"&lt;="&amp;届出事由・区分・届出年月日ごと集計!N$2)</f>
        <v>0</v>
      </c>
      <c r="O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O$1,SQLデータ!$C:$C,"&lt;="&amp;届出事由・区分・届出年月日ごと集計!O$2)</f>
        <v>0</v>
      </c>
      <c r="P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P$1,SQLデータ!$C:$C,"&lt;="&amp;届出事由・区分・届出年月日ごと集計!P$2)</f>
        <v>0</v>
      </c>
      <c r="Q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Q$1,SQLデータ!$C:$C,"&lt;="&amp;届出事由・区分・届出年月日ごと集計!Q$2)</f>
        <v>0</v>
      </c>
      <c r="R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R$1,SQLデータ!$C:$C,"&lt;="&amp;届出事由・区分・届出年月日ごと集計!R$2)</f>
        <v>0</v>
      </c>
      <c r="S46" s="85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S$1,SQLデータ!$C:$C,"&lt;="&amp;届出事由・区分・届出年月日ごと集計!S$2)</f>
        <v>0</v>
      </c>
      <c r="T46" s="92">
        <f>COUNTIFS(SQLデータ!$D:$D,"扶養",SQLデータ!$P:$P,1,SQLデータ!$H:$H,届出事由・区分・届出年月日ごと集計!$A46,SQLデータ!$G:$G,届出事由・区分・届出年月日ごと集計!$B46,SQLデータ!$O:$O,1,SQLデータ!$F:$F,"",SQLデータ!$C:$C,"&gt;="&amp;届出事由・区分・届出年月日ごと集計!T$1,SQLデータ!$C:$C,"&lt;="&amp;届出事由・区分・届出年月日ごと集計!T$2)</f>
        <v>0</v>
      </c>
    </row>
    <row r="47" spans="1:20" x14ac:dyDescent="0.4">
      <c r="A47" s="3" t="s">
        <v>55</v>
      </c>
      <c r="B47" s="3" t="s">
        <v>66</v>
      </c>
      <c r="C47" s="3" t="s">
        <v>70</v>
      </c>
      <c r="D47" s="3">
        <f>COUNTIFS(SQLデータ!$D:$D,"扶養",SQLデータ!$H:$H,届出事由・区分・届出年月日ごと集計!$A47,SQLデータ!$G:$G,届出事由・区分・届出年月日ごと集計!$B47,SQLデータ!$L:$L,1)</f>
        <v>1</v>
      </c>
      <c r="E47" s="107"/>
      <c r="F47" s="80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F$1,SQLデータ!$C:$C,"&lt;="&amp;届出事由・区分・届出年月日ごと集計!F$2)</f>
        <v>0</v>
      </c>
      <c r="G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G$1,SQLデータ!$C:$C,"&lt;="&amp;届出事由・区分・届出年月日ごと集計!G$2)</f>
        <v>0</v>
      </c>
      <c r="H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H$1,SQLデータ!$C:$C,"&lt;="&amp;届出事由・区分・届出年月日ごと集計!H$2)</f>
        <v>0</v>
      </c>
      <c r="I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I$1,SQLデータ!$C:$C,"&lt;="&amp;届出事由・区分・届出年月日ごと集計!I$2)</f>
        <v>0</v>
      </c>
      <c r="J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J$1,SQLデータ!$C:$C,"&lt;="&amp;届出事由・区分・届出年月日ごと集計!J$2)</f>
        <v>0</v>
      </c>
      <c r="K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K$1,SQLデータ!$C:$C,"&lt;="&amp;届出事由・区分・届出年月日ごと集計!K$2)</f>
        <v>0</v>
      </c>
      <c r="L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L$1,SQLデータ!$C:$C,"&lt;="&amp;届出事由・区分・届出年月日ごと集計!L$2)</f>
        <v>0</v>
      </c>
      <c r="M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M$1,SQLデータ!$C:$C,"&lt;="&amp;届出事由・区分・届出年月日ごと集計!M$2)</f>
        <v>0</v>
      </c>
      <c r="N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N$1,SQLデータ!$C:$C,"&lt;="&amp;届出事由・区分・届出年月日ごと集計!N$2)</f>
        <v>0</v>
      </c>
      <c r="O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O$1,SQLデータ!$C:$C,"&lt;="&amp;届出事由・区分・届出年月日ごと集計!O$2)</f>
        <v>0</v>
      </c>
      <c r="P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P$1,SQLデータ!$C:$C,"&lt;="&amp;届出事由・区分・届出年月日ごと集計!P$2)</f>
        <v>0</v>
      </c>
      <c r="Q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Q$1,SQLデータ!$C:$C,"&lt;="&amp;届出事由・区分・届出年月日ごと集計!Q$2)</f>
        <v>0</v>
      </c>
      <c r="R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R$1,SQLデータ!$C:$C,"&lt;="&amp;届出事由・区分・届出年月日ごと集計!R$2)</f>
        <v>0</v>
      </c>
      <c r="S47" s="85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S$1,SQLデータ!$C:$C,"&lt;="&amp;届出事由・区分・届出年月日ごと集計!S$2)</f>
        <v>0</v>
      </c>
      <c r="T47" s="92">
        <f>COUNTIFS(SQLデータ!$D:$D,"扶養",SQLデータ!$P:$P,1,SQLデータ!$H:$H,届出事由・区分・届出年月日ごと集計!$A47,SQLデータ!$G:$G,届出事由・区分・届出年月日ごと集計!$B47,SQLデータ!$L:$L,1,SQLデータ!$F:$F,"",SQLデータ!$C:$C,"&gt;="&amp;届出事由・区分・届出年月日ごと集計!T$1,SQLデータ!$C:$C,"&lt;="&amp;届出事由・区分・届出年月日ごと集計!T$2)</f>
        <v>0</v>
      </c>
    </row>
    <row r="48" spans="1:20" x14ac:dyDescent="0.4">
      <c r="A48" s="3" t="s">
        <v>55</v>
      </c>
      <c r="B48" s="3" t="s">
        <v>66</v>
      </c>
      <c r="C48" s="3" t="s">
        <v>71</v>
      </c>
      <c r="D48" s="3">
        <f>COUNTIFS(SQLデータ!$D:$D,"扶養",SQLデータ!$H:$H,届出事由・区分・届出年月日ごと集計!$A48,SQLデータ!$G:$G,届出事由・区分・届出年月日ごと集計!$B48,SQLデータ!$M:$M,1)</f>
        <v>0</v>
      </c>
      <c r="E48" s="107"/>
      <c r="F48" s="80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F$1,SQLデータ!$C:$C,"&lt;="&amp;届出事由・区分・届出年月日ごと集計!F$2)</f>
        <v>0</v>
      </c>
      <c r="G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G$1,SQLデータ!$C:$C,"&lt;="&amp;届出事由・区分・届出年月日ごと集計!G$2)</f>
        <v>0</v>
      </c>
      <c r="H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H$1,SQLデータ!$C:$C,"&lt;="&amp;届出事由・区分・届出年月日ごと集計!H$2)</f>
        <v>0</v>
      </c>
      <c r="I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I$1,SQLデータ!$C:$C,"&lt;="&amp;届出事由・区分・届出年月日ごと集計!I$2)</f>
        <v>0</v>
      </c>
      <c r="J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J$1,SQLデータ!$C:$C,"&lt;="&amp;届出事由・区分・届出年月日ごと集計!J$2)</f>
        <v>0</v>
      </c>
      <c r="K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K$1,SQLデータ!$C:$C,"&lt;="&amp;届出事由・区分・届出年月日ごと集計!K$2)</f>
        <v>0</v>
      </c>
      <c r="L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L$1,SQLデータ!$C:$C,"&lt;="&amp;届出事由・区分・届出年月日ごと集計!L$2)</f>
        <v>0</v>
      </c>
      <c r="M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M$1,SQLデータ!$C:$C,"&lt;="&amp;届出事由・区分・届出年月日ごと集計!M$2)</f>
        <v>0</v>
      </c>
      <c r="N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N$1,SQLデータ!$C:$C,"&lt;="&amp;届出事由・区分・届出年月日ごと集計!N$2)</f>
        <v>0</v>
      </c>
      <c r="O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O$1,SQLデータ!$C:$C,"&lt;="&amp;届出事由・区分・届出年月日ごと集計!O$2)</f>
        <v>0</v>
      </c>
      <c r="P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P$1,SQLデータ!$C:$C,"&lt;="&amp;届出事由・区分・届出年月日ごと集計!P$2)</f>
        <v>0</v>
      </c>
      <c r="Q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Q$1,SQLデータ!$C:$C,"&lt;="&amp;届出事由・区分・届出年月日ごと集計!Q$2)</f>
        <v>0</v>
      </c>
      <c r="R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R$1,SQLデータ!$C:$C,"&lt;="&amp;届出事由・区分・届出年月日ごと集計!R$2)</f>
        <v>0</v>
      </c>
      <c r="S48" s="85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S$1,SQLデータ!$C:$C,"&lt;="&amp;届出事由・区分・届出年月日ごと集計!S$2)</f>
        <v>0</v>
      </c>
      <c r="T48" s="92">
        <f>COUNTIFS(SQLデータ!$D:$D,"扶養",SQLデータ!$P:$P,1,SQLデータ!$H:$H,届出事由・区分・届出年月日ごと集計!$A48,SQLデータ!$G:$G,届出事由・区分・届出年月日ごと集計!$B48,SQLデータ!$M:$M,1,SQLデータ!$F:$F,"",SQLデータ!$C:$C,"&gt;="&amp;届出事由・区分・届出年月日ごと集計!T$1,SQLデータ!$C:$C,"&lt;="&amp;届出事由・区分・届出年月日ごと集計!T$2)</f>
        <v>0</v>
      </c>
    </row>
    <row r="49" spans="1:20" x14ac:dyDescent="0.4">
      <c r="A49" s="3" t="s">
        <v>55</v>
      </c>
      <c r="B49" s="3" t="s">
        <v>66</v>
      </c>
      <c r="C49" s="3" t="s">
        <v>72</v>
      </c>
      <c r="D49" s="3">
        <f>COUNTIFS(SQLデータ!$D:$D,"扶養",SQLデータ!$H:$H,届出事由・区分・届出年月日ごと集計!$A49,SQLデータ!$G:$G,届出事由・区分・届出年月日ごと集計!$B49,SQLデータ!$N:$N,1)</f>
        <v>0</v>
      </c>
      <c r="E49" s="107"/>
      <c r="F49" s="80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F$1,SQLデータ!$C:$C,"&lt;="&amp;届出事由・区分・届出年月日ごと集計!F$2)</f>
        <v>0</v>
      </c>
      <c r="G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G$1,SQLデータ!$C:$C,"&lt;="&amp;届出事由・区分・届出年月日ごと集計!G$2)</f>
        <v>0</v>
      </c>
      <c r="H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H$1,SQLデータ!$C:$C,"&lt;="&amp;届出事由・区分・届出年月日ごと集計!H$2)</f>
        <v>0</v>
      </c>
      <c r="I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I$1,SQLデータ!$C:$C,"&lt;="&amp;届出事由・区分・届出年月日ごと集計!I$2)</f>
        <v>0</v>
      </c>
      <c r="J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J$1,SQLデータ!$C:$C,"&lt;="&amp;届出事由・区分・届出年月日ごと集計!J$2)</f>
        <v>0</v>
      </c>
      <c r="K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K$1,SQLデータ!$C:$C,"&lt;="&amp;届出事由・区分・届出年月日ごと集計!K$2)</f>
        <v>0</v>
      </c>
      <c r="L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L$1,SQLデータ!$C:$C,"&lt;="&amp;届出事由・区分・届出年月日ごと集計!L$2)</f>
        <v>0</v>
      </c>
      <c r="M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M$1,SQLデータ!$C:$C,"&lt;="&amp;届出事由・区分・届出年月日ごと集計!M$2)</f>
        <v>0</v>
      </c>
      <c r="N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N$1,SQLデータ!$C:$C,"&lt;="&amp;届出事由・区分・届出年月日ごと集計!N$2)</f>
        <v>0</v>
      </c>
      <c r="O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O$1,SQLデータ!$C:$C,"&lt;="&amp;届出事由・区分・届出年月日ごと集計!O$2)</f>
        <v>0</v>
      </c>
      <c r="P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P$1,SQLデータ!$C:$C,"&lt;="&amp;届出事由・区分・届出年月日ごと集計!P$2)</f>
        <v>0</v>
      </c>
      <c r="Q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Q$1,SQLデータ!$C:$C,"&lt;="&amp;届出事由・区分・届出年月日ごと集計!Q$2)</f>
        <v>0</v>
      </c>
      <c r="R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R$1,SQLデータ!$C:$C,"&lt;="&amp;届出事由・区分・届出年月日ごと集計!R$2)</f>
        <v>0</v>
      </c>
      <c r="S49" s="85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S$1,SQLデータ!$C:$C,"&lt;="&amp;届出事由・区分・届出年月日ごと集計!S$2)</f>
        <v>0</v>
      </c>
      <c r="T49" s="92">
        <f>COUNTIFS(SQLデータ!$D:$D,"扶養",SQLデータ!$P:$P,1,SQLデータ!$H:$H,届出事由・区分・届出年月日ごと集計!$A49,SQLデータ!$G:$G,届出事由・区分・届出年月日ごと集計!$B49,SQLデータ!$N:$N,1,SQLデータ!$F:$F,"",SQLデータ!$C:$C,"&gt;="&amp;届出事由・区分・届出年月日ごと集計!T$1,SQLデータ!$C:$C,"&lt;="&amp;届出事由・区分・届出年月日ごと集計!T$2)</f>
        <v>0</v>
      </c>
    </row>
    <row r="50" spans="1:20" x14ac:dyDescent="0.4">
      <c r="A50" s="3" t="s">
        <v>55</v>
      </c>
      <c r="B50" s="3" t="s">
        <v>66</v>
      </c>
      <c r="C50" s="3" t="s">
        <v>73</v>
      </c>
      <c r="D50" s="3">
        <f>COUNTIFS(SQLデータ!$D:$D,"扶養",SQLデータ!$H:$H,届出事由・区分・届出年月日ごと集計!$A50,SQLデータ!$G:$G,届出事由・区分・届出年月日ごと集計!$B50,SQLデータ!$O:$O,1)</f>
        <v>0</v>
      </c>
      <c r="E50" s="107"/>
      <c r="F50" s="80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F$1,SQLデータ!$C:$C,"&lt;="&amp;届出事由・区分・届出年月日ごと集計!F$2)</f>
        <v>0</v>
      </c>
      <c r="G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G$1,SQLデータ!$C:$C,"&lt;="&amp;届出事由・区分・届出年月日ごと集計!G$2)</f>
        <v>0</v>
      </c>
      <c r="H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H$1,SQLデータ!$C:$C,"&lt;="&amp;届出事由・区分・届出年月日ごと集計!H$2)</f>
        <v>0</v>
      </c>
      <c r="I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I$1,SQLデータ!$C:$C,"&lt;="&amp;届出事由・区分・届出年月日ごと集計!I$2)</f>
        <v>0</v>
      </c>
      <c r="J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J$1,SQLデータ!$C:$C,"&lt;="&amp;届出事由・区分・届出年月日ごと集計!J$2)</f>
        <v>0</v>
      </c>
      <c r="K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K$1,SQLデータ!$C:$C,"&lt;="&amp;届出事由・区分・届出年月日ごと集計!K$2)</f>
        <v>0</v>
      </c>
      <c r="L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L$1,SQLデータ!$C:$C,"&lt;="&amp;届出事由・区分・届出年月日ごと集計!L$2)</f>
        <v>0</v>
      </c>
      <c r="M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M$1,SQLデータ!$C:$C,"&lt;="&amp;届出事由・区分・届出年月日ごと集計!M$2)</f>
        <v>0</v>
      </c>
      <c r="N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N$1,SQLデータ!$C:$C,"&lt;="&amp;届出事由・区分・届出年月日ごと集計!N$2)</f>
        <v>0</v>
      </c>
      <c r="O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O$1,SQLデータ!$C:$C,"&lt;="&amp;届出事由・区分・届出年月日ごと集計!O$2)</f>
        <v>0</v>
      </c>
      <c r="P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P$1,SQLデータ!$C:$C,"&lt;="&amp;届出事由・区分・届出年月日ごと集計!P$2)</f>
        <v>0</v>
      </c>
      <c r="Q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Q$1,SQLデータ!$C:$C,"&lt;="&amp;届出事由・区分・届出年月日ごと集計!Q$2)</f>
        <v>0</v>
      </c>
      <c r="R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R$1,SQLデータ!$C:$C,"&lt;="&amp;届出事由・区分・届出年月日ごと集計!R$2)</f>
        <v>0</v>
      </c>
      <c r="S50" s="85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S$1,SQLデータ!$C:$C,"&lt;="&amp;届出事由・区分・届出年月日ごと集計!S$2)</f>
        <v>0</v>
      </c>
      <c r="T50" s="92">
        <f>COUNTIFS(SQLデータ!$D:$D,"扶養",SQLデータ!$P:$P,1,SQLデータ!$H:$H,届出事由・区分・届出年月日ごと集計!$A50,SQLデータ!$G:$G,届出事由・区分・届出年月日ごと集計!$B50,SQLデータ!$O:$O,1,SQLデータ!$F:$F,"",SQLデータ!$C:$C,"&gt;="&amp;届出事由・区分・届出年月日ごと集計!T$1,SQLデータ!$C:$C,"&lt;="&amp;届出事由・区分・届出年月日ごと集計!T$2)</f>
        <v>0</v>
      </c>
    </row>
    <row r="51" spans="1:20" x14ac:dyDescent="0.4">
      <c r="A51" s="3" t="s">
        <v>55</v>
      </c>
      <c r="B51" s="3" t="s">
        <v>875</v>
      </c>
      <c r="C51" s="3" t="s">
        <v>70</v>
      </c>
      <c r="D51" s="3">
        <f>COUNTIFS(SQLデータ!$D:$D,"扶養",SQLデータ!$H:$H,届出事由・区分・届出年月日ごと集計!$A51,SQLデータ!$G:$G,届出事由・区分・届出年月日ごと集計!$B51,SQLデータ!$L:$L,1)</f>
        <v>0</v>
      </c>
      <c r="E51" s="107"/>
      <c r="F51" s="80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F$1,SQLデータ!$C:$C,"&lt;="&amp;届出事由・区分・届出年月日ごと集計!F$2)</f>
        <v>0</v>
      </c>
      <c r="G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G$1,SQLデータ!$C:$C,"&lt;="&amp;届出事由・区分・届出年月日ごと集計!G$2)</f>
        <v>0</v>
      </c>
      <c r="H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H$1,SQLデータ!$C:$C,"&lt;="&amp;届出事由・区分・届出年月日ごと集計!H$2)</f>
        <v>0</v>
      </c>
      <c r="I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I$1,SQLデータ!$C:$C,"&lt;="&amp;届出事由・区分・届出年月日ごと集計!I$2)</f>
        <v>0</v>
      </c>
      <c r="J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J$1,SQLデータ!$C:$C,"&lt;="&amp;届出事由・区分・届出年月日ごと集計!J$2)</f>
        <v>0</v>
      </c>
      <c r="K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K$1,SQLデータ!$C:$C,"&lt;="&amp;届出事由・区分・届出年月日ごと集計!K$2)</f>
        <v>0</v>
      </c>
      <c r="L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L$1,SQLデータ!$C:$C,"&lt;="&amp;届出事由・区分・届出年月日ごと集計!L$2)</f>
        <v>0</v>
      </c>
      <c r="M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M$1,SQLデータ!$C:$C,"&lt;="&amp;届出事由・区分・届出年月日ごと集計!M$2)</f>
        <v>0</v>
      </c>
      <c r="N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N$1,SQLデータ!$C:$C,"&lt;="&amp;届出事由・区分・届出年月日ごと集計!N$2)</f>
        <v>0</v>
      </c>
      <c r="O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O$1,SQLデータ!$C:$C,"&lt;="&amp;届出事由・区分・届出年月日ごと集計!O$2)</f>
        <v>0</v>
      </c>
      <c r="P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P$1,SQLデータ!$C:$C,"&lt;="&amp;届出事由・区分・届出年月日ごと集計!P$2)</f>
        <v>0</v>
      </c>
      <c r="Q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Q$1,SQLデータ!$C:$C,"&lt;="&amp;届出事由・区分・届出年月日ごと集計!Q$2)</f>
        <v>0</v>
      </c>
      <c r="R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R$1,SQLデータ!$C:$C,"&lt;="&amp;届出事由・区分・届出年月日ごと集計!R$2)</f>
        <v>0</v>
      </c>
      <c r="S51" s="85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S$1,SQLデータ!$C:$C,"&lt;="&amp;届出事由・区分・届出年月日ごと集計!S$2)</f>
        <v>0</v>
      </c>
      <c r="T51" s="92">
        <f>COUNTIFS(SQLデータ!$D:$D,"扶養",SQLデータ!$P:$P,1,SQLデータ!$H:$H,届出事由・区分・届出年月日ごと集計!$A51,SQLデータ!$G:$G,届出事由・区分・届出年月日ごと集計!$B51,SQLデータ!$L:$L,1,SQLデータ!$F:$F,"",SQLデータ!$C:$C,"&gt;="&amp;届出事由・区分・届出年月日ごと集計!T$1,SQLデータ!$C:$C,"&lt;="&amp;届出事由・区分・届出年月日ごと集計!T$2)</f>
        <v>0</v>
      </c>
    </row>
    <row r="52" spans="1:20" x14ac:dyDescent="0.4">
      <c r="A52" s="3" t="s">
        <v>55</v>
      </c>
      <c r="B52" s="3" t="s">
        <v>875</v>
      </c>
      <c r="C52" s="3" t="s">
        <v>71</v>
      </c>
      <c r="D52" s="3">
        <f>COUNTIFS(SQLデータ!$D:$D,"扶養",SQLデータ!$H:$H,届出事由・区分・届出年月日ごと集計!$A52,SQLデータ!$G:$G,届出事由・区分・届出年月日ごと集計!$B52,SQLデータ!$M:$M,1)</f>
        <v>0</v>
      </c>
      <c r="E52" s="107"/>
      <c r="F52" s="80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F$1,SQLデータ!$C:$C,"&lt;="&amp;届出事由・区分・届出年月日ごと集計!F$2)</f>
        <v>0</v>
      </c>
      <c r="G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G$1,SQLデータ!$C:$C,"&lt;="&amp;届出事由・区分・届出年月日ごと集計!G$2)</f>
        <v>0</v>
      </c>
      <c r="H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H$1,SQLデータ!$C:$C,"&lt;="&amp;届出事由・区分・届出年月日ごと集計!H$2)</f>
        <v>0</v>
      </c>
      <c r="I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I$1,SQLデータ!$C:$C,"&lt;="&amp;届出事由・区分・届出年月日ごと集計!I$2)</f>
        <v>0</v>
      </c>
      <c r="J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J$1,SQLデータ!$C:$C,"&lt;="&amp;届出事由・区分・届出年月日ごと集計!J$2)</f>
        <v>0</v>
      </c>
      <c r="K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K$1,SQLデータ!$C:$C,"&lt;="&amp;届出事由・区分・届出年月日ごと集計!K$2)</f>
        <v>0</v>
      </c>
      <c r="L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L$1,SQLデータ!$C:$C,"&lt;="&amp;届出事由・区分・届出年月日ごと集計!L$2)</f>
        <v>0</v>
      </c>
      <c r="M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M$1,SQLデータ!$C:$C,"&lt;="&amp;届出事由・区分・届出年月日ごと集計!M$2)</f>
        <v>0</v>
      </c>
      <c r="N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N$1,SQLデータ!$C:$C,"&lt;="&amp;届出事由・区分・届出年月日ごと集計!N$2)</f>
        <v>0</v>
      </c>
      <c r="O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O$1,SQLデータ!$C:$C,"&lt;="&amp;届出事由・区分・届出年月日ごと集計!O$2)</f>
        <v>0</v>
      </c>
      <c r="P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P$1,SQLデータ!$C:$C,"&lt;="&amp;届出事由・区分・届出年月日ごと集計!P$2)</f>
        <v>0</v>
      </c>
      <c r="Q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Q$1,SQLデータ!$C:$C,"&lt;="&amp;届出事由・区分・届出年月日ごと集計!Q$2)</f>
        <v>0</v>
      </c>
      <c r="R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R$1,SQLデータ!$C:$C,"&lt;="&amp;届出事由・区分・届出年月日ごと集計!R$2)</f>
        <v>0</v>
      </c>
      <c r="S52" s="85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S$1,SQLデータ!$C:$C,"&lt;="&amp;届出事由・区分・届出年月日ごと集計!S$2)</f>
        <v>0</v>
      </c>
      <c r="T52" s="92">
        <f>COUNTIFS(SQLデータ!$D:$D,"扶養",SQLデータ!$P:$P,1,SQLデータ!$H:$H,届出事由・区分・届出年月日ごと集計!$A52,SQLデータ!$G:$G,届出事由・区分・届出年月日ごと集計!$B52,SQLデータ!$M:$M,1,SQLデータ!$F:$F,"",SQLデータ!$C:$C,"&gt;="&amp;届出事由・区分・届出年月日ごと集計!T$1,SQLデータ!$C:$C,"&lt;="&amp;届出事由・区分・届出年月日ごと集計!T$2)</f>
        <v>0</v>
      </c>
    </row>
    <row r="53" spans="1:20" x14ac:dyDescent="0.4">
      <c r="A53" s="3" t="s">
        <v>55</v>
      </c>
      <c r="B53" s="3" t="s">
        <v>875</v>
      </c>
      <c r="C53" s="3" t="s">
        <v>72</v>
      </c>
      <c r="D53" s="3">
        <f>COUNTIFS(SQLデータ!$D:$D,"扶養",SQLデータ!$H:$H,届出事由・区分・届出年月日ごと集計!$A53,SQLデータ!$G:$G,届出事由・区分・届出年月日ごと集計!$B53,SQLデータ!$N:$N,1)</f>
        <v>0</v>
      </c>
      <c r="E53" s="107"/>
      <c r="F53" s="80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F$1,SQLデータ!$C:$C,"&lt;="&amp;届出事由・区分・届出年月日ごと集計!F$2)</f>
        <v>0</v>
      </c>
      <c r="G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G$1,SQLデータ!$C:$C,"&lt;="&amp;届出事由・区分・届出年月日ごと集計!G$2)</f>
        <v>0</v>
      </c>
      <c r="H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H$1,SQLデータ!$C:$C,"&lt;="&amp;届出事由・区分・届出年月日ごと集計!H$2)</f>
        <v>0</v>
      </c>
      <c r="I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I$1,SQLデータ!$C:$C,"&lt;="&amp;届出事由・区分・届出年月日ごと集計!I$2)</f>
        <v>0</v>
      </c>
      <c r="J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J$1,SQLデータ!$C:$C,"&lt;="&amp;届出事由・区分・届出年月日ごと集計!J$2)</f>
        <v>0</v>
      </c>
      <c r="K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K$1,SQLデータ!$C:$C,"&lt;="&amp;届出事由・区分・届出年月日ごと集計!K$2)</f>
        <v>0</v>
      </c>
      <c r="L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L$1,SQLデータ!$C:$C,"&lt;="&amp;届出事由・区分・届出年月日ごと集計!L$2)</f>
        <v>0</v>
      </c>
      <c r="M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M$1,SQLデータ!$C:$C,"&lt;="&amp;届出事由・区分・届出年月日ごと集計!M$2)</f>
        <v>0</v>
      </c>
      <c r="N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N$1,SQLデータ!$C:$C,"&lt;="&amp;届出事由・区分・届出年月日ごと集計!N$2)</f>
        <v>0</v>
      </c>
      <c r="O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O$1,SQLデータ!$C:$C,"&lt;="&amp;届出事由・区分・届出年月日ごと集計!O$2)</f>
        <v>0</v>
      </c>
      <c r="P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P$1,SQLデータ!$C:$C,"&lt;="&amp;届出事由・区分・届出年月日ごと集計!P$2)</f>
        <v>0</v>
      </c>
      <c r="Q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Q$1,SQLデータ!$C:$C,"&lt;="&amp;届出事由・区分・届出年月日ごと集計!Q$2)</f>
        <v>0</v>
      </c>
      <c r="R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R$1,SQLデータ!$C:$C,"&lt;="&amp;届出事由・区分・届出年月日ごと集計!R$2)</f>
        <v>0</v>
      </c>
      <c r="S53" s="85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S$1,SQLデータ!$C:$C,"&lt;="&amp;届出事由・区分・届出年月日ごと集計!S$2)</f>
        <v>0</v>
      </c>
      <c r="T53" s="92">
        <f>COUNTIFS(SQLデータ!$D:$D,"扶養",SQLデータ!$P:$P,1,SQLデータ!$H:$H,届出事由・区分・届出年月日ごと集計!$A53,SQLデータ!$G:$G,届出事由・区分・届出年月日ごと集計!$B53,SQLデータ!$N:$N,1,SQLデータ!$F:$F,"",SQLデータ!$C:$C,"&gt;="&amp;届出事由・区分・届出年月日ごと集計!T$1,SQLデータ!$C:$C,"&lt;="&amp;届出事由・区分・届出年月日ごと集計!T$2)</f>
        <v>0</v>
      </c>
    </row>
    <row r="54" spans="1:20" x14ac:dyDescent="0.4">
      <c r="A54" s="3" t="s">
        <v>55</v>
      </c>
      <c r="B54" s="3" t="s">
        <v>875</v>
      </c>
      <c r="C54" s="3" t="s">
        <v>73</v>
      </c>
      <c r="D54" s="3">
        <f>COUNTIFS(SQLデータ!$D:$D,"扶養",SQLデータ!$H:$H,届出事由・区分・届出年月日ごと集計!$A54,SQLデータ!$G:$G,届出事由・区分・届出年月日ごと集計!$B54,SQLデータ!$O:$O,1)</f>
        <v>0</v>
      </c>
      <c r="E54" s="107"/>
      <c r="F54" s="80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F$1,SQLデータ!$C:$C,"&lt;="&amp;届出事由・区分・届出年月日ごと集計!F$2)</f>
        <v>0</v>
      </c>
      <c r="G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G$1,SQLデータ!$C:$C,"&lt;="&amp;届出事由・区分・届出年月日ごと集計!G$2)</f>
        <v>0</v>
      </c>
      <c r="H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H$1,SQLデータ!$C:$C,"&lt;="&amp;届出事由・区分・届出年月日ごと集計!H$2)</f>
        <v>0</v>
      </c>
      <c r="I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I$1,SQLデータ!$C:$C,"&lt;="&amp;届出事由・区分・届出年月日ごと集計!I$2)</f>
        <v>0</v>
      </c>
      <c r="J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J$1,SQLデータ!$C:$C,"&lt;="&amp;届出事由・区分・届出年月日ごと集計!J$2)</f>
        <v>0</v>
      </c>
      <c r="K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K$1,SQLデータ!$C:$C,"&lt;="&amp;届出事由・区分・届出年月日ごと集計!K$2)</f>
        <v>0</v>
      </c>
      <c r="L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L$1,SQLデータ!$C:$C,"&lt;="&amp;届出事由・区分・届出年月日ごと集計!L$2)</f>
        <v>0</v>
      </c>
      <c r="M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M$1,SQLデータ!$C:$C,"&lt;="&amp;届出事由・区分・届出年月日ごと集計!M$2)</f>
        <v>0</v>
      </c>
      <c r="N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N$1,SQLデータ!$C:$C,"&lt;="&amp;届出事由・区分・届出年月日ごと集計!N$2)</f>
        <v>0</v>
      </c>
      <c r="O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O$1,SQLデータ!$C:$C,"&lt;="&amp;届出事由・区分・届出年月日ごと集計!O$2)</f>
        <v>0</v>
      </c>
      <c r="P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P$1,SQLデータ!$C:$C,"&lt;="&amp;届出事由・区分・届出年月日ごと集計!P$2)</f>
        <v>0</v>
      </c>
      <c r="Q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Q$1,SQLデータ!$C:$C,"&lt;="&amp;届出事由・区分・届出年月日ごと集計!Q$2)</f>
        <v>0</v>
      </c>
      <c r="R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R$1,SQLデータ!$C:$C,"&lt;="&amp;届出事由・区分・届出年月日ごと集計!R$2)</f>
        <v>0</v>
      </c>
      <c r="S54" s="85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S$1,SQLデータ!$C:$C,"&lt;="&amp;届出事由・区分・届出年月日ごと集計!S$2)</f>
        <v>0</v>
      </c>
      <c r="T54" s="92">
        <f>COUNTIFS(SQLデータ!$D:$D,"扶養",SQLデータ!$P:$P,1,SQLデータ!$H:$H,届出事由・区分・届出年月日ごと集計!$A54,SQLデータ!$G:$G,届出事由・区分・届出年月日ごと集計!$B54,SQLデータ!$O:$O,1,SQLデータ!$F:$F,"",SQLデータ!$C:$C,"&gt;="&amp;届出事由・区分・届出年月日ごと集計!T$1,SQLデータ!$C:$C,"&lt;="&amp;届出事由・区分・届出年月日ごと集計!T$2)</f>
        <v>0</v>
      </c>
    </row>
    <row r="55" spans="1:20" x14ac:dyDescent="0.4">
      <c r="A55" s="3" t="s">
        <v>55</v>
      </c>
      <c r="B55" s="3" t="s">
        <v>67</v>
      </c>
      <c r="C55" s="3" t="s">
        <v>70</v>
      </c>
      <c r="D55" s="3">
        <f>COUNTIFS(SQLデータ!$D:$D,"扶養",SQLデータ!$H:$H,届出事由・区分・届出年月日ごと集計!$A55,SQLデータ!$G:$G,届出事由・区分・届出年月日ごと集計!$B55,SQLデータ!$L:$L,1)</f>
        <v>0</v>
      </c>
      <c r="E55" s="107"/>
      <c r="F55" s="80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F$1,SQLデータ!$C:$C,"&lt;="&amp;届出事由・区分・届出年月日ごと集計!F$2)</f>
        <v>0</v>
      </c>
      <c r="G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G$1,SQLデータ!$C:$C,"&lt;="&amp;届出事由・区分・届出年月日ごと集計!G$2)</f>
        <v>0</v>
      </c>
      <c r="H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H$1,SQLデータ!$C:$C,"&lt;="&amp;届出事由・区分・届出年月日ごと集計!H$2)</f>
        <v>0</v>
      </c>
      <c r="I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I$1,SQLデータ!$C:$C,"&lt;="&amp;届出事由・区分・届出年月日ごと集計!I$2)</f>
        <v>0</v>
      </c>
      <c r="J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J$1,SQLデータ!$C:$C,"&lt;="&amp;届出事由・区分・届出年月日ごと集計!J$2)</f>
        <v>0</v>
      </c>
      <c r="K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K$1,SQLデータ!$C:$C,"&lt;="&amp;届出事由・区分・届出年月日ごと集計!K$2)</f>
        <v>0</v>
      </c>
      <c r="L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L$1,SQLデータ!$C:$C,"&lt;="&amp;届出事由・区分・届出年月日ごと集計!L$2)</f>
        <v>0</v>
      </c>
      <c r="M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M$1,SQLデータ!$C:$C,"&lt;="&amp;届出事由・区分・届出年月日ごと集計!M$2)</f>
        <v>0</v>
      </c>
      <c r="N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N$1,SQLデータ!$C:$C,"&lt;="&amp;届出事由・区分・届出年月日ごと集計!N$2)</f>
        <v>0</v>
      </c>
      <c r="O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O$1,SQLデータ!$C:$C,"&lt;="&amp;届出事由・区分・届出年月日ごと集計!O$2)</f>
        <v>0</v>
      </c>
      <c r="P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P$1,SQLデータ!$C:$C,"&lt;="&amp;届出事由・区分・届出年月日ごと集計!P$2)</f>
        <v>0</v>
      </c>
      <c r="Q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Q$1,SQLデータ!$C:$C,"&lt;="&amp;届出事由・区分・届出年月日ごと集計!Q$2)</f>
        <v>0</v>
      </c>
      <c r="R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R$1,SQLデータ!$C:$C,"&lt;="&amp;届出事由・区分・届出年月日ごと集計!R$2)</f>
        <v>0</v>
      </c>
      <c r="S55" s="85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S$1,SQLデータ!$C:$C,"&lt;="&amp;届出事由・区分・届出年月日ごと集計!S$2)</f>
        <v>0</v>
      </c>
      <c r="T55" s="92">
        <f>COUNTIFS(SQLデータ!$D:$D,"扶養",SQLデータ!$P:$P,1,SQLデータ!$H:$H,届出事由・区分・届出年月日ごと集計!$A55,SQLデータ!$G:$G,届出事由・区分・届出年月日ごと集計!$B55,SQLデータ!$L:$L,1,SQLデータ!$F:$F,"",SQLデータ!$C:$C,"&gt;="&amp;届出事由・区分・届出年月日ごと集計!T$1,SQLデータ!$C:$C,"&lt;="&amp;届出事由・区分・届出年月日ごと集計!T$2)</f>
        <v>0</v>
      </c>
    </row>
    <row r="56" spans="1:20" x14ac:dyDescent="0.4">
      <c r="A56" s="3" t="s">
        <v>55</v>
      </c>
      <c r="B56" s="3" t="s">
        <v>67</v>
      </c>
      <c r="C56" s="3" t="s">
        <v>71</v>
      </c>
      <c r="D56" s="3">
        <f>COUNTIFS(SQLデータ!$D:$D,"扶養",SQLデータ!$H:$H,届出事由・区分・届出年月日ごと集計!$A56,SQLデータ!$G:$G,届出事由・区分・届出年月日ごと集計!$B56,SQLデータ!$M:$M,1)</f>
        <v>0</v>
      </c>
      <c r="E56" s="107"/>
      <c r="F56" s="80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F$1,SQLデータ!$C:$C,"&lt;="&amp;届出事由・区分・届出年月日ごと集計!F$2)</f>
        <v>0</v>
      </c>
      <c r="G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G$1,SQLデータ!$C:$C,"&lt;="&amp;届出事由・区分・届出年月日ごと集計!G$2)</f>
        <v>0</v>
      </c>
      <c r="H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H$1,SQLデータ!$C:$C,"&lt;="&amp;届出事由・区分・届出年月日ごと集計!H$2)</f>
        <v>0</v>
      </c>
      <c r="I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I$1,SQLデータ!$C:$C,"&lt;="&amp;届出事由・区分・届出年月日ごと集計!I$2)</f>
        <v>0</v>
      </c>
      <c r="J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J$1,SQLデータ!$C:$C,"&lt;="&amp;届出事由・区分・届出年月日ごと集計!J$2)</f>
        <v>0</v>
      </c>
      <c r="K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K$1,SQLデータ!$C:$C,"&lt;="&amp;届出事由・区分・届出年月日ごと集計!K$2)</f>
        <v>0</v>
      </c>
      <c r="L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L$1,SQLデータ!$C:$C,"&lt;="&amp;届出事由・区分・届出年月日ごと集計!L$2)</f>
        <v>0</v>
      </c>
      <c r="M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M$1,SQLデータ!$C:$C,"&lt;="&amp;届出事由・区分・届出年月日ごと集計!M$2)</f>
        <v>0</v>
      </c>
      <c r="N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N$1,SQLデータ!$C:$C,"&lt;="&amp;届出事由・区分・届出年月日ごと集計!N$2)</f>
        <v>0</v>
      </c>
      <c r="O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O$1,SQLデータ!$C:$C,"&lt;="&amp;届出事由・区分・届出年月日ごと集計!O$2)</f>
        <v>0</v>
      </c>
      <c r="P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P$1,SQLデータ!$C:$C,"&lt;="&amp;届出事由・区分・届出年月日ごと集計!P$2)</f>
        <v>0</v>
      </c>
      <c r="Q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Q$1,SQLデータ!$C:$C,"&lt;="&amp;届出事由・区分・届出年月日ごと集計!Q$2)</f>
        <v>0</v>
      </c>
      <c r="R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R$1,SQLデータ!$C:$C,"&lt;="&amp;届出事由・区分・届出年月日ごと集計!R$2)</f>
        <v>0</v>
      </c>
      <c r="S56" s="85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S$1,SQLデータ!$C:$C,"&lt;="&amp;届出事由・区分・届出年月日ごと集計!S$2)</f>
        <v>0</v>
      </c>
      <c r="T56" s="92">
        <f>COUNTIFS(SQLデータ!$D:$D,"扶養",SQLデータ!$P:$P,1,SQLデータ!$H:$H,届出事由・区分・届出年月日ごと集計!$A56,SQLデータ!$G:$G,届出事由・区分・届出年月日ごと集計!$B56,SQLデータ!$M:$M,1,SQLデータ!$F:$F,"",SQLデータ!$C:$C,"&gt;="&amp;届出事由・区分・届出年月日ごと集計!T$1,SQLデータ!$C:$C,"&lt;="&amp;届出事由・区分・届出年月日ごと集計!T$2)</f>
        <v>0</v>
      </c>
    </row>
    <row r="57" spans="1:20" x14ac:dyDescent="0.4">
      <c r="A57" s="3" t="s">
        <v>55</v>
      </c>
      <c r="B57" s="3" t="s">
        <v>67</v>
      </c>
      <c r="C57" s="3" t="s">
        <v>72</v>
      </c>
      <c r="D57" s="3">
        <f>COUNTIFS(SQLデータ!$D:$D,"扶養",SQLデータ!$H:$H,届出事由・区分・届出年月日ごと集計!$A57,SQLデータ!$G:$G,届出事由・区分・届出年月日ごと集計!$B57,SQLデータ!$N:$N,1)</f>
        <v>0</v>
      </c>
      <c r="E57" s="107"/>
      <c r="F57" s="80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F$1,SQLデータ!$C:$C,"&lt;="&amp;届出事由・区分・届出年月日ごと集計!F$2)</f>
        <v>0</v>
      </c>
      <c r="G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G$1,SQLデータ!$C:$C,"&lt;="&amp;届出事由・区分・届出年月日ごと集計!G$2)</f>
        <v>0</v>
      </c>
      <c r="H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H$1,SQLデータ!$C:$C,"&lt;="&amp;届出事由・区分・届出年月日ごと集計!H$2)</f>
        <v>0</v>
      </c>
      <c r="I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I$1,SQLデータ!$C:$C,"&lt;="&amp;届出事由・区分・届出年月日ごと集計!I$2)</f>
        <v>0</v>
      </c>
      <c r="J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J$1,SQLデータ!$C:$C,"&lt;="&amp;届出事由・区分・届出年月日ごと集計!J$2)</f>
        <v>0</v>
      </c>
      <c r="K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K$1,SQLデータ!$C:$C,"&lt;="&amp;届出事由・区分・届出年月日ごと集計!K$2)</f>
        <v>0</v>
      </c>
      <c r="L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L$1,SQLデータ!$C:$C,"&lt;="&amp;届出事由・区分・届出年月日ごと集計!L$2)</f>
        <v>0</v>
      </c>
      <c r="M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M$1,SQLデータ!$C:$C,"&lt;="&amp;届出事由・区分・届出年月日ごと集計!M$2)</f>
        <v>0</v>
      </c>
      <c r="N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N$1,SQLデータ!$C:$C,"&lt;="&amp;届出事由・区分・届出年月日ごと集計!N$2)</f>
        <v>0</v>
      </c>
      <c r="O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O$1,SQLデータ!$C:$C,"&lt;="&amp;届出事由・区分・届出年月日ごと集計!O$2)</f>
        <v>0</v>
      </c>
      <c r="P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P$1,SQLデータ!$C:$C,"&lt;="&amp;届出事由・区分・届出年月日ごと集計!P$2)</f>
        <v>0</v>
      </c>
      <c r="Q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Q$1,SQLデータ!$C:$C,"&lt;="&amp;届出事由・区分・届出年月日ごと集計!Q$2)</f>
        <v>0</v>
      </c>
      <c r="R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R$1,SQLデータ!$C:$C,"&lt;="&amp;届出事由・区分・届出年月日ごと集計!R$2)</f>
        <v>0</v>
      </c>
      <c r="S57" s="85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S$1,SQLデータ!$C:$C,"&lt;="&amp;届出事由・区分・届出年月日ごと集計!S$2)</f>
        <v>0</v>
      </c>
      <c r="T57" s="92">
        <f>COUNTIFS(SQLデータ!$D:$D,"扶養",SQLデータ!$P:$P,1,SQLデータ!$H:$H,届出事由・区分・届出年月日ごと集計!$A57,SQLデータ!$G:$G,届出事由・区分・届出年月日ごと集計!$B57,SQLデータ!$N:$N,1,SQLデータ!$F:$F,"",SQLデータ!$C:$C,"&gt;="&amp;届出事由・区分・届出年月日ごと集計!T$1,SQLデータ!$C:$C,"&lt;="&amp;届出事由・区分・届出年月日ごと集計!T$2)</f>
        <v>0</v>
      </c>
    </row>
    <row r="58" spans="1:20" x14ac:dyDescent="0.4">
      <c r="A58" s="3" t="s">
        <v>55</v>
      </c>
      <c r="B58" s="3" t="s">
        <v>67</v>
      </c>
      <c r="C58" s="3" t="s">
        <v>73</v>
      </c>
      <c r="D58" s="3">
        <f>COUNTIFS(SQLデータ!$D:$D,"扶養",SQLデータ!$H:$H,届出事由・区分・届出年月日ごと集計!$A58,SQLデータ!$G:$G,届出事由・区分・届出年月日ごと集計!$B58,SQLデータ!$O:$O,1)</f>
        <v>0</v>
      </c>
      <c r="E58" s="107"/>
      <c r="F58" s="80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F$1,SQLデータ!$C:$C,"&lt;="&amp;届出事由・区分・届出年月日ごと集計!F$2)</f>
        <v>0</v>
      </c>
      <c r="G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G$1,SQLデータ!$C:$C,"&lt;="&amp;届出事由・区分・届出年月日ごと集計!G$2)</f>
        <v>0</v>
      </c>
      <c r="H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H$1,SQLデータ!$C:$C,"&lt;="&amp;届出事由・区分・届出年月日ごと集計!H$2)</f>
        <v>0</v>
      </c>
      <c r="I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I$1,SQLデータ!$C:$C,"&lt;="&amp;届出事由・区分・届出年月日ごと集計!I$2)</f>
        <v>0</v>
      </c>
      <c r="J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J$1,SQLデータ!$C:$C,"&lt;="&amp;届出事由・区分・届出年月日ごと集計!J$2)</f>
        <v>0</v>
      </c>
      <c r="K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K$1,SQLデータ!$C:$C,"&lt;="&amp;届出事由・区分・届出年月日ごと集計!K$2)</f>
        <v>0</v>
      </c>
      <c r="L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L$1,SQLデータ!$C:$C,"&lt;="&amp;届出事由・区分・届出年月日ごと集計!L$2)</f>
        <v>0</v>
      </c>
      <c r="M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M$1,SQLデータ!$C:$C,"&lt;="&amp;届出事由・区分・届出年月日ごと集計!M$2)</f>
        <v>0</v>
      </c>
      <c r="N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N$1,SQLデータ!$C:$C,"&lt;="&amp;届出事由・区分・届出年月日ごと集計!N$2)</f>
        <v>0</v>
      </c>
      <c r="O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O$1,SQLデータ!$C:$C,"&lt;="&amp;届出事由・区分・届出年月日ごと集計!O$2)</f>
        <v>0</v>
      </c>
      <c r="P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P$1,SQLデータ!$C:$C,"&lt;="&amp;届出事由・区分・届出年月日ごと集計!P$2)</f>
        <v>0</v>
      </c>
      <c r="Q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Q$1,SQLデータ!$C:$C,"&lt;="&amp;届出事由・区分・届出年月日ごと集計!Q$2)</f>
        <v>0</v>
      </c>
      <c r="R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R$1,SQLデータ!$C:$C,"&lt;="&amp;届出事由・区分・届出年月日ごと集計!R$2)</f>
        <v>0</v>
      </c>
      <c r="S58" s="85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S$1,SQLデータ!$C:$C,"&lt;="&amp;届出事由・区分・届出年月日ごと集計!S$2)</f>
        <v>0</v>
      </c>
      <c r="T58" s="92">
        <f>COUNTIFS(SQLデータ!$D:$D,"扶養",SQLデータ!$P:$P,1,SQLデータ!$H:$H,届出事由・区分・届出年月日ごと集計!$A58,SQLデータ!$G:$G,届出事由・区分・届出年月日ごと集計!$B58,SQLデータ!$O:$O,1,SQLデータ!$F:$F,"",SQLデータ!$C:$C,"&gt;="&amp;届出事由・区分・届出年月日ごと集計!T$1,SQLデータ!$C:$C,"&lt;="&amp;届出事由・区分・届出年月日ごと集計!T$2)</f>
        <v>0</v>
      </c>
    </row>
    <row r="59" spans="1:20" x14ac:dyDescent="0.4">
      <c r="A59" s="3" t="s">
        <v>55</v>
      </c>
      <c r="B59" s="3" t="s">
        <v>68</v>
      </c>
      <c r="C59" s="3" t="s">
        <v>70</v>
      </c>
      <c r="D59" s="3">
        <f>COUNTIFS(SQLデータ!$D:$D,"扶養",SQLデータ!$H:$H,届出事由・区分・届出年月日ごと集計!$A59,SQLデータ!$G:$G,届出事由・区分・届出年月日ごと集計!$B59,SQLデータ!$L:$L,1)</f>
        <v>0</v>
      </c>
      <c r="E59" s="107"/>
      <c r="F59" s="80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F$1,SQLデータ!$C:$C,"&lt;="&amp;届出事由・区分・届出年月日ごと集計!F$2)</f>
        <v>0</v>
      </c>
      <c r="G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G$1,SQLデータ!$C:$C,"&lt;="&amp;届出事由・区分・届出年月日ごと集計!G$2)</f>
        <v>0</v>
      </c>
      <c r="H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H$1,SQLデータ!$C:$C,"&lt;="&amp;届出事由・区分・届出年月日ごと集計!H$2)</f>
        <v>0</v>
      </c>
      <c r="I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I$1,SQLデータ!$C:$C,"&lt;="&amp;届出事由・区分・届出年月日ごと集計!I$2)</f>
        <v>0</v>
      </c>
      <c r="J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J$1,SQLデータ!$C:$C,"&lt;="&amp;届出事由・区分・届出年月日ごと集計!J$2)</f>
        <v>0</v>
      </c>
      <c r="K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K$1,SQLデータ!$C:$C,"&lt;="&amp;届出事由・区分・届出年月日ごと集計!K$2)</f>
        <v>0</v>
      </c>
      <c r="L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L$1,SQLデータ!$C:$C,"&lt;="&amp;届出事由・区分・届出年月日ごと集計!L$2)</f>
        <v>0</v>
      </c>
      <c r="M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M$1,SQLデータ!$C:$C,"&lt;="&amp;届出事由・区分・届出年月日ごと集計!M$2)</f>
        <v>0</v>
      </c>
      <c r="N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N$1,SQLデータ!$C:$C,"&lt;="&amp;届出事由・区分・届出年月日ごと集計!N$2)</f>
        <v>0</v>
      </c>
      <c r="O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O$1,SQLデータ!$C:$C,"&lt;="&amp;届出事由・区分・届出年月日ごと集計!O$2)</f>
        <v>0</v>
      </c>
      <c r="P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P$1,SQLデータ!$C:$C,"&lt;="&amp;届出事由・区分・届出年月日ごと集計!P$2)</f>
        <v>0</v>
      </c>
      <c r="Q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Q$1,SQLデータ!$C:$C,"&lt;="&amp;届出事由・区分・届出年月日ごと集計!Q$2)</f>
        <v>0</v>
      </c>
      <c r="R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R$1,SQLデータ!$C:$C,"&lt;="&amp;届出事由・区分・届出年月日ごと集計!R$2)</f>
        <v>0</v>
      </c>
      <c r="S59" s="85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S$1,SQLデータ!$C:$C,"&lt;="&amp;届出事由・区分・届出年月日ごと集計!S$2)</f>
        <v>0</v>
      </c>
      <c r="T59" s="92">
        <f>COUNTIFS(SQLデータ!$D:$D,"扶養",SQLデータ!$P:$P,1,SQLデータ!$H:$H,届出事由・区分・届出年月日ごと集計!$A59,SQLデータ!$G:$G,届出事由・区分・届出年月日ごと集計!$B59,SQLデータ!$L:$L,1,SQLデータ!$F:$F,"",SQLデータ!$C:$C,"&gt;="&amp;届出事由・区分・届出年月日ごと集計!T$1,SQLデータ!$C:$C,"&lt;="&amp;届出事由・区分・届出年月日ごと集計!T$2)</f>
        <v>0</v>
      </c>
    </row>
    <row r="60" spans="1:20" x14ac:dyDescent="0.4">
      <c r="A60" s="3" t="s">
        <v>55</v>
      </c>
      <c r="B60" s="3" t="s">
        <v>68</v>
      </c>
      <c r="C60" s="3" t="s">
        <v>71</v>
      </c>
      <c r="D60" s="3">
        <f>COUNTIFS(SQLデータ!$D:$D,"扶養",SQLデータ!$H:$H,届出事由・区分・届出年月日ごと集計!$A60,SQLデータ!$G:$G,届出事由・区分・届出年月日ごと集計!$B60,SQLデータ!$M:$M,1)</f>
        <v>0</v>
      </c>
      <c r="E60" s="107"/>
      <c r="F60" s="80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F$1,SQLデータ!$C:$C,"&lt;="&amp;届出事由・区分・届出年月日ごと集計!F$2)</f>
        <v>0</v>
      </c>
      <c r="G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G$1,SQLデータ!$C:$C,"&lt;="&amp;届出事由・区分・届出年月日ごと集計!G$2)</f>
        <v>0</v>
      </c>
      <c r="H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H$1,SQLデータ!$C:$C,"&lt;="&amp;届出事由・区分・届出年月日ごと集計!H$2)</f>
        <v>0</v>
      </c>
      <c r="I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I$1,SQLデータ!$C:$C,"&lt;="&amp;届出事由・区分・届出年月日ごと集計!I$2)</f>
        <v>0</v>
      </c>
      <c r="J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J$1,SQLデータ!$C:$C,"&lt;="&amp;届出事由・区分・届出年月日ごと集計!J$2)</f>
        <v>0</v>
      </c>
      <c r="K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K$1,SQLデータ!$C:$C,"&lt;="&amp;届出事由・区分・届出年月日ごと集計!K$2)</f>
        <v>0</v>
      </c>
      <c r="L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L$1,SQLデータ!$C:$C,"&lt;="&amp;届出事由・区分・届出年月日ごと集計!L$2)</f>
        <v>0</v>
      </c>
      <c r="M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M$1,SQLデータ!$C:$C,"&lt;="&amp;届出事由・区分・届出年月日ごと集計!M$2)</f>
        <v>0</v>
      </c>
      <c r="N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N$1,SQLデータ!$C:$C,"&lt;="&amp;届出事由・区分・届出年月日ごと集計!N$2)</f>
        <v>0</v>
      </c>
      <c r="O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O$1,SQLデータ!$C:$C,"&lt;="&amp;届出事由・区分・届出年月日ごと集計!O$2)</f>
        <v>0</v>
      </c>
      <c r="P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P$1,SQLデータ!$C:$C,"&lt;="&amp;届出事由・区分・届出年月日ごと集計!P$2)</f>
        <v>0</v>
      </c>
      <c r="Q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Q$1,SQLデータ!$C:$C,"&lt;="&amp;届出事由・区分・届出年月日ごと集計!Q$2)</f>
        <v>0</v>
      </c>
      <c r="R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R$1,SQLデータ!$C:$C,"&lt;="&amp;届出事由・区分・届出年月日ごと集計!R$2)</f>
        <v>0</v>
      </c>
      <c r="S60" s="85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S$1,SQLデータ!$C:$C,"&lt;="&amp;届出事由・区分・届出年月日ごと集計!S$2)</f>
        <v>0</v>
      </c>
      <c r="T60" s="92">
        <f>COUNTIFS(SQLデータ!$D:$D,"扶養",SQLデータ!$P:$P,1,SQLデータ!$H:$H,届出事由・区分・届出年月日ごと集計!$A60,SQLデータ!$G:$G,届出事由・区分・届出年月日ごと集計!$B60,SQLデータ!$M:$M,1,SQLデータ!$F:$F,"",SQLデータ!$C:$C,"&gt;="&amp;届出事由・区分・届出年月日ごと集計!T$1,SQLデータ!$C:$C,"&lt;="&amp;届出事由・区分・届出年月日ごと集計!T$2)</f>
        <v>0</v>
      </c>
    </row>
    <row r="61" spans="1:20" x14ac:dyDescent="0.4">
      <c r="A61" s="3" t="s">
        <v>55</v>
      </c>
      <c r="B61" s="3" t="s">
        <v>68</v>
      </c>
      <c r="C61" s="3" t="s">
        <v>72</v>
      </c>
      <c r="D61" s="3">
        <f>COUNTIFS(SQLデータ!$D:$D,"扶養",SQLデータ!$H:$H,届出事由・区分・届出年月日ごと集計!$A61,SQLデータ!$G:$G,届出事由・区分・届出年月日ごと集計!$B61,SQLデータ!$N:$N,1)</f>
        <v>0</v>
      </c>
      <c r="E61" s="107"/>
      <c r="F61" s="80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F$1,SQLデータ!$C:$C,"&lt;="&amp;届出事由・区分・届出年月日ごと集計!F$2)</f>
        <v>0</v>
      </c>
      <c r="G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G$1,SQLデータ!$C:$C,"&lt;="&amp;届出事由・区分・届出年月日ごと集計!G$2)</f>
        <v>0</v>
      </c>
      <c r="H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H$1,SQLデータ!$C:$C,"&lt;="&amp;届出事由・区分・届出年月日ごと集計!H$2)</f>
        <v>0</v>
      </c>
      <c r="I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I$1,SQLデータ!$C:$C,"&lt;="&amp;届出事由・区分・届出年月日ごと集計!I$2)</f>
        <v>0</v>
      </c>
      <c r="J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J$1,SQLデータ!$C:$C,"&lt;="&amp;届出事由・区分・届出年月日ごと集計!J$2)</f>
        <v>0</v>
      </c>
      <c r="K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K$1,SQLデータ!$C:$C,"&lt;="&amp;届出事由・区分・届出年月日ごと集計!K$2)</f>
        <v>0</v>
      </c>
      <c r="L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L$1,SQLデータ!$C:$C,"&lt;="&amp;届出事由・区分・届出年月日ごと集計!L$2)</f>
        <v>0</v>
      </c>
      <c r="M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M$1,SQLデータ!$C:$C,"&lt;="&amp;届出事由・区分・届出年月日ごと集計!M$2)</f>
        <v>0</v>
      </c>
      <c r="N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N$1,SQLデータ!$C:$C,"&lt;="&amp;届出事由・区分・届出年月日ごと集計!N$2)</f>
        <v>0</v>
      </c>
      <c r="O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O$1,SQLデータ!$C:$C,"&lt;="&amp;届出事由・区分・届出年月日ごと集計!O$2)</f>
        <v>0</v>
      </c>
      <c r="P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P$1,SQLデータ!$C:$C,"&lt;="&amp;届出事由・区分・届出年月日ごと集計!P$2)</f>
        <v>0</v>
      </c>
      <c r="Q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Q$1,SQLデータ!$C:$C,"&lt;="&amp;届出事由・区分・届出年月日ごと集計!Q$2)</f>
        <v>0</v>
      </c>
      <c r="R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R$1,SQLデータ!$C:$C,"&lt;="&amp;届出事由・区分・届出年月日ごと集計!R$2)</f>
        <v>0</v>
      </c>
      <c r="S61" s="85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S$1,SQLデータ!$C:$C,"&lt;="&amp;届出事由・区分・届出年月日ごと集計!S$2)</f>
        <v>0</v>
      </c>
      <c r="T61" s="92">
        <f>COUNTIFS(SQLデータ!$D:$D,"扶養",SQLデータ!$P:$P,1,SQLデータ!$H:$H,届出事由・区分・届出年月日ごと集計!$A61,SQLデータ!$G:$G,届出事由・区分・届出年月日ごと集計!$B61,SQLデータ!$N:$N,1,SQLデータ!$F:$F,"",SQLデータ!$C:$C,"&gt;="&amp;届出事由・区分・届出年月日ごと集計!T$1,SQLデータ!$C:$C,"&lt;="&amp;届出事由・区分・届出年月日ごと集計!T$2)</f>
        <v>0</v>
      </c>
    </row>
    <row r="62" spans="1:20" x14ac:dyDescent="0.4">
      <c r="A62" s="3" t="s">
        <v>55</v>
      </c>
      <c r="B62" s="3" t="s">
        <v>68</v>
      </c>
      <c r="C62" s="3" t="s">
        <v>73</v>
      </c>
      <c r="D62" s="3">
        <f>COUNTIFS(SQLデータ!$D:$D,"扶養",SQLデータ!$H:$H,届出事由・区分・届出年月日ごと集計!$A62,SQLデータ!$G:$G,届出事由・区分・届出年月日ごと集計!$B62,SQLデータ!$O:$O,1)</f>
        <v>0</v>
      </c>
      <c r="E62" s="107"/>
      <c r="F62" s="80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F$1,SQLデータ!$C:$C,"&lt;="&amp;届出事由・区分・届出年月日ごと集計!F$2)</f>
        <v>0</v>
      </c>
      <c r="G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G$1,SQLデータ!$C:$C,"&lt;="&amp;届出事由・区分・届出年月日ごと集計!G$2)</f>
        <v>0</v>
      </c>
      <c r="H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H$1,SQLデータ!$C:$C,"&lt;="&amp;届出事由・区分・届出年月日ごと集計!H$2)</f>
        <v>0</v>
      </c>
      <c r="I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I$1,SQLデータ!$C:$C,"&lt;="&amp;届出事由・区分・届出年月日ごと集計!I$2)</f>
        <v>0</v>
      </c>
      <c r="J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J$1,SQLデータ!$C:$C,"&lt;="&amp;届出事由・区分・届出年月日ごと集計!J$2)</f>
        <v>0</v>
      </c>
      <c r="K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K$1,SQLデータ!$C:$C,"&lt;="&amp;届出事由・区分・届出年月日ごと集計!K$2)</f>
        <v>0</v>
      </c>
      <c r="L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L$1,SQLデータ!$C:$C,"&lt;="&amp;届出事由・区分・届出年月日ごと集計!L$2)</f>
        <v>0</v>
      </c>
      <c r="M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M$1,SQLデータ!$C:$C,"&lt;="&amp;届出事由・区分・届出年月日ごと集計!M$2)</f>
        <v>0</v>
      </c>
      <c r="N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N$1,SQLデータ!$C:$C,"&lt;="&amp;届出事由・区分・届出年月日ごと集計!N$2)</f>
        <v>0</v>
      </c>
      <c r="O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O$1,SQLデータ!$C:$C,"&lt;="&amp;届出事由・区分・届出年月日ごと集計!O$2)</f>
        <v>0</v>
      </c>
      <c r="P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P$1,SQLデータ!$C:$C,"&lt;="&amp;届出事由・区分・届出年月日ごと集計!P$2)</f>
        <v>0</v>
      </c>
      <c r="Q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Q$1,SQLデータ!$C:$C,"&lt;="&amp;届出事由・区分・届出年月日ごと集計!Q$2)</f>
        <v>0</v>
      </c>
      <c r="R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R$1,SQLデータ!$C:$C,"&lt;="&amp;届出事由・区分・届出年月日ごと集計!R$2)</f>
        <v>0</v>
      </c>
      <c r="S62" s="85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S$1,SQLデータ!$C:$C,"&lt;="&amp;届出事由・区分・届出年月日ごと集計!S$2)</f>
        <v>0</v>
      </c>
      <c r="T62" s="92">
        <f>COUNTIFS(SQLデータ!$D:$D,"扶養",SQLデータ!$P:$P,1,SQLデータ!$H:$H,届出事由・区分・届出年月日ごと集計!$A62,SQLデータ!$G:$G,届出事由・区分・届出年月日ごと集計!$B62,SQLデータ!$O:$O,1,SQLデータ!$F:$F,"",SQLデータ!$C:$C,"&gt;="&amp;届出事由・区分・届出年月日ごと集計!T$1,SQLデータ!$C:$C,"&lt;="&amp;届出事由・区分・届出年月日ごと集計!T$2)</f>
        <v>0</v>
      </c>
    </row>
    <row r="63" spans="1:20" x14ac:dyDescent="0.4">
      <c r="A63" s="3" t="s">
        <v>55</v>
      </c>
      <c r="B63" s="3" t="s">
        <v>69</v>
      </c>
      <c r="C63" s="3" t="s">
        <v>70</v>
      </c>
      <c r="D63" s="3">
        <f>COUNTIFS(SQLデータ!$D:$D,"扶養",SQLデータ!$H:$H,届出事由・区分・届出年月日ごと集計!$A63,SQLデータ!$G:$G,届出事由・区分・届出年月日ごと集計!$B63,SQLデータ!$L:$L,1)</f>
        <v>2</v>
      </c>
      <c r="E63" s="107"/>
      <c r="F63" s="80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F$1,SQLデータ!$C:$C,"&lt;="&amp;届出事由・区分・届出年月日ごと集計!F$2)</f>
        <v>0</v>
      </c>
      <c r="G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G$1,SQLデータ!$C:$C,"&lt;="&amp;届出事由・区分・届出年月日ごと集計!G$2)</f>
        <v>0</v>
      </c>
      <c r="H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H$1,SQLデータ!$C:$C,"&lt;="&amp;届出事由・区分・届出年月日ごと集計!H$2)</f>
        <v>0</v>
      </c>
      <c r="I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I$1,SQLデータ!$C:$C,"&lt;="&amp;届出事由・区分・届出年月日ごと集計!I$2)</f>
        <v>0</v>
      </c>
      <c r="J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J$1,SQLデータ!$C:$C,"&lt;="&amp;届出事由・区分・届出年月日ごと集計!J$2)</f>
        <v>0</v>
      </c>
      <c r="K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K$1,SQLデータ!$C:$C,"&lt;="&amp;届出事由・区分・届出年月日ごと集計!K$2)</f>
        <v>0</v>
      </c>
      <c r="L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L$1,SQLデータ!$C:$C,"&lt;="&amp;届出事由・区分・届出年月日ごと集計!L$2)</f>
        <v>0</v>
      </c>
      <c r="M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M$1,SQLデータ!$C:$C,"&lt;="&amp;届出事由・区分・届出年月日ごと集計!M$2)</f>
        <v>0</v>
      </c>
      <c r="N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N$1,SQLデータ!$C:$C,"&lt;="&amp;届出事由・区分・届出年月日ごと集計!N$2)</f>
        <v>0</v>
      </c>
      <c r="O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O$1,SQLデータ!$C:$C,"&lt;="&amp;届出事由・区分・届出年月日ごと集計!O$2)</f>
        <v>0</v>
      </c>
      <c r="P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P$1,SQLデータ!$C:$C,"&lt;="&amp;届出事由・区分・届出年月日ごと集計!P$2)</f>
        <v>0</v>
      </c>
      <c r="Q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Q$1,SQLデータ!$C:$C,"&lt;="&amp;届出事由・区分・届出年月日ごと集計!Q$2)</f>
        <v>0</v>
      </c>
      <c r="R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R$1,SQLデータ!$C:$C,"&lt;="&amp;届出事由・区分・届出年月日ごと集計!R$2)</f>
        <v>0</v>
      </c>
      <c r="S63" s="85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S$1,SQLデータ!$C:$C,"&lt;="&amp;届出事由・区分・届出年月日ごと集計!S$2)</f>
        <v>0</v>
      </c>
      <c r="T63" s="92">
        <f>COUNTIFS(SQLデータ!$D:$D,"扶養",SQLデータ!$P:$P,1,SQLデータ!$H:$H,届出事由・区分・届出年月日ごと集計!$A63,SQLデータ!$G:$G,届出事由・区分・届出年月日ごと集計!$B63,SQLデータ!$L:$L,1,SQLデータ!$F:$F,"",SQLデータ!$C:$C,"&gt;="&amp;届出事由・区分・届出年月日ごと集計!T$1,SQLデータ!$C:$C,"&lt;="&amp;届出事由・区分・届出年月日ごと集計!T$2)</f>
        <v>0</v>
      </c>
    </row>
    <row r="64" spans="1:20" x14ac:dyDescent="0.4">
      <c r="A64" s="3" t="s">
        <v>55</v>
      </c>
      <c r="B64" s="3" t="s">
        <v>69</v>
      </c>
      <c r="C64" s="3" t="s">
        <v>71</v>
      </c>
      <c r="D64" s="3">
        <f>COUNTIFS(SQLデータ!$D:$D,"扶養",SQLデータ!$H:$H,届出事由・区分・届出年月日ごと集計!$A64,SQLデータ!$G:$G,届出事由・区分・届出年月日ごと集計!$B64,SQLデータ!$M:$M,1)</f>
        <v>1</v>
      </c>
      <c r="E64" s="107"/>
      <c r="F64" s="80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F$1,SQLデータ!$C:$C,"&lt;="&amp;届出事由・区分・届出年月日ごと集計!F$2)</f>
        <v>0</v>
      </c>
      <c r="G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G$1,SQLデータ!$C:$C,"&lt;="&amp;届出事由・区分・届出年月日ごと集計!G$2)</f>
        <v>0</v>
      </c>
      <c r="H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H$1,SQLデータ!$C:$C,"&lt;="&amp;届出事由・区分・届出年月日ごと集計!H$2)</f>
        <v>1</v>
      </c>
      <c r="I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I$1,SQLデータ!$C:$C,"&lt;="&amp;届出事由・区分・届出年月日ごと集計!I$2)</f>
        <v>0</v>
      </c>
      <c r="J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J$1,SQLデータ!$C:$C,"&lt;="&amp;届出事由・区分・届出年月日ごと集計!J$2)</f>
        <v>0</v>
      </c>
      <c r="K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K$1,SQLデータ!$C:$C,"&lt;="&amp;届出事由・区分・届出年月日ごと集計!K$2)</f>
        <v>0</v>
      </c>
      <c r="L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L$1,SQLデータ!$C:$C,"&lt;="&amp;届出事由・区分・届出年月日ごと集計!L$2)</f>
        <v>0</v>
      </c>
      <c r="M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M$1,SQLデータ!$C:$C,"&lt;="&amp;届出事由・区分・届出年月日ごと集計!M$2)</f>
        <v>0</v>
      </c>
      <c r="N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N$1,SQLデータ!$C:$C,"&lt;="&amp;届出事由・区分・届出年月日ごと集計!N$2)</f>
        <v>0</v>
      </c>
      <c r="O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O$1,SQLデータ!$C:$C,"&lt;="&amp;届出事由・区分・届出年月日ごと集計!O$2)</f>
        <v>0</v>
      </c>
      <c r="P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P$1,SQLデータ!$C:$C,"&lt;="&amp;届出事由・区分・届出年月日ごと集計!P$2)</f>
        <v>0</v>
      </c>
      <c r="Q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Q$1,SQLデータ!$C:$C,"&lt;="&amp;届出事由・区分・届出年月日ごと集計!Q$2)</f>
        <v>0</v>
      </c>
      <c r="R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R$1,SQLデータ!$C:$C,"&lt;="&amp;届出事由・区分・届出年月日ごと集計!R$2)</f>
        <v>0</v>
      </c>
      <c r="S64" s="85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S$1,SQLデータ!$C:$C,"&lt;="&amp;届出事由・区分・届出年月日ごと集計!S$2)</f>
        <v>0</v>
      </c>
      <c r="T64" s="92">
        <f>COUNTIFS(SQLデータ!$D:$D,"扶養",SQLデータ!$P:$P,1,SQLデータ!$H:$H,届出事由・区分・届出年月日ごと集計!$A64,SQLデータ!$G:$G,届出事由・区分・届出年月日ごと集計!$B64,SQLデータ!$M:$M,1,SQLデータ!$F:$F,"",SQLデータ!$C:$C,"&gt;="&amp;届出事由・区分・届出年月日ごと集計!T$1,SQLデータ!$C:$C,"&lt;="&amp;届出事由・区分・届出年月日ごと集計!T$2)</f>
        <v>0</v>
      </c>
    </row>
    <row r="65" spans="1:20" x14ac:dyDescent="0.4">
      <c r="A65" s="3" t="s">
        <v>55</v>
      </c>
      <c r="B65" s="3" t="s">
        <v>69</v>
      </c>
      <c r="C65" s="3" t="s">
        <v>72</v>
      </c>
      <c r="D65" s="3">
        <f>COUNTIFS(SQLデータ!$D:$D,"扶養",SQLデータ!$H:$H,届出事由・区分・届出年月日ごと集計!$A65,SQLデータ!$G:$G,届出事由・区分・届出年月日ごと集計!$B65,SQLデータ!$N:$N,1)</f>
        <v>1</v>
      </c>
      <c r="E65" s="107"/>
      <c r="F65" s="80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F$1,SQLデータ!$C:$C,"&lt;="&amp;届出事由・区分・届出年月日ごと集計!F$2)</f>
        <v>0</v>
      </c>
      <c r="G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G$1,SQLデータ!$C:$C,"&lt;="&amp;届出事由・区分・届出年月日ごと集計!G$2)</f>
        <v>0</v>
      </c>
      <c r="H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H$1,SQLデータ!$C:$C,"&lt;="&amp;届出事由・区分・届出年月日ごと集計!H$2)</f>
        <v>0</v>
      </c>
      <c r="I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I$1,SQLデータ!$C:$C,"&lt;="&amp;届出事由・区分・届出年月日ごと集計!I$2)</f>
        <v>0</v>
      </c>
      <c r="J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J$1,SQLデータ!$C:$C,"&lt;="&amp;届出事由・区分・届出年月日ごと集計!J$2)</f>
        <v>0</v>
      </c>
      <c r="K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K$1,SQLデータ!$C:$C,"&lt;="&amp;届出事由・区分・届出年月日ごと集計!K$2)</f>
        <v>0</v>
      </c>
      <c r="L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L$1,SQLデータ!$C:$C,"&lt;="&amp;届出事由・区分・届出年月日ごと集計!L$2)</f>
        <v>0</v>
      </c>
      <c r="M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M$1,SQLデータ!$C:$C,"&lt;="&amp;届出事由・区分・届出年月日ごと集計!M$2)</f>
        <v>0</v>
      </c>
      <c r="N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N$1,SQLデータ!$C:$C,"&lt;="&amp;届出事由・区分・届出年月日ごと集計!N$2)</f>
        <v>0</v>
      </c>
      <c r="O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O$1,SQLデータ!$C:$C,"&lt;="&amp;届出事由・区分・届出年月日ごと集計!O$2)</f>
        <v>0</v>
      </c>
      <c r="P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P$1,SQLデータ!$C:$C,"&lt;="&amp;届出事由・区分・届出年月日ごと集計!P$2)</f>
        <v>0</v>
      </c>
      <c r="Q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Q$1,SQLデータ!$C:$C,"&lt;="&amp;届出事由・区分・届出年月日ごと集計!Q$2)</f>
        <v>0</v>
      </c>
      <c r="R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R$1,SQLデータ!$C:$C,"&lt;="&amp;届出事由・区分・届出年月日ごと集計!R$2)</f>
        <v>0</v>
      </c>
      <c r="S65" s="85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S$1,SQLデータ!$C:$C,"&lt;="&amp;届出事由・区分・届出年月日ごと集計!S$2)</f>
        <v>0</v>
      </c>
      <c r="T65" s="92">
        <f>COUNTIFS(SQLデータ!$D:$D,"扶養",SQLデータ!$P:$P,1,SQLデータ!$H:$H,届出事由・区分・届出年月日ごと集計!$A65,SQLデータ!$G:$G,届出事由・区分・届出年月日ごと集計!$B65,SQLデータ!$N:$N,1,SQLデータ!$F:$F,"",SQLデータ!$C:$C,"&gt;="&amp;届出事由・区分・届出年月日ごと集計!T$1,SQLデータ!$C:$C,"&lt;="&amp;届出事由・区分・届出年月日ごと集計!T$2)</f>
        <v>0</v>
      </c>
    </row>
    <row r="66" spans="1:20" ht="19.5" thickBot="1" x14ac:dyDescent="0.45">
      <c r="A66" s="5" t="s">
        <v>55</v>
      </c>
      <c r="B66" s="5" t="s">
        <v>69</v>
      </c>
      <c r="C66" s="5" t="s">
        <v>73</v>
      </c>
      <c r="D66" s="85">
        <f>COUNTIFS(SQLデータ!$D:$D,"扶養",SQLデータ!$H:$H,届出事由・区分・届出年月日ごと集計!$A66,SQLデータ!$G:$G,届出事由・区分・届出年月日ごと集計!$B66,SQLデータ!$O:$O,1)</f>
        <v>0</v>
      </c>
      <c r="E66" s="107"/>
      <c r="F66" s="81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F$1,SQLデータ!$C:$C,"&lt;="&amp;届出事由・区分・届出年月日ごと集計!F$2)</f>
        <v>0</v>
      </c>
      <c r="G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G$1,SQLデータ!$C:$C,"&lt;="&amp;届出事由・区分・届出年月日ごと集計!G$2)</f>
        <v>0</v>
      </c>
      <c r="H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H$1,SQLデータ!$C:$C,"&lt;="&amp;届出事由・区分・届出年月日ごと集計!H$2)</f>
        <v>0</v>
      </c>
      <c r="I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I$1,SQLデータ!$C:$C,"&lt;="&amp;届出事由・区分・届出年月日ごと集計!I$2)</f>
        <v>0</v>
      </c>
      <c r="J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J$1,SQLデータ!$C:$C,"&lt;="&amp;届出事由・区分・届出年月日ごと集計!J$2)</f>
        <v>0</v>
      </c>
      <c r="K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K$1,SQLデータ!$C:$C,"&lt;="&amp;届出事由・区分・届出年月日ごと集計!K$2)</f>
        <v>0</v>
      </c>
      <c r="L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L$1,SQLデータ!$C:$C,"&lt;="&amp;届出事由・区分・届出年月日ごと集計!L$2)</f>
        <v>0</v>
      </c>
      <c r="M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M$1,SQLデータ!$C:$C,"&lt;="&amp;届出事由・区分・届出年月日ごと集計!M$2)</f>
        <v>0</v>
      </c>
      <c r="N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N$1,SQLデータ!$C:$C,"&lt;="&amp;届出事由・区分・届出年月日ごと集計!N$2)</f>
        <v>0</v>
      </c>
      <c r="O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O$1,SQLデータ!$C:$C,"&lt;="&amp;届出事由・区分・届出年月日ごと集計!O$2)</f>
        <v>0</v>
      </c>
      <c r="P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P$1,SQLデータ!$C:$C,"&lt;="&amp;届出事由・区分・届出年月日ごと集計!P$2)</f>
        <v>0</v>
      </c>
      <c r="Q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Q$1,SQLデータ!$C:$C,"&lt;="&amp;届出事由・区分・届出年月日ごと集計!Q$2)</f>
        <v>0</v>
      </c>
      <c r="R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R$1,SQLデータ!$C:$C,"&lt;="&amp;届出事由・区分・届出年月日ごと集計!R$2)</f>
        <v>0</v>
      </c>
      <c r="S66" s="86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S$1,SQLデータ!$C:$C,"&lt;="&amp;届出事由・区分・届出年月日ごと集計!S$2)</f>
        <v>0</v>
      </c>
      <c r="T66" s="93">
        <f>COUNTIFS(SQLデータ!$D:$D,"扶養",SQLデータ!$P:$P,1,SQLデータ!$H:$H,届出事由・区分・届出年月日ごと集計!$A66,SQLデータ!$G:$G,届出事由・区分・届出年月日ごと集計!$B66,SQLデータ!$O:$O,1,SQLデータ!$F:$F,"",SQLデータ!$C:$C,"&gt;="&amp;届出事由・区分・届出年月日ごと集計!T$1,SQLデータ!$C:$C,"&lt;="&amp;届出事由・区分・届出年月日ごと集計!T$2)</f>
        <v>0</v>
      </c>
    </row>
    <row r="67" spans="1:20" x14ac:dyDescent="0.4">
      <c r="A67" s="82" t="s">
        <v>74</v>
      </c>
      <c r="B67" s="82" t="s">
        <v>75</v>
      </c>
      <c r="C67" s="82" t="s">
        <v>70</v>
      </c>
      <c r="D67" s="83">
        <f>COUNTIFS(SQLデータ!$D:$D,"扶養",SQLデータ!$H:$H,届出事由・区分・届出年月日ごと集計!$A67,SQLデータ!$G:$G,届出事由・区分・届出年月日ごと集計!$B67,SQLデータ!$L:$L,1)</f>
        <v>2</v>
      </c>
      <c r="E67" s="107"/>
      <c r="F67" s="6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F$1,SQLデータ!$C:$C,"&lt;="&amp;届出事由・区分・届出年月日ごと集計!F$2)</f>
        <v>1</v>
      </c>
      <c r="G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G$1,SQLデータ!$C:$C,"&lt;="&amp;届出事由・区分・届出年月日ごと集計!G$2)</f>
        <v>1</v>
      </c>
      <c r="H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H$1,SQLデータ!$C:$C,"&lt;="&amp;届出事由・区分・届出年月日ごと集計!H$2)</f>
        <v>0</v>
      </c>
      <c r="I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I$1,SQLデータ!$C:$C,"&lt;="&amp;届出事由・区分・届出年月日ごと集計!I$2)</f>
        <v>0</v>
      </c>
      <c r="J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J$1,SQLデータ!$C:$C,"&lt;="&amp;届出事由・区分・届出年月日ごと集計!J$2)</f>
        <v>0</v>
      </c>
      <c r="K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K$1,SQLデータ!$C:$C,"&lt;="&amp;届出事由・区分・届出年月日ごと集計!K$2)</f>
        <v>0</v>
      </c>
      <c r="L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L$1,SQLデータ!$C:$C,"&lt;="&amp;届出事由・区分・届出年月日ごと集計!L$2)</f>
        <v>0</v>
      </c>
      <c r="M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M$1,SQLデータ!$C:$C,"&lt;="&amp;届出事由・区分・届出年月日ごと集計!M$2)</f>
        <v>0</v>
      </c>
      <c r="N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N$1,SQLデータ!$C:$C,"&lt;="&amp;届出事由・区分・届出年月日ごと集計!N$2)</f>
        <v>0</v>
      </c>
      <c r="O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O$1,SQLデータ!$C:$C,"&lt;="&amp;届出事由・区分・届出年月日ごと集計!O$2)</f>
        <v>0</v>
      </c>
      <c r="P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P$1,SQLデータ!$C:$C,"&lt;="&amp;届出事由・区分・届出年月日ごと集計!P$2)</f>
        <v>0</v>
      </c>
      <c r="Q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Q$1,SQLデータ!$C:$C,"&lt;="&amp;届出事由・区分・届出年月日ごと集計!Q$2)</f>
        <v>0</v>
      </c>
      <c r="R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R$1,SQLデータ!$C:$C,"&lt;="&amp;届出事由・区分・届出年月日ごと集計!R$2)</f>
        <v>0</v>
      </c>
      <c r="S67" s="8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S$1,SQLデータ!$C:$C,"&lt;="&amp;届出事由・区分・届出年月日ごと集計!S$2)</f>
        <v>0</v>
      </c>
      <c r="T67" s="94">
        <f>COUNTIFS(SQLデータ!$D:$D,"扶養",SQLデータ!$P:$P,1,SQLデータ!$H:$H,届出事由・区分・届出年月日ごと集計!$A67,SQLデータ!$G:$G,届出事由・区分・届出年月日ごと集計!$B67,SQLデータ!$L:$L,1,SQLデータ!$F:$F,"",SQLデータ!$C:$C,"&gt;="&amp;届出事由・区分・届出年月日ごと集計!T$1,SQLデータ!$C:$C,"&lt;="&amp;届出事由・区分・届出年月日ごと集計!T$2)</f>
        <v>0</v>
      </c>
    </row>
    <row r="68" spans="1:20" x14ac:dyDescent="0.4">
      <c r="A68" s="3" t="s">
        <v>74</v>
      </c>
      <c r="B68" s="3" t="s">
        <v>75</v>
      </c>
      <c r="C68" s="3" t="s">
        <v>71</v>
      </c>
      <c r="D68" s="85">
        <f>COUNTIFS(SQLデータ!$D:$D,"扶養",SQLデータ!$H:$H,届出事由・区分・届出年月日ごと集計!$A68,SQLデータ!$G:$G,届出事由・区分・届出年月日ごと集計!$B68,SQLデータ!$M:$M,1)</f>
        <v>0</v>
      </c>
      <c r="E68" s="107"/>
      <c r="F68" s="80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F$1,SQLデータ!$C:$C,"&lt;="&amp;届出事由・区分・届出年月日ごと集計!F$2)</f>
        <v>0</v>
      </c>
      <c r="G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G$1,SQLデータ!$C:$C,"&lt;="&amp;届出事由・区分・届出年月日ごと集計!G$2)</f>
        <v>0</v>
      </c>
      <c r="H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H$1,SQLデータ!$C:$C,"&lt;="&amp;届出事由・区分・届出年月日ごと集計!H$2)</f>
        <v>0</v>
      </c>
      <c r="I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I$1,SQLデータ!$C:$C,"&lt;="&amp;届出事由・区分・届出年月日ごと集計!I$2)</f>
        <v>0</v>
      </c>
      <c r="J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J$1,SQLデータ!$C:$C,"&lt;="&amp;届出事由・区分・届出年月日ごと集計!J$2)</f>
        <v>0</v>
      </c>
      <c r="K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K$1,SQLデータ!$C:$C,"&lt;="&amp;届出事由・区分・届出年月日ごと集計!K$2)</f>
        <v>0</v>
      </c>
      <c r="L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L$1,SQLデータ!$C:$C,"&lt;="&amp;届出事由・区分・届出年月日ごと集計!L$2)</f>
        <v>0</v>
      </c>
      <c r="M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M$1,SQLデータ!$C:$C,"&lt;="&amp;届出事由・区分・届出年月日ごと集計!M$2)</f>
        <v>0</v>
      </c>
      <c r="N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N$1,SQLデータ!$C:$C,"&lt;="&amp;届出事由・区分・届出年月日ごと集計!N$2)</f>
        <v>0</v>
      </c>
      <c r="O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O$1,SQLデータ!$C:$C,"&lt;="&amp;届出事由・区分・届出年月日ごと集計!O$2)</f>
        <v>0</v>
      </c>
      <c r="P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P$1,SQLデータ!$C:$C,"&lt;="&amp;届出事由・区分・届出年月日ごと集計!P$2)</f>
        <v>0</v>
      </c>
      <c r="Q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Q$1,SQLデータ!$C:$C,"&lt;="&amp;届出事由・区分・届出年月日ごと集計!Q$2)</f>
        <v>0</v>
      </c>
      <c r="R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R$1,SQLデータ!$C:$C,"&lt;="&amp;届出事由・区分・届出年月日ごと集計!R$2)</f>
        <v>0</v>
      </c>
      <c r="S68" s="85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S$1,SQLデータ!$C:$C,"&lt;="&amp;届出事由・区分・届出年月日ごと集計!S$2)</f>
        <v>0</v>
      </c>
      <c r="T68" s="92">
        <f>COUNTIFS(SQLデータ!$D:$D,"扶養",SQLデータ!$P:$P,1,SQLデータ!$H:$H,届出事由・区分・届出年月日ごと集計!$A68,SQLデータ!$G:$G,届出事由・区分・届出年月日ごと集計!$B68,SQLデータ!$M:$M,1,SQLデータ!$F:$F,"",SQLデータ!$C:$C,"&gt;="&amp;届出事由・区分・届出年月日ごと集計!T$1,SQLデータ!$C:$C,"&lt;="&amp;届出事由・区分・届出年月日ごと集計!T$2)</f>
        <v>0</v>
      </c>
    </row>
    <row r="69" spans="1:20" x14ac:dyDescent="0.4">
      <c r="A69" s="3" t="s">
        <v>74</v>
      </c>
      <c r="B69" s="3" t="s">
        <v>75</v>
      </c>
      <c r="C69" s="3" t="s">
        <v>72</v>
      </c>
      <c r="D69" s="3">
        <f>COUNTIFS(SQLデータ!$D:$D,"扶養",SQLデータ!$H:$H,届出事由・区分・届出年月日ごと集計!$A69,SQLデータ!$G:$G,届出事由・区分・届出年月日ごと集計!$B69,SQLデータ!$N:$N,1)</f>
        <v>0</v>
      </c>
      <c r="E69" s="107"/>
      <c r="F69" s="80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F$1,SQLデータ!$C:$C,"&lt;="&amp;届出事由・区分・届出年月日ごと集計!F$2)</f>
        <v>0</v>
      </c>
      <c r="G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G$1,SQLデータ!$C:$C,"&lt;="&amp;届出事由・区分・届出年月日ごと集計!G$2)</f>
        <v>0</v>
      </c>
      <c r="H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H$1,SQLデータ!$C:$C,"&lt;="&amp;届出事由・区分・届出年月日ごと集計!H$2)</f>
        <v>0</v>
      </c>
      <c r="I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I$1,SQLデータ!$C:$C,"&lt;="&amp;届出事由・区分・届出年月日ごと集計!I$2)</f>
        <v>0</v>
      </c>
      <c r="J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J$1,SQLデータ!$C:$C,"&lt;="&amp;届出事由・区分・届出年月日ごと集計!J$2)</f>
        <v>0</v>
      </c>
      <c r="K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K$1,SQLデータ!$C:$C,"&lt;="&amp;届出事由・区分・届出年月日ごと集計!K$2)</f>
        <v>0</v>
      </c>
      <c r="L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L$1,SQLデータ!$C:$C,"&lt;="&amp;届出事由・区分・届出年月日ごと集計!L$2)</f>
        <v>0</v>
      </c>
      <c r="M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M$1,SQLデータ!$C:$C,"&lt;="&amp;届出事由・区分・届出年月日ごと集計!M$2)</f>
        <v>0</v>
      </c>
      <c r="N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N$1,SQLデータ!$C:$C,"&lt;="&amp;届出事由・区分・届出年月日ごと集計!N$2)</f>
        <v>0</v>
      </c>
      <c r="O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O$1,SQLデータ!$C:$C,"&lt;="&amp;届出事由・区分・届出年月日ごと集計!O$2)</f>
        <v>0</v>
      </c>
      <c r="P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P$1,SQLデータ!$C:$C,"&lt;="&amp;届出事由・区分・届出年月日ごと集計!P$2)</f>
        <v>0</v>
      </c>
      <c r="Q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Q$1,SQLデータ!$C:$C,"&lt;="&amp;届出事由・区分・届出年月日ごと集計!Q$2)</f>
        <v>0</v>
      </c>
      <c r="R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R$1,SQLデータ!$C:$C,"&lt;="&amp;届出事由・区分・届出年月日ごと集計!R$2)</f>
        <v>0</v>
      </c>
      <c r="S69" s="85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S$1,SQLデータ!$C:$C,"&lt;="&amp;届出事由・区分・届出年月日ごと集計!S$2)</f>
        <v>0</v>
      </c>
      <c r="T69" s="92">
        <f>COUNTIFS(SQLデータ!$D:$D,"扶養",SQLデータ!$P:$P,1,SQLデータ!$H:$H,届出事由・区分・届出年月日ごと集計!$A69,SQLデータ!$G:$G,届出事由・区分・届出年月日ごと集計!$B69,SQLデータ!$N:$N,1,SQLデータ!$F:$F,"",SQLデータ!$C:$C,"&gt;="&amp;届出事由・区分・届出年月日ごと集計!T$1,SQLデータ!$C:$C,"&lt;="&amp;届出事由・区分・届出年月日ごと集計!T$2)</f>
        <v>0</v>
      </c>
    </row>
    <row r="70" spans="1:20" x14ac:dyDescent="0.4">
      <c r="A70" s="3" t="s">
        <v>74</v>
      </c>
      <c r="B70" s="3" t="s">
        <v>75</v>
      </c>
      <c r="C70" s="3" t="s">
        <v>73</v>
      </c>
      <c r="D70" s="3">
        <f>COUNTIFS(SQLデータ!$D:$D,"扶養",SQLデータ!$H:$H,届出事由・区分・届出年月日ごと集計!$A70,SQLデータ!$G:$G,届出事由・区分・届出年月日ごと集計!$B70,SQLデータ!$O:$O,1)</f>
        <v>1</v>
      </c>
      <c r="E70" s="107"/>
      <c r="F70" s="80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F$1,SQLデータ!$C:$C,"&lt;="&amp;届出事由・区分・届出年月日ごと集計!F$2)</f>
        <v>0</v>
      </c>
      <c r="G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G$1,SQLデータ!$C:$C,"&lt;="&amp;届出事由・区分・届出年月日ごと集計!G$2)</f>
        <v>0</v>
      </c>
      <c r="H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H$1,SQLデータ!$C:$C,"&lt;="&amp;届出事由・区分・届出年月日ごと集計!H$2)</f>
        <v>0</v>
      </c>
      <c r="I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I$1,SQLデータ!$C:$C,"&lt;="&amp;届出事由・区分・届出年月日ごと集計!I$2)</f>
        <v>1</v>
      </c>
      <c r="J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J$1,SQLデータ!$C:$C,"&lt;="&amp;届出事由・区分・届出年月日ごと集計!J$2)</f>
        <v>0</v>
      </c>
      <c r="K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K$1,SQLデータ!$C:$C,"&lt;="&amp;届出事由・区分・届出年月日ごと集計!K$2)</f>
        <v>0</v>
      </c>
      <c r="L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L$1,SQLデータ!$C:$C,"&lt;="&amp;届出事由・区分・届出年月日ごと集計!L$2)</f>
        <v>0</v>
      </c>
      <c r="M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M$1,SQLデータ!$C:$C,"&lt;="&amp;届出事由・区分・届出年月日ごと集計!M$2)</f>
        <v>0</v>
      </c>
      <c r="N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N$1,SQLデータ!$C:$C,"&lt;="&amp;届出事由・区分・届出年月日ごと集計!N$2)</f>
        <v>0</v>
      </c>
      <c r="O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O$1,SQLデータ!$C:$C,"&lt;="&amp;届出事由・区分・届出年月日ごと集計!O$2)</f>
        <v>0</v>
      </c>
      <c r="P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P$1,SQLデータ!$C:$C,"&lt;="&amp;届出事由・区分・届出年月日ごと集計!P$2)</f>
        <v>0</v>
      </c>
      <c r="Q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Q$1,SQLデータ!$C:$C,"&lt;="&amp;届出事由・区分・届出年月日ごと集計!Q$2)</f>
        <v>0</v>
      </c>
      <c r="R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R$1,SQLデータ!$C:$C,"&lt;="&amp;届出事由・区分・届出年月日ごと集計!R$2)</f>
        <v>0</v>
      </c>
      <c r="S70" s="85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S$1,SQLデータ!$C:$C,"&lt;="&amp;届出事由・区分・届出年月日ごと集計!S$2)</f>
        <v>0</v>
      </c>
      <c r="T70" s="92">
        <f>COUNTIFS(SQLデータ!$D:$D,"扶養",SQLデータ!$P:$P,1,SQLデータ!$H:$H,届出事由・区分・届出年月日ごと集計!$A70,SQLデータ!$G:$G,届出事由・区分・届出年月日ごと集計!$B70,SQLデータ!$O:$O,1,SQLデータ!$F:$F,"",SQLデータ!$C:$C,"&gt;="&amp;届出事由・区分・届出年月日ごと集計!T$1,SQLデータ!$C:$C,"&lt;="&amp;届出事由・区分・届出年月日ごと集計!T$2)</f>
        <v>0</v>
      </c>
    </row>
    <row r="71" spans="1:20" x14ac:dyDescent="0.4">
      <c r="A71" s="3" t="s">
        <v>74</v>
      </c>
      <c r="B71" s="3" t="s">
        <v>78</v>
      </c>
      <c r="C71" s="3" t="s">
        <v>70</v>
      </c>
      <c r="D71" s="3">
        <f>COUNTIFS(SQLデータ!$D:$D,"扶養",SQLデータ!$H:$H,届出事由・区分・届出年月日ごと集計!$A71,SQLデータ!$G:$G,届出事由・区分・届出年月日ごと集計!$B71,SQLデータ!$L:$L,1)</f>
        <v>0</v>
      </c>
      <c r="E71" s="107"/>
      <c r="F71" s="80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F$1,SQLデータ!$C:$C,"&lt;="&amp;届出事由・区分・届出年月日ごと集計!F$2)</f>
        <v>0</v>
      </c>
      <c r="G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G$1,SQLデータ!$C:$C,"&lt;="&amp;届出事由・区分・届出年月日ごと集計!G$2)</f>
        <v>0</v>
      </c>
      <c r="H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H$1,SQLデータ!$C:$C,"&lt;="&amp;届出事由・区分・届出年月日ごと集計!H$2)</f>
        <v>0</v>
      </c>
      <c r="I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I$1,SQLデータ!$C:$C,"&lt;="&amp;届出事由・区分・届出年月日ごと集計!I$2)</f>
        <v>0</v>
      </c>
      <c r="J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J$1,SQLデータ!$C:$C,"&lt;="&amp;届出事由・区分・届出年月日ごと集計!J$2)</f>
        <v>0</v>
      </c>
      <c r="K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K$1,SQLデータ!$C:$C,"&lt;="&amp;届出事由・区分・届出年月日ごと集計!K$2)</f>
        <v>0</v>
      </c>
      <c r="L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L$1,SQLデータ!$C:$C,"&lt;="&amp;届出事由・区分・届出年月日ごと集計!L$2)</f>
        <v>0</v>
      </c>
      <c r="M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M$1,SQLデータ!$C:$C,"&lt;="&amp;届出事由・区分・届出年月日ごと集計!M$2)</f>
        <v>0</v>
      </c>
      <c r="N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N$1,SQLデータ!$C:$C,"&lt;="&amp;届出事由・区分・届出年月日ごと集計!N$2)</f>
        <v>0</v>
      </c>
      <c r="O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O$1,SQLデータ!$C:$C,"&lt;="&amp;届出事由・区分・届出年月日ごと集計!O$2)</f>
        <v>0</v>
      </c>
      <c r="P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P$1,SQLデータ!$C:$C,"&lt;="&amp;届出事由・区分・届出年月日ごと集計!P$2)</f>
        <v>0</v>
      </c>
      <c r="Q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Q$1,SQLデータ!$C:$C,"&lt;="&amp;届出事由・区分・届出年月日ごと集計!Q$2)</f>
        <v>0</v>
      </c>
      <c r="R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R$1,SQLデータ!$C:$C,"&lt;="&amp;届出事由・区分・届出年月日ごと集計!R$2)</f>
        <v>0</v>
      </c>
      <c r="S71" s="85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S$1,SQLデータ!$C:$C,"&lt;="&amp;届出事由・区分・届出年月日ごと集計!S$2)</f>
        <v>0</v>
      </c>
      <c r="T71" s="92">
        <f>COUNTIFS(SQLデータ!$D:$D,"扶養",SQLデータ!$P:$P,1,SQLデータ!$H:$H,届出事由・区分・届出年月日ごと集計!$A71,SQLデータ!$G:$G,届出事由・区分・届出年月日ごと集計!$B71,SQLデータ!$L:$L,1,SQLデータ!$F:$F,"",SQLデータ!$C:$C,"&gt;="&amp;届出事由・区分・届出年月日ごと集計!T$1,SQLデータ!$C:$C,"&lt;="&amp;届出事由・区分・届出年月日ごと集計!T$2)</f>
        <v>0</v>
      </c>
    </row>
    <row r="72" spans="1:20" x14ac:dyDescent="0.4">
      <c r="A72" s="3" t="s">
        <v>74</v>
      </c>
      <c r="B72" s="3" t="s">
        <v>78</v>
      </c>
      <c r="C72" s="3" t="s">
        <v>71</v>
      </c>
      <c r="D72" s="3">
        <f>COUNTIFS(SQLデータ!$D:$D,"扶養",SQLデータ!$H:$H,届出事由・区分・届出年月日ごと集計!$A72,SQLデータ!$G:$G,届出事由・区分・届出年月日ごと集計!$B72,SQLデータ!$M:$M,1)</f>
        <v>0</v>
      </c>
      <c r="E72" s="107"/>
      <c r="F72" s="80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F$1,SQLデータ!$C:$C,"&lt;="&amp;届出事由・区分・届出年月日ごと集計!F$2)</f>
        <v>0</v>
      </c>
      <c r="G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G$1,SQLデータ!$C:$C,"&lt;="&amp;届出事由・区分・届出年月日ごと集計!G$2)</f>
        <v>0</v>
      </c>
      <c r="H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H$1,SQLデータ!$C:$C,"&lt;="&amp;届出事由・区分・届出年月日ごと集計!H$2)</f>
        <v>0</v>
      </c>
      <c r="I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I$1,SQLデータ!$C:$C,"&lt;="&amp;届出事由・区分・届出年月日ごと集計!I$2)</f>
        <v>0</v>
      </c>
      <c r="J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J$1,SQLデータ!$C:$C,"&lt;="&amp;届出事由・区分・届出年月日ごと集計!J$2)</f>
        <v>0</v>
      </c>
      <c r="K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K$1,SQLデータ!$C:$C,"&lt;="&amp;届出事由・区分・届出年月日ごと集計!K$2)</f>
        <v>0</v>
      </c>
      <c r="L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L$1,SQLデータ!$C:$C,"&lt;="&amp;届出事由・区分・届出年月日ごと集計!L$2)</f>
        <v>0</v>
      </c>
      <c r="M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M$1,SQLデータ!$C:$C,"&lt;="&amp;届出事由・区分・届出年月日ごと集計!M$2)</f>
        <v>0</v>
      </c>
      <c r="N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N$1,SQLデータ!$C:$C,"&lt;="&amp;届出事由・区分・届出年月日ごと集計!N$2)</f>
        <v>0</v>
      </c>
      <c r="O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O$1,SQLデータ!$C:$C,"&lt;="&amp;届出事由・区分・届出年月日ごと集計!O$2)</f>
        <v>0</v>
      </c>
      <c r="P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P$1,SQLデータ!$C:$C,"&lt;="&amp;届出事由・区分・届出年月日ごと集計!P$2)</f>
        <v>0</v>
      </c>
      <c r="Q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Q$1,SQLデータ!$C:$C,"&lt;="&amp;届出事由・区分・届出年月日ごと集計!Q$2)</f>
        <v>0</v>
      </c>
      <c r="R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R$1,SQLデータ!$C:$C,"&lt;="&amp;届出事由・区分・届出年月日ごと集計!R$2)</f>
        <v>0</v>
      </c>
      <c r="S72" s="85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S$1,SQLデータ!$C:$C,"&lt;="&amp;届出事由・区分・届出年月日ごと集計!S$2)</f>
        <v>0</v>
      </c>
      <c r="T72" s="92">
        <f>COUNTIFS(SQLデータ!$D:$D,"扶養",SQLデータ!$P:$P,1,SQLデータ!$H:$H,届出事由・区分・届出年月日ごと集計!$A72,SQLデータ!$G:$G,届出事由・区分・届出年月日ごと集計!$B72,SQLデータ!$M:$M,1,SQLデータ!$F:$F,"",SQLデータ!$C:$C,"&gt;="&amp;届出事由・区分・届出年月日ごと集計!T$1,SQLデータ!$C:$C,"&lt;="&amp;届出事由・区分・届出年月日ごと集計!T$2)</f>
        <v>0</v>
      </c>
    </row>
    <row r="73" spans="1:20" x14ac:dyDescent="0.4">
      <c r="A73" s="3" t="s">
        <v>74</v>
      </c>
      <c r="B73" s="3" t="s">
        <v>78</v>
      </c>
      <c r="C73" s="3" t="s">
        <v>72</v>
      </c>
      <c r="D73" s="3">
        <f>COUNTIFS(SQLデータ!$D:$D,"扶養",SQLデータ!$H:$H,届出事由・区分・届出年月日ごと集計!$A73,SQLデータ!$G:$G,届出事由・区分・届出年月日ごと集計!$B73,SQLデータ!$N:$N,1)</f>
        <v>0</v>
      </c>
      <c r="E73" s="107"/>
      <c r="F73" s="80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F$1,SQLデータ!$C:$C,"&lt;="&amp;届出事由・区分・届出年月日ごと集計!F$2)</f>
        <v>0</v>
      </c>
      <c r="G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G$1,SQLデータ!$C:$C,"&lt;="&amp;届出事由・区分・届出年月日ごと集計!G$2)</f>
        <v>0</v>
      </c>
      <c r="H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H$1,SQLデータ!$C:$C,"&lt;="&amp;届出事由・区分・届出年月日ごと集計!H$2)</f>
        <v>0</v>
      </c>
      <c r="I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I$1,SQLデータ!$C:$C,"&lt;="&amp;届出事由・区分・届出年月日ごと集計!I$2)</f>
        <v>0</v>
      </c>
      <c r="J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J$1,SQLデータ!$C:$C,"&lt;="&amp;届出事由・区分・届出年月日ごと集計!J$2)</f>
        <v>0</v>
      </c>
      <c r="K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K$1,SQLデータ!$C:$C,"&lt;="&amp;届出事由・区分・届出年月日ごと集計!K$2)</f>
        <v>0</v>
      </c>
      <c r="L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L$1,SQLデータ!$C:$C,"&lt;="&amp;届出事由・区分・届出年月日ごと集計!L$2)</f>
        <v>0</v>
      </c>
      <c r="M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M$1,SQLデータ!$C:$C,"&lt;="&amp;届出事由・区分・届出年月日ごと集計!M$2)</f>
        <v>0</v>
      </c>
      <c r="N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N$1,SQLデータ!$C:$C,"&lt;="&amp;届出事由・区分・届出年月日ごと集計!N$2)</f>
        <v>0</v>
      </c>
      <c r="O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O$1,SQLデータ!$C:$C,"&lt;="&amp;届出事由・区分・届出年月日ごと集計!O$2)</f>
        <v>0</v>
      </c>
      <c r="P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P$1,SQLデータ!$C:$C,"&lt;="&amp;届出事由・区分・届出年月日ごと集計!P$2)</f>
        <v>0</v>
      </c>
      <c r="Q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Q$1,SQLデータ!$C:$C,"&lt;="&amp;届出事由・区分・届出年月日ごと集計!Q$2)</f>
        <v>0</v>
      </c>
      <c r="R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R$1,SQLデータ!$C:$C,"&lt;="&amp;届出事由・区分・届出年月日ごと集計!R$2)</f>
        <v>0</v>
      </c>
      <c r="S73" s="85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S$1,SQLデータ!$C:$C,"&lt;="&amp;届出事由・区分・届出年月日ごと集計!S$2)</f>
        <v>0</v>
      </c>
      <c r="T73" s="92">
        <f>COUNTIFS(SQLデータ!$D:$D,"扶養",SQLデータ!$P:$P,1,SQLデータ!$H:$H,届出事由・区分・届出年月日ごと集計!$A73,SQLデータ!$G:$G,届出事由・区分・届出年月日ごと集計!$B73,SQLデータ!$N:$N,1,SQLデータ!$F:$F,"",SQLデータ!$C:$C,"&gt;="&amp;届出事由・区分・届出年月日ごと集計!T$1,SQLデータ!$C:$C,"&lt;="&amp;届出事由・区分・届出年月日ごと集計!T$2)</f>
        <v>0</v>
      </c>
    </row>
    <row r="74" spans="1:20" x14ac:dyDescent="0.4">
      <c r="A74" s="3" t="s">
        <v>74</v>
      </c>
      <c r="B74" s="3" t="s">
        <v>78</v>
      </c>
      <c r="C74" s="3" t="s">
        <v>73</v>
      </c>
      <c r="D74" s="3">
        <f>COUNTIFS(SQLデータ!$D:$D,"扶養",SQLデータ!$H:$H,届出事由・区分・届出年月日ごと集計!$A74,SQLデータ!$G:$G,届出事由・区分・届出年月日ごと集計!$B74,SQLデータ!$O:$O,1)</f>
        <v>0</v>
      </c>
      <c r="E74" s="107"/>
      <c r="F74" s="80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F$1,SQLデータ!$C:$C,"&lt;="&amp;届出事由・区分・届出年月日ごと集計!F$2)</f>
        <v>0</v>
      </c>
      <c r="G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G$1,SQLデータ!$C:$C,"&lt;="&amp;届出事由・区分・届出年月日ごと集計!G$2)</f>
        <v>0</v>
      </c>
      <c r="H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H$1,SQLデータ!$C:$C,"&lt;="&amp;届出事由・区分・届出年月日ごと集計!H$2)</f>
        <v>0</v>
      </c>
      <c r="I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I$1,SQLデータ!$C:$C,"&lt;="&amp;届出事由・区分・届出年月日ごと集計!I$2)</f>
        <v>0</v>
      </c>
      <c r="J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J$1,SQLデータ!$C:$C,"&lt;="&amp;届出事由・区分・届出年月日ごと集計!J$2)</f>
        <v>0</v>
      </c>
      <c r="K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K$1,SQLデータ!$C:$C,"&lt;="&amp;届出事由・区分・届出年月日ごと集計!K$2)</f>
        <v>0</v>
      </c>
      <c r="L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L$1,SQLデータ!$C:$C,"&lt;="&amp;届出事由・区分・届出年月日ごと集計!L$2)</f>
        <v>0</v>
      </c>
      <c r="M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M$1,SQLデータ!$C:$C,"&lt;="&amp;届出事由・区分・届出年月日ごと集計!M$2)</f>
        <v>0</v>
      </c>
      <c r="N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N$1,SQLデータ!$C:$C,"&lt;="&amp;届出事由・区分・届出年月日ごと集計!N$2)</f>
        <v>0</v>
      </c>
      <c r="O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O$1,SQLデータ!$C:$C,"&lt;="&amp;届出事由・区分・届出年月日ごと集計!O$2)</f>
        <v>0</v>
      </c>
      <c r="P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P$1,SQLデータ!$C:$C,"&lt;="&amp;届出事由・区分・届出年月日ごと集計!P$2)</f>
        <v>0</v>
      </c>
      <c r="Q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Q$1,SQLデータ!$C:$C,"&lt;="&amp;届出事由・区分・届出年月日ごと集計!Q$2)</f>
        <v>0</v>
      </c>
      <c r="R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R$1,SQLデータ!$C:$C,"&lt;="&amp;届出事由・区分・届出年月日ごと集計!R$2)</f>
        <v>0</v>
      </c>
      <c r="S74" s="85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S$1,SQLデータ!$C:$C,"&lt;="&amp;届出事由・区分・届出年月日ごと集計!S$2)</f>
        <v>0</v>
      </c>
      <c r="T74" s="92">
        <f>COUNTIFS(SQLデータ!$D:$D,"扶養",SQLデータ!$P:$P,1,SQLデータ!$H:$H,届出事由・区分・届出年月日ごと集計!$A74,SQLデータ!$G:$G,届出事由・区分・届出年月日ごと集計!$B74,SQLデータ!$O:$O,1,SQLデータ!$F:$F,"",SQLデータ!$C:$C,"&gt;="&amp;届出事由・区分・届出年月日ごと集計!T$1,SQLデータ!$C:$C,"&lt;="&amp;届出事由・区分・届出年月日ごと集計!T$2)</f>
        <v>0</v>
      </c>
    </row>
    <row r="75" spans="1:20" x14ac:dyDescent="0.4">
      <c r="A75" s="3" t="s">
        <v>74</v>
      </c>
      <c r="B75" s="3" t="s">
        <v>76</v>
      </c>
      <c r="C75" s="3" t="s">
        <v>70</v>
      </c>
      <c r="D75" s="3">
        <f>COUNTIFS(SQLデータ!$D:$D,"扶養",SQLデータ!$H:$H,届出事由・区分・届出年月日ごと集計!$A75,SQLデータ!$G:$G,届出事由・区分・届出年月日ごと集計!$B75,SQLデータ!$L:$L,1)</f>
        <v>0</v>
      </c>
      <c r="E75" s="107"/>
      <c r="F75" s="80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F$1,SQLデータ!$C:$C,"&lt;="&amp;届出事由・区分・届出年月日ごと集計!F$2)</f>
        <v>0</v>
      </c>
      <c r="G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G$1,SQLデータ!$C:$C,"&lt;="&amp;届出事由・区分・届出年月日ごと集計!G$2)</f>
        <v>0</v>
      </c>
      <c r="H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H$1,SQLデータ!$C:$C,"&lt;="&amp;届出事由・区分・届出年月日ごと集計!H$2)</f>
        <v>0</v>
      </c>
      <c r="I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I$1,SQLデータ!$C:$C,"&lt;="&amp;届出事由・区分・届出年月日ごと集計!I$2)</f>
        <v>0</v>
      </c>
      <c r="J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J$1,SQLデータ!$C:$C,"&lt;="&amp;届出事由・区分・届出年月日ごと集計!J$2)</f>
        <v>0</v>
      </c>
      <c r="K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K$1,SQLデータ!$C:$C,"&lt;="&amp;届出事由・区分・届出年月日ごと集計!K$2)</f>
        <v>0</v>
      </c>
      <c r="L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L$1,SQLデータ!$C:$C,"&lt;="&amp;届出事由・区分・届出年月日ごと集計!L$2)</f>
        <v>0</v>
      </c>
      <c r="M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M$1,SQLデータ!$C:$C,"&lt;="&amp;届出事由・区分・届出年月日ごと集計!M$2)</f>
        <v>0</v>
      </c>
      <c r="N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N$1,SQLデータ!$C:$C,"&lt;="&amp;届出事由・区分・届出年月日ごと集計!N$2)</f>
        <v>0</v>
      </c>
      <c r="O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O$1,SQLデータ!$C:$C,"&lt;="&amp;届出事由・区分・届出年月日ごと集計!O$2)</f>
        <v>0</v>
      </c>
      <c r="P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P$1,SQLデータ!$C:$C,"&lt;="&amp;届出事由・区分・届出年月日ごと集計!P$2)</f>
        <v>0</v>
      </c>
      <c r="Q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Q$1,SQLデータ!$C:$C,"&lt;="&amp;届出事由・区分・届出年月日ごと集計!Q$2)</f>
        <v>0</v>
      </c>
      <c r="R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R$1,SQLデータ!$C:$C,"&lt;="&amp;届出事由・区分・届出年月日ごと集計!R$2)</f>
        <v>0</v>
      </c>
      <c r="S75" s="85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S$1,SQLデータ!$C:$C,"&lt;="&amp;届出事由・区分・届出年月日ごと集計!S$2)</f>
        <v>0</v>
      </c>
      <c r="T75" s="92">
        <f>COUNTIFS(SQLデータ!$D:$D,"扶養",SQLデータ!$P:$P,1,SQLデータ!$H:$H,届出事由・区分・届出年月日ごと集計!$A75,SQLデータ!$G:$G,届出事由・区分・届出年月日ごと集計!$B75,SQLデータ!$L:$L,1,SQLデータ!$F:$F,"",SQLデータ!$C:$C,"&gt;="&amp;届出事由・区分・届出年月日ごと集計!T$1,SQLデータ!$C:$C,"&lt;="&amp;届出事由・区分・届出年月日ごと集計!T$2)</f>
        <v>0</v>
      </c>
    </row>
    <row r="76" spans="1:20" x14ac:dyDescent="0.4">
      <c r="A76" s="3" t="s">
        <v>74</v>
      </c>
      <c r="B76" s="3" t="s">
        <v>76</v>
      </c>
      <c r="C76" s="3" t="s">
        <v>71</v>
      </c>
      <c r="D76" s="3">
        <f>COUNTIFS(SQLデータ!$D:$D,"扶養",SQLデータ!$H:$H,届出事由・区分・届出年月日ごと集計!$A76,SQLデータ!$G:$G,届出事由・区分・届出年月日ごと集計!$B76,SQLデータ!$M:$M,1)</f>
        <v>0</v>
      </c>
      <c r="E76" s="107"/>
      <c r="F76" s="80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F$1,SQLデータ!$C:$C,"&lt;="&amp;届出事由・区分・届出年月日ごと集計!F$2)</f>
        <v>0</v>
      </c>
      <c r="G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G$1,SQLデータ!$C:$C,"&lt;="&amp;届出事由・区分・届出年月日ごと集計!G$2)</f>
        <v>0</v>
      </c>
      <c r="H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H$1,SQLデータ!$C:$C,"&lt;="&amp;届出事由・区分・届出年月日ごと集計!H$2)</f>
        <v>0</v>
      </c>
      <c r="I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I$1,SQLデータ!$C:$C,"&lt;="&amp;届出事由・区分・届出年月日ごと集計!I$2)</f>
        <v>0</v>
      </c>
      <c r="J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J$1,SQLデータ!$C:$C,"&lt;="&amp;届出事由・区分・届出年月日ごと集計!J$2)</f>
        <v>0</v>
      </c>
      <c r="K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K$1,SQLデータ!$C:$C,"&lt;="&amp;届出事由・区分・届出年月日ごと集計!K$2)</f>
        <v>0</v>
      </c>
      <c r="L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L$1,SQLデータ!$C:$C,"&lt;="&amp;届出事由・区分・届出年月日ごと集計!L$2)</f>
        <v>0</v>
      </c>
      <c r="M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M$1,SQLデータ!$C:$C,"&lt;="&amp;届出事由・区分・届出年月日ごと集計!M$2)</f>
        <v>0</v>
      </c>
      <c r="N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N$1,SQLデータ!$C:$C,"&lt;="&amp;届出事由・区分・届出年月日ごと集計!N$2)</f>
        <v>0</v>
      </c>
      <c r="O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O$1,SQLデータ!$C:$C,"&lt;="&amp;届出事由・区分・届出年月日ごと集計!O$2)</f>
        <v>0</v>
      </c>
      <c r="P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P$1,SQLデータ!$C:$C,"&lt;="&amp;届出事由・区分・届出年月日ごと集計!P$2)</f>
        <v>0</v>
      </c>
      <c r="Q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Q$1,SQLデータ!$C:$C,"&lt;="&amp;届出事由・区分・届出年月日ごと集計!Q$2)</f>
        <v>0</v>
      </c>
      <c r="R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R$1,SQLデータ!$C:$C,"&lt;="&amp;届出事由・区分・届出年月日ごと集計!R$2)</f>
        <v>0</v>
      </c>
      <c r="S76" s="85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S$1,SQLデータ!$C:$C,"&lt;="&amp;届出事由・区分・届出年月日ごと集計!S$2)</f>
        <v>0</v>
      </c>
      <c r="T76" s="92">
        <f>COUNTIFS(SQLデータ!$D:$D,"扶養",SQLデータ!$P:$P,1,SQLデータ!$H:$H,届出事由・区分・届出年月日ごと集計!$A76,SQLデータ!$G:$G,届出事由・区分・届出年月日ごと集計!$B76,SQLデータ!$M:$M,1,SQLデータ!$F:$F,"",SQLデータ!$C:$C,"&gt;="&amp;届出事由・区分・届出年月日ごと集計!T$1,SQLデータ!$C:$C,"&lt;="&amp;届出事由・区分・届出年月日ごと集計!T$2)</f>
        <v>0</v>
      </c>
    </row>
    <row r="77" spans="1:20" x14ac:dyDescent="0.4">
      <c r="A77" s="3" t="s">
        <v>74</v>
      </c>
      <c r="B77" s="3" t="s">
        <v>76</v>
      </c>
      <c r="C77" s="3" t="s">
        <v>72</v>
      </c>
      <c r="D77" s="3">
        <f>COUNTIFS(SQLデータ!$D:$D,"扶養",SQLデータ!$H:$H,届出事由・区分・届出年月日ごと集計!$A77,SQLデータ!$G:$G,届出事由・区分・届出年月日ごと集計!$B77,SQLデータ!$N:$N,1)</f>
        <v>0</v>
      </c>
      <c r="E77" s="107"/>
      <c r="F77" s="80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F$1,SQLデータ!$C:$C,"&lt;="&amp;届出事由・区分・届出年月日ごと集計!F$2)</f>
        <v>0</v>
      </c>
      <c r="G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G$1,SQLデータ!$C:$C,"&lt;="&amp;届出事由・区分・届出年月日ごと集計!G$2)</f>
        <v>0</v>
      </c>
      <c r="H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H$1,SQLデータ!$C:$C,"&lt;="&amp;届出事由・区分・届出年月日ごと集計!H$2)</f>
        <v>0</v>
      </c>
      <c r="I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I$1,SQLデータ!$C:$C,"&lt;="&amp;届出事由・区分・届出年月日ごと集計!I$2)</f>
        <v>0</v>
      </c>
      <c r="J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J$1,SQLデータ!$C:$C,"&lt;="&amp;届出事由・区分・届出年月日ごと集計!J$2)</f>
        <v>0</v>
      </c>
      <c r="K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K$1,SQLデータ!$C:$C,"&lt;="&amp;届出事由・区分・届出年月日ごと集計!K$2)</f>
        <v>0</v>
      </c>
      <c r="L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L$1,SQLデータ!$C:$C,"&lt;="&amp;届出事由・区分・届出年月日ごと集計!L$2)</f>
        <v>0</v>
      </c>
      <c r="M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M$1,SQLデータ!$C:$C,"&lt;="&amp;届出事由・区分・届出年月日ごと集計!M$2)</f>
        <v>0</v>
      </c>
      <c r="N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N$1,SQLデータ!$C:$C,"&lt;="&amp;届出事由・区分・届出年月日ごと集計!N$2)</f>
        <v>0</v>
      </c>
      <c r="O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O$1,SQLデータ!$C:$C,"&lt;="&amp;届出事由・区分・届出年月日ごと集計!O$2)</f>
        <v>0</v>
      </c>
      <c r="P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P$1,SQLデータ!$C:$C,"&lt;="&amp;届出事由・区分・届出年月日ごと集計!P$2)</f>
        <v>0</v>
      </c>
      <c r="Q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Q$1,SQLデータ!$C:$C,"&lt;="&amp;届出事由・区分・届出年月日ごと集計!Q$2)</f>
        <v>0</v>
      </c>
      <c r="R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R$1,SQLデータ!$C:$C,"&lt;="&amp;届出事由・区分・届出年月日ごと集計!R$2)</f>
        <v>0</v>
      </c>
      <c r="S77" s="85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S$1,SQLデータ!$C:$C,"&lt;="&amp;届出事由・区分・届出年月日ごと集計!S$2)</f>
        <v>0</v>
      </c>
      <c r="T77" s="92">
        <f>COUNTIFS(SQLデータ!$D:$D,"扶養",SQLデータ!$P:$P,1,SQLデータ!$H:$H,届出事由・区分・届出年月日ごと集計!$A77,SQLデータ!$G:$G,届出事由・区分・届出年月日ごと集計!$B77,SQLデータ!$N:$N,1,SQLデータ!$F:$F,"",SQLデータ!$C:$C,"&gt;="&amp;届出事由・区分・届出年月日ごと集計!T$1,SQLデータ!$C:$C,"&lt;="&amp;届出事由・区分・届出年月日ごと集計!T$2)</f>
        <v>0</v>
      </c>
    </row>
    <row r="78" spans="1:20" x14ac:dyDescent="0.4">
      <c r="A78" s="3" t="s">
        <v>74</v>
      </c>
      <c r="B78" s="3" t="s">
        <v>76</v>
      </c>
      <c r="C78" s="3" t="s">
        <v>73</v>
      </c>
      <c r="D78" s="3">
        <f>COUNTIFS(SQLデータ!$D:$D,"扶養",SQLデータ!$H:$H,届出事由・区分・届出年月日ごと集計!$A78,SQLデータ!$G:$G,届出事由・区分・届出年月日ごと集計!$B78,SQLデータ!$O:$O,1)</f>
        <v>0</v>
      </c>
      <c r="E78" s="107"/>
      <c r="F78" s="80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F$1,SQLデータ!$C:$C,"&lt;="&amp;届出事由・区分・届出年月日ごと集計!F$2)</f>
        <v>0</v>
      </c>
      <c r="G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G$1,SQLデータ!$C:$C,"&lt;="&amp;届出事由・区分・届出年月日ごと集計!G$2)</f>
        <v>0</v>
      </c>
      <c r="H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H$1,SQLデータ!$C:$C,"&lt;="&amp;届出事由・区分・届出年月日ごと集計!H$2)</f>
        <v>0</v>
      </c>
      <c r="I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I$1,SQLデータ!$C:$C,"&lt;="&amp;届出事由・区分・届出年月日ごと集計!I$2)</f>
        <v>0</v>
      </c>
      <c r="J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J$1,SQLデータ!$C:$C,"&lt;="&amp;届出事由・区分・届出年月日ごと集計!J$2)</f>
        <v>0</v>
      </c>
      <c r="K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K$1,SQLデータ!$C:$C,"&lt;="&amp;届出事由・区分・届出年月日ごと集計!K$2)</f>
        <v>0</v>
      </c>
      <c r="L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L$1,SQLデータ!$C:$C,"&lt;="&amp;届出事由・区分・届出年月日ごと集計!L$2)</f>
        <v>0</v>
      </c>
      <c r="M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M$1,SQLデータ!$C:$C,"&lt;="&amp;届出事由・区分・届出年月日ごと集計!M$2)</f>
        <v>0</v>
      </c>
      <c r="N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N$1,SQLデータ!$C:$C,"&lt;="&amp;届出事由・区分・届出年月日ごと集計!N$2)</f>
        <v>0</v>
      </c>
      <c r="O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O$1,SQLデータ!$C:$C,"&lt;="&amp;届出事由・区分・届出年月日ごと集計!O$2)</f>
        <v>0</v>
      </c>
      <c r="P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P$1,SQLデータ!$C:$C,"&lt;="&amp;届出事由・区分・届出年月日ごと集計!P$2)</f>
        <v>0</v>
      </c>
      <c r="Q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Q$1,SQLデータ!$C:$C,"&lt;="&amp;届出事由・区分・届出年月日ごと集計!Q$2)</f>
        <v>0</v>
      </c>
      <c r="R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R$1,SQLデータ!$C:$C,"&lt;="&amp;届出事由・区分・届出年月日ごと集計!R$2)</f>
        <v>0</v>
      </c>
      <c r="S78" s="85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S$1,SQLデータ!$C:$C,"&lt;="&amp;届出事由・区分・届出年月日ごと集計!S$2)</f>
        <v>0</v>
      </c>
      <c r="T78" s="92">
        <f>COUNTIFS(SQLデータ!$D:$D,"扶養",SQLデータ!$P:$P,1,SQLデータ!$H:$H,届出事由・区分・届出年月日ごと集計!$A78,SQLデータ!$G:$G,届出事由・区分・届出年月日ごと集計!$B78,SQLデータ!$O:$O,1,SQLデータ!$F:$F,"",SQLデータ!$C:$C,"&gt;="&amp;届出事由・区分・届出年月日ごと集計!T$1,SQLデータ!$C:$C,"&lt;="&amp;届出事由・区分・届出年月日ごと集計!T$2)</f>
        <v>0</v>
      </c>
    </row>
    <row r="79" spans="1:20" x14ac:dyDescent="0.4">
      <c r="A79" s="3" t="s">
        <v>74</v>
      </c>
      <c r="B79" s="3" t="s">
        <v>77</v>
      </c>
      <c r="C79" s="3" t="s">
        <v>70</v>
      </c>
      <c r="D79" s="3">
        <f>COUNTIFS(SQLデータ!$D:$D,"扶養",SQLデータ!$H:$H,届出事由・区分・届出年月日ごと集計!$A79,SQLデータ!$G:$G,届出事由・区分・届出年月日ごと集計!$B79,SQLデータ!$L:$L,1)</f>
        <v>1</v>
      </c>
      <c r="E79" s="107"/>
      <c r="F79" s="80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F$1,SQLデータ!$C:$C,"&lt;="&amp;届出事由・区分・届出年月日ごと集計!F$2)</f>
        <v>0</v>
      </c>
      <c r="G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G$1,SQLデータ!$C:$C,"&lt;="&amp;届出事由・区分・届出年月日ごと集計!G$2)</f>
        <v>0</v>
      </c>
      <c r="H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H$1,SQLデータ!$C:$C,"&lt;="&amp;届出事由・区分・届出年月日ごと集計!H$2)</f>
        <v>0</v>
      </c>
      <c r="I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I$1,SQLデータ!$C:$C,"&lt;="&amp;届出事由・区分・届出年月日ごと集計!I$2)</f>
        <v>0</v>
      </c>
      <c r="J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J$1,SQLデータ!$C:$C,"&lt;="&amp;届出事由・区分・届出年月日ごと集計!J$2)</f>
        <v>0</v>
      </c>
      <c r="K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K$1,SQLデータ!$C:$C,"&lt;="&amp;届出事由・区分・届出年月日ごと集計!K$2)</f>
        <v>0</v>
      </c>
      <c r="L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L$1,SQLデータ!$C:$C,"&lt;="&amp;届出事由・区分・届出年月日ごと集計!L$2)</f>
        <v>0</v>
      </c>
      <c r="M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M$1,SQLデータ!$C:$C,"&lt;="&amp;届出事由・区分・届出年月日ごと集計!M$2)</f>
        <v>0</v>
      </c>
      <c r="N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N$1,SQLデータ!$C:$C,"&lt;="&amp;届出事由・区分・届出年月日ごと集計!N$2)</f>
        <v>0</v>
      </c>
      <c r="O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O$1,SQLデータ!$C:$C,"&lt;="&amp;届出事由・区分・届出年月日ごと集計!O$2)</f>
        <v>0</v>
      </c>
      <c r="P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P$1,SQLデータ!$C:$C,"&lt;="&amp;届出事由・区分・届出年月日ごと集計!P$2)</f>
        <v>0</v>
      </c>
      <c r="Q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Q$1,SQLデータ!$C:$C,"&lt;="&amp;届出事由・区分・届出年月日ごと集計!Q$2)</f>
        <v>0</v>
      </c>
      <c r="R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R$1,SQLデータ!$C:$C,"&lt;="&amp;届出事由・区分・届出年月日ごと集計!R$2)</f>
        <v>0</v>
      </c>
      <c r="S79" s="85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S$1,SQLデータ!$C:$C,"&lt;="&amp;届出事由・区分・届出年月日ごと集計!S$2)</f>
        <v>0</v>
      </c>
      <c r="T79" s="92">
        <f>COUNTIFS(SQLデータ!$D:$D,"扶養",SQLデータ!$P:$P,1,SQLデータ!$H:$H,届出事由・区分・届出年月日ごと集計!$A79,SQLデータ!$G:$G,届出事由・区分・届出年月日ごと集計!$B79,SQLデータ!$L:$L,1,SQLデータ!$F:$F,"",SQLデータ!$C:$C,"&gt;="&amp;届出事由・区分・届出年月日ごと集計!T$1,SQLデータ!$C:$C,"&lt;="&amp;届出事由・区分・届出年月日ごと集計!T$2)</f>
        <v>0</v>
      </c>
    </row>
    <row r="80" spans="1:20" x14ac:dyDescent="0.4">
      <c r="A80" s="3" t="s">
        <v>74</v>
      </c>
      <c r="B80" s="3" t="s">
        <v>77</v>
      </c>
      <c r="C80" s="3" t="s">
        <v>71</v>
      </c>
      <c r="D80" s="3">
        <f>COUNTIFS(SQLデータ!$D:$D,"扶養",SQLデータ!$H:$H,届出事由・区分・届出年月日ごと集計!$A80,SQLデータ!$G:$G,届出事由・区分・届出年月日ごと集計!$B80,SQLデータ!$M:$M,1)</f>
        <v>0</v>
      </c>
      <c r="E80" s="107"/>
      <c r="F80" s="80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F$1,SQLデータ!$C:$C,"&lt;="&amp;届出事由・区分・届出年月日ごと集計!F$2)</f>
        <v>0</v>
      </c>
      <c r="G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G$1,SQLデータ!$C:$C,"&lt;="&amp;届出事由・区分・届出年月日ごと集計!G$2)</f>
        <v>0</v>
      </c>
      <c r="H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H$1,SQLデータ!$C:$C,"&lt;="&amp;届出事由・区分・届出年月日ごと集計!H$2)</f>
        <v>0</v>
      </c>
      <c r="I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I$1,SQLデータ!$C:$C,"&lt;="&amp;届出事由・区分・届出年月日ごと集計!I$2)</f>
        <v>0</v>
      </c>
      <c r="J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J$1,SQLデータ!$C:$C,"&lt;="&amp;届出事由・区分・届出年月日ごと集計!J$2)</f>
        <v>0</v>
      </c>
      <c r="K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K$1,SQLデータ!$C:$C,"&lt;="&amp;届出事由・区分・届出年月日ごと集計!K$2)</f>
        <v>0</v>
      </c>
      <c r="L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L$1,SQLデータ!$C:$C,"&lt;="&amp;届出事由・区分・届出年月日ごと集計!L$2)</f>
        <v>0</v>
      </c>
      <c r="M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M$1,SQLデータ!$C:$C,"&lt;="&amp;届出事由・区分・届出年月日ごと集計!M$2)</f>
        <v>0</v>
      </c>
      <c r="N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N$1,SQLデータ!$C:$C,"&lt;="&amp;届出事由・区分・届出年月日ごと集計!N$2)</f>
        <v>0</v>
      </c>
      <c r="O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O$1,SQLデータ!$C:$C,"&lt;="&amp;届出事由・区分・届出年月日ごと集計!O$2)</f>
        <v>0</v>
      </c>
      <c r="P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P$1,SQLデータ!$C:$C,"&lt;="&amp;届出事由・区分・届出年月日ごと集計!P$2)</f>
        <v>0</v>
      </c>
      <c r="Q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Q$1,SQLデータ!$C:$C,"&lt;="&amp;届出事由・区分・届出年月日ごと集計!Q$2)</f>
        <v>0</v>
      </c>
      <c r="R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R$1,SQLデータ!$C:$C,"&lt;="&amp;届出事由・区分・届出年月日ごと集計!R$2)</f>
        <v>0</v>
      </c>
      <c r="S80" s="85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S$1,SQLデータ!$C:$C,"&lt;="&amp;届出事由・区分・届出年月日ごと集計!S$2)</f>
        <v>0</v>
      </c>
      <c r="T80" s="92">
        <f>COUNTIFS(SQLデータ!$D:$D,"扶養",SQLデータ!$P:$P,1,SQLデータ!$H:$H,届出事由・区分・届出年月日ごと集計!$A80,SQLデータ!$G:$G,届出事由・区分・届出年月日ごと集計!$B80,SQLデータ!$M:$M,1,SQLデータ!$F:$F,"",SQLデータ!$C:$C,"&gt;="&amp;届出事由・区分・届出年月日ごと集計!T$1,SQLデータ!$C:$C,"&lt;="&amp;届出事由・区分・届出年月日ごと集計!T$2)</f>
        <v>0</v>
      </c>
    </row>
    <row r="81" spans="1:20" x14ac:dyDescent="0.4">
      <c r="A81" s="3" t="s">
        <v>74</v>
      </c>
      <c r="B81" s="3" t="s">
        <v>77</v>
      </c>
      <c r="C81" s="3" t="s">
        <v>72</v>
      </c>
      <c r="D81" s="3">
        <f>COUNTIFS(SQLデータ!$D:$D,"扶養",SQLデータ!$H:$H,届出事由・区分・届出年月日ごと集計!$A81,SQLデータ!$G:$G,届出事由・区分・届出年月日ごと集計!$B81,SQLデータ!$N:$N,1)</f>
        <v>0</v>
      </c>
      <c r="E81" s="107"/>
      <c r="F81" s="80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F$1,SQLデータ!$C:$C,"&lt;="&amp;届出事由・区分・届出年月日ごと集計!F$2)</f>
        <v>0</v>
      </c>
      <c r="G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G$1,SQLデータ!$C:$C,"&lt;="&amp;届出事由・区分・届出年月日ごと集計!G$2)</f>
        <v>0</v>
      </c>
      <c r="H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H$1,SQLデータ!$C:$C,"&lt;="&amp;届出事由・区分・届出年月日ごと集計!H$2)</f>
        <v>0</v>
      </c>
      <c r="I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I$1,SQLデータ!$C:$C,"&lt;="&amp;届出事由・区分・届出年月日ごと集計!I$2)</f>
        <v>0</v>
      </c>
      <c r="J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J$1,SQLデータ!$C:$C,"&lt;="&amp;届出事由・区分・届出年月日ごと集計!J$2)</f>
        <v>0</v>
      </c>
      <c r="K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K$1,SQLデータ!$C:$C,"&lt;="&amp;届出事由・区分・届出年月日ごと集計!K$2)</f>
        <v>0</v>
      </c>
      <c r="L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L$1,SQLデータ!$C:$C,"&lt;="&amp;届出事由・区分・届出年月日ごと集計!L$2)</f>
        <v>0</v>
      </c>
      <c r="M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M$1,SQLデータ!$C:$C,"&lt;="&amp;届出事由・区分・届出年月日ごと集計!M$2)</f>
        <v>0</v>
      </c>
      <c r="N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N$1,SQLデータ!$C:$C,"&lt;="&amp;届出事由・区分・届出年月日ごと集計!N$2)</f>
        <v>0</v>
      </c>
      <c r="O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O$1,SQLデータ!$C:$C,"&lt;="&amp;届出事由・区分・届出年月日ごと集計!O$2)</f>
        <v>0</v>
      </c>
      <c r="P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P$1,SQLデータ!$C:$C,"&lt;="&amp;届出事由・区分・届出年月日ごと集計!P$2)</f>
        <v>0</v>
      </c>
      <c r="Q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Q$1,SQLデータ!$C:$C,"&lt;="&amp;届出事由・区分・届出年月日ごと集計!Q$2)</f>
        <v>0</v>
      </c>
      <c r="R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R$1,SQLデータ!$C:$C,"&lt;="&amp;届出事由・区分・届出年月日ごと集計!R$2)</f>
        <v>0</v>
      </c>
      <c r="S81" s="85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S$1,SQLデータ!$C:$C,"&lt;="&amp;届出事由・区分・届出年月日ごと集計!S$2)</f>
        <v>0</v>
      </c>
      <c r="T81" s="92">
        <f>COUNTIFS(SQLデータ!$D:$D,"扶養",SQLデータ!$P:$P,1,SQLデータ!$H:$H,届出事由・区分・届出年月日ごと集計!$A81,SQLデータ!$G:$G,届出事由・区分・届出年月日ごと集計!$B81,SQLデータ!$N:$N,1,SQLデータ!$F:$F,"",SQLデータ!$C:$C,"&gt;="&amp;届出事由・区分・届出年月日ごと集計!T$1,SQLデータ!$C:$C,"&lt;="&amp;届出事由・区分・届出年月日ごと集計!T$2)</f>
        <v>0</v>
      </c>
    </row>
    <row r="82" spans="1:20" x14ac:dyDescent="0.4">
      <c r="A82" s="3" t="s">
        <v>74</v>
      </c>
      <c r="B82" s="3" t="s">
        <v>77</v>
      </c>
      <c r="C82" s="3" t="s">
        <v>73</v>
      </c>
      <c r="D82" s="3">
        <f>COUNTIFS(SQLデータ!$D:$D,"扶養",SQLデータ!$H:$H,届出事由・区分・届出年月日ごと集計!$A82,SQLデータ!$G:$G,届出事由・区分・届出年月日ごと集計!$B82,SQLデータ!$O:$O,1)</f>
        <v>0</v>
      </c>
      <c r="E82" s="107"/>
      <c r="F82" s="80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F$1,SQLデータ!$C:$C,"&lt;="&amp;届出事由・区分・届出年月日ごと集計!F$2)</f>
        <v>0</v>
      </c>
      <c r="G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G$1,SQLデータ!$C:$C,"&lt;="&amp;届出事由・区分・届出年月日ごと集計!G$2)</f>
        <v>0</v>
      </c>
      <c r="H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H$1,SQLデータ!$C:$C,"&lt;="&amp;届出事由・区分・届出年月日ごと集計!H$2)</f>
        <v>0</v>
      </c>
      <c r="I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I$1,SQLデータ!$C:$C,"&lt;="&amp;届出事由・区分・届出年月日ごと集計!I$2)</f>
        <v>0</v>
      </c>
      <c r="J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J$1,SQLデータ!$C:$C,"&lt;="&amp;届出事由・区分・届出年月日ごと集計!J$2)</f>
        <v>0</v>
      </c>
      <c r="K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K$1,SQLデータ!$C:$C,"&lt;="&amp;届出事由・区分・届出年月日ごと集計!K$2)</f>
        <v>0</v>
      </c>
      <c r="L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L$1,SQLデータ!$C:$C,"&lt;="&amp;届出事由・区分・届出年月日ごと集計!L$2)</f>
        <v>0</v>
      </c>
      <c r="M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M$1,SQLデータ!$C:$C,"&lt;="&amp;届出事由・区分・届出年月日ごと集計!M$2)</f>
        <v>0</v>
      </c>
      <c r="N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N$1,SQLデータ!$C:$C,"&lt;="&amp;届出事由・区分・届出年月日ごと集計!N$2)</f>
        <v>0</v>
      </c>
      <c r="O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O$1,SQLデータ!$C:$C,"&lt;="&amp;届出事由・区分・届出年月日ごと集計!O$2)</f>
        <v>0</v>
      </c>
      <c r="P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P$1,SQLデータ!$C:$C,"&lt;="&amp;届出事由・区分・届出年月日ごと集計!P$2)</f>
        <v>0</v>
      </c>
      <c r="Q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Q$1,SQLデータ!$C:$C,"&lt;="&amp;届出事由・区分・届出年月日ごと集計!Q$2)</f>
        <v>0</v>
      </c>
      <c r="R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R$1,SQLデータ!$C:$C,"&lt;="&amp;届出事由・区分・届出年月日ごと集計!R$2)</f>
        <v>0</v>
      </c>
      <c r="S82" s="85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S$1,SQLデータ!$C:$C,"&lt;="&amp;届出事由・区分・届出年月日ごと集計!S$2)</f>
        <v>0</v>
      </c>
      <c r="T82" s="92">
        <f>COUNTIFS(SQLデータ!$D:$D,"扶養",SQLデータ!$P:$P,1,SQLデータ!$H:$H,届出事由・区分・届出年月日ごと集計!$A82,SQLデータ!$G:$G,届出事由・区分・届出年月日ごと集計!$B82,SQLデータ!$O:$O,1,SQLデータ!$F:$F,"",SQLデータ!$C:$C,"&gt;="&amp;届出事由・区分・届出年月日ごと集計!T$1,SQLデータ!$C:$C,"&lt;="&amp;届出事由・区分・届出年月日ごと集計!T$2)</f>
        <v>0</v>
      </c>
    </row>
    <row r="83" spans="1:20" x14ac:dyDescent="0.4">
      <c r="A83" s="3" t="s">
        <v>74</v>
      </c>
      <c r="B83" s="3" t="s">
        <v>60</v>
      </c>
      <c r="C83" s="3" t="s">
        <v>70</v>
      </c>
      <c r="D83" s="3">
        <f>COUNTIFS(SQLデータ!$D:$D,"扶養",SQLデータ!$H:$H,届出事由・区分・届出年月日ごと集計!$A83,SQLデータ!$G:$G,届出事由・区分・届出年月日ごと集計!$B83,SQLデータ!$L:$L,1)</f>
        <v>2</v>
      </c>
      <c r="E83" s="107"/>
      <c r="F83" s="80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F$1,SQLデータ!$C:$C,"&lt;="&amp;届出事由・区分・届出年月日ごと集計!F$2)</f>
        <v>0</v>
      </c>
      <c r="G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G$1,SQLデータ!$C:$C,"&lt;="&amp;届出事由・区分・届出年月日ごと集計!G$2)</f>
        <v>0</v>
      </c>
      <c r="H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H$1,SQLデータ!$C:$C,"&lt;="&amp;届出事由・区分・届出年月日ごと集計!H$2)</f>
        <v>0</v>
      </c>
      <c r="I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I$1,SQLデータ!$C:$C,"&lt;="&amp;届出事由・区分・届出年月日ごと集計!I$2)</f>
        <v>0</v>
      </c>
      <c r="J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J$1,SQLデータ!$C:$C,"&lt;="&amp;届出事由・区分・届出年月日ごと集計!J$2)</f>
        <v>0</v>
      </c>
      <c r="K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K$1,SQLデータ!$C:$C,"&lt;="&amp;届出事由・区分・届出年月日ごと集計!K$2)</f>
        <v>0</v>
      </c>
      <c r="L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L$1,SQLデータ!$C:$C,"&lt;="&amp;届出事由・区分・届出年月日ごと集計!L$2)</f>
        <v>0</v>
      </c>
      <c r="M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M$1,SQLデータ!$C:$C,"&lt;="&amp;届出事由・区分・届出年月日ごと集計!M$2)</f>
        <v>0</v>
      </c>
      <c r="N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N$1,SQLデータ!$C:$C,"&lt;="&amp;届出事由・区分・届出年月日ごと集計!N$2)</f>
        <v>0</v>
      </c>
      <c r="O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O$1,SQLデータ!$C:$C,"&lt;="&amp;届出事由・区分・届出年月日ごと集計!O$2)</f>
        <v>0</v>
      </c>
      <c r="P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P$1,SQLデータ!$C:$C,"&lt;="&amp;届出事由・区分・届出年月日ごと集計!P$2)</f>
        <v>0</v>
      </c>
      <c r="Q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Q$1,SQLデータ!$C:$C,"&lt;="&amp;届出事由・区分・届出年月日ごと集計!Q$2)</f>
        <v>0</v>
      </c>
      <c r="R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R$1,SQLデータ!$C:$C,"&lt;="&amp;届出事由・区分・届出年月日ごと集計!R$2)</f>
        <v>0</v>
      </c>
      <c r="S83" s="85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S$1,SQLデータ!$C:$C,"&lt;="&amp;届出事由・区分・届出年月日ごと集計!S$2)</f>
        <v>0</v>
      </c>
      <c r="T83" s="92">
        <f>COUNTIFS(SQLデータ!$D:$D,"扶養",SQLデータ!$P:$P,1,SQLデータ!$H:$H,届出事由・区分・届出年月日ごと集計!$A83,SQLデータ!$G:$G,届出事由・区分・届出年月日ごと集計!$B83,SQLデータ!$L:$L,1,SQLデータ!$F:$F,"",SQLデータ!$C:$C,"&gt;="&amp;届出事由・区分・届出年月日ごと集計!T$1,SQLデータ!$C:$C,"&lt;="&amp;届出事由・区分・届出年月日ごと集計!T$2)</f>
        <v>0</v>
      </c>
    </row>
    <row r="84" spans="1:20" x14ac:dyDescent="0.4">
      <c r="A84" s="3" t="s">
        <v>74</v>
      </c>
      <c r="B84" s="3" t="s">
        <v>60</v>
      </c>
      <c r="C84" s="3" t="s">
        <v>71</v>
      </c>
      <c r="D84" s="3">
        <f>COUNTIFS(SQLデータ!$D:$D,"扶養",SQLデータ!$H:$H,届出事由・区分・届出年月日ごと集計!$A84,SQLデータ!$G:$G,届出事由・区分・届出年月日ごと集計!$B84,SQLデータ!$M:$M,1)</f>
        <v>0</v>
      </c>
      <c r="E84" s="107"/>
      <c r="F84" s="80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F$1,SQLデータ!$C:$C,"&lt;="&amp;届出事由・区分・届出年月日ごと集計!F$2)</f>
        <v>0</v>
      </c>
      <c r="G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G$1,SQLデータ!$C:$C,"&lt;="&amp;届出事由・区分・届出年月日ごと集計!G$2)</f>
        <v>0</v>
      </c>
      <c r="H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H$1,SQLデータ!$C:$C,"&lt;="&amp;届出事由・区分・届出年月日ごと集計!H$2)</f>
        <v>0</v>
      </c>
      <c r="I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I$1,SQLデータ!$C:$C,"&lt;="&amp;届出事由・区分・届出年月日ごと集計!I$2)</f>
        <v>0</v>
      </c>
      <c r="J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J$1,SQLデータ!$C:$C,"&lt;="&amp;届出事由・区分・届出年月日ごと集計!J$2)</f>
        <v>0</v>
      </c>
      <c r="K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K$1,SQLデータ!$C:$C,"&lt;="&amp;届出事由・区分・届出年月日ごと集計!K$2)</f>
        <v>0</v>
      </c>
      <c r="L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L$1,SQLデータ!$C:$C,"&lt;="&amp;届出事由・区分・届出年月日ごと集計!L$2)</f>
        <v>0</v>
      </c>
      <c r="M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M$1,SQLデータ!$C:$C,"&lt;="&amp;届出事由・区分・届出年月日ごと集計!M$2)</f>
        <v>0</v>
      </c>
      <c r="N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N$1,SQLデータ!$C:$C,"&lt;="&amp;届出事由・区分・届出年月日ごと集計!N$2)</f>
        <v>0</v>
      </c>
      <c r="O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O$1,SQLデータ!$C:$C,"&lt;="&amp;届出事由・区分・届出年月日ごと集計!O$2)</f>
        <v>0</v>
      </c>
      <c r="P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P$1,SQLデータ!$C:$C,"&lt;="&amp;届出事由・区分・届出年月日ごと集計!P$2)</f>
        <v>0</v>
      </c>
      <c r="Q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Q$1,SQLデータ!$C:$C,"&lt;="&amp;届出事由・区分・届出年月日ごと集計!Q$2)</f>
        <v>0</v>
      </c>
      <c r="R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R$1,SQLデータ!$C:$C,"&lt;="&amp;届出事由・区分・届出年月日ごと集計!R$2)</f>
        <v>0</v>
      </c>
      <c r="S84" s="85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S$1,SQLデータ!$C:$C,"&lt;="&amp;届出事由・区分・届出年月日ごと集計!S$2)</f>
        <v>0</v>
      </c>
      <c r="T84" s="92">
        <f>COUNTIFS(SQLデータ!$D:$D,"扶養",SQLデータ!$P:$P,1,SQLデータ!$H:$H,届出事由・区分・届出年月日ごと集計!$A84,SQLデータ!$G:$G,届出事由・区分・届出年月日ごと集計!$B84,SQLデータ!$M:$M,1,SQLデータ!$F:$F,"",SQLデータ!$C:$C,"&gt;="&amp;届出事由・区分・届出年月日ごと集計!T$1,SQLデータ!$C:$C,"&lt;="&amp;届出事由・区分・届出年月日ごと集計!T$2)</f>
        <v>0</v>
      </c>
    </row>
    <row r="85" spans="1:20" x14ac:dyDescent="0.4">
      <c r="A85" s="3" t="s">
        <v>74</v>
      </c>
      <c r="B85" s="3" t="s">
        <v>60</v>
      </c>
      <c r="C85" s="3" t="s">
        <v>72</v>
      </c>
      <c r="D85" s="3">
        <f>COUNTIFS(SQLデータ!$D:$D,"扶養",SQLデータ!$H:$H,届出事由・区分・届出年月日ごと集計!$A85,SQLデータ!$G:$G,届出事由・区分・届出年月日ごと集計!$B85,SQLデータ!$N:$N,1)</f>
        <v>2</v>
      </c>
      <c r="E85" s="107"/>
      <c r="F85" s="80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F$1,SQLデータ!$C:$C,"&lt;="&amp;届出事由・区分・届出年月日ごと集計!F$2)</f>
        <v>1</v>
      </c>
      <c r="G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G$1,SQLデータ!$C:$C,"&lt;="&amp;届出事由・区分・届出年月日ごと集計!G$2)</f>
        <v>0</v>
      </c>
      <c r="H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H$1,SQLデータ!$C:$C,"&lt;="&amp;届出事由・区分・届出年月日ごと集計!H$2)</f>
        <v>1</v>
      </c>
      <c r="I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I$1,SQLデータ!$C:$C,"&lt;="&amp;届出事由・区分・届出年月日ごと集計!I$2)</f>
        <v>0</v>
      </c>
      <c r="J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J$1,SQLデータ!$C:$C,"&lt;="&amp;届出事由・区分・届出年月日ごと集計!J$2)</f>
        <v>0</v>
      </c>
      <c r="K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K$1,SQLデータ!$C:$C,"&lt;="&amp;届出事由・区分・届出年月日ごと集計!K$2)</f>
        <v>0</v>
      </c>
      <c r="L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L$1,SQLデータ!$C:$C,"&lt;="&amp;届出事由・区分・届出年月日ごと集計!L$2)</f>
        <v>0</v>
      </c>
      <c r="M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M$1,SQLデータ!$C:$C,"&lt;="&amp;届出事由・区分・届出年月日ごと集計!M$2)</f>
        <v>0</v>
      </c>
      <c r="N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N$1,SQLデータ!$C:$C,"&lt;="&amp;届出事由・区分・届出年月日ごと集計!N$2)</f>
        <v>0</v>
      </c>
      <c r="O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O$1,SQLデータ!$C:$C,"&lt;="&amp;届出事由・区分・届出年月日ごと集計!O$2)</f>
        <v>0</v>
      </c>
      <c r="P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P$1,SQLデータ!$C:$C,"&lt;="&amp;届出事由・区分・届出年月日ごと集計!P$2)</f>
        <v>0</v>
      </c>
      <c r="Q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Q$1,SQLデータ!$C:$C,"&lt;="&amp;届出事由・区分・届出年月日ごと集計!Q$2)</f>
        <v>0</v>
      </c>
      <c r="R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R$1,SQLデータ!$C:$C,"&lt;="&amp;届出事由・区分・届出年月日ごと集計!R$2)</f>
        <v>0</v>
      </c>
      <c r="S85" s="85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S$1,SQLデータ!$C:$C,"&lt;="&amp;届出事由・区分・届出年月日ごと集計!S$2)</f>
        <v>0</v>
      </c>
      <c r="T85" s="92">
        <f>COUNTIFS(SQLデータ!$D:$D,"扶養",SQLデータ!$P:$P,1,SQLデータ!$H:$H,届出事由・区分・届出年月日ごと集計!$A85,SQLデータ!$G:$G,届出事由・区分・届出年月日ごと集計!$B85,SQLデータ!$N:$N,1,SQLデータ!$F:$F,"",SQLデータ!$C:$C,"&gt;="&amp;届出事由・区分・届出年月日ごと集計!T$1,SQLデータ!$C:$C,"&lt;="&amp;届出事由・区分・届出年月日ごと集計!T$2)</f>
        <v>0</v>
      </c>
    </row>
    <row r="86" spans="1:20" x14ac:dyDescent="0.4">
      <c r="A86" s="3" t="s">
        <v>74</v>
      </c>
      <c r="B86" s="3" t="s">
        <v>60</v>
      </c>
      <c r="C86" s="3" t="s">
        <v>73</v>
      </c>
      <c r="D86" s="3">
        <f>COUNTIFS(SQLデータ!$D:$D,"扶養",SQLデータ!$H:$H,届出事由・区分・届出年月日ごと集計!$A86,SQLデータ!$G:$G,届出事由・区分・届出年月日ごと集計!$B86,SQLデータ!$O:$O,1)</f>
        <v>0</v>
      </c>
      <c r="E86" s="107"/>
      <c r="F86" s="80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F$1,SQLデータ!$C:$C,"&lt;="&amp;届出事由・区分・届出年月日ごと集計!F$2)</f>
        <v>0</v>
      </c>
      <c r="G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G$1,SQLデータ!$C:$C,"&lt;="&amp;届出事由・区分・届出年月日ごと集計!G$2)</f>
        <v>0</v>
      </c>
      <c r="H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H$1,SQLデータ!$C:$C,"&lt;="&amp;届出事由・区分・届出年月日ごと集計!H$2)</f>
        <v>0</v>
      </c>
      <c r="I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I$1,SQLデータ!$C:$C,"&lt;="&amp;届出事由・区分・届出年月日ごと集計!I$2)</f>
        <v>0</v>
      </c>
      <c r="J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J$1,SQLデータ!$C:$C,"&lt;="&amp;届出事由・区分・届出年月日ごと集計!J$2)</f>
        <v>0</v>
      </c>
      <c r="K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K$1,SQLデータ!$C:$C,"&lt;="&amp;届出事由・区分・届出年月日ごと集計!K$2)</f>
        <v>0</v>
      </c>
      <c r="L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L$1,SQLデータ!$C:$C,"&lt;="&amp;届出事由・区分・届出年月日ごと集計!L$2)</f>
        <v>0</v>
      </c>
      <c r="M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M$1,SQLデータ!$C:$C,"&lt;="&amp;届出事由・区分・届出年月日ごと集計!M$2)</f>
        <v>0</v>
      </c>
      <c r="N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N$1,SQLデータ!$C:$C,"&lt;="&amp;届出事由・区分・届出年月日ごと集計!N$2)</f>
        <v>0</v>
      </c>
      <c r="O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O$1,SQLデータ!$C:$C,"&lt;="&amp;届出事由・区分・届出年月日ごと集計!O$2)</f>
        <v>0</v>
      </c>
      <c r="P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P$1,SQLデータ!$C:$C,"&lt;="&amp;届出事由・区分・届出年月日ごと集計!P$2)</f>
        <v>0</v>
      </c>
      <c r="Q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Q$1,SQLデータ!$C:$C,"&lt;="&amp;届出事由・区分・届出年月日ごと集計!Q$2)</f>
        <v>0</v>
      </c>
      <c r="R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R$1,SQLデータ!$C:$C,"&lt;="&amp;届出事由・区分・届出年月日ごと集計!R$2)</f>
        <v>0</v>
      </c>
      <c r="S86" s="85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S$1,SQLデータ!$C:$C,"&lt;="&amp;届出事由・区分・届出年月日ごと集計!S$2)</f>
        <v>0</v>
      </c>
      <c r="T86" s="92">
        <f>COUNTIFS(SQLデータ!$D:$D,"扶養",SQLデータ!$P:$P,1,SQLデータ!$H:$H,届出事由・区分・届出年月日ごと集計!$A86,SQLデータ!$G:$G,届出事由・区分・届出年月日ごと集計!$B86,SQLデータ!$O:$O,1,SQLデータ!$F:$F,"",SQLデータ!$C:$C,"&gt;="&amp;届出事由・区分・届出年月日ごと集計!T$1,SQLデータ!$C:$C,"&lt;="&amp;届出事由・区分・届出年月日ごと集計!T$2)</f>
        <v>0</v>
      </c>
    </row>
    <row r="87" spans="1:20" x14ac:dyDescent="0.4">
      <c r="A87" s="3" t="s">
        <v>74</v>
      </c>
      <c r="B87" s="3" t="s">
        <v>80</v>
      </c>
      <c r="C87" s="3" t="s">
        <v>70</v>
      </c>
      <c r="D87" s="3">
        <f>COUNTIFS(SQLデータ!$D:$D,"扶養",SQLデータ!$H:$H,届出事由・区分・届出年月日ごと集計!$A87,SQLデータ!$G:$G,届出事由・区分・届出年月日ごと集計!$B87,SQLデータ!$L:$L,1)</f>
        <v>0</v>
      </c>
      <c r="E87" s="107"/>
      <c r="F87" s="80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F$1,SQLデータ!$C:$C,"&lt;="&amp;届出事由・区分・届出年月日ごと集計!F$2)</f>
        <v>0</v>
      </c>
      <c r="G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G$1,SQLデータ!$C:$C,"&lt;="&amp;届出事由・区分・届出年月日ごと集計!G$2)</f>
        <v>0</v>
      </c>
      <c r="H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H$1,SQLデータ!$C:$C,"&lt;="&amp;届出事由・区分・届出年月日ごと集計!H$2)</f>
        <v>0</v>
      </c>
      <c r="I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I$1,SQLデータ!$C:$C,"&lt;="&amp;届出事由・区分・届出年月日ごと集計!I$2)</f>
        <v>0</v>
      </c>
      <c r="J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J$1,SQLデータ!$C:$C,"&lt;="&amp;届出事由・区分・届出年月日ごと集計!J$2)</f>
        <v>0</v>
      </c>
      <c r="K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K$1,SQLデータ!$C:$C,"&lt;="&amp;届出事由・区分・届出年月日ごと集計!K$2)</f>
        <v>0</v>
      </c>
      <c r="L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L$1,SQLデータ!$C:$C,"&lt;="&amp;届出事由・区分・届出年月日ごと集計!L$2)</f>
        <v>0</v>
      </c>
      <c r="M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M$1,SQLデータ!$C:$C,"&lt;="&amp;届出事由・区分・届出年月日ごと集計!M$2)</f>
        <v>0</v>
      </c>
      <c r="N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N$1,SQLデータ!$C:$C,"&lt;="&amp;届出事由・区分・届出年月日ごと集計!N$2)</f>
        <v>0</v>
      </c>
      <c r="O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O$1,SQLデータ!$C:$C,"&lt;="&amp;届出事由・区分・届出年月日ごと集計!O$2)</f>
        <v>0</v>
      </c>
      <c r="P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P$1,SQLデータ!$C:$C,"&lt;="&amp;届出事由・区分・届出年月日ごと集計!P$2)</f>
        <v>0</v>
      </c>
      <c r="Q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Q$1,SQLデータ!$C:$C,"&lt;="&amp;届出事由・区分・届出年月日ごと集計!Q$2)</f>
        <v>0</v>
      </c>
      <c r="R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R$1,SQLデータ!$C:$C,"&lt;="&amp;届出事由・区分・届出年月日ごと集計!R$2)</f>
        <v>0</v>
      </c>
      <c r="S87" s="85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S$1,SQLデータ!$C:$C,"&lt;="&amp;届出事由・区分・届出年月日ごと集計!S$2)</f>
        <v>0</v>
      </c>
      <c r="T87" s="92">
        <f>COUNTIFS(SQLデータ!$D:$D,"扶養",SQLデータ!$P:$P,1,SQLデータ!$H:$H,届出事由・区分・届出年月日ごと集計!$A87,SQLデータ!$G:$G,届出事由・区分・届出年月日ごと集計!$B87,SQLデータ!$L:$L,1,SQLデータ!$F:$F,"",SQLデータ!$C:$C,"&gt;="&amp;届出事由・区分・届出年月日ごと集計!T$1,SQLデータ!$C:$C,"&lt;="&amp;届出事由・区分・届出年月日ごと集計!T$2)</f>
        <v>0</v>
      </c>
    </row>
    <row r="88" spans="1:20" x14ac:dyDescent="0.4">
      <c r="A88" s="3" t="s">
        <v>74</v>
      </c>
      <c r="B88" s="3" t="s">
        <v>80</v>
      </c>
      <c r="C88" s="3" t="s">
        <v>71</v>
      </c>
      <c r="D88" s="3">
        <f>COUNTIFS(SQLデータ!$D:$D,"扶養",SQLデータ!$H:$H,届出事由・区分・届出年月日ごと集計!$A88,SQLデータ!$G:$G,届出事由・区分・届出年月日ごと集計!$B88,SQLデータ!$M:$M,1)</f>
        <v>0</v>
      </c>
      <c r="E88" s="107"/>
      <c r="F88" s="80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F$1,SQLデータ!$C:$C,"&lt;="&amp;届出事由・区分・届出年月日ごと集計!F$2)</f>
        <v>0</v>
      </c>
      <c r="G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G$1,SQLデータ!$C:$C,"&lt;="&amp;届出事由・区分・届出年月日ごと集計!G$2)</f>
        <v>0</v>
      </c>
      <c r="H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H$1,SQLデータ!$C:$C,"&lt;="&amp;届出事由・区分・届出年月日ごと集計!H$2)</f>
        <v>0</v>
      </c>
      <c r="I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I$1,SQLデータ!$C:$C,"&lt;="&amp;届出事由・区分・届出年月日ごと集計!I$2)</f>
        <v>0</v>
      </c>
      <c r="J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J$1,SQLデータ!$C:$C,"&lt;="&amp;届出事由・区分・届出年月日ごと集計!J$2)</f>
        <v>0</v>
      </c>
      <c r="K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K$1,SQLデータ!$C:$C,"&lt;="&amp;届出事由・区分・届出年月日ごと集計!K$2)</f>
        <v>0</v>
      </c>
      <c r="L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L$1,SQLデータ!$C:$C,"&lt;="&amp;届出事由・区分・届出年月日ごと集計!L$2)</f>
        <v>0</v>
      </c>
      <c r="M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M$1,SQLデータ!$C:$C,"&lt;="&amp;届出事由・区分・届出年月日ごと集計!M$2)</f>
        <v>0</v>
      </c>
      <c r="N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N$1,SQLデータ!$C:$C,"&lt;="&amp;届出事由・区分・届出年月日ごと集計!N$2)</f>
        <v>0</v>
      </c>
      <c r="O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O$1,SQLデータ!$C:$C,"&lt;="&amp;届出事由・区分・届出年月日ごと集計!O$2)</f>
        <v>0</v>
      </c>
      <c r="P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P$1,SQLデータ!$C:$C,"&lt;="&amp;届出事由・区分・届出年月日ごと集計!P$2)</f>
        <v>0</v>
      </c>
      <c r="Q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Q$1,SQLデータ!$C:$C,"&lt;="&amp;届出事由・区分・届出年月日ごと集計!Q$2)</f>
        <v>0</v>
      </c>
      <c r="R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R$1,SQLデータ!$C:$C,"&lt;="&amp;届出事由・区分・届出年月日ごと集計!R$2)</f>
        <v>0</v>
      </c>
      <c r="S88" s="85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S$1,SQLデータ!$C:$C,"&lt;="&amp;届出事由・区分・届出年月日ごと集計!S$2)</f>
        <v>0</v>
      </c>
      <c r="T88" s="92">
        <f>COUNTIFS(SQLデータ!$D:$D,"扶養",SQLデータ!$P:$P,1,SQLデータ!$H:$H,届出事由・区分・届出年月日ごと集計!$A88,SQLデータ!$G:$G,届出事由・区分・届出年月日ごと集計!$B88,SQLデータ!$M:$M,1,SQLデータ!$F:$F,"",SQLデータ!$C:$C,"&gt;="&amp;届出事由・区分・届出年月日ごと集計!T$1,SQLデータ!$C:$C,"&lt;="&amp;届出事由・区分・届出年月日ごと集計!T$2)</f>
        <v>0</v>
      </c>
    </row>
    <row r="89" spans="1:20" x14ac:dyDescent="0.4">
      <c r="A89" s="3" t="s">
        <v>74</v>
      </c>
      <c r="B89" s="3" t="s">
        <v>80</v>
      </c>
      <c r="C89" s="3" t="s">
        <v>72</v>
      </c>
      <c r="D89" s="3">
        <f>COUNTIFS(SQLデータ!$D:$D,"扶養",SQLデータ!$H:$H,届出事由・区分・届出年月日ごと集計!$A89,SQLデータ!$G:$G,届出事由・区分・届出年月日ごと集計!$B89,SQLデータ!$N:$N,1)</f>
        <v>0</v>
      </c>
      <c r="E89" s="107"/>
      <c r="F89" s="80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F$1,SQLデータ!$C:$C,"&lt;="&amp;届出事由・区分・届出年月日ごと集計!F$2)</f>
        <v>0</v>
      </c>
      <c r="G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G$1,SQLデータ!$C:$C,"&lt;="&amp;届出事由・区分・届出年月日ごと集計!G$2)</f>
        <v>0</v>
      </c>
      <c r="H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H$1,SQLデータ!$C:$C,"&lt;="&amp;届出事由・区分・届出年月日ごと集計!H$2)</f>
        <v>0</v>
      </c>
      <c r="I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I$1,SQLデータ!$C:$C,"&lt;="&amp;届出事由・区分・届出年月日ごと集計!I$2)</f>
        <v>0</v>
      </c>
      <c r="J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J$1,SQLデータ!$C:$C,"&lt;="&amp;届出事由・区分・届出年月日ごと集計!J$2)</f>
        <v>0</v>
      </c>
      <c r="K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K$1,SQLデータ!$C:$C,"&lt;="&amp;届出事由・区分・届出年月日ごと集計!K$2)</f>
        <v>0</v>
      </c>
      <c r="L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L$1,SQLデータ!$C:$C,"&lt;="&amp;届出事由・区分・届出年月日ごと集計!L$2)</f>
        <v>0</v>
      </c>
      <c r="M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M$1,SQLデータ!$C:$C,"&lt;="&amp;届出事由・区分・届出年月日ごと集計!M$2)</f>
        <v>0</v>
      </c>
      <c r="N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N$1,SQLデータ!$C:$C,"&lt;="&amp;届出事由・区分・届出年月日ごと集計!N$2)</f>
        <v>0</v>
      </c>
      <c r="O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O$1,SQLデータ!$C:$C,"&lt;="&amp;届出事由・区分・届出年月日ごと集計!O$2)</f>
        <v>0</v>
      </c>
      <c r="P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P$1,SQLデータ!$C:$C,"&lt;="&amp;届出事由・区分・届出年月日ごと集計!P$2)</f>
        <v>0</v>
      </c>
      <c r="Q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Q$1,SQLデータ!$C:$C,"&lt;="&amp;届出事由・区分・届出年月日ごと集計!Q$2)</f>
        <v>0</v>
      </c>
      <c r="R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R$1,SQLデータ!$C:$C,"&lt;="&amp;届出事由・区分・届出年月日ごと集計!R$2)</f>
        <v>0</v>
      </c>
      <c r="S89" s="85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S$1,SQLデータ!$C:$C,"&lt;="&amp;届出事由・区分・届出年月日ごと集計!S$2)</f>
        <v>0</v>
      </c>
      <c r="T89" s="92">
        <f>COUNTIFS(SQLデータ!$D:$D,"扶養",SQLデータ!$P:$P,1,SQLデータ!$H:$H,届出事由・区分・届出年月日ごと集計!$A89,SQLデータ!$G:$G,届出事由・区分・届出年月日ごと集計!$B89,SQLデータ!$N:$N,1,SQLデータ!$F:$F,"",SQLデータ!$C:$C,"&gt;="&amp;届出事由・区分・届出年月日ごと集計!T$1,SQLデータ!$C:$C,"&lt;="&amp;届出事由・区分・届出年月日ごと集計!T$2)</f>
        <v>0</v>
      </c>
    </row>
    <row r="90" spans="1:20" x14ac:dyDescent="0.4">
      <c r="A90" s="3" t="s">
        <v>74</v>
      </c>
      <c r="B90" s="3" t="s">
        <v>80</v>
      </c>
      <c r="C90" s="3" t="s">
        <v>73</v>
      </c>
      <c r="D90" s="3">
        <f>COUNTIFS(SQLデータ!$D:$D,"扶養",SQLデータ!$H:$H,届出事由・区分・届出年月日ごと集計!$A90,SQLデータ!$G:$G,届出事由・区分・届出年月日ごと集計!$B90,SQLデータ!$O:$O,1)</f>
        <v>0</v>
      </c>
      <c r="E90" s="107"/>
      <c r="F90" s="80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F$1,SQLデータ!$C:$C,"&lt;="&amp;届出事由・区分・届出年月日ごと集計!F$2)</f>
        <v>0</v>
      </c>
      <c r="G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G$1,SQLデータ!$C:$C,"&lt;="&amp;届出事由・区分・届出年月日ごと集計!G$2)</f>
        <v>0</v>
      </c>
      <c r="H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H$1,SQLデータ!$C:$C,"&lt;="&amp;届出事由・区分・届出年月日ごと集計!H$2)</f>
        <v>0</v>
      </c>
      <c r="I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I$1,SQLデータ!$C:$C,"&lt;="&amp;届出事由・区分・届出年月日ごと集計!I$2)</f>
        <v>0</v>
      </c>
      <c r="J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J$1,SQLデータ!$C:$C,"&lt;="&amp;届出事由・区分・届出年月日ごと集計!J$2)</f>
        <v>0</v>
      </c>
      <c r="K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K$1,SQLデータ!$C:$C,"&lt;="&amp;届出事由・区分・届出年月日ごと集計!K$2)</f>
        <v>0</v>
      </c>
      <c r="L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L$1,SQLデータ!$C:$C,"&lt;="&amp;届出事由・区分・届出年月日ごと集計!L$2)</f>
        <v>0</v>
      </c>
      <c r="M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M$1,SQLデータ!$C:$C,"&lt;="&amp;届出事由・区分・届出年月日ごと集計!M$2)</f>
        <v>0</v>
      </c>
      <c r="N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N$1,SQLデータ!$C:$C,"&lt;="&amp;届出事由・区分・届出年月日ごと集計!N$2)</f>
        <v>0</v>
      </c>
      <c r="O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O$1,SQLデータ!$C:$C,"&lt;="&amp;届出事由・区分・届出年月日ごと集計!O$2)</f>
        <v>0</v>
      </c>
      <c r="P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P$1,SQLデータ!$C:$C,"&lt;="&amp;届出事由・区分・届出年月日ごと集計!P$2)</f>
        <v>0</v>
      </c>
      <c r="Q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Q$1,SQLデータ!$C:$C,"&lt;="&amp;届出事由・区分・届出年月日ごと集計!Q$2)</f>
        <v>0</v>
      </c>
      <c r="R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R$1,SQLデータ!$C:$C,"&lt;="&amp;届出事由・区分・届出年月日ごと集計!R$2)</f>
        <v>0</v>
      </c>
      <c r="S90" s="85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S$1,SQLデータ!$C:$C,"&lt;="&amp;届出事由・区分・届出年月日ごと集計!S$2)</f>
        <v>0</v>
      </c>
      <c r="T90" s="92">
        <f>COUNTIFS(SQLデータ!$D:$D,"扶養",SQLデータ!$P:$P,1,SQLデータ!$H:$H,届出事由・区分・届出年月日ごと集計!$A90,SQLデータ!$G:$G,届出事由・区分・届出年月日ごと集計!$B90,SQLデータ!$O:$O,1,SQLデータ!$F:$F,"",SQLデータ!$C:$C,"&gt;="&amp;届出事由・区分・届出年月日ごと集計!T$1,SQLデータ!$C:$C,"&lt;="&amp;届出事由・区分・届出年月日ごと集計!T$2)</f>
        <v>0</v>
      </c>
    </row>
    <row r="91" spans="1:20" x14ac:dyDescent="0.4">
      <c r="A91" s="3" t="s">
        <v>74</v>
      </c>
      <c r="B91" s="3" t="s">
        <v>81</v>
      </c>
      <c r="C91" s="3" t="s">
        <v>70</v>
      </c>
      <c r="D91" s="3">
        <f>COUNTIFS(SQLデータ!$D:$D,"扶養",SQLデータ!$H:$H,届出事由・区分・届出年月日ごと集計!$A91,SQLデータ!$G:$G,届出事由・区分・届出年月日ごと集計!$B91,SQLデータ!$L:$L,1)</f>
        <v>1</v>
      </c>
      <c r="E91" s="107"/>
      <c r="F91" s="80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F$1,SQLデータ!$C:$C,"&lt;="&amp;届出事由・区分・届出年月日ごと集計!F$2)</f>
        <v>0</v>
      </c>
      <c r="G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G$1,SQLデータ!$C:$C,"&lt;="&amp;届出事由・区分・届出年月日ごと集計!G$2)</f>
        <v>0</v>
      </c>
      <c r="H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H$1,SQLデータ!$C:$C,"&lt;="&amp;届出事由・区分・届出年月日ごと集計!H$2)</f>
        <v>0</v>
      </c>
      <c r="I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I$1,SQLデータ!$C:$C,"&lt;="&amp;届出事由・区分・届出年月日ごと集計!I$2)</f>
        <v>0</v>
      </c>
      <c r="J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J$1,SQLデータ!$C:$C,"&lt;="&amp;届出事由・区分・届出年月日ごと集計!J$2)</f>
        <v>0</v>
      </c>
      <c r="K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K$1,SQLデータ!$C:$C,"&lt;="&amp;届出事由・区分・届出年月日ごと集計!K$2)</f>
        <v>0</v>
      </c>
      <c r="L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L$1,SQLデータ!$C:$C,"&lt;="&amp;届出事由・区分・届出年月日ごと集計!L$2)</f>
        <v>0</v>
      </c>
      <c r="M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M$1,SQLデータ!$C:$C,"&lt;="&amp;届出事由・区分・届出年月日ごと集計!M$2)</f>
        <v>0</v>
      </c>
      <c r="N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N$1,SQLデータ!$C:$C,"&lt;="&amp;届出事由・区分・届出年月日ごと集計!N$2)</f>
        <v>0</v>
      </c>
      <c r="O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O$1,SQLデータ!$C:$C,"&lt;="&amp;届出事由・区分・届出年月日ごと集計!O$2)</f>
        <v>0</v>
      </c>
      <c r="P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P$1,SQLデータ!$C:$C,"&lt;="&amp;届出事由・区分・届出年月日ごと集計!P$2)</f>
        <v>0</v>
      </c>
      <c r="Q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Q$1,SQLデータ!$C:$C,"&lt;="&amp;届出事由・区分・届出年月日ごと集計!Q$2)</f>
        <v>0</v>
      </c>
      <c r="R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R$1,SQLデータ!$C:$C,"&lt;="&amp;届出事由・区分・届出年月日ごと集計!R$2)</f>
        <v>0</v>
      </c>
      <c r="S91" s="85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S$1,SQLデータ!$C:$C,"&lt;="&amp;届出事由・区分・届出年月日ごと集計!S$2)</f>
        <v>0</v>
      </c>
      <c r="T91" s="92">
        <f>COUNTIFS(SQLデータ!$D:$D,"扶養",SQLデータ!$P:$P,1,SQLデータ!$H:$H,届出事由・区分・届出年月日ごと集計!$A91,SQLデータ!$G:$G,届出事由・区分・届出年月日ごと集計!$B91,SQLデータ!$L:$L,1,SQLデータ!$F:$F,"",SQLデータ!$C:$C,"&gt;="&amp;届出事由・区分・届出年月日ごと集計!T$1,SQLデータ!$C:$C,"&lt;="&amp;届出事由・区分・届出年月日ごと集計!T$2)</f>
        <v>0</v>
      </c>
    </row>
    <row r="92" spans="1:20" x14ac:dyDescent="0.4">
      <c r="A92" s="3" t="s">
        <v>74</v>
      </c>
      <c r="B92" s="3" t="s">
        <v>81</v>
      </c>
      <c r="C92" s="3" t="s">
        <v>71</v>
      </c>
      <c r="D92" s="3">
        <f>COUNTIFS(SQLデータ!$D:$D,"扶養",SQLデータ!$H:$H,届出事由・区分・届出年月日ごと集計!$A92,SQLデータ!$G:$G,届出事由・区分・届出年月日ごと集計!$B92,SQLデータ!$M:$M,1)</f>
        <v>0</v>
      </c>
      <c r="E92" s="107"/>
      <c r="F92" s="80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F$1,SQLデータ!$C:$C,"&lt;="&amp;届出事由・区分・届出年月日ごと集計!F$2)</f>
        <v>0</v>
      </c>
      <c r="G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G$1,SQLデータ!$C:$C,"&lt;="&amp;届出事由・区分・届出年月日ごと集計!G$2)</f>
        <v>0</v>
      </c>
      <c r="H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H$1,SQLデータ!$C:$C,"&lt;="&amp;届出事由・区分・届出年月日ごと集計!H$2)</f>
        <v>0</v>
      </c>
      <c r="I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I$1,SQLデータ!$C:$C,"&lt;="&amp;届出事由・区分・届出年月日ごと集計!I$2)</f>
        <v>0</v>
      </c>
      <c r="J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J$1,SQLデータ!$C:$C,"&lt;="&amp;届出事由・区分・届出年月日ごと集計!J$2)</f>
        <v>0</v>
      </c>
      <c r="K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K$1,SQLデータ!$C:$C,"&lt;="&amp;届出事由・区分・届出年月日ごと集計!K$2)</f>
        <v>0</v>
      </c>
      <c r="L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L$1,SQLデータ!$C:$C,"&lt;="&amp;届出事由・区分・届出年月日ごと集計!L$2)</f>
        <v>0</v>
      </c>
      <c r="M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M$1,SQLデータ!$C:$C,"&lt;="&amp;届出事由・区分・届出年月日ごと集計!M$2)</f>
        <v>0</v>
      </c>
      <c r="N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N$1,SQLデータ!$C:$C,"&lt;="&amp;届出事由・区分・届出年月日ごと集計!N$2)</f>
        <v>0</v>
      </c>
      <c r="O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O$1,SQLデータ!$C:$C,"&lt;="&amp;届出事由・区分・届出年月日ごと集計!O$2)</f>
        <v>0</v>
      </c>
      <c r="P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P$1,SQLデータ!$C:$C,"&lt;="&amp;届出事由・区分・届出年月日ごと集計!P$2)</f>
        <v>0</v>
      </c>
      <c r="Q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Q$1,SQLデータ!$C:$C,"&lt;="&amp;届出事由・区分・届出年月日ごと集計!Q$2)</f>
        <v>0</v>
      </c>
      <c r="R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R$1,SQLデータ!$C:$C,"&lt;="&amp;届出事由・区分・届出年月日ごと集計!R$2)</f>
        <v>0</v>
      </c>
      <c r="S92" s="85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S$1,SQLデータ!$C:$C,"&lt;="&amp;届出事由・区分・届出年月日ごと集計!S$2)</f>
        <v>0</v>
      </c>
      <c r="T92" s="92">
        <f>COUNTIFS(SQLデータ!$D:$D,"扶養",SQLデータ!$P:$P,1,SQLデータ!$H:$H,届出事由・区分・届出年月日ごと集計!$A92,SQLデータ!$G:$G,届出事由・区分・届出年月日ごと集計!$B92,SQLデータ!$M:$M,1,SQLデータ!$F:$F,"",SQLデータ!$C:$C,"&gt;="&amp;届出事由・区分・届出年月日ごと集計!T$1,SQLデータ!$C:$C,"&lt;="&amp;届出事由・区分・届出年月日ごと集計!T$2)</f>
        <v>0</v>
      </c>
    </row>
    <row r="93" spans="1:20" x14ac:dyDescent="0.4">
      <c r="A93" s="3" t="s">
        <v>74</v>
      </c>
      <c r="B93" s="3" t="s">
        <v>81</v>
      </c>
      <c r="C93" s="3" t="s">
        <v>72</v>
      </c>
      <c r="D93" s="3">
        <f>COUNTIFS(SQLデータ!$D:$D,"扶養",SQLデータ!$H:$H,届出事由・区分・届出年月日ごと集計!$A93,SQLデータ!$G:$G,届出事由・区分・届出年月日ごと集計!$B93,SQLデータ!$N:$N,1)</f>
        <v>2</v>
      </c>
      <c r="E93" s="107"/>
      <c r="F93" s="80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F$1,SQLデータ!$C:$C,"&lt;="&amp;届出事由・区分・届出年月日ごと集計!F$2)</f>
        <v>2</v>
      </c>
      <c r="G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G$1,SQLデータ!$C:$C,"&lt;="&amp;届出事由・区分・届出年月日ごと集計!G$2)</f>
        <v>0</v>
      </c>
      <c r="H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H$1,SQLデータ!$C:$C,"&lt;="&amp;届出事由・区分・届出年月日ごと集計!H$2)</f>
        <v>0</v>
      </c>
      <c r="I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I$1,SQLデータ!$C:$C,"&lt;="&amp;届出事由・区分・届出年月日ごと集計!I$2)</f>
        <v>0</v>
      </c>
      <c r="J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J$1,SQLデータ!$C:$C,"&lt;="&amp;届出事由・区分・届出年月日ごと集計!J$2)</f>
        <v>0</v>
      </c>
      <c r="K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K$1,SQLデータ!$C:$C,"&lt;="&amp;届出事由・区分・届出年月日ごと集計!K$2)</f>
        <v>0</v>
      </c>
      <c r="L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L$1,SQLデータ!$C:$C,"&lt;="&amp;届出事由・区分・届出年月日ごと集計!L$2)</f>
        <v>0</v>
      </c>
      <c r="M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M$1,SQLデータ!$C:$C,"&lt;="&amp;届出事由・区分・届出年月日ごと集計!M$2)</f>
        <v>0</v>
      </c>
      <c r="N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N$1,SQLデータ!$C:$C,"&lt;="&amp;届出事由・区分・届出年月日ごと集計!N$2)</f>
        <v>0</v>
      </c>
      <c r="O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O$1,SQLデータ!$C:$C,"&lt;="&amp;届出事由・区分・届出年月日ごと集計!O$2)</f>
        <v>0</v>
      </c>
      <c r="P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P$1,SQLデータ!$C:$C,"&lt;="&amp;届出事由・区分・届出年月日ごと集計!P$2)</f>
        <v>0</v>
      </c>
      <c r="Q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Q$1,SQLデータ!$C:$C,"&lt;="&amp;届出事由・区分・届出年月日ごと集計!Q$2)</f>
        <v>0</v>
      </c>
      <c r="R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R$1,SQLデータ!$C:$C,"&lt;="&amp;届出事由・区分・届出年月日ごと集計!R$2)</f>
        <v>0</v>
      </c>
      <c r="S93" s="85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S$1,SQLデータ!$C:$C,"&lt;="&amp;届出事由・区分・届出年月日ごと集計!S$2)</f>
        <v>0</v>
      </c>
      <c r="T93" s="92">
        <f>COUNTIFS(SQLデータ!$D:$D,"扶養",SQLデータ!$P:$P,1,SQLデータ!$H:$H,届出事由・区分・届出年月日ごと集計!$A93,SQLデータ!$G:$G,届出事由・区分・届出年月日ごと集計!$B93,SQLデータ!$N:$N,1,SQLデータ!$F:$F,"",SQLデータ!$C:$C,"&gt;="&amp;届出事由・区分・届出年月日ごと集計!T$1,SQLデータ!$C:$C,"&lt;="&amp;届出事由・区分・届出年月日ごと集計!T$2)</f>
        <v>0</v>
      </c>
    </row>
    <row r="94" spans="1:20" x14ac:dyDescent="0.4">
      <c r="A94" s="3" t="s">
        <v>74</v>
      </c>
      <c r="B94" s="3" t="s">
        <v>81</v>
      </c>
      <c r="C94" s="3" t="s">
        <v>73</v>
      </c>
      <c r="D94" s="3">
        <f>COUNTIFS(SQLデータ!$D:$D,"扶養",SQLデータ!$H:$H,届出事由・区分・届出年月日ごと集計!$A94,SQLデータ!$G:$G,届出事由・区分・届出年月日ごと集計!$B94,SQLデータ!$O:$O,1)</f>
        <v>1</v>
      </c>
      <c r="E94" s="107"/>
      <c r="F94" s="80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F$1,SQLデータ!$C:$C,"&lt;="&amp;届出事由・区分・届出年月日ごと集計!F$2)</f>
        <v>0</v>
      </c>
      <c r="G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G$1,SQLデータ!$C:$C,"&lt;="&amp;届出事由・区分・届出年月日ごと集計!G$2)</f>
        <v>0</v>
      </c>
      <c r="H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H$1,SQLデータ!$C:$C,"&lt;="&amp;届出事由・区分・届出年月日ごと集計!H$2)</f>
        <v>0</v>
      </c>
      <c r="I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I$1,SQLデータ!$C:$C,"&lt;="&amp;届出事由・区分・届出年月日ごと集計!I$2)</f>
        <v>0</v>
      </c>
      <c r="J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J$1,SQLデータ!$C:$C,"&lt;="&amp;届出事由・区分・届出年月日ごと集計!J$2)</f>
        <v>0</v>
      </c>
      <c r="K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K$1,SQLデータ!$C:$C,"&lt;="&amp;届出事由・区分・届出年月日ごと集計!K$2)</f>
        <v>0</v>
      </c>
      <c r="L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L$1,SQLデータ!$C:$C,"&lt;="&amp;届出事由・区分・届出年月日ごと集計!L$2)</f>
        <v>0</v>
      </c>
      <c r="M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M$1,SQLデータ!$C:$C,"&lt;="&amp;届出事由・区分・届出年月日ごと集計!M$2)</f>
        <v>0</v>
      </c>
      <c r="N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N$1,SQLデータ!$C:$C,"&lt;="&amp;届出事由・区分・届出年月日ごと集計!N$2)</f>
        <v>0</v>
      </c>
      <c r="O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O$1,SQLデータ!$C:$C,"&lt;="&amp;届出事由・区分・届出年月日ごと集計!O$2)</f>
        <v>0</v>
      </c>
      <c r="P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P$1,SQLデータ!$C:$C,"&lt;="&amp;届出事由・区分・届出年月日ごと集計!P$2)</f>
        <v>0</v>
      </c>
      <c r="Q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Q$1,SQLデータ!$C:$C,"&lt;="&amp;届出事由・区分・届出年月日ごと集計!Q$2)</f>
        <v>0</v>
      </c>
      <c r="R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R$1,SQLデータ!$C:$C,"&lt;="&amp;届出事由・区分・届出年月日ごと集計!R$2)</f>
        <v>0</v>
      </c>
      <c r="S94" s="85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S$1,SQLデータ!$C:$C,"&lt;="&amp;届出事由・区分・届出年月日ごと集計!S$2)</f>
        <v>0</v>
      </c>
      <c r="T94" s="92">
        <f>COUNTIFS(SQLデータ!$D:$D,"扶養",SQLデータ!$P:$P,1,SQLデータ!$H:$H,届出事由・区分・届出年月日ごと集計!$A94,SQLデータ!$G:$G,届出事由・区分・届出年月日ごと集計!$B94,SQLデータ!$O:$O,1,SQLデータ!$F:$F,"",SQLデータ!$C:$C,"&gt;="&amp;届出事由・区分・届出年月日ごと集計!T$1,SQLデータ!$C:$C,"&lt;="&amp;届出事由・区分・届出年月日ごと集計!T$2)</f>
        <v>0</v>
      </c>
    </row>
    <row r="95" spans="1:20" x14ac:dyDescent="0.4">
      <c r="A95" s="3" t="s">
        <v>74</v>
      </c>
      <c r="B95" s="3" t="s">
        <v>82</v>
      </c>
      <c r="C95" s="3" t="s">
        <v>70</v>
      </c>
      <c r="D95" s="3">
        <f>COUNTIFS(SQLデータ!$D:$D,"扶養",SQLデータ!$H:$H,届出事由・区分・届出年月日ごと集計!$A95,SQLデータ!$G:$G,届出事由・区分・届出年月日ごと集計!$B95,SQLデータ!$L:$L,1)</f>
        <v>0</v>
      </c>
      <c r="E95" s="107"/>
      <c r="F95" s="80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F$1,SQLデータ!$C:$C,"&lt;="&amp;届出事由・区分・届出年月日ごと集計!F$2)</f>
        <v>0</v>
      </c>
      <c r="G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G$1,SQLデータ!$C:$C,"&lt;="&amp;届出事由・区分・届出年月日ごと集計!G$2)</f>
        <v>0</v>
      </c>
      <c r="H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H$1,SQLデータ!$C:$C,"&lt;="&amp;届出事由・区分・届出年月日ごと集計!H$2)</f>
        <v>0</v>
      </c>
      <c r="I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I$1,SQLデータ!$C:$C,"&lt;="&amp;届出事由・区分・届出年月日ごと集計!I$2)</f>
        <v>0</v>
      </c>
      <c r="J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J$1,SQLデータ!$C:$C,"&lt;="&amp;届出事由・区分・届出年月日ごと集計!J$2)</f>
        <v>0</v>
      </c>
      <c r="K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K$1,SQLデータ!$C:$C,"&lt;="&amp;届出事由・区分・届出年月日ごと集計!K$2)</f>
        <v>0</v>
      </c>
      <c r="L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L$1,SQLデータ!$C:$C,"&lt;="&amp;届出事由・区分・届出年月日ごと集計!L$2)</f>
        <v>0</v>
      </c>
      <c r="M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M$1,SQLデータ!$C:$C,"&lt;="&amp;届出事由・区分・届出年月日ごと集計!M$2)</f>
        <v>0</v>
      </c>
      <c r="N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N$1,SQLデータ!$C:$C,"&lt;="&amp;届出事由・区分・届出年月日ごと集計!N$2)</f>
        <v>0</v>
      </c>
      <c r="O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O$1,SQLデータ!$C:$C,"&lt;="&amp;届出事由・区分・届出年月日ごと集計!O$2)</f>
        <v>0</v>
      </c>
      <c r="P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P$1,SQLデータ!$C:$C,"&lt;="&amp;届出事由・区分・届出年月日ごと集計!P$2)</f>
        <v>0</v>
      </c>
      <c r="Q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Q$1,SQLデータ!$C:$C,"&lt;="&amp;届出事由・区分・届出年月日ごと集計!Q$2)</f>
        <v>0</v>
      </c>
      <c r="R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R$1,SQLデータ!$C:$C,"&lt;="&amp;届出事由・区分・届出年月日ごと集計!R$2)</f>
        <v>0</v>
      </c>
      <c r="S95" s="85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S$1,SQLデータ!$C:$C,"&lt;="&amp;届出事由・区分・届出年月日ごと集計!S$2)</f>
        <v>0</v>
      </c>
      <c r="T95" s="92">
        <f>COUNTIFS(SQLデータ!$D:$D,"扶養",SQLデータ!$P:$P,1,SQLデータ!$H:$H,届出事由・区分・届出年月日ごと集計!$A95,SQLデータ!$G:$G,届出事由・区分・届出年月日ごと集計!$B95,SQLデータ!$L:$L,1,SQLデータ!$F:$F,"",SQLデータ!$C:$C,"&gt;="&amp;届出事由・区分・届出年月日ごと集計!T$1,SQLデータ!$C:$C,"&lt;="&amp;届出事由・区分・届出年月日ごと集計!T$2)</f>
        <v>0</v>
      </c>
    </row>
    <row r="96" spans="1:20" x14ac:dyDescent="0.4">
      <c r="A96" s="3" t="s">
        <v>74</v>
      </c>
      <c r="B96" s="3" t="s">
        <v>82</v>
      </c>
      <c r="C96" s="3" t="s">
        <v>71</v>
      </c>
      <c r="D96" s="3">
        <f>COUNTIFS(SQLデータ!$D:$D,"扶養",SQLデータ!$H:$H,届出事由・区分・届出年月日ごと集計!$A96,SQLデータ!$G:$G,届出事由・区分・届出年月日ごと集計!$B96,SQLデータ!$M:$M,1)</f>
        <v>0</v>
      </c>
      <c r="E96" s="107"/>
      <c r="F96" s="80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F$1,SQLデータ!$C:$C,"&lt;="&amp;届出事由・区分・届出年月日ごと集計!F$2)</f>
        <v>0</v>
      </c>
      <c r="G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G$1,SQLデータ!$C:$C,"&lt;="&amp;届出事由・区分・届出年月日ごと集計!G$2)</f>
        <v>0</v>
      </c>
      <c r="H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H$1,SQLデータ!$C:$C,"&lt;="&amp;届出事由・区分・届出年月日ごと集計!H$2)</f>
        <v>0</v>
      </c>
      <c r="I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I$1,SQLデータ!$C:$C,"&lt;="&amp;届出事由・区分・届出年月日ごと集計!I$2)</f>
        <v>0</v>
      </c>
      <c r="J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J$1,SQLデータ!$C:$C,"&lt;="&amp;届出事由・区分・届出年月日ごと集計!J$2)</f>
        <v>0</v>
      </c>
      <c r="K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K$1,SQLデータ!$C:$C,"&lt;="&amp;届出事由・区分・届出年月日ごと集計!K$2)</f>
        <v>0</v>
      </c>
      <c r="L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L$1,SQLデータ!$C:$C,"&lt;="&amp;届出事由・区分・届出年月日ごと集計!L$2)</f>
        <v>0</v>
      </c>
      <c r="M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M$1,SQLデータ!$C:$C,"&lt;="&amp;届出事由・区分・届出年月日ごと集計!M$2)</f>
        <v>0</v>
      </c>
      <c r="N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N$1,SQLデータ!$C:$C,"&lt;="&amp;届出事由・区分・届出年月日ごと集計!N$2)</f>
        <v>0</v>
      </c>
      <c r="O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O$1,SQLデータ!$C:$C,"&lt;="&amp;届出事由・区分・届出年月日ごと集計!O$2)</f>
        <v>0</v>
      </c>
      <c r="P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P$1,SQLデータ!$C:$C,"&lt;="&amp;届出事由・区分・届出年月日ごと集計!P$2)</f>
        <v>0</v>
      </c>
      <c r="Q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Q$1,SQLデータ!$C:$C,"&lt;="&amp;届出事由・区分・届出年月日ごと集計!Q$2)</f>
        <v>0</v>
      </c>
      <c r="R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R$1,SQLデータ!$C:$C,"&lt;="&amp;届出事由・区分・届出年月日ごと集計!R$2)</f>
        <v>0</v>
      </c>
      <c r="S96" s="85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S$1,SQLデータ!$C:$C,"&lt;="&amp;届出事由・区分・届出年月日ごと集計!S$2)</f>
        <v>0</v>
      </c>
      <c r="T96" s="92">
        <f>COUNTIFS(SQLデータ!$D:$D,"扶養",SQLデータ!$P:$P,1,SQLデータ!$H:$H,届出事由・区分・届出年月日ごと集計!$A96,SQLデータ!$G:$G,届出事由・区分・届出年月日ごと集計!$B96,SQLデータ!$M:$M,1,SQLデータ!$F:$F,"",SQLデータ!$C:$C,"&gt;="&amp;届出事由・区分・届出年月日ごと集計!T$1,SQLデータ!$C:$C,"&lt;="&amp;届出事由・区分・届出年月日ごと集計!T$2)</f>
        <v>0</v>
      </c>
    </row>
    <row r="97" spans="1:20" x14ac:dyDescent="0.4">
      <c r="A97" s="3" t="s">
        <v>74</v>
      </c>
      <c r="B97" s="3" t="s">
        <v>82</v>
      </c>
      <c r="C97" s="3" t="s">
        <v>72</v>
      </c>
      <c r="D97" s="3">
        <f>COUNTIFS(SQLデータ!$D:$D,"扶養",SQLデータ!$H:$H,届出事由・区分・届出年月日ごと集計!$A97,SQLデータ!$G:$G,届出事由・区分・届出年月日ごと集計!$B97,SQLデータ!$N:$N,1)</f>
        <v>0</v>
      </c>
      <c r="E97" s="107"/>
      <c r="F97" s="80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F$1,SQLデータ!$C:$C,"&lt;="&amp;届出事由・区分・届出年月日ごと集計!F$2)</f>
        <v>0</v>
      </c>
      <c r="G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G$1,SQLデータ!$C:$C,"&lt;="&amp;届出事由・区分・届出年月日ごと集計!G$2)</f>
        <v>0</v>
      </c>
      <c r="H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H$1,SQLデータ!$C:$C,"&lt;="&amp;届出事由・区分・届出年月日ごと集計!H$2)</f>
        <v>0</v>
      </c>
      <c r="I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I$1,SQLデータ!$C:$C,"&lt;="&amp;届出事由・区分・届出年月日ごと集計!I$2)</f>
        <v>0</v>
      </c>
      <c r="J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J$1,SQLデータ!$C:$C,"&lt;="&amp;届出事由・区分・届出年月日ごと集計!J$2)</f>
        <v>0</v>
      </c>
      <c r="K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K$1,SQLデータ!$C:$C,"&lt;="&amp;届出事由・区分・届出年月日ごと集計!K$2)</f>
        <v>0</v>
      </c>
      <c r="L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L$1,SQLデータ!$C:$C,"&lt;="&amp;届出事由・区分・届出年月日ごと集計!L$2)</f>
        <v>0</v>
      </c>
      <c r="M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M$1,SQLデータ!$C:$C,"&lt;="&amp;届出事由・区分・届出年月日ごと集計!M$2)</f>
        <v>0</v>
      </c>
      <c r="N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N$1,SQLデータ!$C:$C,"&lt;="&amp;届出事由・区分・届出年月日ごと集計!N$2)</f>
        <v>0</v>
      </c>
      <c r="O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O$1,SQLデータ!$C:$C,"&lt;="&amp;届出事由・区分・届出年月日ごと集計!O$2)</f>
        <v>0</v>
      </c>
      <c r="P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P$1,SQLデータ!$C:$C,"&lt;="&amp;届出事由・区分・届出年月日ごと集計!P$2)</f>
        <v>0</v>
      </c>
      <c r="Q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Q$1,SQLデータ!$C:$C,"&lt;="&amp;届出事由・区分・届出年月日ごと集計!Q$2)</f>
        <v>0</v>
      </c>
      <c r="R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R$1,SQLデータ!$C:$C,"&lt;="&amp;届出事由・区分・届出年月日ごと集計!R$2)</f>
        <v>0</v>
      </c>
      <c r="S97" s="85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S$1,SQLデータ!$C:$C,"&lt;="&amp;届出事由・区分・届出年月日ごと集計!S$2)</f>
        <v>0</v>
      </c>
      <c r="T97" s="92">
        <f>COUNTIFS(SQLデータ!$D:$D,"扶養",SQLデータ!$P:$P,1,SQLデータ!$H:$H,届出事由・区分・届出年月日ごと集計!$A97,SQLデータ!$G:$G,届出事由・区分・届出年月日ごと集計!$B97,SQLデータ!$N:$N,1,SQLデータ!$F:$F,"",SQLデータ!$C:$C,"&gt;="&amp;届出事由・区分・届出年月日ごと集計!T$1,SQLデータ!$C:$C,"&lt;="&amp;届出事由・区分・届出年月日ごと集計!T$2)</f>
        <v>0</v>
      </c>
    </row>
    <row r="98" spans="1:20" x14ac:dyDescent="0.4">
      <c r="A98" s="3" t="s">
        <v>74</v>
      </c>
      <c r="B98" s="3" t="s">
        <v>82</v>
      </c>
      <c r="C98" s="3" t="s">
        <v>73</v>
      </c>
      <c r="D98" s="3">
        <f>COUNTIFS(SQLデータ!$D:$D,"扶養",SQLデータ!$H:$H,届出事由・区分・届出年月日ごと集計!$A98,SQLデータ!$G:$G,届出事由・区分・届出年月日ごと集計!$B98,SQLデータ!$O:$O,1)</f>
        <v>0</v>
      </c>
      <c r="E98" s="107"/>
      <c r="F98" s="80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F$1,SQLデータ!$C:$C,"&lt;="&amp;届出事由・区分・届出年月日ごと集計!F$2)</f>
        <v>0</v>
      </c>
      <c r="G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G$1,SQLデータ!$C:$C,"&lt;="&amp;届出事由・区分・届出年月日ごと集計!G$2)</f>
        <v>0</v>
      </c>
      <c r="H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H$1,SQLデータ!$C:$C,"&lt;="&amp;届出事由・区分・届出年月日ごと集計!H$2)</f>
        <v>0</v>
      </c>
      <c r="I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I$1,SQLデータ!$C:$C,"&lt;="&amp;届出事由・区分・届出年月日ごと集計!I$2)</f>
        <v>0</v>
      </c>
      <c r="J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J$1,SQLデータ!$C:$C,"&lt;="&amp;届出事由・区分・届出年月日ごと集計!J$2)</f>
        <v>0</v>
      </c>
      <c r="K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K$1,SQLデータ!$C:$C,"&lt;="&amp;届出事由・区分・届出年月日ごと集計!K$2)</f>
        <v>0</v>
      </c>
      <c r="L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L$1,SQLデータ!$C:$C,"&lt;="&amp;届出事由・区分・届出年月日ごと集計!L$2)</f>
        <v>0</v>
      </c>
      <c r="M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M$1,SQLデータ!$C:$C,"&lt;="&amp;届出事由・区分・届出年月日ごと集計!M$2)</f>
        <v>0</v>
      </c>
      <c r="N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N$1,SQLデータ!$C:$C,"&lt;="&amp;届出事由・区分・届出年月日ごと集計!N$2)</f>
        <v>0</v>
      </c>
      <c r="O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O$1,SQLデータ!$C:$C,"&lt;="&amp;届出事由・区分・届出年月日ごと集計!O$2)</f>
        <v>0</v>
      </c>
      <c r="P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P$1,SQLデータ!$C:$C,"&lt;="&amp;届出事由・区分・届出年月日ごと集計!P$2)</f>
        <v>0</v>
      </c>
      <c r="Q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Q$1,SQLデータ!$C:$C,"&lt;="&amp;届出事由・区分・届出年月日ごと集計!Q$2)</f>
        <v>0</v>
      </c>
      <c r="R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R$1,SQLデータ!$C:$C,"&lt;="&amp;届出事由・区分・届出年月日ごと集計!R$2)</f>
        <v>0</v>
      </c>
      <c r="S98" s="85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S$1,SQLデータ!$C:$C,"&lt;="&amp;届出事由・区分・届出年月日ごと集計!S$2)</f>
        <v>0</v>
      </c>
      <c r="T98" s="92">
        <f>COUNTIFS(SQLデータ!$D:$D,"扶養",SQLデータ!$P:$P,1,SQLデータ!$H:$H,届出事由・区分・届出年月日ごと集計!$A98,SQLデータ!$G:$G,届出事由・区分・届出年月日ごと集計!$B98,SQLデータ!$O:$O,1,SQLデータ!$F:$F,"",SQLデータ!$C:$C,"&gt;="&amp;届出事由・区分・届出年月日ごと集計!T$1,SQLデータ!$C:$C,"&lt;="&amp;届出事由・区分・届出年月日ごと集計!T$2)</f>
        <v>0</v>
      </c>
    </row>
    <row r="99" spans="1:20" x14ac:dyDescent="0.4">
      <c r="A99" s="3" t="s">
        <v>74</v>
      </c>
      <c r="B99" s="3" t="s">
        <v>83</v>
      </c>
      <c r="C99" s="3" t="s">
        <v>70</v>
      </c>
      <c r="D99" s="3">
        <f>COUNTIFS(SQLデータ!$D:$D,"扶養",SQLデータ!$H:$H,届出事由・区分・届出年月日ごと集計!$A99,SQLデータ!$G:$G,届出事由・区分・届出年月日ごと集計!$B99,SQLデータ!$L:$L,1)</f>
        <v>0</v>
      </c>
      <c r="E99" s="107"/>
      <c r="F99" s="80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F$1,SQLデータ!$C:$C,"&lt;="&amp;届出事由・区分・届出年月日ごと集計!F$2)</f>
        <v>0</v>
      </c>
      <c r="G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G$1,SQLデータ!$C:$C,"&lt;="&amp;届出事由・区分・届出年月日ごと集計!G$2)</f>
        <v>0</v>
      </c>
      <c r="H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H$1,SQLデータ!$C:$C,"&lt;="&amp;届出事由・区分・届出年月日ごと集計!H$2)</f>
        <v>0</v>
      </c>
      <c r="I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I$1,SQLデータ!$C:$C,"&lt;="&amp;届出事由・区分・届出年月日ごと集計!I$2)</f>
        <v>0</v>
      </c>
      <c r="J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J$1,SQLデータ!$C:$C,"&lt;="&amp;届出事由・区分・届出年月日ごと集計!J$2)</f>
        <v>0</v>
      </c>
      <c r="K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K$1,SQLデータ!$C:$C,"&lt;="&amp;届出事由・区分・届出年月日ごと集計!K$2)</f>
        <v>0</v>
      </c>
      <c r="L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L$1,SQLデータ!$C:$C,"&lt;="&amp;届出事由・区分・届出年月日ごと集計!L$2)</f>
        <v>0</v>
      </c>
      <c r="M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M$1,SQLデータ!$C:$C,"&lt;="&amp;届出事由・区分・届出年月日ごと集計!M$2)</f>
        <v>0</v>
      </c>
      <c r="N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N$1,SQLデータ!$C:$C,"&lt;="&amp;届出事由・区分・届出年月日ごと集計!N$2)</f>
        <v>0</v>
      </c>
      <c r="O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O$1,SQLデータ!$C:$C,"&lt;="&amp;届出事由・区分・届出年月日ごと集計!O$2)</f>
        <v>0</v>
      </c>
      <c r="P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P$1,SQLデータ!$C:$C,"&lt;="&amp;届出事由・区分・届出年月日ごと集計!P$2)</f>
        <v>0</v>
      </c>
      <c r="Q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Q$1,SQLデータ!$C:$C,"&lt;="&amp;届出事由・区分・届出年月日ごと集計!Q$2)</f>
        <v>0</v>
      </c>
      <c r="R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R$1,SQLデータ!$C:$C,"&lt;="&amp;届出事由・区分・届出年月日ごと集計!R$2)</f>
        <v>0</v>
      </c>
      <c r="S99" s="85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S$1,SQLデータ!$C:$C,"&lt;="&amp;届出事由・区分・届出年月日ごと集計!S$2)</f>
        <v>0</v>
      </c>
      <c r="T99" s="92">
        <f>COUNTIFS(SQLデータ!$D:$D,"扶養",SQLデータ!$P:$P,1,SQLデータ!$H:$H,届出事由・区分・届出年月日ごと集計!$A99,SQLデータ!$G:$G,届出事由・区分・届出年月日ごと集計!$B99,SQLデータ!$L:$L,1,SQLデータ!$F:$F,"",SQLデータ!$C:$C,"&gt;="&amp;届出事由・区分・届出年月日ごと集計!T$1,SQLデータ!$C:$C,"&lt;="&amp;届出事由・区分・届出年月日ごと集計!T$2)</f>
        <v>0</v>
      </c>
    </row>
    <row r="100" spans="1:20" x14ac:dyDescent="0.4">
      <c r="A100" s="3" t="s">
        <v>74</v>
      </c>
      <c r="B100" s="3" t="s">
        <v>83</v>
      </c>
      <c r="C100" s="3" t="s">
        <v>71</v>
      </c>
      <c r="D100" s="3">
        <f>COUNTIFS(SQLデータ!$D:$D,"扶養",SQLデータ!$H:$H,届出事由・区分・届出年月日ごと集計!$A100,SQLデータ!$G:$G,届出事由・区分・届出年月日ごと集計!$B100,SQLデータ!$M:$M,1)</f>
        <v>0</v>
      </c>
      <c r="E100" s="107"/>
      <c r="F100" s="80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F$1,SQLデータ!$C:$C,"&lt;="&amp;届出事由・区分・届出年月日ごと集計!F$2)</f>
        <v>0</v>
      </c>
      <c r="G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G$1,SQLデータ!$C:$C,"&lt;="&amp;届出事由・区分・届出年月日ごと集計!G$2)</f>
        <v>0</v>
      </c>
      <c r="H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H$1,SQLデータ!$C:$C,"&lt;="&amp;届出事由・区分・届出年月日ごと集計!H$2)</f>
        <v>0</v>
      </c>
      <c r="I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I$1,SQLデータ!$C:$C,"&lt;="&amp;届出事由・区分・届出年月日ごと集計!I$2)</f>
        <v>0</v>
      </c>
      <c r="J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J$1,SQLデータ!$C:$C,"&lt;="&amp;届出事由・区分・届出年月日ごと集計!J$2)</f>
        <v>0</v>
      </c>
      <c r="K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K$1,SQLデータ!$C:$C,"&lt;="&amp;届出事由・区分・届出年月日ごと集計!K$2)</f>
        <v>0</v>
      </c>
      <c r="L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L$1,SQLデータ!$C:$C,"&lt;="&amp;届出事由・区分・届出年月日ごと集計!L$2)</f>
        <v>0</v>
      </c>
      <c r="M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M$1,SQLデータ!$C:$C,"&lt;="&amp;届出事由・区分・届出年月日ごと集計!M$2)</f>
        <v>0</v>
      </c>
      <c r="N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N$1,SQLデータ!$C:$C,"&lt;="&amp;届出事由・区分・届出年月日ごと集計!N$2)</f>
        <v>0</v>
      </c>
      <c r="O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O$1,SQLデータ!$C:$C,"&lt;="&amp;届出事由・区分・届出年月日ごと集計!O$2)</f>
        <v>0</v>
      </c>
      <c r="P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P$1,SQLデータ!$C:$C,"&lt;="&amp;届出事由・区分・届出年月日ごと集計!P$2)</f>
        <v>0</v>
      </c>
      <c r="Q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Q$1,SQLデータ!$C:$C,"&lt;="&amp;届出事由・区分・届出年月日ごと集計!Q$2)</f>
        <v>0</v>
      </c>
      <c r="R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R$1,SQLデータ!$C:$C,"&lt;="&amp;届出事由・区分・届出年月日ごと集計!R$2)</f>
        <v>0</v>
      </c>
      <c r="S100" s="85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S$1,SQLデータ!$C:$C,"&lt;="&amp;届出事由・区分・届出年月日ごと集計!S$2)</f>
        <v>0</v>
      </c>
      <c r="T100" s="92">
        <f>COUNTIFS(SQLデータ!$D:$D,"扶養",SQLデータ!$P:$P,1,SQLデータ!$H:$H,届出事由・区分・届出年月日ごと集計!$A100,SQLデータ!$G:$G,届出事由・区分・届出年月日ごと集計!$B100,SQLデータ!$M:$M,1,SQLデータ!$F:$F,"",SQLデータ!$C:$C,"&gt;="&amp;届出事由・区分・届出年月日ごと集計!T$1,SQLデータ!$C:$C,"&lt;="&amp;届出事由・区分・届出年月日ごと集計!T$2)</f>
        <v>0</v>
      </c>
    </row>
    <row r="101" spans="1:20" x14ac:dyDescent="0.4">
      <c r="A101" s="3" t="s">
        <v>74</v>
      </c>
      <c r="B101" s="3" t="s">
        <v>83</v>
      </c>
      <c r="C101" s="3" t="s">
        <v>72</v>
      </c>
      <c r="D101" s="3">
        <f>COUNTIFS(SQLデータ!$D:$D,"扶養",SQLデータ!$H:$H,届出事由・区分・届出年月日ごと集計!$A101,SQLデータ!$G:$G,届出事由・区分・届出年月日ごと集計!$B101,SQLデータ!$N:$N,1)</f>
        <v>0</v>
      </c>
      <c r="E101" s="107"/>
      <c r="F101" s="80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F$1,SQLデータ!$C:$C,"&lt;="&amp;届出事由・区分・届出年月日ごと集計!F$2)</f>
        <v>0</v>
      </c>
      <c r="G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G$1,SQLデータ!$C:$C,"&lt;="&amp;届出事由・区分・届出年月日ごと集計!G$2)</f>
        <v>0</v>
      </c>
      <c r="H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H$1,SQLデータ!$C:$C,"&lt;="&amp;届出事由・区分・届出年月日ごと集計!H$2)</f>
        <v>0</v>
      </c>
      <c r="I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I$1,SQLデータ!$C:$C,"&lt;="&amp;届出事由・区分・届出年月日ごと集計!I$2)</f>
        <v>0</v>
      </c>
      <c r="J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J$1,SQLデータ!$C:$C,"&lt;="&amp;届出事由・区分・届出年月日ごと集計!J$2)</f>
        <v>0</v>
      </c>
      <c r="K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K$1,SQLデータ!$C:$C,"&lt;="&amp;届出事由・区分・届出年月日ごと集計!K$2)</f>
        <v>0</v>
      </c>
      <c r="L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L$1,SQLデータ!$C:$C,"&lt;="&amp;届出事由・区分・届出年月日ごと集計!L$2)</f>
        <v>0</v>
      </c>
      <c r="M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M$1,SQLデータ!$C:$C,"&lt;="&amp;届出事由・区分・届出年月日ごと集計!M$2)</f>
        <v>0</v>
      </c>
      <c r="N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N$1,SQLデータ!$C:$C,"&lt;="&amp;届出事由・区分・届出年月日ごと集計!N$2)</f>
        <v>0</v>
      </c>
      <c r="O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O$1,SQLデータ!$C:$C,"&lt;="&amp;届出事由・区分・届出年月日ごと集計!O$2)</f>
        <v>0</v>
      </c>
      <c r="P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P$1,SQLデータ!$C:$C,"&lt;="&amp;届出事由・区分・届出年月日ごと集計!P$2)</f>
        <v>0</v>
      </c>
      <c r="Q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Q$1,SQLデータ!$C:$C,"&lt;="&amp;届出事由・区分・届出年月日ごと集計!Q$2)</f>
        <v>0</v>
      </c>
      <c r="R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R$1,SQLデータ!$C:$C,"&lt;="&amp;届出事由・区分・届出年月日ごと集計!R$2)</f>
        <v>0</v>
      </c>
      <c r="S101" s="85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S$1,SQLデータ!$C:$C,"&lt;="&amp;届出事由・区分・届出年月日ごと集計!S$2)</f>
        <v>0</v>
      </c>
      <c r="T101" s="92">
        <f>COUNTIFS(SQLデータ!$D:$D,"扶養",SQLデータ!$P:$P,1,SQLデータ!$H:$H,届出事由・区分・届出年月日ごと集計!$A101,SQLデータ!$G:$G,届出事由・区分・届出年月日ごと集計!$B101,SQLデータ!$N:$N,1,SQLデータ!$F:$F,"",SQLデータ!$C:$C,"&gt;="&amp;届出事由・区分・届出年月日ごと集計!T$1,SQLデータ!$C:$C,"&lt;="&amp;届出事由・区分・届出年月日ごと集計!T$2)</f>
        <v>0</v>
      </c>
    </row>
    <row r="102" spans="1:20" x14ac:dyDescent="0.4">
      <c r="A102" s="3" t="s">
        <v>74</v>
      </c>
      <c r="B102" s="3" t="s">
        <v>83</v>
      </c>
      <c r="C102" s="3" t="s">
        <v>73</v>
      </c>
      <c r="D102" s="3">
        <f>COUNTIFS(SQLデータ!$D:$D,"扶養",SQLデータ!$H:$H,届出事由・区分・届出年月日ごと集計!$A102,SQLデータ!$G:$G,届出事由・区分・届出年月日ごと集計!$B102,SQLデータ!$O:$O,1)</f>
        <v>0</v>
      </c>
      <c r="E102" s="107"/>
      <c r="F102" s="80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F$1,SQLデータ!$C:$C,"&lt;="&amp;届出事由・区分・届出年月日ごと集計!F$2)</f>
        <v>0</v>
      </c>
      <c r="G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G$1,SQLデータ!$C:$C,"&lt;="&amp;届出事由・区分・届出年月日ごと集計!G$2)</f>
        <v>0</v>
      </c>
      <c r="H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H$1,SQLデータ!$C:$C,"&lt;="&amp;届出事由・区分・届出年月日ごと集計!H$2)</f>
        <v>0</v>
      </c>
      <c r="I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I$1,SQLデータ!$C:$C,"&lt;="&amp;届出事由・区分・届出年月日ごと集計!I$2)</f>
        <v>0</v>
      </c>
      <c r="J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J$1,SQLデータ!$C:$C,"&lt;="&amp;届出事由・区分・届出年月日ごと集計!J$2)</f>
        <v>0</v>
      </c>
      <c r="K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K$1,SQLデータ!$C:$C,"&lt;="&amp;届出事由・区分・届出年月日ごと集計!K$2)</f>
        <v>0</v>
      </c>
      <c r="L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L$1,SQLデータ!$C:$C,"&lt;="&amp;届出事由・区分・届出年月日ごと集計!L$2)</f>
        <v>0</v>
      </c>
      <c r="M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M$1,SQLデータ!$C:$C,"&lt;="&amp;届出事由・区分・届出年月日ごと集計!M$2)</f>
        <v>0</v>
      </c>
      <c r="N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N$1,SQLデータ!$C:$C,"&lt;="&amp;届出事由・区分・届出年月日ごと集計!N$2)</f>
        <v>0</v>
      </c>
      <c r="O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O$1,SQLデータ!$C:$C,"&lt;="&amp;届出事由・区分・届出年月日ごと集計!O$2)</f>
        <v>0</v>
      </c>
      <c r="P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P$1,SQLデータ!$C:$C,"&lt;="&amp;届出事由・区分・届出年月日ごと集計!P$2)</f>
        <v>0</v>
      </c>
      <c r="Q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Q$1,SQLデータ!$C:$C,"&lt;="&amp;届出事由・区分・届出年月日ごと集計!Q$2)</f>
        <v>0</v>
      </c>
      <c r="R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R$1,SQLデータ!$C:$C,"&lt;="&amp;届出事由・区分・届出年月日ごと集計!R$2)</f>
        <v>0</v>
      </c>
      <c r="S102" s="85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S$1,SQLデータ!$C:$C,"&lt;="&amp;届出事由・区分・届出年月日ごと集計!S$2)</f>
        <v>0</v>
      </c>
      <c r="T102" s="92">
        <f>COUNTIFS(SQLデータ!$D:$D,"扶養",SQLデータ!$P:$P,1,SQLデータ!$H:$H,届出事由・区分・届出年月日ごと集計!$A102,SQLデータ!$G:$G,届出事由・区分・届出年月日ごと集計!$B102,SQLデータ!$O:$O,1,SQLデータ!$F:$F,"",SQLデータ!$C:$C,"&gt;="&amp;届出事由・区分・届出年月日ごと集計!T$1,SQLデータ!$C:$C,"&lt;="&amp;届出事由・区分・届出年月日ごと集計!T$2)</f>
        <v>0</v>
      </c>
    </row>
    <row r="103" spans="1:20" x14ac:dyDescent="0.4">
      <c r="A103" s="3" t="s">
        <v>74</v>
      </c>
      <c r="B103" s="3" t="s">
        <v>69</v>
      </c>
      <c r="C103" s="3" t="s">
        <v>70</v>
      </c>
      <c r="D103" s="3">
        <f>COUNTIFS(SQLデータ!$D:$D,"扶養",SQLデータ!$H:$H,届出事由・区分・届出年月日ごと集計!$A103,SQLデータ!$G:$G,届出事由・区分・届出年月日ごと集計!$B103,SQLデータ!$L:$L,1)</f>
        <v>1</v>
      </c>
      <c r="E103" s="107"/>
      <c r="F103" s="80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F$1,SQLデータ!$C:$C,"&lt;="&amp;届出事由・区分・届出年月日ごと集計!F$2)</f>
        <v>0</v>
      </c>
      <c r="G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G$1,SQLデータ!$C:$C,"&lt;="&amp;届出事由・区分・届出年月日ごと集計!G$2)</f>
        <v>0</v>
      </c>
      <c r="H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H$1,SQLデータ!$C:$C,"&lt;="&amp;届出事由・区分・届出年月日ごと集計!H$2)</f>
        <v>0</v>
      </c>
      <c r="I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I$1,SQLデータ!$C:$C,"&lt;="&amp;届出事由・区分・届出年月日ごと集計!I$2)</f>
        <v>0</v>
      </c>
      <c r="J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J$1,SQLデータ!$C:$C,"&lt;="&amp;届出事由・区分・届出年月日ごと集計!J$2)</f>
        <v>0</v>
      </c>
      <c r="K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K$1,SQLデータ!$C:$C,"&lt;="&amp;届出事由・区分・届出年月日ごと集計!K$2)</f>
        <v>0</v>
      </c>
      <c r="L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L$1,SQLデータ!$C:$C,"&lt;="&amp;届出事由・区分・届出年月日ごと集計!L$2)</f>
        <v>0</v>
      </c>
      <c r="M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M$1,SQLデータ!$C:$C,"&lt;="&amp;届出事由・区分・届出年月日ごと集計!M$2)</f>
        <v>0</v>
      </c>
      <c r="N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N$1,SQLデータ!$C:$C,"&lt;="&amp;届出事由・区分・届出年月日ごと集計!N$2)</f>
        <v>0</v>
      </c>
      <c r="O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O$1,SQLデータ!$C:$C,"&lt;="&amp;届出事由・区分・届出年月日ごと集計!O$2)</f>
        <v>0</v>
      </c>
      <c r="P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P$1,SQLデータ!$C:$C,"&lt;="&amp;届出事由・区分・届出年月日ごと集計!P$2)</f>
        <v>0</v>
      </c>
      <c r="Q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Q$1,SQLデータ!$C:$C,"&lt;="&amp;届出事由・区分・届出年月日ごと集計!Q$2)</f>
        <v>0</v>
      </c>
      <c r="R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R$1,SQLデータ!$C:$C,"&lt;="&amp;届出事由・区分・届出年月日ごと集計!R$2)</f>
        <v>0</v>
      </c>
      <c r="S103" s="85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S$1,SQLデータ!$C:$C,"&lt;="&amp;届出事由・区分・届出年月日ごと集計!S$2)</f>
        <v>0</v>
      </c>
      <c r="T103" s="92">
        <f>COUNTIFS(SQLデータ!$D:$D,"扶養",SQLデータ!$P:$P,1,SQLデータ!$H:$H,届出事由・区分・届出年月日ごと集計!$A103,SQLデータ!$G:$G,届出事由・区分・届出年月日ごと集計!$B103,SQLデータ!$L:$L,1,SQLデータ!$F:$F,"",SQLデータ!$C:$C,"&gt;="&amp;届出事由・区分・届出年月日ごと集計!T$1,SQLデータ!$C:$C,"&lt;="&amp;届出事由・区分・届出年月日ごと集計!T$2)</f>
        <v>0</v>
      </c>
    </row>
    <row r="104" spans="1:20" x14ac:dyDescent="0.4">
      <c r="A104" s="3" t="s">
        <v>74</v>
      </c>
      <c r="B104" s="3" t="s">
        <v>69</v>
      </c>
      <c r="C104" s="3" t="s">
        <v>71</v>
      </c>
      <c r="D104" s="3">
        <f>COUNTIFS(SQLデータ!$D:$D,"扶養",SQLデータ!$H:$H,届出事由・区分・届出年月日ごと集計!$A104,SQLデータ!$G:$G,届出事由・区分・届出年月日ごと集計!$B104,SQLデータ!$M:$M,1)</f>
        <v>0</v>
      </c>
      <c r="E104" s="107"/>
      <c r="F104" s="80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F$1,SQLデータ!$C:$C,"&lt;="&amp;届出事由・区分・届出年月日ごと集計!F$2)</f>
        <v>0</v>
      </c>
      <c r="G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G$1,SQLデータ!$C:$C,"&lt;="&amp;届出事由・区分・届出年月日ごと集計!G$2)</f>
        <v>0</v>
      </c>
      <c r="H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H$1,SQLデータ!$C:$C,"&lt;="&amp;届出事由・区分・届出年月日ごと集計!H$2)</f>
        <v>0</v>
      </c>
      <c r="I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I$1,SQLデータ!$C:$C,"&lt;="&amp;届出事由・区分・届出年月日ごと集計!I$2)</f>
        <v>0</v>
      </c>
      <c r="J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J$1,SQLデータ!$C:$C,"&lt;="&amp;届出事由・区分・届出年月日ごと集計!J$2)</f>
        <v>0</v>
      </c>
      <c r="K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K$1,SQLデータ!$C:$C,"&lt;="&amp;届出事由・区分・届出年月日ごと集計!K$2)</f>
        <v>0</v>
      </c>
      <c r="L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L$1,SQLデータ!$C:$C,"&lt;="&amp;届出事由・区分・届出年月日ごと集計!L$2)</f>
        <v>0</v>
      </c>
      <c r="M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M$1,SQLデータ!$C:$C,"&lt;="&amp;届出事由・区分・届出年月日ごと集計!M$2)</f>
        <v>0</v>
      </c>
      <c r="N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N$1,SQLデータ!$C:$C,"&lt;="&amp;届出事由・区分・届出年月日ごと集計!N$2)</f>
        <v>0</v>
      </c>
      <c r="O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O$1,SQLデータ!$C:$C,"&lt;="&amp;届出事由・区分・届出年月日ごと集計!O$2)</f>
        <v>0</v>
      </c>
      <c r="P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P$1,SQLデータ!$C:$C,"&lt;="&amp;届出事由・区分・届出年月日ごと集計!P$2)</f>
        <v>0</v>
      </c>
      <c r="Q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Q$1,SQLデータ!$C:$C,"&lt;="&amp;届出事由・区分・届出年月日ごと集計!Q$2)</f>
        <v>0</v>
      </c>
      <c r="R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R$1,SQLデータ!$C:$C,"&lt;="&amp;届出事由・区分・届出年月日ごと集計!R$2)</f>
        <v>0</v>
      </c>
      <c r="S104" s="85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S$1,SQLデータ!$C:$C,"&lt;="&amp;届出事由・区分・届出年月日ごと集計!S$2)</f>
        <v>0</v>
      </c>
      <c r="T104" s="92">
        <f>COUNTIFS(SQLデータ!$D:$D,"扶養",SQLデータ!$P:$P,1,SQLデータ!$H:$H,届出事由・区分・届出年月日ごと集計!$A104,SQLデータ!$G:$G,届出事由・区分・届出年月日ごと集計!$B104,SQLデータ!$M:$M,1,SQLデータ!$F:$F,"",SQLデータ!$C:$C,"&gt;="&amp;届出事由・区分・届出年月日ごと集計!T$1,SQLデータ!$C:$C,"&lt;="&amp;届出事由・区分・届出年月日ごと集計!T$2)</f>
        <v>0</v>
      </c>
    </row>
    <row r="105" spans="1:20" x14ac:dyDescent="0.4">
      <c r="A105" s="3" t="s">
        <v>74</v>
      </c>
      <c r="B105" s="3" t="s">
        <v>69</v>
      </c>
      <c r="C105" s="3" t="s">
        <v>72</v>
      </c>
      <c r="D105" s="3">
        <f>COUNTIFS(SQLデータ!$D:$D,"扶養",SQLデータ!$H:$H,届出事由・区分・届出年月日ごと集計!$A105,SQLデータ!$G:$G,届出事由・区分・届出年月日ごと集計!$B105,SQLデータ!$N:$N,1)</f>
        <v>0</v>
      </c>
      <c r="E105" s="107"/>
      <c r="F105" s="80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F$1,SQLデータ!$C:$C,"&lt;="&amp;届出事由・区分・届出年月日ごと集計!F$2)</f>
        <v>0</v>
      </c>
      <c r="G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G$1,SQLデータ!$C:$C,"&lt;="&amp;届出事由・区分・届出年月日ごと集計!G$2)</f>
        <v>0</v>
      </c>
      <c r="H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H$1,SQLデータ!$C:$C,"&lt;="&amp;届出事由・区分・届出年月日ごと集計!H$2)</f>
        <v>0</v>
      </c>
      <c r="I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I$1,SQLデータ!$C:$C,"&lt;="&amp;届出事由・区分・届出年月日ごと集計!I$2)</f>
        <v>0</v>
      </c>
      <c r="J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J$1,SQLデータ!$C:$C,"&lt;="&amp;届出事由・区分・届出年月日ごと集計!J$2)</f>
        <v>0</v>
      </c>
      <c r="K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K$1,SQLデータ!$C:$C,"&lt;="&amp;届出事由・区分・届出年月日ごと集計!K$2)</f>
        <v>0</v>
      </c>
      <c r="L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L$1,SQLデータ!$C:$C,"&lt;="&amp;届出事由・区分・届出年月日ごと集計!L$2)</f>
        <v>0</v>
      </c>
      <c r="M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M$1,SQLデータ!$C:$C,"&lt;="&amp;届出事由・区分・届出年月日ごと集計!M$2)</f>
        <v>0</v>
      </c>
      <c r="N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N$1,SQLデータ!$C:$C,"&lt;="&amp;届出事由・区分・届出年月日ごと集計!N$2)</f>
        <v>0</v>
      </c>
      <c r="O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O$1,SQLデータ!$C:$C,"&lt;="&amp;届出事由・区分・届出年月日ごと集計!O$2)</f>
        <v>0</v>
      </c>
      <c r="P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P$1,SQLデータ!$C:$C,"&lt;="&amp;届出事由・区分・届出年月日ごと集計!P$2)</f>
        <v>0</v>
      </c>
      <c r="Q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Q$1,SQLデータ!$C:$C,"&lt;="&amp;届出事由・区分・届出年月日ごと集計!Q$2)</f>
        <v>0</v>
      </c>
      <c r="R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R$1,SQLデータ!$C:$C,"&lt;="&amp;届出事由・区分・届出年月日ごと集計!R$2)</f>
        <v>0</v>
      </c>
      <c r="S105" s="85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S$1,SQLデータ!$C:$C,"&lt;="&amp;届出事由・区分・届出年月日ごと集計!S$2)</f>
        <v>0</v>
      </c>
      <c r="T105" s="92">
        <f>COUNTIFS(SQLデータ!$D:$D,"扶養",SQLデータ!$P:$P,1,SQLデータ!$H:$H,届出事由・区分・届出年月日ごと集計!$A105,SQLデータ!$G:$G,届出事由・区分・届出年月日ごと集計!$B105,SQLデータ!$N:$N,1,SQLデータ!$F:$F,"",SQLデータ!$C:$C,"&gt;="&amp;届出事由・区分・届出年月日ごと集計!T$1,SQLデータ!$C:$C,"&lt;="&amp;届出事由・区分・届出年月日ごと集計!T$2)</f>
        <v>0</v>
      </c>
    </row>
    <row r="106" spans="1:20" x14ac:dyDescent="0.4">
      <c r="A106" s="3" t="s">
        <v>74</v>
      </c>
      <c r="B106" s="3" t="s">
        <v>69</v>
      </c>
      <c r="C106" s="3" t="s">
        <v>73</v>
      </c>
      <c r="D106" s="3">
        <f>COUNTIFS(SQLデータ!$D:$D,"扶養",SQLデータ!$H:$H,届出事由・区分・届出年月日ごと集計!$A106,SQLデータ!$G:$G,届出事由・区分・届出年月日ごと集計!$B106,SQLデータ!$O:$O,1)</f>
        <v>1</v>
      </c>
      <c r="E106" s="107"/>
      <c r="F106" s="80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F$1,SQLデータ!$C:$C,"&lt;="&amp;届出事由・区分・届出年月日ごと集計!F$2)</f>
        <v>0</v>
      </c>
      <c r="G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G$1,SQLデータ!$C:$C,"&lt;="&amp;届出事由・区分・届出年月日ごと集計!G$2)</f>
        <v>0</v>
      </c>
      <c r="H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H$1,SQLデータ!$C:$C,"&lt;="&amp;届出事由・区分・届出年月日ごと集計!H$2)</f>
        <v>1</v>
      </c>
      <c r="I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I$1,SQLデータ!$C:$C,"&lt;="&amp;届出事由・区分・届出年月日ごと集計!I$2)</f>
        <v>0</v>
      </c>
      <c r="J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J$1,SQLデータ!$C:$C,"&lt;="&amp;届出事由・区分・届出年月日ごと集計!J$2)</f>
        <v>0</v>
      </c>
      <c r="K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K$1,SQLデータ!$C:$C,"&lt;="&amp;届出事由・区分・届出年月日ごと集計!K$2)</f>
        <v>0</v>
      </c>
      <c r="L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L$1,SQLデータ!$C:$C,"&lt;="&amp;届出事由・区分・届出年月日ごと集計!L$2)</f>
        <v>0</v>
      </c>
      <c r="M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M$1,SQLデータ!$C:$C,"&lt;="&amp;届出事由・区分・届出年月日ごと集計!M$2)</f>
        <v>0</v>
      </c>
      <c r="N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N$1,SQLデータ!$C:$C,"&lt;="&amp;届出事由・区分・届出年月日ごと集計!N$2)</f>
        <v>0</v>
      </c>
      <c r="O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O$1,SQLデータ!$C:$C,"&lt;="&amp;届出事由・区分・届出年月日ごと集計!O$2)</f>
        <v>0</v>
      </c>
      <c r="P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P$1,SQLデータ!$C:$C,"&lt;="&amp;届出事由・区分・届出年月日ごと集計!P$2)</f>
        <v>0</v>
      </c>
      <c r="Q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Q$1,SQLデータ!$C:$C,"&lt;="&amp;届出事由・区分・届出年月日ごと集計!Q$2)</f>
        <v>0</v>
      </c>
      <c r="R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R$1,SQLデータ!$C:$C,"&lt;="&amp;届出事由・区分・届出年月日ごと集計!R$2)</f>
        <v>0</v>
      </c>
      <c r="S106" s="85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S$1,SQLデータ!$C:$C,"&lt;="&amp;届出事由・区分・届出年月日ごと集計!S$2)</f>
        <v>0</v>
      </c>
      <c r="T106" s="92">
        <f>COUNTIFS(SQLデータ!$D:$D,"扶養",SQLデータ!$P:$P,1,SQLデータ!$H:$H,届出事由・区分・届出年月日ごと集計!$A106,SQLデータ!$G:$G,届出事由・区分・届出年月日ごと集計!$B106,SQLデータ!$O:$O,1,SQLデータ!$F:$F,"",SQLデータ!$C:$C,"&gt;="&amp;届出事由・区分・届出年月日ごと集計!T$1,SQLデータ!$C:$C,"&lt;="&amp;届出事由・区分・届出年月日ごと集計!T$2)</f>
        <v>0</v>
      </c>
    </row>
    <row r="107" spans="1:20" x14ac:dyDescent="0.4">
      <c r="A107" s="3" t="s">
        <v>74</v>
      </c>
      <c r="B107" s="3" t="s">
        <v>84</v>
      </c>
      <c r="C107" s="3" t="s">
        <v>70</v>
      </c>
      <c r="D107" s="3">
        <f>COUNTIFS(SQLデータ!$D:$D,"扶養",SQLデータ!$H:$H,届出事由・区分・届出年月日ごと集計!$A107,SQLデータ!$G:$G,届出事由・区分・届出年月日ごと集計!$B107,SQLデータ!$L:$L,1)</f>
        <v>0</v>
      </c>
      <c r="E107" s="107"/>
      <c r="F107" s="80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F$1,SQLデータ!$C:$C,"&lt;="&amp;届出事由・区分・届出年月日ごと集計!F$2)</f>
        <v>0</v>
      </c>
      <c r="G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G$1,SQLデータ!$C:$C,"&lt;="&amp;届出事由・区分・届出年月日ごと集計!G$2)</f>
        <v>0</v>
      </c>
      <c r="H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H$1,SQLデータ!$C:$C,"&lt;="&amp;届出事由・区分・届出年月日ごと集計!H$2)</f>
        <v>0</v>
      </c>
      <c r="I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I$1,SQLデータ!$C:$C,"&lt;="&amp;届出事由・区分・届出年月日ごと集計!I$2)</f>
        <v>0</v>
      </c>
      <c r="J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J$1,SQLデータ!$C:$C,"&lt;="&amp;届出事由・区分・届出年月日ごと集計!J$2)</f>
        <v>0</v>
      </c>
      <c r="K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K$1,SQLデータ!$C:$C,"&lt;="&amp;届出事由・区分・届出年月日ごと集計!K$2)</f>
        <v>0</v>
      </c>
      <c r="L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L$1,SQLデータ!$C:$C,"&lt;="&amp;届出事由・区分・届出年月日ごと集計!L$2)</f>
        <v>0</v>
      </c>
      <c r="M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M$1,SQLデータ!$C:$C,"&lt;="&amp;届出事由・区分・届出年月日ごと集計!M$2)</f>
        <v>0</v>
      </c>
      <c r="N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N$1,SQLデータ!$C:$C,"&lt;="&amp;届出事由・区分・届出年月日ごと集計!N$2)</f>
        <v>0</v>
      </c>
      <c r="O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O$1,SQLデータ!$C:$C,"&lt;="&amp;届出事由・区分・届出年月日ごと集計!O$2)</f>
        <v>0</v>
      </c>
      <c r="P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P$1,SQLデータ!$C:$C,"&lt;="&amp;届出事由・区分・届出年月日ごと集計!P$2)</f>
        <v>0</v>
      </c>
      <c r="Q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Q$1,SQLデータ!$C:$C,"&lt;="&amp;届出事由・区分・届出年月日ごと集計!Q$2)</f>
        <v>0</v>
      </c>
      <c r="R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R$1,SQLデータ!$C:$C,"&lt;="&amp;届出事由・区分・届出年月日ごと集計!R$2)</f>
        <v>0</v>
      </c>
      <c r="S107" s="85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S$1,SQLデータ!$C:$C,"&lt;="&amp;届出事由・区分・届出年月日ごと集計!S$2)</f>
        <v>0</v>
      </c>
      <c r="T107" s="92">
        <f>COUNTIFS(SQLデータ!$D:$D,"扶養",SQLデータ!$P:$P,1,SQLデータ!$H:$H,届出事由・区分・届出年月日ごと集計!$A107,SQLデータ!$G:$G,届出事由・区分・届出年月日ごと集計!$B107,SQLデータ!$L:$L,1,SQLデータ!$F:$F,"",SQLデータ!$C:$C,"&gt;="&amp;届出事由・区分・届出年月日ごと集計!T$1,SQLデータ!$C:$C,"&lt;="&amp;届出事由・区分・届出年月日ごと集計!T$2)</f>
        <v>0</v>
      </c>
    </row>
    <row r="108" spans="1:20" x14ac:dyDescent="0.4">
      <c r="A108" s="3" t="s">
        <v>74</v>
      </c>
      <c r="B108" s="3" t="s">
        <v>84</v>
      </c>
      <c r="C108" s="3" t="s">
        <v>71</v>
      </c>
      <c r="D108" s="3">
        <f>COUNTIFS(SQLデータ!$D:$D,"扶養",SQLデータ!$H:$H,届出事由・区分・届出年月日ごと集計!$A108,SQLデータ!$G:$G,届出事由・区分・届出年月日ごと集計!$B108,SQLデータ!$M:$M,1)</f>
        <v>2</v>
      </c>
      <c r="E108" s="107"/>
      <c r="F108" s="80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F$1,SQLデータ!$C:$C,"&lt;="&amp;届出事由・区分・届出年月日ごと集計!F$2)</f>
        <v>0</v>
      </c>
      <c r="G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G$1,SQLデータ!$C:$C,"&lt;="&amp;届出事由・区分・届出年月日ごと集計!G$2)</f>
        <v>0</v>
      </c>
      <c r="H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H$1,SQLデータ!$C:$C,"&lt;="&amp;届出事由・区分・届出年月日ごと集計!H$2)</f>
        <v>0</v>
      </c>
      <c r="I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I$1,SQLデータ!$C:$C,"&lt;="&amp;届出事由・区分・届出年月日ごと集計!I$2)</f>
        <v>1</v>
      </c>
      <c r="J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J$1,SQLデータ!$C:$C,"&lt;="&amp;届出事由・区分・届出年月日ごと集計!J$2)</f>
        <v>0</v>
      </c>
      <c r="K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K$1,SQLデータ!$C:$C,"&lt;="&amp;届出事由・区分・届出年月日ごと集計!K$2)</f>
        <v>0</v>
      </c>
      <c r="L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L$1,SQLデータ!$C:$C,"&lt;="&amp;届出事由・区分・届出年月日ごと集計!L$2)</f>
        <v>0</v>
      </c>
      <c r="M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M$1,SQLデータ!$C:$C,"&lt;="&amp;届出事由・区分・届出年月日ごと集計!M$2)</f>
        <v>0</v>
      </c>
      <c r="N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N$1,SQLデータ!$C:$C,"&lt;="&amp;届出事由・区分・届出年月日ごと集計!N$2)</f>
        <v>0</v>
      </c>
      <c r="O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O$1,SQLデータ!$C:$C,"&lt;="&amp;届出事由・区分・届出年月日ごと集計!O$2)</f>
        <v>0</v>
      </c>
      <c r="P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P$1,SQLデータ!$C:$C,"&lt;="&amp;届出事由・区分・届出年月日ごと集計!P$2)</f>
        <v>0</v>
      </c>
      <c r="Q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Q$1,SQLデータ!$C:$C,"&lt;="&amp;届出事由・区分・届出年月日ごと集計!Q$2)</f>
        <v>0</v>
      </c>
      <c r="R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R$1,SQLデータ!$C:$C,"&lt;="&amp;届出事由・区分・届出年月日ごと集計!R$2)</f>
        <v>0</v>
      </c>
      <c r="S108" s="85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S$1,SQLデータ!$C:$C,"&lt;="&amp;届出事由・区分・届出年月日ごと集計!S$2)</f>
        <v>0</v>
      </c>
      <c r="T108" s="92">
        <f>COUNTIFS(SQLデータ!$D:$D,"扶養",SQLデータ!$P:$P,1,SQLデータ!$H:$H,届出事由・区分・届出年月日ごと集計!$A108,SQLデータ!$G:$G,届出事由・区分・届出年月日ごと集計!$B108,SQLデータ!$M:$M,1,SQLデータ!$F:$F,"",SQLデータ!$C:$C,"&gt;="&amp;届出事由・区分・届出年月日ごと集計!T$1,SQLデータ!$C:$C,"&lt;="&amp;届出事由・区分・届出年月日ごと集計!T$2)</f>
        <v>0</v>
      </c>
    </row>
    <row r="109" spans="1:20" x14ac:dyDescent="0.4">
      <c r="A109" s="3" t="s">
        <v>74</v>
      </c>
      <c r="B109" s="3" t="s">
        <v>84</v>
      </c>
      <c r="C109" s="3" t="s">
        <v>72</v>
      </c>
      <c r="D109" s="3">
        <f>COUNTIFS(SQLデータ!$D:$D,"扶養",SQLデータ!$H:$H,届出事由・区分・届出年月日ごと集計!$A109,SQLデータ!$G:$G,届出事由・区分・届出年月日ごと集計!$B109,SQLデータ!$N:$N,1)</f>
        <v>0</v>
      </c>
      <c r="E109" s="107"/>
      <c r="F109" s="80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F$1,SQLデータ!$C:$C,"&lt;="&amp;届出事由・区分・届出年月日ごと集計!F$2)</f>
        <v>0</v>
      </c>
      <c r="G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G$1,SQLデータ!$C:$C,"&lt;="&amp;届出事由・区分・届出年月日ごと集計!G$2)</f>
        <v>0</v>
      </c>
      <c r="H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H$1,SQLデータ!$C:$C,"&lt;="&amp;届出事由・区分・届出年月日ごと集計!H$2)</f>
        <v>0</v>
      </c>
      <c r="I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I$1,SQLデータ!$C:$C,"&lt;="&amp;届出事由・区分・届出年月日ごと集計!I$2)</f>
        <v>0</v>
      </c>
      <c r="J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J$1,SQLデータ!$C:$C,"&lt;="&amp;届出事由・区分・届出年月日ごと集計!J$2)</f>
        <v>0</v>
      </c>
      <c r="K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K$1,SQLデータ!$C:$C,"&lt;="&amp;届出事由・区分・届出年月日ごと集計!K$2)</f>
        <v>0</v>
      </c>
      <c r="L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L$1,SQLデータ!$C:$C,"&lt;="&amp;届出事由・区分・届出年月日ごと集計!L$2)</f>
        <v>0</v>
      </c>
      <c r="M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M$1,SQLデータ!$C:$C,"&lt;="&amp;届出事由・区分・届出年月日ごと集計!M$2)</f>
        <v>0</v>
      </c>
      <c r="N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N$1,SQLデータ!$C:$C,"&lt;="&amp;届出事由・区分・届出年月日ごと集計!N$2)</f>
        <v>0</v>
      </c>
      <c r="O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O$1,SQLデータ!$C:$C,"&lt;="&amp;届出事由・区分・届出年月日ごと集計!O$2)</f>
        <v>0</v>
      </c>
      <c r="P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P$1,SQLデータ!$C:$C,"&lt;="&amp;届出事由・区分・届出年月日ごと集計!P$2)</f>
        <v>0</v>
      </c>
      <c r="Q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Q$1,SQLデータ!$C:$C,"&lt;="&amp;届出事由・区分・届出年月日ごと集計!Q$2)</f>
        <v>0</v>
      </c>
      <c r="R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R$1,SQLデータ!$C:$C,"&lt;="&amp;届出事由・区分・届出年月日ごと集計!R$2)</f>
        <v>0</v>
      </c>
      <c r="S109" s="85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S$1,SQLデータ!$C:$C,"&lt;="&amp;届出事由・区分・届出年月日ごと集計!S$2)</f>
        <v>0</v>
      </c>
      <c r="T109" s="92">
        <f>COUNTIFS(SQLデータ!$D:$D,"扶養",SQLデータ!$P:$P,1,SQLデータ!$H:$H,届出事由・区分・届出年月日ごと集計!$A109,SQLデータ!$G:$G,届出事由・区分・届出年月日ごと集計!$B109,SQLデータ!$N:$N,1,SQLデータ!$F:$F,"",SQLデータ!$C:$C,"&gt;="&amp;届出事由・区分・届出年月日ごと集計!T$1,SQLデータ!$C:$C,"&lt;="&amp;届出事由・区分・届出年月日ごと集計!T$2)</f>
        <v>0</v>
      </c>
    </row>
    <row r="110" spans="1:20" x14ac:dyDescent="0.4">
      <c r="A110" s="3" t="s">
        <v>74</v>
      </c>
      <c r="B110" s="3" t="s">
        <v>84</v>
      </c>
      <c r="C110" s="3" t="s">
        <v>73</v>
      </c>
      <c r="D110" s="3">
        <f>COUNTIFS(SQLデータ!$D:$D,"扶養",SQLデータ!$H:$H,届出事由・区分・届出年月日ごと集計!$A110,SQLデータ!$G:$G,届出事由・区分・届出年月日ごと集計!$B110,SQLデータ!$O:$O,1)</f>
        <v>0</v>
      </c>
      <c r="E110" s="107"/>
      <c r="F110" s="80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F$1,SQLデータ!$C:$C,"&lt;="&amp;届出事由・区分・届出年月日ごと集計!F$2)</f>
        <v>0</v>
      </c>
      <c r="G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G$1,SQLデータ!$C:$C,"&lt;="&amp;届出事由・区分・届出年月日ごと集計!G$2)</f>
        <v>0</v>
      </c>
      <c r="H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H$1,SQLデータ!$C:$C,"&lt;="&amp;届出事由・区分・届出年月日ごと集計!H$2)</f>
        <v>0</v>
      </c>
      <c r="I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I$1,SQLデータ!$C:$C,"&lt;="&amp;届出事由・区分・届出年月日ごと集計!I$2)</f>
        <v>0</v>
      </c>
      <c r="J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J$1,SQLデータ!$C:$C,"&lt;="&amp;届出事由・区分・届出年月日ごと集計!J$2)</f>
        <v>0</v>
      </c>
      <c r="K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K$1,SQLデータ!$C:$C,"&lt;="&amp;届出事由・区分・届出年月日ごと集計!K$2)</f>
        <v>0</v>
      </c>
      <c r="L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L$1,SQLデータ!$C:$C,"&lt;="&amp;届出事由・区分・届出年月日ごと集計!L$2)</f>
        <v>0</v>
      </c>
      <c r="M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M$1,SQLデータ!$C:$C,"&lt;="&amp;届出事由・区分・届出年月日ごと集計!M$2)</f>
        <v>0</v>
      </c>
      <c r="N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N$1,SQLデータ!$C:$C,"&lt;="&amp;届出事由・区分・届出年月日ごと集計!N$2)</f>
        <v>0</v>
      </c>
      <c r="O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O$1,SQLデータ!$C:$C,"&lt;="&amp;届出事由・区分・届出年月日ごと集計!O$2)</f>
        <v>0</v>
      </c>
      <c r="P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P$1,SQLデータ!$C:$C,"&lt;="&amp;届出事由・区分・届出年月日ごと集計!P$2)</f>
        <v>0</v>
      </c>
      <c r="Q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Q$1,SQLデータ!$C:$C,"&lt;="&amp;届出事由・区分・届出年月日ごと集計!Q$2)</f>
        <v>0</v>
      </c>
      <c r="R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R$1,SQLデータ!$C:$C,"&lt;="&amp;届出事由・区分・届出年月日ごと集計!R$2)</f>
        <v>0</v>
      </c>
      <c r="S110" s="85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S$1,SQLデータ!$C:$C,"&lt;="&amp;届出事由・区分・届出年月日ごと集計!S$2)</f>
        <v>0</v>
      </c>
      <c r="T110" s="92">
        <f>COUNTIFS(SQLデータ!$D:$D,"扶養",SQLデータ!$P:$P,1,SQLデータ!$H:$H,届出事由・区分・届出年月日ごと集計!$A110,SQLデータ!$G:$G,届出事由・区分・届出年月日ごと集計!$B110,SQLデータ!$O:$O,1,SQLデータ!$F:$F,"",SQLデータ!$C:$C,"&gt;="&amp;届出事由・区分・届出年月日ごと集計!T$1,SQLデータ!$C:$C,"&lt;="&amp;届出事由・区分・届出年月日ごと集計!T$2)</f>
        <v>0</v>
      </c>
    </row>
    <row r="111" spans="1:20" x14ac:dyDescent="0.4">
      <c r="A111" s="3" t="s">
        <v>74</v>
      </c>
      <c r="B111" s="3" t="s">
        <v>85</v>
      </c>
      <c r="C111" s="3" t="s">
        <v>70</v>
      </c>
      <c r="D111" s="3">
        <f>COUNTIFS(SQLデータ!$D:$D,"扶養",SQLデータ!$H:$H,届出事由・区分・届出年月日ごと集計!$A111,SQLデータ!$G:$G,届出事由・区分・届出年月日ごと集計!$B111,SQLデータ!$L:$L,1)</f>
        <v>173</v>
      </c>
      <c r="E111" s="107"/>
      <c r="F111" s="80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F$1,SQLデータ!$C:$C,"&lt;="&amp;届出事由・区分・届出年月日ごと集計!F$2)</f>
        <v>2</v>
      </c>
      <c r="G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G$1,SQLデータ!$C:$C,"&lt;="&amp;届出事由・区分・届出年月日ごと集計!G$2)</f>
        <v>27</v>
      </c>
      <c r="H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H$1,SQLデータ!$C:$C,"&lt;="&amp;届出事由・区分・届出年月日ごと集計!H$2)</f>
        <v>61</v>
      </c>
      <c r="I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I$1,SQLデータ!$C:$C,"&lt;="&amp;届出事由・区分・届出年月日ごと集計!I$2)</f>
        <v>13</v>
      </c>
      <c r="J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J$1,SQLデータ!$C:$C,"&lt;="&amp;届出事由・区分・届出年月日ごと集計!J$2)</f>
        <v>0</v>
      </c>
      <c r="K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K$1,SQLデータ!$C:$C,"&lt;="&amp;届出事由・区分・届出年月日ごと集計!K$2)</f>
        <v>0</v>
      </c>
      <c r="L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L$1,SQLデータ!$C:$C,"&lt;="&amp;届出事由・区分・届出年月日ごと集計!L$2)</f>
        <v>0</v>
      </c>
      <c r="M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M$1,SQLデータ!$C:$C,"&lt;="&amp;届出事由・区分・届出年月日ごと集計!M$2)</f>
        <v>0</v>
      </c>
      <c r="N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N$1,SQLデータ!$C:$C,"&lt;="&amp;届出事由・区分・届出年月日ごと集計!N$2)</f>
        <v>0</v>
      </c>
      <c r="O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O$1,SQLデータ!$C:$C,"&lt;="&amp;届出事由・区分・届出年月日ごと集計!O$2)</f>
        <v>0</v>
      </c>
      <c r="P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P$1,SQLデータ!$C:$C,"&lt;="&amp;届出事由・区分・届出年月日ごと集計!P$2)</f>
        <v>0</v>
      </c>
      <c r="Q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Q$1,SQLデータ!$C:$C,"&lt;="&amp;届出事由・区分・届出年月日ごと集計!Q$2)</f>
        <v>0</v>
      </c>
      <c r="R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R$1,SQLデータ!$C:$C,"&lt;="&amp;届出事由・区分・届出年月日ごと集計!R$2)</f>
        <v>0</v>
      </c>
      <c r="S111" s="85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S$1,SQLデータ!$C:$C,"&lt;="&amp;届出事由・区分・届出年月日ごと集計!S$2)</f>
        <v>0</v>
      </c>
      <c r="T111" s="92">
        <f>COUNTIFS(SQLデータ!$D:$D,"扶養",SQLデータ!$P:$P,1,SQLデータ!$H:$H,届出事由・区分・届出年月日ごと集計!$A111,SQLデータ!$G:$G,届出事由・区分・届出年月日ごと集計!$B111,SQLデータ!$L:$L,1,SQLデータ!$F:$F,"",SQLデータ!$C:$C,"&gt;="&amp;届出事由・区分・届出年月日ごと集計!T$1,SQLデータ!$C:$C,"&lt;="&amp;届出事由・区分・届出年月日ごと集計!T$2)</f>
        <v>0</v>
      </c>
    </row>
    <row r="112" spans="1:20" x14ac:dyDescent="0.4">
      <c r="A112" s="3" t="s">
        <v>74</v>
      </c>
      <c r="B112" s="3" t="s">
        <v>85</v>
      </c>
      <c r="C112" s="3" t="s">
        <v>71</v>
      </c>
      <c r="D112" s="3">
        <f>COUNTIFS(SQLデータ!$D:$D,"扶養",SQLデータ!$H:$H,届出事由・区分・届出年月日ごと集計!$A112,SQLデータ!$G:$G,届出事由・区分・届出年月日ごと集計!$B112,SQLデータ!$M:$M,1)</f>
        <v>3</v>
      </c>
      <c r="E112" s="107"/>
      <c r="F112" s="80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F$1,SQLデータ!$C:$C,"&lt;="&amp;届出事由・区分・届出年月日ごと集計!F$2)</f>
        <v>0</v>
      </c>
      <c r="G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G$1,SQLデータ!$C:$C,"&lt;="&amp;届出事由・区分・届出年月日ごと集計!G$2)</f>
        <v>0</v>
      </c>
      <c r="H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H$1,SQLデータ!$C:$C,"&lt;="&amp;届出事由・区分・届出年月日ごと集計!H$2)</f>
        <v>1</v>
      </c>
      <c r="I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I$1,SQLデータ!$C:$C,"&lt;="&amp;届出事由・区分・届出年月日ごと集計!I$2)</f>
        <v>0</v>
      </c>
      <c r="J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J$1,SQLデータ!$C:$C,"&lt;="&amp;届出事由・区分・届出年月日ごと集計!J$2)</f>
        <v>0</v>
      </c>
      <c r="K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K$1,SQLデータ!$C:$C,"&lt;="&amp;届出事由・区分・届出年月日ごと集計!K$2)</f>
        <v>0</v>
      </c>
      <c r="L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L$1,SQLデータ!$C:$C,"&lt;="&amp;届出事由・区分・届出年月日ごと集計!L$2)</f>
        <v>0</v>
      </c>
      <c r="M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M$1,SQLデータ!$C:$C,"&lt;="&amp;届出事由・区分・届出年月日ごと集計!M$2)</f>
        <v>0</v>
      </c>
      <c r="N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N$1,SQLデータ!$C:$C,"&lt;="&amp;届出事由・区分・届出年月日ごと集計!N$2)</f>
        <v>0</v>
      </c>
      <c r="O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O$1,SQLデータ!$C:$C,"&lt;="&amp;届出事由・区分・届出年月日ごと集計!O$2)</f>
        <v>0</v>
      </c>
      <c r="P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P$1,SQLデータ!$C:$C,"&lt;="&amp;届出事由・区分・届出年月日ごと集計!P$2)</f>
        <v>0</v>
      </c>
      <c r="Q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Q$1,SQLデータ!$C:$C,"&lt;="&amp;届出事由・区分・届出年月日ごと集計!Q$2)</f>
        <v>0</v>
      </c>
      <c r="R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R$1,SQLデータ!$C:$C,"&lt;="&amp;届出事由・区分・届出年月日ごと集計!R$2)</f>
        <v>0</v>
      </c>
      <c r="S112" s="85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S$1,SQLデータ!$C:$C,"&lt;="&amp;届出事由・区分・届出年月日ごと集計!S$2)</f>
        <v>0</v>
      </c>
      <c r="T112" s="92">
        <f>COUNTIFS(SQLデータ!$D:$D,"扶養",SQLデータ!$P:$P,1,SQLデータ!$H:$H,届出事由・区分・届出年月日ごと集計!$A112,SQLデータ!$G:$G,届出事由・区分・届出年月日ごと集計!$B112,SQLデータ!$M:$M,1,SQLデータ!$F:$F,"",SQLデータ!$C:$C,"&gt;="&amp;届出事由・区分・届出年月日ごと集計!T$1,SQLデータ!$C:$C,"&lt;="&amp;届出事由・区分・届出年月日ごと集計!T$2)</f>
        <v>0</v>
      </c>
    </row>
    <row r="113" spans="1:20" x14ac:dyDescent="0.4">
      <c r="A113" s="3" t="s">
        <v>74</v>
      </c>
      <c r="B113" s="3" t="s">
        <v>85</v>
      </c>
      <c r="C113" s="3" t="s">
        <v>72</v>
      </c>
      <c r="D113" s="3">
        <f>COUNTIFS(SQLデータ!$D:$D,"扶養",SQLデータ!$H:$H,届出事由・区分・届出年月日ごと集計!$A113,SQLデータ!$G:$G,届出事由・区分・届出年月日ごと集計!$B113,SQLデータ!$N:$N,1)</f>
        <v>1</v>
      </c>
      <c r="E113" s="107"/>
      <c r="F113" s="80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F$1,SQLデータ!$C:$C,"&lt;="&amp;届出事由・区分・届出年月日ごと集計!F$2)</f>
        <v>0</v>
      </c>
      <c r="G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G$1,SQLデータ!$C:$C,"&lt;="&amp;届出事由・区分・届出年月日ごと集計!G$2)</f>
        <v>0</v>
      </c>
      <c r="H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H$1,SQLデータ!$C:$C,"&lt;="&amp;届出事由・区分・届出年月日ごと集計!H$2)</f>
        <v>1</v>
      </c>
      <c r="I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I$1,SQLデータ!$C:$C,"&lt;="&amp;届出事由・区分・届出年月日ごと集計!I$2)</f>
        <v>0</v>
      </c>
      <c r="J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J$1,SQLデータ!$C:$C,"&lt;="&amp;届出事由・区分・届出年月日ごと集計!J$2)</f>
        <v>0</v>
      </c>
      <c r="K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K$1,SQLデータ!$C:$C,"&lt;="&amp;届出事由・区分・届出年月日ごと集計!K$2)</f>
        <v>0</v>
      </c>
      <c r="L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L$1,SQLデータ!$C:$C,"&lt;="&amp;届出事由・区分・届出年月日ごと集計!L$2)</f>
        <v>0</v>
      </c>
      <c r="M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M$1,SQLデータ!$C:$C,"&lt;="&amp;届出事由・区分・届出年月日ごと集計!M$2)</f>
        <v>0</v>
      </c>
      <c r="N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N$1,SQLデータ!$C:$C,"&lt;="&amp;届出事由・区分・届出年月日ごと集計!N$2)</f>
        <v>0</v>
      </c>
      <c r="O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O$1,SQLデータ!$C:$C,"&lt;="&amp;届出事由・区分・届出年月日ごと集計!O$2)</f>
        <v>0</v>
      </c>
      <c r="P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P$1,SQLデータ!$C:$C,"&lt;="&amp;届出事由・区分・届出年月日ごと集計!P$2)</f>
        <v>0</v>
      </c>
      <c r="Q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Q$1,SQLデータ!$C:$C,"&lt;="&amp;届出事由・区分・届出年月日ごと集計!Q$2)</f>
        <v>0</v>
      </c>
      <c r="R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R$1,SQLデータ!$C:$C,"&lt;="&amp;届出事由・区分・届出年月日ごと集計!R$2)</f>
        <v>0</v>
      </c>
      <c r="S113" s="85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S$1,SQLデータ!$C:$C,"&lt;="&amp;届出事由・区分・届出年月日ごと集計!S$2)</f>
        <v>0</v>
      </c>
      <c r="T113" s="92">
        <f>COUNTIFS(SQLデータ!$D:$D,"扶養",SQLデータ!$P:$P,1,SQLデータ!$H:$H,届出事由・区分・届出年月日ごと集計!$A113,SQLデータ!$G:$G,届出事由・区分・届出年月日ごと集計!$B113,SQLデータ!$N:$N,1,SQLデータ!$F:$F,"",SQLデータ!$C:$C,"&gt;="&amp;届出事由・区分・届出年月日ごと集計!T$1,SQLデータ!$C:$C,"&lt;="&amp;届出事由・区分・届出年月日ごと集計!T$2)</f>
        <v>0</v>
      </c>
    </row>
    <row r="114" spans="1:20" x14ac:dyDescent="0.4">
      <c r="A114" s="3" t="s">
        <v>74</v>
      </c>
      <c r="B114" s="3" t="s">
        <v>85</v>
      </c>
      <c r="C114" s="3" t="s">
        <v>73</v>
      </c>
      <c r="D114" s="3">
        <f>COUNTIFS(SQLデータ!$D:$D,"扶養",SQLデータ!$H:$H,届出事由・区分・届出年月日ごと集計!$A114,SQLデータ!$G:$G,届出事由・区分・届出年月日ごと集計!$B114,SQLデータ!$O:$O,1)</f>
        <v>4</v>
      </c>
      <c r="E114" s="107"/>
      <c r="F114" s="80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F$1,SQLデータ!$C:$C,"&lt;="&amp;届出事由・区分・届出年月日ごと集計!F$2)</f>
        <v>0</v>
      </c>
      <c r="G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G$1,SQLデータ!$C:$C,"&lt;="&amp;届出事由・区分・届出年月日ごと集計!G$2)</f>
        <v>0</v>
      </c>
      <c r="H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H$1,SQLデータ!$C:$C,"&lt;="&amp;届出事由・区分・届出年月日ごと集計!H$2)</f>
        <v>3</v>
      </c>
      <c r="I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I$1,SQLデータ!$C:$C,"&lt;="&amp;届出事由・区分・届出年月日ごと集計!I$2)</f>
        <v>1</v>
      </c>
      <c r="J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J$1,SQLデータ!$C:$C,"&lt;="&amp;届出事由・区分・届出年月日ごと集計!J$2)</f>
        <v>0</v>
      </c>
      <c r="K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K$1,SQLデータ!$C:$C,"&lt;="&amp;届出事由・区分・届出年月日ごと集計!K$2)</f>
        <v>0</v>
      </c>
      <c r="L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L$1,SQLデータ!$C:$C,"&lt;="&amp;届出事由・区分・届出年月日ごと集計!L$2)</f>
        <v>0</v>
      </c>
      <c r="M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M$1,SQLデータ!$C:$C,"&lt;="&amp;届出事由・区分・届出年月日ごと集計!M$2)</f>
        <v>0</v>
      </c>
      <c r="N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N$1,SQLデータ!$C:$C,"&lt;="&amp;届出事由・区分・届出年月日ごと集計!N$2)</f>
        <v>0</v>
      </c>
      <c r="O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O$1,SQLデータ!$C:$C,"&lt;="&amp;届出事由・区分・届出年月日ごと集計!O$2)</f>
        <v>0</v>
      </c>
      <c r="P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P$1,SQLデータ!$C:$C,"&lt;="&amp;届出事由・区分・届出年月日ごと集計!P$2)</f>
        <v>0</v>
      </c>
      <c r="Q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Q$1,SQLデータ!$C:$C,"&lt;="&amp;届出事由・区分・届出年月日ごと集計!Q$2)</f>
        <v>0</v>
      </c>
      <c r="R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R$1,SQLデータ!$C:$C,"&lt;="&amp;届出事由・区分・届出年月日ごと集計!R$2)</f>
        <v>0</v>
      </c>
      <c r="S114" s="85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S$1,SQLデータ!$C:$C,"&lt;="&amp;届出事由・区分・届出年月日ごと集計!S$2)</f>
        <v>0</v>
      </c>
      <c r="T114" s="92">
        <f>COUNTIFS(SQLデータ!$D:$D,"扶養",SQLデータ!$P:$P,1,SQLデータ!$H:$H,届出事由・区分・届出年月日ごと集計!$A114,SQLデータ!$G:$G,届出事由・区分・届出年月日ごと集計!$B114,SQLデータ!$O:$O,1,SQLデータ!$F:$F,"",SQLデータ!$C:$C,"&gt;="&amp;届出事由・区分・届出年月日ごと集計!T$1,SQLデータ!$C:$C,"&lt;="&amp;届出事由・区分・届出年月日ごと集計!T$2)</f>
        <v>0</v>
      </c>
    </row>
    <row r="115" spans="1:20" x14ac:dyDescent="0.4">
      <c r="A115" s="3" t="s">
        <v>74</v>
      </c>
      <c r="B115" s="3" t="s">
        <v>86</v>
      </c>
      <c r="C115" s="3" t="s">
        <v>70</v>
      </c>
      <c r="D115" s="3">
        <f>COUNTIFS(SQLデータ!$D:$D,"扶養",SQLデータ!$H:$H,届出事由・区分・届出年月日ごと集計!$A115,SQLデータ!$G:$G,届出事由・区分・届出年月日ごと集計!$B115,SQLデータ!$L:$L,1)</f>
        <v>13</v>
      </c>
      <c r="E115" s="107"/>
      <c r="F115" s="80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F$1,SQLデータ!$C:$C,"&lt;="&amp;届出事由・区分・届出年月日ごと集計!F$2)</f>
        <v>0</v>
      </c>
      <c r="G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G$1,SQLデータ!$C:$C,"&lt;="&amp;届出事由・区分・届出年月日ごと集計!G$2)</f>
        <v>3</v>
      </c>
      <c r="H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H$1,SQLデータ!$C:$C,"&lt;="&amp;届出事由・区分・届出年月日ごと集計!H$2)</f>
        <v>1</v>
      </c>
      <c r="I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I$1,SQLデータ!$C:$C,"&lt;="&amp;届出事由・区分・届出年月日ごと集計!I$2)</f>
        <v>0</v>
      </c>
      <c r="J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J$1,SQLデータ!$C:$C,"&lt;="&amp;届出事由・区分・届出年月日ごと集計!J$2)</f>
        <v>0</v>
      </c>
      <c r="K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K$1,SQLデータ!$C:$C,"&lt;="&amp;届出事由・区分・届出年月日ごと集計!K$2)</f>
        <v>0</v>
      </c>
      <c r="L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L$1,SQLデータ!$C:$C,"&lt;="&amp;届出事由・区分・届出年月日ごと集計!L$2)</f>
        <v>0</v>
      </c>
      <c r="M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M$1,SQLデータ!$C:$C,"&lt;="&amp;届出事由・区分・届出年月日ごと集計!M$2)</f>
        <v>0</v>
      </c>
      <c r="N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N$1,SQLデータ!$C:$C,"&lt;="&amp;届出事由・区分・届出年月日ごと集計!N$2)</f>
        <v>0</v>
      </c>
      <c r="O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O$1,SQLデータ!$C:$C,"&lt;="&amp;届出事由・区分・届出年月日ごと集計!O$2)</f>
        <v>0</v>
      </c>
      <c r="P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P$1,SQLデータ!$C:$C,"&lt;="&amp;届出事由・区分・届出年月日ごと集計!P$2)</f>
        <v>0</v>
      </c>
      <c r="Q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Q$1,SQLデータ!$C:$C,"&lt;="&amp;届出事由・区分・届出年月日ごと集計!Q$2)</f>
        <v>0</v>
      </c>
      <c r="R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R$1,SQLデータ!$C:$C,"&lt;="&amp;届出事由・区分・届出年月日ごと集計!R$2)</f>
        <v>0</v>
      </c>
      <c r="S115" s="85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S$1,SQLデータ!$C:$C,"&lt;="&amp;届出事由・区分・届出年月日ごと集計!S$2)</f>
        <v>0</v>
      </c>
      <c r="T115" s="92">
        <f>COUNTIFS(SQLデータ!$D:$D,"扶養",SQLデータ!$P:$P,1,SQLデータ!$H:$H,届出事由・区分・届出年月日ごと集計!$A115,SQLデータ!$G:$G,届出事由・区分・届出年月日ごと集計!$B115,SQLデータ!$L:$L,1,SQLデータ!$F:$F,"",SQLデータ!$C:$C,"&gt;="&amp;届出事由・区分・届出年月日ごと集計!T$1,SQLデータ!$C:$C,"&lt;="&amp;届出事由・区分・届出年月日ごと集計!T$2)</f>
        <v>0</v>
      </c>
    </row>
    <row r="116" spans="1:20" x14ac:dyDescent="0.4">
      <c r="A116" s="3" t="s">
        <v>74</v>
      </c>
      <c r="B116" s="3" t="s">
        <v>86</v>
      </c>
      <c r="C116" s="3" t="s">
        <v>71</v>
      </c>
      <c r="D116" s="3">
        <f>COUNTIFS(SQLデータ!$D:$D,"扶養",SQLデータ!$H:$H,届出事由・区分・届出年月日ごと集計!$A116,SQLデータ!$G:$G,届出事由・区分・届出年月日ごと集計!$B116,SQLデータ!$M:$M,1)</f>
        <v>1</v>
      </c>
      <c r="E116" s="107"/>
      <c r="F116" s="80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F$1,SQLデータ!$C:$C,"&lt;="&amp;届出事由・区分・届出年月日ごと集計!F$2)</f>
        <v>0</v>
      </c>
      <c r="G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G$1,SQLデータ!$C:$C,"&lt;="&amp;届出事由・区分・届出年月日ごと集計!G$2)</f>
        <v>0</v>
      </c>
      <c r="H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H$1,SQLデータ!$C:$C,"&lt;="&amp;届出事由・区分・届出年月日ごと集計!H$2)</f>
        <v>1</v>
      </c>
      <c r="I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I$1,SQLデータ!$C:$C,"&lt;="&amp;届出事由・区分・届出年月日ごと集計!I$2)</f>
        <v>0</v>
      </c>
      <c r="J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J$1,SQLデータ!$C:$C,"&lt;="&amp;届出事由・区分・届出年月日ごと集計!J$2)</f>
        <v>0</v>
      </c>
      <c r="K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K$1,SQLデータ!$C:$C,"&lt;="&amp;届出事由・区分・届出年月日ごと集計!K$2)</f>
        <v>0</v>
      </c>
      <c r="L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L$1,SQLデータ!$C:$C,"&lt;="&amp;届出事由・区分・届出年月日ごと集計!L$2)</f>
        <v>0</v>
      </c>
      <c r="M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M$1,SQLデータ!$C:$C,"&lt;="&amp;届出事由・区分・届出年月日ごと集計!M$2)</f>
        <v>0</v>
      </c>
      <c r="N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N$1,SQLデータ!$C:$C,"&lt;="&amp;届出事由・区分・届出年月日ごと集計!N$2)</f>
        <v>0</v>
      </c>
      <c r="O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O$1,SQLデータ!$C:$C,"&lt;="&amp;届出事由・区分・届出年月日ごと集計!O$2)</f>
        <v>0</v>
      </c>
      <c r="P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P$1,SQLデータ!$C:$C,"&lt;="&amp;届出事由・区分・届出年月日ごと集計!P$2)</f>
        <v>0</v>
      </c>
      <c r="Q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Q$1,SQLデータ!$C:$C,"&lt;="&amp;届出事由・区分・届出年月日ごと集計!Q$2)</f>
        <v>0</v>
      </c>
      <c r="R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R$1,SQLデータ!$C:$C,"&lt;="&amp;届出事由・区分・届出年月日ごと集計!R$2)</f>
        <v>0</v>
      </c>
      <c r="S116" s="85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S$1,SQLデータ!$C:$C,"&lt;="&amp;届出事由・区分・届出年月日ごと集計!S$2)</f>
        <v>0</v>
      </c>
      <c r="T116" s="92">
        <f>COUNTIFS(SQLデータ!$D:$D,"扶養",SQLデータ!$P:$P,1,SQLデータ!$H:$H,届出事由・区分・届出年月日ごと集計!$A116,SQLデータ!$G:$G,届出事由・区分・届出年月日ごと集計!$B116,SQLデータ!$M:$M,1,SQLデータ!$F:$F,"",SQLデータ!$C:$C,"&gt;="&amp;届出事由・区分・届出年月日ごと集計!T$1,SQLデータ!$C:$C,"&lt;="&amp;届出事由・区分・届出年月日ごと集計!T$2)</f>
        <v>0</v>
      </c>
    </row>
    <row r="117" spans="1:20" x14ac:dyDescent="0.4">
      <c r="A117" s="3" t="s">
        <v>74</v>
      </c>
      <c r="B117" s="3" t="s">
        <v>86</v>
      </c>
      <c r="C117" s="3" t="s">
        <v>72</v>
      </c>
      <c r="D117" s="3">
        <f>COUNTIFS(SQLデータ!$D:$D,"扶養",SQLデータ!$H:$H,届出事由・区分・届出年月日ごと集計!$A117,SQLデータ!$G:$G,届出事由・区分・届出年月日ごと集計!$B117,SQLデータ!$N:$N,1)</f>
        <v>2</v>
      </c>
      <c r="E117" s="107"/>
      <c r="F117" s="80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F$1,SQLデータ!$C:$C,"&lt;="&amp;届出事由・区分・届出年月日ごと集計!F$2)</f>
        <v>1</v>
      </c>
      <c r="G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G$1,SQLデータ!$C:$C,"&lt;="&amp;届出事由・区分・届出年月日ごと集計!G$2)</f>
        <v>0</v>
      </c>
      <c r="H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H$1,SQLデータ!$C:$C,"&lt;="&amp;届出事由・区分・届出年月日ごと集計!H$2)</f>
        <v>1</v>
      </c>
      <c r="I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I$1,SQLデータ!$C:$C,"&lt;="&amp;届出事由・区分・届出年月日ごと集計!I$2)</f>
        <v>0</v>
      </c>
      <c r="J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J$1,SQLデータ!$C:$C,"&lt;="&amp;届出事由・区分・届出年月日ごと集計!J$2)</f>
        <v>0</v>
      </c>
      <c r="K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K$1,SQLデータ!$C:$C,"&lt;="&amp;届出事由・区分・届出年月日ごと集計!K$2)</f>
        <v>0</v>
      </c>
      <c r="L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L$1,SQLデータ!$C:$C,"&lt;="&amp;届出事由・区分・届出年月日ごと集計!L$2)</f>
        <v>0</v>
      </c>
      <c r="M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M$1,SQLデータ!$C:$C,"&lt;="&amp;届出事由・区分・届出年月日ごと集計!M$2)</f>
        <v>0</v>
      </c>
      <c r="N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N$1,SQLデータ!$C:$C,"&lt;="&amp;届出事由・区分・届出年月日ごと集計!N$2)</f>
        <v>0</v>
      </c>
      <c r="O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O$1,SQLデータ!$C:$C,"&lt;="&amp;届出事由・区分・届出年月日ごと集計!O$2)</f>
        <v>0</v>
      </c>
      <c r="P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P$1,SQLデータ!$C:$C,"&lt;="&amp;届出事由・区分・届出年月日ごと集計!P$2)</f>
        <v>0</v>
      </c>
      <c r="Q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Q$1,SQLデータ!$C:$C,"&lt;="&amp;届出事由・区分・届出年月日ごと集計!Q$2)</f>
        <v>0</v>
      </c>
      <c r="R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R$1,SQLデータ!$C:$C,"&lt;="&amp;届出事由・区分・届出年月日ごと集計!R$2)</f>
        <v>0</v>
      </c>
      <c r="S117" s="85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S$1,SQLデータ!$C:$C,"&lt;="&amp;届出事由・区分・届出年月日ごと集計!S$2)</f>
        <v>0</v>
      </c>
      <c r="T117" s="92">
        <f>COUNTIFS(SQLデータ!$D:$D,"扶養",SQLデータ!$P:$P,1,SQLデータ!$H:$H,届出事由・区分・届出年月日ごと集計!$A117,SQLデータ!$G:$G,届出事由・区分・届出年月日ごと集計!$B117,SQLデータ!$N:$N,1,SQLデータ!$F:$F,"",SQLデータ!$C:$C,"&gt;="&amp;届出事由・区分・届出年月日ごと集計!T$1,SQLデータ!$C:$C,"&lt;="&amp;届出事由・区分・届出年月日ごと集計!T$2)</f>
        <v>0</v>
      </c>
    </row>
    <row r="118" spans="1:20" x14ac:dyDescent="0.4">
      <c r="A118" s="3" t="s">
        <v>74</v>
      </c>
      <c r="B118" s="3" t="s">
        <v>86</v>
      </c>
      <c r="C118" s="3" t="s">
        <v>73</v>
      </c>
      <c r="D118" s="3">
        <f>COUNTIFS(SQLデータ!$D:$D,"扶養",SQLデータ!$H:$H,届出事由・区分・届出年月日ごと集計!$A118,SQLデータ!$G:$G,届出事由・区分・届出年月日ごと集計!$B118,SQLデータ!$O:$O,1)</f>
        <v>0</v>
      </c>
      <c r="E118" s="107"/>
      <c r="F118" s="80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F$1,SQLデータ!$C:$C,"&lt;="&amp;届出事由・区分・届出年月日ごと集計!F$2)</f>
        <v>0</v>
      </c>
      <c r="G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G$1,SQLデータ!$C:$C,"&lt;="&amp;届出事由・区分・届出年月日ごと集計!G$2)</f>
        <v>0</v>
      </c>
      <c r="H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H$1,SQLデータ!$C:$C,"&lt;="&amp;届出事由・区分・届出年月日ごと集計!H$2)</f>
        <v>0</v>
      </c>
      <c r="I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I$1,SQLデータ!$C:$C,"&lt;="&amp;届出事由・区分・届出年月日ごと集計!I$2)</f>
        <v>0</v>
      </c>
      <c r="J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J$1,SQLデータ!$C:$C,"&lt;="&amp;届出事由・区分・届出年月日ごと集計!J$2)</f>
        <v>0</v>
      </c>
      <c r="K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K$1,SQLデータ!$C:$C,"&lt;="&amp;届出事由・区分・届出年月日ごと集計!K$2)</f>
        <v>0</v>
      </c>
      <c r="L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L$1,SQLデータ!$C:$C,"&lt;="&amp;届出事由・区分・届出年月日ごと集計!L$2)</f>
        <v>0</v>
      </c>
      <c r="M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M$1,SQLデータ!$C:$C,"&lt;="&amp;届出事由・区分・届出年月日ごと集計!M$2)</f>
        <v>0</v>
      </c>
      <c r="N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N$1,SQLデータ!$C:$C,"&lt;="&amp;届出事由・区分・届出年月日ごと集計!N$2)</f>
        <v>0</v>
      </c>
      <c r="O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O$1,SQLデータ!$C:$C,"&lt;="&amp;届出事由・区分・届出年月日ごと集計!O$2)</f>
        <v>0</v>
      </c>
      <c r="P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P$1,SQLデータ!$C:$C,"&lt;="&amp;届出事由・区分・届出年月日ごと集計!P$2)</f>
        <v>0</v>
      </c>
      <c r="Q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Q$1,SQLデータ!$C:$C,"&lt;="&amp;届出事由・区分・届出年月日ごと集計!Q$2)</f>
        <v>0</v>
      </c>
      <c r="R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R$1,SQLデータ!$C:$C,"&lt;="&amp;届出事由・区分・届出年月日ごと集計!R$2)</f>
        <v>0</v>
      </c>
      <c r="S118" s="85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S$1,SQLデータ!$C:$C,"&lt;="&amp;届出事由・区分・届出年月日ごと集計!S$2)</f>
        <v>0</v>
      </c>
      <c r="T118" s="92">
        <f>COUNTIFS(SQLデータ!$D:$D,"扶養",SQLデータ!$P:$P,1,SQLデータ!$H:$H,届出事由・区分・届出年月日ごと集計!$A118,SQLデータ!$G:$G,届出事由・区分・届出年月日ごと集計!$B118,SQLデータ!$O:$O,1,SQLデータ!$F:$F,"",SQLデータ!$C:$C,"&gt;="&amp;届出事由・区分・届出年月日ごと集計!T$1,SQLデータ!$C:$C,"&lt;="&amp;届出事由・区分・届出年月日ごと集計!T$2)</f>
        <v>0</v>
      </c>
    </row>
    <row r="119" spans="1:20" x14ac:dyDescent="0.4">
      <c r="A119" s="3" t="s">
        <v>74</v>
      </c>
      <c r="B119" s="3" t="s">
        <v>87</v>
      </c>
      <c r="C119" s="3" t="s">
        <v>70</v>
      </c>
      <c r="D119" s="3">
        <f>COUNTIFS(SQLデータ!$D:$D,"扶養",SQLデータ!$H:$H,届出事由・区分・届出年月日ごと集計!$A119,SQLデータ!$G:$G,届出事由・区分・届出年月日ごと集計!$B119,SQLデータ!$L:$L,1)</f>
        <v>0</v>
      </c>
      <c r="E119" s="107"/>
      <c r="F119" s="80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F$1,SQLデータ!$C:$C,"&lt;="&amp;届出事由・区分・届出年月日ごと集計!F$2)</f>
        <v>0</v>
      </c>
      <c r="G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G$1,SQLデータ!$C:$C,"&lt;="&amp;届出事由・区分・届出年月日ごと集計!G$2)</f>
        <v>0</v>
      </c>
      <c r="H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H$1,SQLデータ!$C:$C,"&lt;="&amp;届出事由・区分・届出年月日ごと集計!H$2)</f>
        <v>0</v>
      </c>
      <c r="I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I$1,SQLデータ!$C:$C,"&lt;="&amp;届出事由・区分・届出年月日ごと集計!I$2)</f>
        <v>0</v>
      </c>
      <c r="J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J$1,SQLデータ!$C:$C,"&lt;="&amp;届出事由・区分・届出年月日ごと集計!J$2)</f>
        <v>0</v>
      </c>
      <c r="K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K$1,SQLデータ!$C:$C,"&lt;="&amp;届出事由・区分・届出年月日ごと集計!K$2)</f>
        <v>0</v>
      </c>
      <c r="L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L$1,SQLデータ!$C:$C,"&lt;="&amp;届出事由・区分・届出年月日ごと集計!L$2)</f>
        <v>0</v>
      </c>
      <c r="M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M$1,SQLデータ!$C:$C,"&lt;="&amp;届出事由・区分・届出年月日ごと集計!M$2)</f>
        <v>0</v>
      </c>
      <c r="N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N$1,SQLデータ!$C:$C,"&lt;="&amp;届出事由・区分・届出年月日ごと集計!N$2)</f>
        <v>0</v>
      </c>
      <c r="O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O$1,SQLデータ!$C:$C,"&lt;="&amp;届出事由・区分・届出年月日ごと集計!O$2)</f>
        <v>0</v>
      </c>
      <c r="P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P$1,SQLデータ!$C:$C,"&lt;="&amp;届出事由・区分・届出年月日ごと集計!P$2)</f>
        <v>0</v>
      </c>
      <c r="Q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Q$1,SQLデータ!$C:$C,"&lt;="&amp;届出事由・区分・届出年月日ごと集計!Q$2)</f>
        <v>0</v>
      </c>
      <c r="R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R$1,SQLデータ!$C:$C,"&lt;="&amp;届出事由・区分・届出年月日ごと集計!R$2)</f>
        <v>0</v>
      </c>
      <c r="S119" s="85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S$1,SQLデータ!$C:$C,"&lt;="&amp;届出事由・区分・届出年月日ごと集計!S$2)</f>
        <v>0</v>
      </c>
      <c r="T119" s="92">
        <f>COUNTIFS(SQLデータ!$D:$D,"扶養",SQLデータ!$P:$P,1,SQLデータ!$H:$H,届出事由・区分・届出年月日ごと集計!$A119,SQLデータ!$G:$G,届出事由・区分・届出年月日ごと集計!$B119,SQLデータ!$L:$L,1,SQLデータ!$F:$F,"",SQLデータ!$C:$C,"&gt;="&amp;届出事由・区分・届出年月日ごと集計!T$1,SQLデータ!$C:$C,"&lt;="&amp;届出事由・区分・届出年月日ごと集計!T$2)</f>
        <v>0</v>
      </c>
    </row>
    <row r="120" spans="1:20" x14ac:dyDescent="0.4">
      <c r="A120" s="3" t="s">
        <v>74</v>
      </c>
      <c r="B120" s="3" t="s">
        <v>87</v>
      </c>
      <c r="C120" s="3" t="s">
        <v>71</v>
      </c>
      <c r="D120" s="3">
        <f>COUNTIFS(SQLデータ!$D:$D,"扶養",SQLデータ!$H:$H,届出事由・区分・届出年月日ごと集計!$A120,SQLデータ!$G:$G,届出事由・区分・届出年月日ごと集計!$B120,SQLデータ!$M:$M,1)</f>
        <v>0</v>
      </c>
      <c r="E120" s="107"/>
      <c r="F120" s="80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F$1,SQLデータ!$C:$C,"&lt;="&amp;届出事由・区分・届出年月日ごと集計!F$2)</f>
        <v>0</v>
      </c>
      <c r="G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G$1,SQLデータ!$C:$C,"&lt;="&amp;届出事由・区分・届出年月日ごと集計!G$2)</f>
        <v>0</v>
      </c>
      <c r="H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H$1,SQLデータ!$C:$C,"&lt;="&amp;届出事由・区分・届出年月日ごと集計!H$2)</f>
        <v>0</v>
      </c>
      <c r="I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I$1,SQLデータ!$C:$C,"&lt;="&amp;届出事由・区分・届出年月日ごと集計!I$2)</f>
        <v>0</v>
      </c>
      <c r="J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J$1,SQLデータ!$C:$C,"&lt;="&amp;届出事由・区分・届出年月日ごと集計!J$2)</f>
        <v>0</v>
      </c>
      <c r="K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K$1,SQLデータ!$C:$C,"&lt;="&amp;届出事由・区分・届出年月日ごと集計!K$2)</f>
        <v>0</v>
      </c>
      <c r="L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L$1,SQLデータ!$C:$C,"&lt;="&amp;届出事由・区分・届出年月日ごと集計!L$2)</f>
        <v>0</v>
      </c>
      <c r="M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M$1,SQLデータ!$C:$C,"&lt;="&amp;届出事由・区分・届出年月日ごと集計!M$2)</f>
        <v>0</v>
      </c>
      <c r="N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N$1,SQLデータ!$C:$C,"&lt;="&amp;届出事由・区分・届出年月日ごと集計!N$2)</f>
        <v>0</v>
      </c>
      <c r="O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O$1,SQLデータ!$C:$C,"&lt;="&amp;届出事由・区分・届出年月日ごと集計!O$2)</f>
        <v>0</v>
      </c>
      <c r="P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P$1,SQLデータ!$C:$C,"&lt;="&amp;届出事由・区分・届出年月日ごと集計!P$2)</f>
        <v>0</v>
      </c>
      <c r="Q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Q$1,SQLデータ!$C:$C,"&lt;="&amp;届出事由・区分・届出年月日ごと集計!Q$2)</f>
        <v>0</v>
      </c>
      <c r="R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R$1,SQLデータ!$C:$C,"&lt;="&amp;届出事由・区分・届出年月日ごと集計!R$2)</f>
        <v>0</v>
      </c>
      <c r="S120" s="85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S$1,SQLデータ!$C:$C,"&lt;="&amp;届出事由・区分・届出年月日ごと集計!S$2)</f>
        <v>0</v>
      </c>
      <c r="T120" s="92">
        <f>COUNTIFS(SQLデータ!$D:$D,"扶養",SQLデータ!$P:$P,1,SQLデータ!$H:$H,届出事由・区分・届出年月日ごと集計!$A120,SQLデータ!$G:$G,届出事由・区分・届出年月日ごと集計!$B120,SQLデータ!$M:$M,1,SQLデータ!$F:$F,"",SQLデータ!$C:$C,"&gt;="&amp;届出事由・区分・届出年月日ごと集計!T$1,SQLデータ!$C:$C,"&lt;="&amp;届出事由・区分・届出年月日ごと集計!T$2)</f>
        <v>0</v>
      </c>
    </row>
    <row r="121" spans="1:20" x14ac:dyDescent="0.4">
      <c r="A121" s="3" t="s">
        <v>74</v>
      </c>
      <c r="B121" s="3" t="s">
        <v>87</v>
      </c>
      <c r="C121" s="3" t="s">
        <v>72</v>
      </c>
      <c r="D121" s="3">
        <f>COUNTIFS(SQLデータ!$D:$D,"扶養",SQLデータ!$H:$H,届出事由・区分・届出年月日ごと集計!$A121,SQLデータ!$G:$G,届出事由・区分・届出年月日ごと集計!$B121,SQLデータ!$N:$N,1)</f>
        <v>1</v>
      </c>
      <c r="E121" s="107"/>
      <c r="F121" s="80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F$1,SQLデータ!$C:$C,"&lt;="&amp;届出事由・区分・届出年月日ごと集計!F$2)</f>
        <v>1</v>
      </c>
      <c r="G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G$1,SQLデータ!$C:$C,"&lt;="&amp;届出事由・区分・届出年月日ごと集計!G$2)</f>
        <v>0</v>
      </c>
      <c r="H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H$1,SQLデータ!$C:$C,"&lt;="&amp;届出事由・区分・届出年月日ごと集計!H$2)</f>
        <v>0</v>
      </c>
      <c r="I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I$1,SQLデータ!$C:$C,"&lt;="&amp;届出事由・区分・届出年月日ごと集計!I$2)</f>
        <v>0</v>
      </c>
      <c r="J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J$1,SQLデータ!$C:$C,"&lt;="&amp;届出事由・区分・届出年月日ごと集計!J$2)</f>
        <v>0</v>
      </c>
      <c r="K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K$1,SQLデータ!$C:$C,"&lt;="&amp;届出事由・区分・届出年月日ごと集計!K$2)</f>
        <v>0</v>
      </c>
      <c r="L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L$1,SQLデータ!$C:$C,"&lt;="&amp;届出事由・区分・届出年月日ごと集計!L$2)</f>
        <v>0</v>
      </c>
      <c r="M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M$1,SQLデータ!$C:$C,"&lt;="&amp;届出事由・区分・届出年月日ごと集計!M$2)</f>
        <v>0</v>
      </c>
      <c r="N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N$1,SQLデータ!$C:$C,"&lt;="&amp;届出事由・区分・届出年月日ごと集計!N$2)</f>
        <v>0</v>
      </c>
      <c r="O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O$1,SQLデータ!$C:$C,"&lt;="&amp;届出事由・区分・届出年月日ごと集計!O$2)</f>
        <v>0</v>
      </c>
      <c r="P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P$1,SQLデータ!$C:$C,"&lt;="&amp;届出事由・区分・届出年月日ごと集計!P$2)</f>
        <v>0</v>
      </c>
      <c r="Q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Q$1,SQLデータ!$C:$C,"&lt;="&amp;届出事由・区分・届出年月日ごと集計!Q$2)</f>
        <v>0</v>
      </c>
      <c r="R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R$1,SQLデータ!$C:$C,"&lt;="&amp;届出事由・区分・届出年月日ごと集計!R$2)</f>
        <v>0</v>
      </c>
      <c r="S121" s="85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S$1,SQLデータ!$C:$C,"&lt;="&amp;届出事由・区分・届出年月日ごと集計!S$2)</f>
        <v>0</v>
      </c>
      <c r="T121" s="92">
        <f>COUNTIFS(SQLデータ!$D:$D,"扶養",SQLデータ!$P:$P,1,SQLデータ!$H:$H,届出事由・区分・届出年月日ごと集計!$A121,SQLデータ!$G:$G,届出事由・区分・届出年月日ごと集計!$B121,SQLデータ!$N:$N,1,SQLデータ!$F:$F,"",SQLデータ!$C:$C,"&gt;="&amp;届出事由・区分・届出年月日ごと集計!T$1,SQLデータ!$C:$C,"&lt;="&amp;届出事由・区分・届出年月日ごと集計!T$2)</f>
        <v>0</v>
      </c>
    </row>
    <row r="122" spans="1:20" x14ac:dyDescent="0.4">
      <c r="A122" s="3" t="s">
        <v>74</v>
      </c>
      <c r="B122" s="3" t="s">
        <v>87</v>
      </c>
      <c r="C122" s="3" t="s">
        <v>73</v>
      </c>
      <c r="D122" s="3">
        <f>COUNTIFS(SQLデータ!$D:$D,"扶養",SQLデータ!$H:$H,届出事由・区分・届出年月日ごと集計!$A122,SQLデータ!$G:$G,届出事由・区分・届出年月日ごと集計!$B122,SQLデータ!$O:$O,1)</f>
        <v>0</v>
      </c>
      <c r="E122" s="107"/>
      <c r="F122" s="80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F$1,SQLデータ!$C:$C,"&lt;="&amp;届出事由・区分・届出年月日ごと集計!F$2)</f>
        <v>0</v>
      </c>
      <c r="G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G$1,SQLデータ!$C:$C,"&lt;="&amp;届出事由・区分・届出年月日ごと集計!G$2)</f>
        <v>0</v>
      </c>
      <c r="H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H$1,SQLデータ!$C:$C,"&lt;="&amp;届出事由・区分・届出年月日ごと集計!H$2)</f>
        <v>0</v>
      </c>
      <c r="I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I$1,SQLデータ!$C:$C,"&lt;="&amp;届出事由・区分・届出年月日ごと集計!I$2)</f>
        <v>0</v>
      </c>
      <c r="J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J$1,SQLデータ!$C:$C,"&lt;="&amp;届出事由・区分・届出年月日ごと集計!J$2)</f>
        <v>0</v>
      </c>
      <c r="K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K$1,SQLデータ!$C:$C,"&lt;="&amp;届出事由・区分・届出年月日ごと集計!K$2)</f>
        <v>0</v>
      </c>
      <c r="L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L$1,SQLデータ!$C:$C,"&lt;="&amp;届出事由・区分・届出年月日ごと集計!L$2)</f>
        <v>0</v>
      </c>
      <c r="M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M$1,SQLデータ!$C:$C,"&lt;="&amp;届出事由・区分・届出年月日ごと集計!M$2)</f>
        <v>0</v>
      </c>
      <c r="N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N$1,SQLデータ!$C:$C,"&lt;="&amp;届出事由・区分・届出年月日ごと集計!N$2)</f>
        <v>0</v>
      </c>
      <c r="O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O$1,SQLデータ!$C:$C,"&lt;="&amp;届出事由・区分・届出年月日ごと集計!O$2)</f>
        <v>0</v>
      </c>
      <c r="P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P$1,SQLデータ!$C:$C,"&lt;="&amp;届出事由・区分・届出年月日ごと集計!P$2)</f>
        <v>0</v>
      </c>
      <c r="Q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Q$1,SQLデータ!$C:$C,"&lt;="&amp;届出事由・区分・届出年月日ごと集計!Q$2)</f>
        <v>0</v>
      </c>
      <c r="R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R$1,SQLデータ!$C:$C,"&lt;="&amp;届出事由・区分・届出年月日ごと集計!R$2)</f>
        <v>0</v>
      </c>
      <c r="S122" s="85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S$1,SQLデータ!$C:$C,"&lt;="&amp;届出事由・区分・届出年月日ごと集計!S$2)</f>
        <v>0</v>
      </c>
      <c r="T122" s="92">
        <f>COUNTIFS(SQLデータ!$D:$D,"扶養",SQLデータ!$P:$P,1,SQLデータ!$H:$H,届出事由・区分・届出年月日ごと集計!$A122,SQLデータ!$G:$G,届出事由・区分・届出年月日ごと集計!$B122,SQLデータ!$O:$O,1,SQLデータ!$F:$F,"",SQLデータ!$C:$C,"&gt;="&amp;届出事由・区分・届出年月日ごと集計!T$1,SQLデータ!$C:$C,"&lt;="&amp;届出事由・区分・届出年月日ごと集計!T$2)</f>
        <v>0</v>
      </c>
    </row>
    <row r="123" spans="1:20" x14ac:dyDescent="0.4">
      <c r="A123" s="3" t="s">
        <v>74</v>
      </c>
      <c r="B123" s="3" t="s">
        <v>62</v>
      </c>
      <c r="C123" s="3" t="s">
        <v>70</v>
      </c>
      <c r="D123" s="3">
        <f>COUNTIFS(SQLデータ!$D:$D,"扶養",SQLデータ!$H:$H,届出事由・区分・届出年月日ごと集計!$A123,SQLデータ!$G:$G,届出事由・区分・届出年月日ごと集計!$B123,SQLデータ!$L:$L,1)</f>
        <v>0</v>
      </c>
      <c r="E123" s="107"/>
      <c r="F123" s="80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F$1,SQLデータ!$C:$C,"&lt;="&amp;届出事由・区分・届出年月日ごと集計!F$2)</f>
        <v>0</v>
      </c>
      <c r="G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G$1,SQLデータ!$C:$C,"&lt;="&amp;届出事由・区分・届出年月日ごと集計!G$2)</f>
        <v>0</v>
      </c>
      <c r="H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H$1,SQLデータ!$C:$C,"&lt;="&amp;届出事由・区分・届出年月日ごと集計!H$2)</f>
        <v>0</v>
      </c>
      <c r="I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I$1,SQLデータ!$C:$C,"&lt;="&amp;届出事由・区分・届出年月日ごと集計!I$2)</f>
        <v>0</v>
      </c>
      <c r="J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J$1,SQLデータ!$C:$C,"&lt;="&amp;届出事由・区分・届出年月日ごと集計!J$2)</f>
        <v>0</v>
      </c>
      <c r="K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K$1,SQLデータ!$C:$C,"&lt;="&amp;届出事由・区分・届出年月日ごと集計!K$2)</f>
        <v>0</v>
      </c>
      <c r="L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L$1,SQLデータ!$C:$C,"&lt;="&amp;届出事由・区分・届出年月日ごと集計!L$2)</f>
        <v>0</v>
      </c>
      <c r="M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M$1,SQLデータ!$C:$C,"&lt;="&amp;届出事由・区分・届出年月日ごと集計!M$2)</f>
        <v>0</v>
      </c>
      <c r="N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N$1,SQLデータ!$C:$C,"&lt;="&amp;届出事由・区分・届出年月日ごと集計!N$2)</f>
        <v>0</v>
      </c>
      <c r="O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O$1,SQLデータ!$C:$C,"&lt;="&amp;届出事由・区分・届出年月日ごと集計!O$2)</f>
        <v>0</v>
      </c>
      <c r="P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P$1,SQLデータ!$C:$C,"&lt;="&amp;届出事由・区分・届出年月日ごと集計!P$2)</f>
        <v>0</v>
      </c>
      <c r="Q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Q$1,SQLデータ!$C:$C,"&lt;="&amp;届出事由・区分・届出年月日ごと集計!Q$2)</f>
        <v>0</v>
      </c>
      <c r="R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R$1,SQLデータ!$C:$C,"&lt;="&amp;届出事由・区分・届出年月日ごと集計!R$2)</f>
        <v>0</v>
      </c>
      <c r="S123" s="85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S$1,SQLデータ!$C:$C,"&lt;="&amp;届出事由・区分・届出年月日ごと集計!S$2)</f>
        <v>0</v>
      </c>
      <c r="T123" s="92">
        <f>COUNTIFS(SQLデータ!$D:$D,"扶養",SQLデータ!$P:$P,1,SQLデータ!$H:$H,届出事由・区分・届出年月日ごと集計!$A123,SQLデータ!$G:$G,届出事由・区分・届出年月日ごと集計!$B123,SQLデータ!$L:$L,1,SQLデータ!$F:$F,"",SQLデータ!$C:$C,"&gt;="&amp;届出事由・区分・届出年月日ごと集計!T$1,SQLデータ!$C:$C,"&lt;="&amp;届出事由・区分・届出年月日ごと集計!T$2)</f>
        <v>0</v>
      </c>
    </row>
    <row r="124" spans="1:20" x14ac:dyDescent="0.4">
      <c r="A124" s="3" t="s">
        <v>74</v>
      </c>
      <c r="B124" s="3" t="s">
        <v>62</v>
      </c>
      <c r="C124" s="3" t="s">
        <v>71</v>
      </c>
      <c r="D124" s="3">
        <f>COUNTIFS(SQLデータ!$D:$D,"扶養",SQLデータ!$H:$H,届出事由・区分・届出年月日ごと集計!$A124,SQLデータ!$G:$G,届出事由・区分・届出年月日ごと集計!$B124,SQLデータ!$M:$M,1)</f>
        <v>0</v>
      </c>
      <c r="E124" s="107"/>
      <c r="F124" s="80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F$1,SQLデータ!$C:$C,"&lt;="&amp;届出事由・区分・届出年月日ごと集計!F$2)</f>
        <v>0</v>
      </c>
      <c r="G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G$1,SQLデータ!$C:$C,"&lt;="&amp;届出事由・区分・届出年月日ごと集計!G$2)</f>
        <v>0</v>
      </c>
      <c r="H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H$1,SQLデータ!$C:$C,"&lt;="&amp;届出事由・区分・届出年月日ごと集計!H$2)</f>
        <v>0</v>
      </c>
      <c r="I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I$1,SQLデータ!$C:$C,"&lt;="&amp;届出事由・区分・届出年月日ごと集計!I$2)</f>
        <v>0</v>
      </c>
      <c r="J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J$1,SQLデータ!$C:$C,"&lt;="&amp;届出事由・区分・届出年月日ごと集計!J$2)</f>
        <v>0</v>
      </c>
      <c r="K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K$1,SQLデータ!$C:$C,"&lt;="&amp;届出事由・区分・届出年月日ごと集計!K$2)</f>
        <v>0</v>
      </c>
      <c r="L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L$1,SQLデータ!$C:$C,"&lt;="&amp;届出事由・区分・届出年月日ごと集計!L$2)</f>
        <v>0</v>
      </c>
      <c r="M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M$1,SQLデータ!$C:$C,"&lt;="&amp;届出事由・区分・届出年月日ごと集計!M$2)</f>
        <v>0</v>
      </c>
      <c r="N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N$1,SQLデータ!$C:$C,"&lt;="&amp;届出事由・区分・届出年月日ごと集計!N$2)</f>
        <v>0</v>
      </c>
      <c r="O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O$1,SQLデータ!$C:$C,"&lt;="&amp;届出事由・区分・届出年月日ごと集計!O$2)</f>
        <v>0</v>
      </c>
      <c r="P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P$1,SQLデータ!$C:$C,"&lt;="&amp;届出事由・区分・届出年月日ごと集計!P$2)</f>
        <v>0</v>
      </c>
      <c r="Q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Q$1,SQLデータ!$C:$C,"&lt;="&amp;届出事由・区分・届出年月日ごと集計!Q$2)</f>
        <v>0</v>
      </c>
      <c r="R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R$1,SQLデータ!$C:$C,"&lt;="&amp;届出事由・区分・届出年月日ごと集計!R$2)</f>
        <v>0</v>
      </c>
      <c r="S124" s="85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S$1,SQLデータ!$C:$C,"&lt;="&amp;届出事由・区分・届出年月日ごと集計!S$2)</f>
        <v>0</v>
      </c>
      <c r="T124" s="92">
        <f>COUNTIFS(SQLデータ!$D:$D,"扶養",SQLデータ!$P:$P,1,SQLデータ!$H:$H,届出事由・区分・届出年月日ごと集計!$A124,SQLデータ!$G:$G,届出事由・区分・届出年月日ごと集計!$B124,SQLデータ!$M:$M,1,SQLデータ!$F:$F,"",SQLデータ!$C:$C,"&gt;="&amp;届出事由・区分・届出年月日ごと集計!T$1,SQLデータ!$C:$C,"&lt;="&amp;届出事由・区分・届出年月日ごと集計!T$2)</f>
        <v>0</v>
      </c>
    </row>
    <row r="125" spans="1:20" x14ac:dyDescent="0.4">
      <c r="A125" s="3" t="s">
        <v>74</v>
      </c>
      <c r="B125" s="3" t="s">
        <v>62</v>
      </c>
      <c r="C125" s="3" t="s">
        <v>72</v>
      </c>
      <c r="D125" s="85">
        <f>COUNTIFS(SQLデータ!$D:$D,"扶養",SQLデータ!$H:$H,届出事由・区分・届出年月日ごと集計!$A125,SQLデータ!$G:$G,届出事由・区分・届出年月日ごと集計!$B125,SQLデータ!$N:$N,1)</f>
        <v>0</v>
      </c>
      <c r="E125" s="107"/>
      <c r="F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F$1,SQLデータ!$C:$C,"&lt;="&amp;届出事由・区分・届出年月日ごと集計!F$2)</f>
        <v>0</v>
      </c>
      <c r="G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G$1,SQLデータ!$C:$C,"&lt;="&amp;届出事由・区分・届出年月日ごと集計!G$2)</f>
        <v>0</v>
      </c>
      <c r="H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H$1,SQLデータ!$C:$C,"&lt;="&amp;届出事由・区分・届出年月日ごと集計!H$2)</f>
        <v>0</v>
      </c>
      <c r="I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I$1,SQLデータ!$C:$C,"&lt;="&amp;届出事由・区分・届出年月日ごと集計!I$2)</f>
        <v>0</v>
      </c>
      <c r="J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J$1,SQLデータ!$C:$C,"&lt;="&amp;届出事由・区分・届出年月日ごと集計!J$2)</f>
        <v>0</v>
      </c>
      <c r="K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K$1,SQLデータ!$C:$C,"&lt;="&amp;届出事由・区分・届出年月日ごと集計!K$2)</f>
        <v>0</v>
      </c>
      <c r="L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L$1,SQLデータ!$C:$C,"&lt;="&amp;届出事由・区分・届出年月日ごと集計!L$2)</f>
        <v>0</v>
      </c>
      <c r="M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M$1,SQLデータ!$C:$C,"&lt;="&amp;届出事由・区分・届出年月日ごと集計!M$2)</f>
        <v>0</v>
      </c>
      <c r="N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N$1,SQLデータ!$C:$C,"&lt;="&amp;届出事由・区分・届出年月日ごと集計!N$2)</f>
        <v>0</v>
      </c>
      <c r="O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O$1,SQLデータ!$C:$C,"&lt;="&amp;届出事由・区分・届出年月日ごと集計!O$2)</f>
        <v>0</v>
      </c>
      <c r="P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P$1,SQLデータ!$C:$C,"&lt;="&amp;届出事由・区分・届出年月日ごと集計!P$2)</f>
        <v>0</v>
      </c>
      <c r="Q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Q$1,SQLデータ!$C:$C,"&lt;="&amp;届出事由・区分・届出年月日ごと集計!Q$2)</f>
        <v>0</v>
      </c>
      <c r="R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R$1,SQLデータ!$C:$C,"&lt;="&amp;届出事由・区分・届出年月日ごと集計!R$2)</f>
        <v>0</v>
      </c>
      <c r="S125" s="85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S$1,SQLデータ!$C:$C,"&lt;="&amp;届出事由・区分・届出年月日ごと集計!S$2)</f>
        <v>0</v>
      </c>
      <c r="T125" s="92">
        <f>COUNTIFS(SQLデータ!$D:$D,"扶養",SQLデータ!$P:$P,1,SQLデータ!$H:$H,届出事由・区分・届出年月日ごと集計!$A125,SQLデータ!$G:$G,届出事由・区分・届出年月日ごと集計!$B125,SQLデータ!$N:$N,1,SQLデータ!$F:$F,"",SQLデータ!$C:$C,"&gt;="&amp;届出事由・区分・届出年月日ごと集計!T$1,SQLデータ!$C:$C,"&lt;="&amp;届出事由・区分・届出年月日ごと集計!T$2)</f>
        <v>0</v>
      </c>
    </row>
    <row r="126" spans="1:20" ht="19.5" thickBot="1" x14ac:dyDescent="0.45">
      <c r="A126" s="5" t="s">
        <v>74</v>
      </c>
      <c r="B126" s="5" t="s">
        <v>62</v>
      </c>
      <c r="C126" s="5" t="s">
        <v>73</v>
      </c>
      <c r="D126" s="86">
        <f>COUNTIFS(SQLデータ!$D:$D,"扶養",SQLデータ!$H:$H,届出事由・区分・届出年月日ごと集計!$A126,SQLデータ!$G:$G,届出事由・区分・届出年月日ごと集計!$B126,SQLデータ!$O:$O,1)</f>
        <v>0</v>
      </c>
      <c r="E126" s="108"/>
      <c r="F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F$1,SQLデータ!$C:$C,"&lt;="&amp;届出事由・区分・届出年月日ごと集計!F$2)</f>
        <v>0</v>
      </c>
      <c r="G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G$1,SQLデータ!$C:$C,"&lt;="&amp;届出事由・区分・届出年月日ごと集計!G$2)</f>
        <v>0</v>
      </c>
      <c r="H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H$1,SQLデータ!$C:$C,"&lt;="&amp;届出事由・区分・届出年月日ごと集計!H$2)</f>
        <v>0</v>
      </c>
      <c r="I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I$1,SQLデータ!$C:$C,"&lt;="&amp;届出事由・区分・届出年月日ごと集計!I$2)</f>
        <v>0</v>
      </c>
      <c r="J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J$1,SQLデータ!$C:$C,"&lt;="&amp;届出事由・区分・届出年月日ごと集計!J$2)</f>
        <v>0</v>
      </c>
      <c r="K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K$1,SQLデータ!$C:$C,"&lt;="&amp;届出事由・区分・届出年月日ごと集計!K$2)</f>
        <v>0</v>
      </c>
      <c r="L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L$1,SQLデータ!$C:$C,"&lt;="&amp;届出事由・区分・届出年月日ごと集計!L$2)</f>
        <v>0</v>
      </c>
      <c r="M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M$1,SQLデータ!$C:$C,"&lt;="&amp;届出事由・区分・届出年月日ごと集計!M$2)</f>
        <v>0</v>
      </c>
      <c r="N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N$1,SQLデータ!$C:$C,"&lt;="&amp;届出事由・区分・届出年月日ごと集計!N$2)</f>
        <v>0</v>
      </c>
      <c r="O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O$1,SQLデータ!$C:$C,"&lt;="&amp;届出事由・区分・届出年月日ごと集計!O$2)</f>
        <v>0</v>
      </c>
      <c r="P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P$1,SQLデータ!$C:$C,"&lt;="&amp;届出事由・区分・届出年月日ごと集計!P$2)</f>
        <v>0</v>
      </c>
      <c r="Q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Q$1,SQLデータ!$C:$C,"&lt;="&amp;届出事由・区分・届出年月日ごと集計!Q$2)</f>
        <v>0</v>
      </c>
      <c r="R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R$1,SQLデータ!$C:$C,"&lt;="&amp;届出事由・区分・届出年月日ごと集計!R$2)</f>
        <v>0</v>
      </c>
      <c r="S126" s="86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S$1,SQLデータ!$C:$C,"&lt;="&amp;届出事由・区分・届出年月日ごと集計!S$2)</f>
        <v>0</v>
      </c>
      <c r="T126" s="93">
        <f>COUNTIFS(SQLデータ!$D:$D,"扶養",SQLデータ!$P:$P,1,SQLデータ!$H:$H,届出事由・区分・届出年月日ごと集計!$A126,SQLデータ!$G:$G,届出事由・区分・届出年月日ごと集計!$B126,SQLデータ!$O:$O,1,SQLデータ!$F:$F,"",SQLデータ!$C:$C,"&gt;="&amp;届出事由・区分・届出年月日ごと集計!T$1,SQLデータ!$C:$C,"&lt;="&amp;届出事由・区分・届出年月日ごと集計!T$2)</f>
        <v>0</v>
      </c>
    </row>
    <row r="127" spans="1:20" ht="18.75" customHeight="1" thickBot="1" x14ac:dyDescent="0.45">
      <c r="A127" s="9" t="s">
        <v>88</v>
      </c>
      <c r="B127" s="8"/>
      <c r="C127" s="95"/>
      <c r="D127" s="8">
        <f>COUNTIFS(SQLデータ!$D:$D,"扶養",SQLデータ!$H:$H,届出事由・区分・届出年月日ごと集計!$A127)</f>
        <v>2</v>
      </c>
      <c r="E127" s="109"/>
      <c r="F127" s="99">
        <f>COUNTIFS(SQLデータ!$D:$D,"扶養",SQLデータ!$H:$H,届出事由・区分・届出年月日ごと集計!$A127,SQLデータ!$F:$F,"",SQLデータ!$C:$C,"&gt;="&amp;届出事由・区分・届出年月日ごと集計!F$1,SQLデータ!$C:$C,"&lt;="&amp;届出事由・区分・届出年月日ごと集計!F$2)</f>
        <v>1</v>
      </c>
      <c r="G127" s="99">
        <f>COUNTIFS(SQLデータ!$D:$D,"扶養",SQLデータ!$H:$H,届出事由・区分・届出年月日ごと集計!$A127,SQLデータ!$F:$F,"",SQLデータ!$C:$C,"&gt;="&amp;届出事由・区分・届出年月日ごと集計!G$1,SQLデータ!$C:$C,"&lt;="&amp;届出事由・区分・届出年月日ごと集計!G$2)</f>
        <v>0</v>
      </c>
      <c r="H127" s="99">
        <f>COUNTIFS(SQLデータ!$D:$D,"扶養",SQLデータ!$H:$H,届出事由・区分・届出年月日ごと集計!$A127,SQLデータ!$F:$F,"",SQLデータ!$C:$C,"&gt;="&amp;届出事由・区分・届出年月日ごと集計!H$1,SQLデータ!$C:$C,"&lt;="&amp;届出事由・区分・届出年月日ごと集計!H$2)</f>
        <v>1</v>
      </c>
      <c r="I127" s="99">
        <f>COUNTIFS(SQLデータ!$D:$D,"扶養",SQLデータ!$H:$H,届出事由・区分・届出年月日ごと集計!$A127,SQLデータ!$F:$F,"",SQLデータ!$C:$C,"&gt;="&amp;届出事由・区分・届出年月日ごと集計!I$1,SQLデータ!$C:$C,"&lt;="&amp;届出事由・区分・届出年月日ごと集計!I$2)</f>
        <v>0</v>
      </c>
      <c r="J127" s="99">
        <f>COUNTIFS(SQLデータ!$D:$D,"扶養",SQLデータ!$H:$H,届出事由・区分・届出年月日ごと集計!$A127,SQLデータ!$F:$F,"",SQLデータ!$C:$C,"&gt;="&amp;届出事由・区分・届出年月日ごと集計!J$1,SQLデータ!$C:$C,"&lt;="&amp;届出事由・区分・届出年月日ごと集計!J$2)</f>
        <v>0</v>
      </c>
      <c r="K127" s="99">
        <f>COUNTIFS(SQLデータ!$D:$D,"扶養",SQLデータ!$H:$H,届出事由・区分・届出年月日ごと集計!$A127,SQLデータ!$F:$F,"",SQLデータ!$C:$C,"&gt;="&amp;届出事由・区分・届出年月日ごと集計!K$1,SQLデータ!$C:$C,"&lt;="&amp;届出事由・区分・届出年月日ごと集計!K$2)</f>
        <v>0</v>
      </c>
      <c r="L127" s="99">
        <f>COUNTIFS(SQLデータ!$D:$D,"扶養",SQLデータ!$H:$H,届出事由・区分・届出年月日ごと集計!$A127,SQLデータ!$F:$F,"",SQLデータ!$C:$C,"&gt;="&amp;届出事由・区分・届出年月日ごと集計!L$1,SQLデータ!$C:$C,"&lt;="&amp;届出事由・区分・届出年月日ごと集計!L$2)</f>
        <v>0</v>
      </c>
      <c r="M127" s="99">
        <f>COUNTIFS(SQLデータ!$D:$D,"扶養",SQLデータ!$H:$H,届出事由・区分・届出年月日ごと集計!$A127,SQLデータ!$F:$F,"",SQLデータ!$C:$C,"&gt;="&amp;届出事由・区分・届出年月日ごと集計!M$1,SQLデータ!$C:$C,"&lt;="&amp;届出事由・区分・届出年月日ごと集計!M$2)</f>
        <v>0</v>
      </c>
      <c r="N127" s="99">
        <f>COUNTIFS(SQLデータ!$D:$D,"扶養",SQLデータ!$H:$H,届出事由・区分・届出年月日ごと集計!$A127,SQLデータ!$F:$F,"",SQLデータ!$C:$C,"&gt;="&amp;届出事由・区分・届出年月日ごと集計!N$1,SQLデータ!$C:$C,"&lt;="&amp;届出事由・区分・届出年月日ごと集計!N$2)</f>
        <v>0</v>
      </c>
      <c r="O127" s="99">
        <f>COUNTIFS(SQLデータ!$D:$D,"扶養",SQLデータ!$H:$H,届出事由・区分・届出年月日ごと集計!$A127,SQLデータ!$F:$F,"",SQLデータ!$C:$C,"&gt;="&amp;届出事由・区分・届出年月日ごと集計!O$1,SQLデータ!$C:$C,"&lt;="&amp;届出事由・区分・届出年月日ごと集計!O$2)</f>
        <v>0</v>
      </c>
      <c r="P127" s="99">
        <f>COUNTIFS(SQLデータ!$D:$D,"扶養",SQLデータ!$H:$H,届出事由・区分・届出年月日ごと集計!$A127,SQLデータ!$F:$F,"",SQLデータ!$C:$C,"&gt;="&amp;届出事由・区分・届出年月日ごと集計!P$1,SQLデータ!$C:$C,"&lt;="&amp;届出事由・区分・届出年月日ごと集計!P$2)</f>
        <v>0</v>
      </c>
      <c r="Q127" s="99">
        <f>COUNTIFS(SQLデータ!$D:$D,"扶養",SQLデータ!$H:$H,届出事由・区分・届出年月日ごと集計!$A127,SQLデータ!$F:$F,"",SQLデータ!$C:$C,"&gt;="&amp;届出事由・区分・届出年月日ごと集計!Q$1,SQLデータ!$C:$C,"&lt;="&amp;届出事由・区分・届出年月日ごと集計!Q$2)</f>
        <v>0</v>
      </c>
      <c r="R127" s="99">
        <f>COUNTIFS(SQLデータ!$D:$D,"扶養",SQLデータ!$H:$H,届出事由・区分・届出年月日ごと集計!$A127,SQLデータ!$F:$F,"",SQLデータ!$C:$C,"&gt;="&amp;届出事由・区分・届出年月日ごと集計!R$1,SQLデータ!$C:$C,"&lt;="&amp;届出事由・区分・届出年月日ごと集計!R$2)</f>
        <v>0</v>
      </c>
      <c r="S127" s="99">
        <f>COUNTIFS(SQLデータ!$D:$D,"扶養",SQLデータ!$H:$H,届出事由・区分・届出年月日ごと集計!$A127,SQLデータ!$F:$F,"",SQLデータ!$C:$C,"&gt;="&amp;届出事由・区分・届出年月日ごと集計!S$1,SQLデータ!$C:$C,"&lt;="&amp;届出事由・区分・届出年月日ごと集計!S$2)</f>
        <v>0</v>
      </c>
      <c r="T127" s="100">
        <f>COUNTIFS(SQLデータ!$D:$D,"扶養",SQLデータ!$H:$H,届出事由・区分・届出年月日ごと集計!$A127,SQLデータ!$F:$F,"",SQLデータ!$C:$C,"&gt;="&amp;届出事由・区分・届出年月日ごと集計!T$1,SQLデータ!$C:$C,"&lt;="&amp;届出事由・区分・届出年月日ごと集計!T$2)</f>
        <v>0</v>
      </c>
    </row>
    <row r="128" spans="1:20" ht="19.5" thickBot="1" x14ac:dyDescent="0.45">
      <c r="A128" s="7" t="s">
        <v>89</v>
      </c>
      <c r="B128" s="10"/>
      <c r="C128" s="98"/>
      <c r="D128" s="101">
        <f>COUNTIFS(SQLデータ!$D:$D,"扶養",SQLデータ!$H:$H,届出事由・区分・届出年月日ごと集計!$A128)</f>
        <v>0</v>
      </c>
      <c r="E128" s="110"/>
      <c r="F128" s="96">
        <f>COUNTIFS(SQLデータ!$D:$D,"扶養",SQLデータ!$H:$H,届出事由・区分・届出年月日ごと集計!$A128,SQLデータ!$F:$F,"",SQLデータ!$C:$C,"&gt;="&amp;届出事由・区分・届出年月日ごと集計!F$1,SQLデータ!$C:$C,"&lt;="&amp;届出事由・区分・届出年月日ごと集計!F$2)</f>
        <v>0</v>
      </c>
      <c r="G128" s="96">
        <f>COUNTIFS(SQLデータ!$D:$D,"扶養",SQLデータ!$H:$H,届出事由・区分・届出年月日ごと集計!$A128,SQLデータ!$F:$F,"",SQLデータ!$C:$C,"&gt;="&amp;届出事由・区分・届出年月日ごと集計!G$1,SQLデータ!$C:$C,"&lt;="&amp;届出事由・区分・届出年月日ごと集計!G$2)</f>
        <v>0</v>
      </c>
      <c r="H128" s="96">
        <f>COUNTIFS(SQLデータ!$D:$D,"扶養",SQLデータ!$H:$H,届出事由・区分・届出年月日ごと集計!$A128,SQLデータ!$F:$F,"",SQLデータ!$C:$C,"&gt;="&amp;届出事由・区分・届出年月日ごと集計!H$1,SQLデータ!$C:$C,"&lt;="&amp;届出事由・区分・届出年月日ごと集計!H$2)</f>
        <v>0</v>
      </c>
      <c r="I128" s="96">
        <f>COUNTIFS(SQLデータ!$D:$D,"扶養",SQLデータ!$H:$H,届出事由・区分・届出年月日ごと集計!$A128,SQLデータ!$F:$F,"",SQLデータ!$C:$C,"&gt;="&amp;届出事由・区分・届出年月日ごと集計!I$1,SQLデータ!$C:$C,"&lt;="&amp;届出事由・区分・届出年月日ごと集計!I$2)</f>
        <v>0</v>
      </c>
      <c r="J128" s="96">
        <f>COUNTIFS(SQLデータ!$D:$D,"扶養",SQLデータ!$H:$H,届出事由・区分・届出年月日ごと集計!$A128,SQLデータ!$F:$F,"",SQLデータ!$C:$C,"&gt;="&amp;届出事由・区分・届出年月日ごと集計!J$1,SQLデータ!$C:$C,"&lt;="&amp;届出事由・区分・届出年月日ごと集計!J$2)</f>
        <v>0</v>
      </c>
      <c r="K128" s="96">
        <f>COUNTIFS(SQLデータ!$D:$D,"扶養",SQLデータ!$H:$H,届出事由・区分・届出年月日ごと集計!$A128,SQLデータ!$F:$F,"",SQLデータ!$C:$C,"&gt;="&amp;届出事由・区分・届出年月日ごと集計!K$1,SQLデータ!$C:$C,"&lt;="&amp;届出事由・区分・届出年月日ごと集計!K$2)</f>
        <v>0</v>
      </c>
      <c r="L128" s="96">
        <f>COUNTIFS(SQLデータ!$D:$D,"扶養",SQLデータ!$H:$H,届出事由・区分・届出年月日ごと集計!$A128,SQLデータ!$F:$F,"",SQLデータ!$C:$C,"&gt;="&amp;届出事由・区分・届出年月日ごと集計!L$1,SQLデータ!$C:$C,"&lt;="&amp;届出事由・区分・届出年月日ごと集計!L$2)</f>
        <v>0</v>
      </c>
      <c r="M128" s="96">
        <f>COUNTIFS(SQLデータ!$D:$D,"扶養",SQLデータ!$H:$H,届出事由・区分・届出年月日ごと集計!$A128,SQLデータ!$F:$F,"",SQLデータ!$C:$C,"&gt;="&amp;届出事由・区分・届出年月日ごと集計!M$1,SQLデータ!$C:$C,"&lt;="&amp;届出事由・区分・届出年月日ごと集計!M$2)</f>
        <v>0</v>
      </c>
      <c r="N128" s="96">
        <f>COUNTIFS(SQLデータ!$D:$D,"扶養",SQLデータ!$H:$H,届出事由・区分・届出年月日ごと集計!$A128,SQLデータ!$F:$F,"",SQLデータ!$C:$C,"&gt;="&amp;届出事由・区分・届出年月日ごと集計!N$1,SQLデータ!$C:$C,"&lt;="&amp;届出事由・区分・届出年月日ごと集計!N$2)</f>
        <v>0</v>
      </c>
      <c r="O128" s="96">
        <f>COUNTIFS(SQLデータ!$D:$D,"扶養",SQLデータ!$H:$H,届出事由・区分・届出年月日ごと集計!$A128,SQLデータ!$F:$F,"",SQLデータ!$C:$C,"&gt;="&amp;届出事由・区分・届出年月日ごと集計!O$1,SQLデータ!$C:$C,"&lt;="&amp;届出事由・区分・届出年月日ごと集計!O$2)</f>
        <v>0</v>
      </c>
      <c r="P128" s="96">
        <f>COUNTIFS(SQLデータ!$D:$D,"扶養",SQLデータ!$H:$H,届出事由・区分・届出年月日ごと集計!$A128,SQLデータ!$F:$F,"",SQLデータ!$C:$C,"&gt;="&amp;届出事由・区分・届出年月日ごと集計!P$1,SQLデータ!$C:$C,"&lt;="&amp;届出事由・区分・届出年月日ごと集計!P$2)</f>
        <v>0</v>
      </c>
      <c r="Q128" s="96">
        <f>COUNTIFS(SQLデータ!$D:$D,"扶養",SQLデータ!$H:$H,届出事由・区分・届出年月日ごと集計!$A128,SQLデータ!$F:$F,"",SQLデータ!$C:$C,"&gt;="&amp;届出事由・区分・届出年月日ごと集計!Q$1,SQLデータ!$C:$C,"&lt;="&amp;届出事由・区分・届出年月日ごと集計!Q$2)</f>
        <v>0</v>
      </c>
      <c r="R128" s="96">
        <f>COUNTIFS(SQLデータ!$D:$D,"扶養",SQLデータ!$H:$H,届出事由・区分・届出年月日ごと集計!$A128,SQLデータ!$F:$F,"",SQLデータ!$C:$C,"&gt;="&amp;届出事由・区分・届出年月日ごと集計!R$1,SQLデータ!$C:$C,"&lt;="&amp;届出事由・区分・届出年月日ごと集計!R$2)</f>
        <v>0</v>
      </c>
      <c r="S128" s="96">
        <f>COUNTIFS(SQLデータ!$D:$D,"扶養",SQLデータ!$H:$H,届出事由・区分・届出年月日ごと集計!$A128,SQLデータ!$F:$F,"",SQLデータ!$C:$C,"&gt;="&amp;届出事由・区分・届出年月日ごと集計!S$1,SQLデータ!$C:$C,"&lt;="&amp;届出事由・区分・届出年月日ごと集計!S$2)</f>
        <v>0</v>
      </c>
      <c r="T128" s="97">
        <f>COUNTIFS(SQLデータ!$D:$D,"扶養",SQLデータ!$H:$H,届出事由・区分・届出年月日ごと集計!$A128,SQLデータ!$F:$F,"",SQLデータ!$C:$C,"&gt;="&amp;届出事由・区分・届出年月日ごと集計!T$1,SQLデータ!$C:$C,"&lt;="&amp;届出事由・区分・届出年月日ごと集計!T$2)</f>
        <v>0</v>
      </c>
    </row>
    <row r="129" spans="1:20" ht="19.5" thickBot="1" x14ac:dyDescent="0.45">
      <c r="A129" s="7" t="s">
        <v>13</v>
      </c>
      <c r="B129" s="8"/>
      <c r="C129" s="95"/>
      <c r="D129" s="96">
        <f>COUNTIFS(SQLデータ!$D:$D,$A129)</f>
        <v>102</v>
      </c>
      <c r="E129" s="110"/>
      <c r="F129" s="96">
        <f>COUNTIFS(SQLデータ!$D:$D,$A129,SQLデータ!$E:$E,"&lt;&gt;確認待ち",SQLデータ!$F:$F,"",SQLデータ!$C:$C,"&gt;="&amp;届出事由・区分・届出年月日ごと集計!F$1,SQLデータ!$C:$C,"&lt;="&amp;届出事由・区分・届出年月日ごと集計!F$2)</f>
        <v>3</v>
      </c>
      <c r="G129" s="96">
        <f>COUNTIFS(SQLデータ!$D:$D,$A129,SQLデータ!$E:$E,"&lt;&gt;確認待ち",SQLデータ!$F:$F,"",SQLデータ!$C:$C,"&gt;="&amp;届出事由・区分・届出年月日ごと集計!G$1,SQLデータ!$C:$C,"&lt;="&amp;届出事由・区分・届出年月日ごと集計!G$2)</f>
        <v>5</v>
      </c>
      <c r="H129" s="96">
        <f>COUNTIFS(SQLデータ!$D:$D,$A129,SQLデータ!$E:$E,"&lt;&gt;確認待ち",SQLデータ!$F:$F,"",SQLデータ!$C:$C,"&gt;="&amp;届出事由・区分・届出年月日ごと集計!H$1,SQLデータ!$C:$C,"&lt;="&amp;届出事由・区分・届出年月日ごと集計!H$2)</f>
        <v>12</v>
      </c>
      <c r="I129" s="96">
        <f>COUNTIFS(SQLデータ!$D:$D,$A129,SQLデータ!$E:$E,"&lt;&gt;確認待ち",SQLデータ!$F:$F,"",SQLデータ!$C:$C,"&gt;="&amp;届出事由・区分・届出年月日ごと集計!I$1,SQLデータ!$C:$C,"&lt;="&amp;届出事由・区分・届出年月日ごと集計!I$2)</f>
        <v>5</v>
      </c>
      <c r="J129" s="96">
        <f>COUNTIFS(SQLデータ!$D:$D,$A129,SQLデータ!$E:$E,"&lt;&gt;確認待ち",SQLデータ!$F:$F,"",SQLデータ!$C:$C,"&gt;="&amp;届出事由・区分・届出年月日ごと集計!J$1,SQLデータ!$C:$C,"&lt;="&amp;届出事由・区分・届出年月日ごと集計!J$2)</f>
        <v>0</v>
      </c>
      <c r="K129" s="96">
        <f>COUNTIFS(SQLデータ!$D:$D,$A129,SQLデータ!$E:$E,"&lt;&gt;確認待ち",SQLデータ!$F:$F,"",SQLデータ!$C:$C,"&gt;="&amp;届出事由・区分・届出年月日ごと集計!K$1,SQLデータ!$C:$C,"&lt;="&amp;届出事由・区分・届出年月日ごと集計!K$2)</f>
        <v>0</v>
      </c>
      <c r="L129" s="96">
        <f>COUNTIFS(SQLデータ!$D:$D,$A129,SQLデータ!$E:$E,"&lt;&gt;確認待ち",SQLデータ!$F:$F,"",SQLデータ!$C:$C,"&gt;="&amp;届出事由・区分・届出年月日ごと集計!L$1,SQLデータ!$C:$C,"&lt;="&amp;届出事由・区分・届出年月日ごと集計!L$2)</f>
        <v>0</v>
      </c>
      <c r="M129" s="96">
        <f>COUNTIFS(SQLデータ!$D:$D,$A129,SQLデータ!$E:$E,"&lt;&gt;確認待ち",SQLデータ!$F:$F,"",SQLデータ!$C:$C,"&gt;="&amp;届出事由・区分・届出年月日ごと集計!M$1,SQLデータ!$C:$C,"&lt;="&amp;届出事由・区分・届出年月日ごと集計!M$2)</f>
        <v>0</v>
      </c>
      <c r="N129" s="96">
        <f>COUNTIFS(SQLデータ!$D:$D,$A129,SQLデータ!$E:$E,"&lt;&gt;確認待ち",SQLデータ!$F:$F,"",SQLデータ!$C:$C,"&gt;="&amp;届出事由・区分・届出年月日ごと集計!N$1,SQLデータ!$C:$C,"&lt;="&amp;届出事由・区分・届出年月日ごと集計!N$2)</f>
        <v>0</v>
      </c>
      <c r="O129" s="96">
        <f>COUNTIFS(SQLデータ!$D:$D,$A129,SQLデータ!$E:$E,"&lt;&gt;確認待ち",SQLデータ!$F:$F,"",SQLデータ!$C:$C,"&gt;="&amp;届出事由・区分・届出年月日ごと集計!O$1,SQLデータ!$C:$C,"&lt;="&amp;届出事由・区分・届出年月日ごと集計!O$2)</f>
        <v>0</v>
      </c>
      <c r="P129" s="96">
        <f>COUNTIFS(SQLデータ!$D:$D,$A129,SQLデータ!$E:$E,"&lt;&gt;確認待ち",SQLデータ!$F:$F,"",SQLデータ!$C:$C,"&gt;="&amp;届出事由・区分・届出年月日ごと集計!P$1,SQLデータ!$C:$C,"&lt;="&amp;届出事由・区分・届出年月日ごと集計!P$2)</f>
        <v>0</v>
      </c>
      <c r="Q129" s="96">
        <f>COUNTIFS(SQLデータ!$D:$D,$A129,SQLデータ!$E:$E,"&lt;&gt;確認待ち",SQLデータ!$F:$F,"",SQLデータ!$C:$C,"&gt;="&amp;届出事由・区分・届出年月日ごと集計!Q$1,SQLデータ!$C:$C,"&lt;="&amp;届出事由・区分・届出年月日ごと集計!Q$2)</f>
        <v>0</v>
      </c>
      <c r="R129" s="96">
        <f>COUNTIFS(SQLデータ!$D:$D,$A129,SQLデータ!$E:$E,"&lt;&gt;確認待ち",SQLデータ!$F:$F,"",SQLデータ!$C:$C,"&gt;="&amp;届出事由・区分・届出年月日ごと集計!R$1,SQLデータ!$C:$C,"&lt;="&amp;届出事由・区分・届出年月日ごと集計!R$2)</f>
        <v>0</v>
      </c>
      <c r="S129" s="96">
        <f>COUNTIFS(SQLデータ!$D:$D,$A129,SQLデータ!$E:$E,"&lt;&gt;確認待ち",SQLデータ!$F:$F,"",SQLデータ!$C:$C,"&gt;="&amp;届出事由・区分・届出年月日ごと集計!S$1,SQLデータ!$C:$C,"&lt;="&amp;届出事由・区分・届出年月日ごと集計!S$2)</f>
        <v>0</v>
      </c>
      <c r="T129" s="97">
        <f>COUNTIFS(SQLデータ!$D:$D,$A129,SQLデータ!$E:$E,"&lt;&gt;確認待ち",SQLデータ!$F:$F,"",SQLデータ!$C:$C,"&gt;="&amp;届出事由・区分・届出年月日ごと集計!T$1,SQLデータ!$C:$C,"&lt;="&amp;届出事由・区分・届出年月日ごと集計!T$2)</f>
        <v>0</v>
      </c>
    </row>
    <row r="130" spans="1:20" ht="19.5" thickBot="1" x14ac:dyDescent="0.45">
      <c r="A130" s="7" t="s">
        <v>90</v>
      </c>
      <c r="B130" s="8"/>
      <c r="C130" s="95"/>
      <c r="D130" s="96">
        <f>COUNTIFS(SQLデータ!$D:$D,$A130)</f>
        <v>108</v>
      </c>
      <c r="E130" s="110"/>
      <c r="F130" s="96">
        <f>COUNTIFS(SQLデータ!$D:$D,$A130,SQLデータ!$E:$E,"&lt;&gt;確認待ち",SQLデータ!$F:$F,"",SQLデータ!$C:$C,"&gt;="&amp;届出事由・区分・届出年月日ごと集計!F$1,SQLデータ!$C:$C,"&lt;="&amp;届出事由・区分・届出年月日ごと集計!F$2)</f>
        <v>5</v>
      </c>
      <c r="G130" s="96">
        <f>COUNTIFS(SQLデータ!$D:$D,$A130,SQLデータ!$E:$E,"&lt;&gt;確認待ち",SQLデータ!$F:$F,"",SQLデータ!$C:$C,"&gt;="&amp;届出事由・区分・届出年月日ごと集計!G$1,SQLデータ!$C:$C,"&lt;="&amp;届出事由・区分・届出年月日ごと集計!G$2)</f>
        <v>19</v>
      </c>
      <c r="H130" s="96">
        <f>COUNTIFS(SQLデータ!$D:$D,$A130,SQLデータ!$E:$E,"&lt;&gt;確認待ち",SQLデータ!$F:$F,"",SQLデータ!$C:$C,"&gt;="&amp;届出事由・区分・届出年月日ごと集計!H$1,SQLデータ!$C:$C,"&lt;="&amp;届出事由・区分・届出年月日ごと集計!H$2)</f>
        <v>33</v>
      </c>
      <c r="I130" s="96">
        <f>COUNTIFS(SQLデータ!$D:$D,$A130,SQLデータ!$E:$E,"&lt;&gt;確認待ち",SQLデータ!$F:$F,"",SQLデータ!$C:$C,"&gt;="&amp;届出事由・区分・届出年月日ごと集計!I$1,SQLデータ!$C:$C,"&lt;="&amp;届出事由・区分・届出年月日ごと集計!I$2)</f>
        <v>6</v>
      </c>
      <c r="J130" s="96">
        <f>COUNTIFS(SQLデータ!$D:$D,$A130,SQLデータ!$E:$E,"&lt;&gt;確認待ち",SQLデータ!$F:$F,"",SQLデータ!$C:$C,"&gt;="&amp;届出事由・区分・届出年月日ごと集計!J$1,SQLデータ!$C:$C,"&lt;="&amp;届出事由・区分・届出年月日ごと集計!J$2)</f>
        <v>0</v>
      </c>
      <c r="K130" s="96">
        <f>COUNTIFS(SQLデータ!$D:$D,$A130,SQLデータ!$E:$E,"&lt;&gt;確認待ち",SQLデータ!$F:$F,"",SQLデータ!$C:$C,"&gt;="&amp;届出事由・区分・届出年月日ごと集計!K$1,SQLデータ!$C:$C,"&lt;="&amp;届出事由・区分・届出年月日ごと集計!K$2)</f>
        <v>0</v>
      </c>
      <c r="L130" s="96">
        <f>COUNTIFS(SQLデータ!$D:$D,$A130,SQLデータ!$E:$E,"&lt;&gt;確認待ち",SQLデータ!$F:$F,"",SQLデータ!$C:$C,"&gt;="&amp;届出事由・区分・届出年月日ごと集計!L$1,SQLデータ!$C:$C,"&lt;="&amp;届出事由・区分・届出年月日ごと集計!L$2)</f>
        <v>0</v>
      </c>
      <c r="M130" s="96">
        <f>COUNTIFS(SQLデータ!$D:$D,$A130,SQLデータ!$E:$E,"&lt;&gt;確認待ち",SQLデータ!$F:$F,"",SQLデータ!$C:$C,"&gt;="&amp;届出事由・区分・届出年月日ごと集計!M$1,SQLデータ!$C:$C,"&lt;="&amp;届出事由・区分・届出年月日ごと集計!M$2)</f>
        <v>0</v>
      </c>
      <c r="N130" s="96">
        <f>COUNTIFS(SQLデータ!$D:$D,$A130,SQLデータ!$E:$E,"&lt;&gt;確認待ち",SQLデータ!$F:$F,"",SQLデータ!$C:$C,"&gt;="&amp;届出事由・区分・届出年月日ごと集計!N$1,SQLデータ!$C:$C,"&lt;="&amp;届出事由・区分・届出年月日ごと集計!N$2)</f>
        <v>0</v>
      </c>
      <c r="O130" s="96">
        <f>COUNTIFS(SQLデータ!$D:$D,$A130,SQLデータ!$E:$E,"&lt;&gt;確認待ち",SQLデータ!$F:$F,"",SQLデータ!$C:$C,"&gt;="&amp;届出事由・区分・届出年月日ごと集計!O$1,SQLデータ!$C:$C,"&lt;="&amp;届出事由・区分・届出年月日ごと集計!O$2)</f>
        <v>0</v>
      </c>
      <c r="P130" s="96">
        <f>COUNTIFS(SQLデータ!$D:$D,$A130,SQLデータ!$E:$E,"&lt;&gt;確認待ち",SQLデータ!$F:$F,"",SQLデータ!$C:$C,"&gt;="&amp;届出事由・区分・届出年月日ごと集計!P$1,SQLデータ!$C:$C,"&lt;="&amp;届出事由・区分・届出年月日ごと集計!P$2)</f>
        <v>0</v>
      </c>
      <c r="Q130" s="96">
        <f>COUNTIFS(SQLデータ!$D:$D,$A130,SQLデータ!$E:$E,"&lt;&gt;確認待ち",SQLデータ!$F:$F,"",SQLデータ!$C:$C,"&gt;="&amp;届出事由・区分・届出年月日ごと集計!Q$1,SQLデータ!$C:$C,"&lt;="&amp;届出事由・区分・届出年月日ごと集計!Q$2)</f>
        <v>0</v>
      </c>
      <c r="R130" s="96">
        <f>COUNTIFS(SQLデータ!$D:$D,$A130,SQLデータ!$E:$E,"&lt;&gt;確認待ち",SQLデータ!$F:$F,"",SQLデータ!$C:$C,"&gt;="&amp;届出事由・区分・届出年月日ごと集計!R$1,SQLデータ!$C:$C,"&lt;="&amp;届出事由・区分・届出年月日ごと集計!R$2)</f>
        <v>0</v>
      </c>
      <c r="S130" s="96">
        <f>COUNTIFS(SQLデータ!$D:$D,$A130,SQLデータ!$E:$E,"&lt;&gt;確認待ち",SQLデータ!$F:$F,"",SQLデータ!$C:$C,"&gt;="&amp;届出事由・区分・届出年月日ごと集計!S$1,SQLデータ!$C:$C,"&lt;="&amp;届出事由・区分・届出年月日ごと集計!S$2)</f>
        <v>0</v>
      </c>
      <c r="T130" s="97">
        <f>COUNTIFS(SQLデータ!$D:$D,$A130,SQLデータ!$E:$E,"&lt;&gt;確認待ち",SQLデータ!$F:$F,"",SQLデータ!$C:$C,"&gt;="&amp;届出事由・区分・届出年月日ごと集計!T$1,SQLデータ!$C:$C,"&lt;="&amp;届出事由・区分・届出年月日ごと集計!T$2)</f>
        <v>0</v>
      </c>
    </row>
  </sheetData>
  <mergeCells count="4">
    <mergeCell ref="A1:A2"/>
    <mergeCell ref="B1:B2"/>
    <mergeCell ref="C1:C2"/>
    <mergeCell ref="D1:D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4D27-DA3D-477D-910B-10269867FF29}">
  <dimension ref="A1:V27"/>
  <sheetViews>
    <sheetView tabSelected="1" zoomScale="70" zoomScaleNormal="70" workbookViewId="0"/>
  </sheetViews>
  <sheetFormatPr defaultRowHeight="15.75" x14ac:dyDescent="0.4"/>
  <cols>
    <col min="1" max="1" width="5" style="102" customWidth="1"/>
    <col min="2" max="2" width="9" style="102" bestFit="1" customWidth="1"/>
    <col min="3" max="3" width="19.25" style="102" bestFit="1" customWidth="1"/>
    <col min="4" max="4" width="13" style="102" bestFit="1" customWidth="1"/>
    <col min="5" max="5" width="10.25" style="102" customWidth="1"/>
    <col min="6" max="6" width="9.125" style="102" bestFit="1" customWidth="1"/>
    <col min="7" max="7" width="9.375" style="102" bestFit="1" customWidth="1"/>
    <col min="8" max="8" width="8.5" style="102" bestFit="1" customWidth="1"/>
    <col min="9" max="9" width="7.25" style="102" bestFit="1" customWidth="1"/>
    <col min="10" max="12" width="8.5" style="102" customWidth="1"/>
    <col min="13" max="13" width="7.25" style="102" customWidth="1"/>
    <col min="14" max="16" width="8.5" style="102" customWidth="1"/>
    <col min="17" max="18" width="7.25" style="102" customWidth="1"/>
    <col min="19" max="21" width="8.5" style="102" customWidth="1"/>
    <col min="22" max="16384" width="9" style="102"/>
  </cols>
  <sheetData>
    <row r="1" spans="1:22" ht="19.5" x14ac:dyDescent="0.4">
      <c r="A1" s="119" t="s">
        <v>885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</row>
    <row r="2" spans="1:22" ht="9" customHeight="1" x14ac:dyDescent="0.4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spans="1:22" x14ac:dyDescent="0.4">
      <c r="A3" s="120"/>
      <c r="B3" s="120" t="s">
        <v>891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</row>
    <row r="4" spans="1:22" x14ac:dyDescent="0.4">
      <c r="A4" s="120"/>
      <c r="B4" s="120" t="s">
        <v>889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spans="1:22" ht="8.25" customHeight="1" x14ac:dyDescent="0.4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</row>
    <row r="6" spans="1:22" x14ac:dyDescent="0.4">
      <c r="A6" s="120"/>
      <c r="B6" s="135" t="s">
        <v>880</v>
      </c>
      <c r="C6" s="135"/>
      <c r="D6" s="135"/>
      <c r="E6" s="132" t="s">
        <v>883</v>
      </c>
      <c r="F6" s="115" t="s">
        <v>881</v>
      </c>
      <c r="G6" s="123" t="s">
        <v>890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5"/>
      <c r="V6" s="120"/>
    </row>
    <row r="7" spans="1:22" x14ac:dyDescent="0.4">
      <c r="A7" s="120"/>
      <c r="B7" s="112" t="s">
        <v>91</v>
      </c>
      <c r="C7" s="112" t="s">
        <v>92</v>
      </c>
      <c r="D7" s="112" t="s">
        <v>874</v>
      </c>
      <c r="E7" s="133"/>
      <c r="F7" s="115" t="s">
        <v>878</v>
      </c>
      <c r="G7" s="121" t="s">
        <v>882</v>
      </c>
      <c r="H7" s="122">
        <v>46111</v>
      </c>
      <c r="I7" s="122">
        <f>H7+7</f>
        <v>46118</v>
      </c>
      <c r="J7" s="122">
        <f t="shared" ref="J7:U7" si="0">I7+7</f>
        <v>46125</v>
      </c>
      <c r="K7" s="122">
        <f t="shared" si="0"/>
        <v>46132</v>
      </c>
      <c r="L7" s="122">
        <f t="shared" si="0"/>
        <v>46139</v>
      </c>
      <c r="M7" s="122">
        <f t="shared" si="0"/>
        <v>46146</v>
      </c>
      <c r="N7" s="122">
        <f t="shared" si="0"/>
        <v>46153</v>
      </c>
      <c r="O7" s="122">
        <f t="shared" si="0"/>
        <v>46160</v>
      </c>
      <c r="P7" s="122">
        <f t="shared" si="0"/>
        <v>46167</v>
      </c>
      <c r="Q7" s="122">
        <f t="shared" si="0"/>
        <v>46174</v>
      </c>
      <c r="R7" s="122">
        <f t="shared" si="0"/>
        <v>46181</v>
      </c>
      <c r="S7" s="122">
        <f t="shared" si="0"/>
        <v>46188</v>
      </c>
      <c r="T7" s="122">
        <f t="shared" si="0"/>
        <v>46195</v>
      </c>
      <c r="U7" s="122">
        <f t="shared" si="0"/>
        <v>46202</v>
      </c>
      <c r="V7" s="120"/>
    </row>
    <row r="8" spans="1:22" x14ac:dyDescent="0.4">
      <c r="A8" s="120"/>
      <c r="B8" s="136" t="s">
        <v>55</v>
      </c>
      <c r="C8" s="137" t="s">
        <v>56</v>
      </c>
      <c r="D8" s="103" t="s">
        <v>70</v>
      </c>
      <c r="E8" s="106">
        <v>1</v>
      </c>
      <c r="F8" s="116">
        <f>届出事由・区分・届出年月日ごと集計!D3</f>
        <v>17</v>
      </c>
      <c r="G8" s="117">
        <f>届出事由・区分・届出年月日ごと集計!F3</f>
        <v>1</v>
      </c>
      <c r="H8" s="118">
        <f>届出事由・区分・届出年月日ごと集計!G3</f>
        <v>0</v>
      </c>
      <c r="I8" s="118">
        <f>届出事由・区分・届出年月日ごと集計!H3</f>
        <v>0</v>
      </c>
      <c r="J8" s="118">
        <f>届出事由・区分・届出年月日ごと集計!I3</f>
        <v>1</v>
      </c>
      <c r="K8" s="118">
        <f>届出事由・区分・届出年月日ごと集計!J3</f>
        <v>0</v>
      </c>
      <c r="L8" s="118">
        <f>届出事由・区分・届出年月日ごと集計!K3</f>
        <v>0</v>
      </c>
      <c r="M8" s="118">
        <f>届出事由・区分・届出年月日ごと集計!L3</f>
        <v>0</v>
      </c>
      <c r="N8" s="118">
        <f>届出事由・区分・届出年月日ごと集計!M3</f>
        <v>0</v>
      </c>
      <c r="O8" s="118">
        <f>届出事由・区分・届出年月日ごと集計!N3</f>
        <v>0</v>
      </c>
      <c r="P8" s="118">
        <f>届出事由・区分・届出年月日ごと集計!O3</f>
        <v>0</v>
      </c>
      <c r="Q8" s="118">
        <f>届出事由・区分・届出年月日ごと集計!P3</f>
        <v>0</v>
      </c>
      <c r="R8" s="118">
        <f>届出事由・区分・届出年月日ごと集計!Q3</f>
        <v>0</v>
      </c>
      <c r="S8" s="118">
        <f>届出事由・区分・届出年月日ごと集計!R3</f>
        <v>0</v>
      </c>
      <c r="T8" s="118">
        <f>届出事由・区分・届出年月日ごと集計!S3</f>
        <v>0</v>
      </c>
      <c r="U8" s="118">
        <f>届出事由・区分・届出年月日ごと集計!T3</f>
        <v>0</v>
      </c>
      <c r="V8" s="120"/>
    </row>
    <row r="9" spans="1:22" x14ac:dyDescent="0.4">
      <c r="A9" s="120"/>
      <c r="B9" s="136"/>
      <c r="C9" s="137"/>
      <c r="D9" s="103" t="s">
        <v>71</v>
      </c>
      <c r="E9" s="105">
        <v>5</v>
      </c>
      <c r="F9" s="116">
        <f>届出事由・区分・届出年月日ごと集計!D4</f>
        <v>2</v>
      </c>
      <c r="G9" s="117">
        <f>届出事由・区分・届出年月日ごと集計!F4</f>
        <v>0</v>
      </c>
      <c r="H9" s="118">
        <f>届出事由・区分・届出年月日ごと集計!G4</f>
        <v>0</v>
      </c>
      <c r="I9" s="118">
        <f>届出事由・区分・届出年月日ごと集計!H4</f>
        <v>0</v>
      </c>
      <c r="J9" s="118">
        <f>届出事由・区分・届出年月日ごと集計!I4</f>
        <v>0</v>
      </c>
      <c r="K9" s="118">
        <f>届出事由・区分・届出年月日ごと集計!J4</f>
        <v>0</v>
      </c>
      <c r="L9" s="118">
        <f>届出事由・区分・届出年月日ごと集計!K4</f>
        <v>0</v>
      </c>
      <c r="M9" s="118">
        <f>届出事由・区分・届出年月日ごと集計!L4</f>
        <v>0</v>
      </c>
      <c r="N9" s="118">
        <f>届出事由・区分・届出年月日ごと集計!M4</f>
        <v>0</v>
      </c>
      <c r="O9" s="118">
        <f>届出事由・区分・届出年月日ごと集計!N4</f>
        <v>0</v>
      </c>
      <c r="P9" s="118">
        <f>届出事由・区分・届出年月日ごと集計!O4</f>
        <v>0</v>
      </c>
      <c r="Q9" s="118">
        <f>届出事由・区分・届出年月日ごと集計!P4</f>
        <v>0</v>
      </c>
      <c r="R9" s="118">
        <f>届出事由・区分・届出年月日ごと集計!Q4</f>
        <v>0</v>
      </c>
      <c r="S9" s="118">
        <f>届出事由・区分・届出年月日ごと集計!R4</f>
        <v>0</v>
      </c>
      <c r="T9" s="118">
        <f>届出事由・区分・届出年月日ごと集計!S4</f>
        <v>0</v>
      </c>
      <c r="U9" s="118">
        <f>届出事由・区分・届出年月日ごと集計!T4</f>
        <v>0</v>
      </c>
      <c r="V9" s="120"/>
    </row>
    <row r="10" spans="1:22" x14ac:dyDescent="0.4">
      <c r="A10" s="120"/>
      <c r="B10" s="136"/>
      <c r="C10" s="137" t="s">
        <v>93</v>
      </c>
      <c r="D10" s="103" t="s">
        <v>70</v>
      </c>
      <c r="E10" s="106">
        <v>2</v>
      </c>
      <c r="F10" s="116">
        <f>SUM(届出事由・区分・届出年月日ごと集計!D7,届出事由・区分・届出年月日ごと集計!D11,届出事由・区分・届出年月日ごと集計!D15,届出事由・区分・届出年月日ごと集計!D19,届出事由・区分・届出年月日ごと集計!D23,届出事由・区分・届出年月日ごと集計!D27,届出事由・区分・届出年月日ごと集計!D31,届出事由・区分・届出年月日ごと集計!D35,届出事由・区分・届出年月日ごと集計!D39,届出事由・区分・届出年月日ごと集計!D43,届出事由・区分・届出年月日ごと集計!D47,届出事由・区分・届出年月日ごと集計!D51,届出事由・区分・届出年月日ごと集計!D55,届出事由・区分・届出年月日ごと集計!D59,届出事由・区分・届出年月日ごと集計!D63)</f>
        <v>55</v>
      </c>
      <c r="G10" s="117">
        <f>SUM(届出事由・区分・届出年月日ごと集計!F7,届出事由・区分・届出年月日ごと集計!F11,届出事由・区分・届出年月日ごと集計!F15,届出事由・区分・届出年月日ごと集計!F19,届出事由・区分・届出年月日ごと集計!F23,届出事由・区分・届出年月日ごと集計!F27,届出事由・区分・届出年月日ごと集計!F31,届出事由・区分・届出年月日ごと集計!F35,届出事由・区分・届出年月日ごと集計!F39,届出事由・区分・届出年月日ごと集計!F43,届出事由・区分・届出年月日ごと集計!F47,届出事由・区分・届出年月日ごと集計!F51,届出事由・区分・届出年月日ごと集計!F55,届出事由・区分・届出年月日ごと集計!F59,届出事由・区分・届出年月日ごと集計!F63)</f>
        <v>5</v>
      </c>
      <c r="H10" s="118">
        <f>SUM(届出事由・区分・届出年月日ごと集計!G7,届出事由・区分・届出年月日ごと集計!G11,届出事由・区分・届出年月日ごと集計!G15,届出事由・区分・届出年月日ごと集計!G19,届出事由・区分・届出年月日ごと集計!G23,届出事由・区分・届出年月日ごと集計!G27,届出事由・区分・届出年月日ごと集計!G31,届出事由・区分・届出年月日ごと集計!G35,届出事由・区分・届出年月日ごと集計!G39,届出事由・区分・届出年月日ごと集計!G43,届出事由・区分・届出年月日ごと集計!G47,届出事由・区分・届出年月日ごと集計!G51,届出事由・区分・届出年月日ごと集計!G55,届出事由・区分・届出年月日ごと集計!G59,届出事由・区分・届出年月日ごと集計!G63)</f>
        <v>8</v>
      </c>
      <c r="I10" s="118">
        <f>SUM(届出事由・区分・届出年月日ごと集計!H7,届出事由・区分・届出年月日ごと集計!H11,届出事由・区分・届出年月日ごと集計!H15,届出事由・区分・届出年月日ごと集計!H19,届出事由・区分・届出年月日ごと集計!H23,届出事由・区分・届出年月日ごと集計!H27,届出事由・区分・届出年月日ごと集計!H31,届出事由・区分・届出年月日ごと集計!H35,届出事由・区分・届出年月日ごと集計!H39,届出事由・区分・届出年月日ごと集計!H43,届出事由・区分・届出年月日ごと集計!H47,届出事由・区分・届出年月日ごと集計!H51,届出事由・区分・届出年月日ごと集計!H55,届出事由・区分・届出年月日ごと集計!H59,届出事由・区分・届出年月日ごと集計!H63)</f>
        <v>7</v>
      </c>
      <c r="J10" s="118">
        <f>SUM(届出事由・区分・届出年月日ごと集計!I7,届出事由・区分・届出年月日ごと集計!I11,届出事由・区分・届出年月日ごと集計!I15,届出事由・区分・届出年月日ごと集計!I19,届出事由・区分・届出年月日ごと集計!I23,届出事由・区分・届出年月日ごと集計!I27,届出事由・区分・届出年月日ごと集計!I31,届出事由・区分・届出年月日ごと集計!I35,届出事由・区分・届出年月日ごと集計!I39,届出事由・区分・届出年月日ごと集計!I43,届出事由・区分・届出年月日ごと集計!I47,届出事由・区分・届出年月日ごと集計!I51,届出事由・区分・届出年月日ごと集計!I55,届出事由・区分・届出年月日ごと集計!I59,届出事由・区分・届出年月日ごと集計!I63)</f>
        <v>3</v>
      </c>
      <c r="K10" s="118">
        <f>SUM(届出事由・区分・届出年月日ごと集計!J7,届出事由・区分・届出年月日ごと集計!J11,届出事由・区分・届出年月日ごと集計!J15,届出事由・区分・届出年月日ごと集計!J19,届出事由・区分・届出年月日ごと集計!J23,届出事由・区分・届出年月日ごと集計!J27,届出事由・区分・届出年月日ごと集計!J31,届出事由・区分・届出年月日ごと集計!J35,届出事由・区分・届出年月日ごと集計!J39,届出事由・区分・届出年月日ごと集計!J43,届出事由・区分・届出年月日ごと集計!J47,届出事由・区分・届出年月日ごと集計!J51,届出事由・区分・届出年月日ごと集計!J55,届出事由・区分・届出年月日ごと集計!J59,届出事由・区分・届出年月日ごと集計!J63)</f>
        <v>0</v>
      </c>
      <c r="L10" s="118">
        <f>SUM(届出事由・区分・届出年月日ごと集計!K7,届出事由・区分・届出年月日ごと集計!K11,届出事由・区分・届出年月日ごと集計!K15,届出事由・区分・届出年月日ごと集計!K19,届出事由・区分・届出年月日ごと集計!K23,届出事由・区分・届出年月日ごと集計!K27,届出事由・区分・届出年月日ごと集計!K31,届出事由・区分・届出年月日ごと集計!K35,届出事由・区分・届出年月日ごと集計!K39,届出事由・区分・届出年月日ごと集計!K43,届出事由・区分・届出年月日ごと集計!K47,届出事由・区分・届出年月日ごと集計!K51,届出事由・区分・届出年月日ごと集計!K55,届出事由・区分・届出年月日ごと集計!K59,届出事由・区分・届出年月日ごと集計!K63)</f>
        <v>0</v>
      </c>
      <c r="M10" s="118">
        <f>SUM(届出事由・区分・届出年月日ごと集計!L7,届出事由・区分・届出年月日ごと集計!L11,届出事由・区分・届出年月日ごと集計!L15,届出事由・区分・届出年月日ごと集計!L19,届出事由・区分・届出年月日ごと集計!L23,届出事由・区分・届出年月日ごと集計!L27,届出事由・区分・届出年月日ごと集計!L31,届出事由・区分・届出年月日ごと集計!L35,届出事由・区分・届出年月日ごと集計!L39,届出事由・区分・届出年月日ごと集計!L43,届出事由・区分・届出年月日ごと集計!L47,届出事由・区分・届出年月日ごと集計!L51,届出事由・区分・届出年月日ごと集計!L55,届出事由・区分・届出年月日ごと集計!L59,届出事由・区分・届出年月日ごと集計!L63)</f>
        <v>0</v>
      </c>
      <c r="N10" s="118">
        <f>SUM(届出事由・区分・届出年月日ごと集計!M7,届出事由・区分・届出年月日ごと集計!M11,届出事由・区分・届出年月日ごと集計!M15,届出事由・区分・届出年月日ごと集計!M19,届出事由・区分・届出年月日ごと集計!M23,届出事由・区分・届出年月日ごと集計!M27,届出事由・区分・届出年月日ごと集計!M31,届出事由・区分・届出年月日ごと集計!M35,届出事由・区分・届出年月日ごと集計!M39,届出事由・区分・届出年月日ごと集計!M43,届出事由・区分・届出年月日ごと集計!M47,届出事由・区分・届出年月日ごと集計!M51,届出事由・区分・届出年月日ごと集計!M55,届出事由・区分・届出年月日ごと集計!M59,届出事由・区分・届出年月日ごと集計!M63)</f>
        <v>0</v>
      </c>
      <c r="O10" s="118">
        <f>SUM(届出事由・区分・届出年月日ごと集計!N7,届出事由・区分・届出年月日ごと集計!N11,届出事由・区分・届出年月日ごと集計!N15,届出事由・区分・届出年月日ごと集計!N19,届出事由・区分・届出年月日ごと集計!N23,届出事由・区分・届出年月日ごと集計!N27,届出事由・区分・届出年月日ごと集計!N31,届出事由・区分・届出年月日ごと集計!N35,届出事由・区分・届出年月日ごと集計!N39,届出事由・区分・届出年月日ごと集計!N43,届出事由・区分・届出年月日ごと集計!N47,届出事由・区分・届出年月日ごと集計!N51,届出事由・区分・届出年月日ごと集計!N55,届出事由・区分・届出年月日ごと集計!N59,届出事由・区分・届出年月日ごと集計!N63)</f>
        <v>0</v>
      </c>
      <c r="P10" s="118">
        <f>SUM(届出事由・区分・届出年月日ごと集計!O7,届出事由・区分・届出年月日ごと集計!O11,届出事由・区分・届出年月日ごと集計!O15,届出事由・区分・届出年月日ごと集計!O19,届出事由・区分・届出年月日ごと集計!O23,届出事由・区分・届出年月日ごと集計!O27,届出事由・区分・届出年月日ごと集計!O31,届出事由・区分・届出年月日ごと集計!O35,届出事由・区分・届出年月日ごと集計!O39,届出事由・区分・届出年月日ごと集計!O43,届出事由・区分・届出年月日ごと集計!O47,届出事由・区分・届出年月日ごと集計!O51,届出事由・区分・届出年月日ごと集計!O55,届出事由・区分・届出年月日ごと集計!O59,届出事由・区分・届出年月日ごと集計!O63)</f>
        <v>0</v>
      </c>
      <c r="Q10" s="118">
        <f>SUM(届出事由・区分・届出年月日ごと集計!P7,届出事由・区分・届出年月日ごと集計!P11,届出事由・区分・届出年月日ごと集計!P15,届出事由・区分・届出年月日ごと集計!P19,届出事由・区分・届出年月日ごと集計!P23,届出事由・区分・届出年月日ごと集計!P27,届出事由・区分・届出年月日ごと集計!P31,届出事由・区分・届出年月日ごと集計!P35,届出事由・区分・届出年月日ごと集計!P39,届出事由・区分・届出年月日ごと集計!P43,届出事由・区分・届出年月日ごと集計!P47,届出事由・区分・届出年月日ごと集計!P51,届出事由・区分・届出年月日ごと集計!P55,届出事由・区分・届出年月日ごと集計!P59,届出事由・区分・届出年月日ごと集計!P63)</f>
        <v>0</v>
      </c>
      <c r="R10" s="118">
        <f>SUM(届出事由・区分・届出年月日ごと集計!Q7,届出事由・区分・届出年月日ごと集計!Q11,届出事由・区分・届出年月日ごと集計!Q15,届出事由・区分・届出年月日ごと集計!Q19,届出事由・区分・届出年月日ごと集計!Q23,届出事由・区分・届出年月日ごと集計!Q27,届出事由・区分・届出年月日ごと集計!Q31,届出事由・区分・届出年月日ごと集計!Q35,届出事由・区分・届出年月日ごと集計!Q39,届出事由・区分・届出年月日ごと集計!Q43,届出事由・区分・届出年月日ごと集計!Q47,届出事由・区分・届出年月日ごと集計!Q51,届出事由・区分・届出年月日ごと集計!Q55,届出事由・区分・届出年月日ごと集計!Q59,届出事由・区分・届出年月日ごと集計!Q63)</f>
        <v>0</v>
      </c>
      <c r="S10" s="118">
        <f>SUM(届出事由・区分・届出年月日ごと集計!R7,届出事由・区分・届出年月日ごと集計!R11,届出事由・区分・届出年月日ごと集計!R15,届出事由・区分・届出年月日ごと集計!R19,届出事由・区分・届出年月日ごと集計!R23,届出事由・区分・届出年月日ごと集計!R27,届出事由・区分・届出年月日ごと集計!R31,届出事由・区分・届出年月日ごと集計!R35,届出事由・区分・届出年月日ごと集計!R39,届出事由・区分・届出年月日ごと集計!R43,届出事由・区分・届出年月日ごと集計!R47,届出事由・区分・届出年月日ごと集計!R51,届出事由・区分・届出年月日ごと集計!R55,届出事由・区分・届出年月日ごと集計!R59,届出事由・区分・届出年月日ごと集計!R63)</f>
        <v>0</v>
      </c>
      <c r="T10" s="118">
        <f>SUM(届出事由・区分・届出年月日ごと集計!S7,届出事由・区分・届出年月日ごと集計!S11,届出事由・区分・届出年月日ごと集計!S15,届出事由・区分・届出年月日ごと集計!S19,届出事由・区分・届出年月日ごと集計!S23,届出事由・区分・届出年月日ごと集計!S27,届出事由・区分・届出年月日ごと集計!S31,届出事由・区分・届出年月日ごと集計!S35,届出事由・区分・届出年月日ごと集計!S39,届出事由・区分・届出年月日ごと集計!S43,届出事由・区分・届出年月日ごと集計!S47,届出事由・区分・届出年月日ごと集計!S51,届出事由・区分・届出年月日ごと集計!S55,届出事由・区分・届出年月日ごと集計!S59,届出事由・区分・届出年月日ごと集計!S63)</f>
        <v>0</v>
      </c>
      <c r="U10" s="118">
        <f>SUM(届出事由・区分・届出年月日ごと集計!T7,届出事由・区分・届出年月日ごと集計!T11,届出事由・区分・届出年月日ごと集計!T15,届出事由・区分・届出年月日ごと集計!T19,届出事由・区分・届出年月日ごと集計!T23,届出事由・区分・届出年月日ごと集計!T27,届出事由・区分・届出年月日ごと集計!T31,届出事由・区分・届出年月日ごと集計!T35,届出事由・区分・届出年月日ごと集計!T39,届出事由・区分・届出年月日ごと集計!T43,届出事由・区分・届出年月日ごと集計!T47,届出事由・区分・届出年月日ごと集計!T51,届出事由・区分・届出年月日ごと集計!T55,届出事由・区分・届出年月日ごと集計!T59,届出事由・区分・届出年月日ごと集計!T63)</f>
        <v>0</v>
      </c>
      <c r="V10" s="120"/>
    </row>
    <row r="11" spans="1:22" x14ac:dyDescent="0.4">
      <c r="A11" s="120"/>
      <c r="B11" s="136"/>
      <c r="C11" s="137"/>
      <c r="D11" s="103" t="s">
        <v>71</v>
      </c>
      <c r="E11" s="105">
        <v>5</v>
      </c>
      <c r="F11" s="116">
        <f>SUM(届出事由・区分・届出年月日ごと集計!D8,届出事由・区分・届出年月日ごと集計!D12,届出事由・区分・届出年月日ごと集計!D16,届出事由・区分・届出年月日ごと集計!D20,届出事由・区分・届出年月日ごと集計!D24,届出事由・区分・届出年月日ごと集計!D28,届出事由・区分・届出年月日ごと集計!D32,届出事由・区分・届出年月日ごと集計!D36,届出事由・区分・届出年月日ごと集計!D40,届出事由・区分・届出年月日ごと集計!D44,届出事由・区分・届出年月日ごと集計!D48,届出事由・区分・届出年月日ごと集計!D52,届出事由・区分・届出年月日ごと集計!D56,届出事由・区分・届出年月日ごと集計!D60,届出事由・区分・届出年月日ごと集計!D64)</f>
        <v>5</v>
      </c>
      <c r="G11" s="117">
        <f>SUM(届出事由・区分・届出年月日ごと集計!F8,届出事由・区分・届出年月日ごと集計!F12,届出事由・区分・届出年月日ごと集計!F16,届出事由・区分・届出年月日ごと集計!F20,届出事由・区分・届出年月日ごと集計!F24,届出事由・区分・届出年月日ごと集計!F28,届出事由・区分・届出年月日ごと集計!F32,届出事由・区分・届出年月日ごと集計!F36,届出事由・区分・届出年月日ごと集計!F40,届出事由・区分・届出年月日ごと集計!F44,届出事由・区分・届出年月日ごと集計!F48,届出事由・区分・届出年月日ごと集計!F52,届出事由・区分・届出年月日ごと集計!F56,届出事由・区分・届出年月日ごと集計!F60,届出事由・区分・届出年月日ごと集計!F64)</f>
        <v>0</v>
      </c>
      <c r="H11" s="118">
        <f>SUM(届出事由・区分・届出年月日ごと集計!G8,届出事由・区分・届出年月日ごと集計!G12,届出事由・区分・届出年月日ごと集計!G16,届出事由・区分・届出年月日ごと集計!G20,届出事由・区分・届出年月日ごと集計!G24,届出事由・区分・届出年月日ごと集計!G28,届出事由・区分・届出年月日ごと集計!G32,届出事由・区分・届出年月日ごと集計!G36,届出事由・区分・届出年月日ごと集計!G40,届出事由・区分・届出年月日ごと集計!G44,届出事由・区分・届出年月日ごと集計!G48,届出事由・区分・届出年月日ごと集計!G52,届出事由・区分・届出年月日ごと集計!G56,届出事由・区分・届出年月日ごと集計!G60,届出事由・区分・届出年月日ごと集計!G64)</f>
        <v>0</v>
      </c>
      <c r="I11" s="118">
        <f>SUM(届出事由・区分・届出年月日ごと集計!H8,届出事由・区分・届出年月日ごと集計!H12,届出事由・区分・届出年月日ごと集計!H16,届出事由・区分・届出年月日ごと集計!H20,届出事由・区分・届出年月日ごと集計!H24,届出事由・区分・届出年月日ごと集計!H28,届出事由・区分・届出年月日ごと集計!H32,届出事由・区分・届出年月日ごと集計!H36,届出事由・区分・届出年月日ごと集計!H40,届出事由・区分・届出年月日ごと集計!H44,届出事由・区分・届出年月日ごと集計!H48,届出事由・区分・届出年月日ごと集計!H52,届出事由・区分・届出年月日ごと集計!H56,届出事由・区分・届出年月日ごと集計!H60,届出事由・区分・届出年月日ごと集計!H64)</f>
        <v>1</v>
      </c>
      <c r="J11" s="118">
        <f>SUM(届出事由・区分・届出年月日ごと集計!I8,届出事由・区分・届出年月日ごと集計!I12,届出事由・区分・届出年月日ごと集計!I16,届出事由・区分・届出年月日ごと集計!I20,届出事由・区分・届出年月日ごと集計!I24,届出事由・区分・届出年月日ごと集計!I28,届出事由・区分・届出年月日ごと集計!I32,届出事由・区分・届出年月日ごと集計!I36,届出事由・区分・届出年月日ごと集計!I40,届出事由・区分・届出年月日ごと集計!I44,届出事由・区分・届出年月日ごと集計!I48,届出事由・区分・届出年月日ごと集計!I52,届出事由・区分・届出年月日ごと集計!I56,届出事由・区分・届出年月日ごと集計!I60,届出事由・区分・届出年月日ごと集計!I64)</f>
        <v>0</v>
      </c>
      <c r="K11" s="118">
        <f>SUM(届出事由・区分・届出年月日ごと集計!J8,届出事由・区分・届出年月日ごと集計!J12,届出事由・区分・届出年月日ごと集計!J16,届出事由・区分・届出年月日ごと集計!J20,届出事由・区分・届出年月日ごと集計!J24,届出事由・区分・届出年月日ごと集計!J28,届出事由・区分・届出年月日ごと集計!J32,届出事由・区分・届出年月日ごと集計!J36,届出事由・区分・届出年月日ごと集計!J40,届出事由・区分・届出年月日ごと集計!J44,届出事由・区分・届出年月日ごと集計!J48,届出事由・区分・届出年月日ごと集計!J52,届出事由・区分・届出年月日ごと集計!J56,届出事由・区分・届出年月日ごと集計!J60,届出事由・区分・届出年月日ごと集計!J64)</f>
        <v>0</v>
      </c>
      <c r="L11" s="118">
        <f>SUM(届出事由・区分・届出年月日ごと集計!K8,届出事由・区分・届出年月日ごと集計!K12,届出事由・区分・届出年月日ごと集計!K16,届出事由・区分・届出年月日ごと集計!K20,届出事由・区分・届出年月日ごと集計!K24,届出事由・区分・届出年月日ごと集計!K28,届出事由・区分・届出年月日ごと集計!K32,届出事由・区分・届出年月日ごと集計!K36,届出事由・区分・届出年月日ごと集計!K40,届出事由・区分・届出年月日ごと集計!K44,届出事由・区分・届出年月日ごと集計!K48,届出事由・区分・届出年月日ごと集計!K52,届出事由・区分・届出年月日ごと集計!K56,届出事由・区分・届出年月日ごと集計!K60,届出事由・区分・届出年月日ごと集計!K64)</f>
        <v>0</v>
      </c>
      <c r="M11" s="118">
        <f>SUM(届出事由・区分・届出年月日ごと集計!L8,届出事由・区分・届出年月日ごと集計!L12,届出事由・区分・届出年月日ごと集計!L16,届出事由・区分・届出年月日ごと集計!L20,届出事由・区分・届出年月日ごと集計!L24,届出事由・区分・届出年月日ごと集計!L28,届出事由・区分・届出年月日ごと集計!L32,届出事由・区分・届出年月日ごと集計!L36,届出事由・区分・届出年月日ごと集計!L40,届出事由・区分・届出年月日ごと集計!L44,届出事由・区分・届出年月日ごと集計!L48,届出事由・区分・届出年月日ごと集計!L52,届出事由・区分・届出年月日ごと集計!L56,届出事由・区分・届出年月日ごと集計!L60,届出事由・区分・届出年月日ごと集計!L64)</f>
        <v>0</v>
      </c>
      <c r="N11" s="118">
        <f>SUM(届出事由・区分・届出年月日ごと集計!M8,届出事由・区分・届出年月日ごと集計!M12,届出事由・区分・届出年月日ごと集計!M16,届出事由・区分・届出年月日ごと集計!M20,届出事由・区分・届出年月日ごと集計!M24,届出事由・区分・届出年月日ごと集計!M28,届出事由・区分・届出年月日ごと集計!M32,届出事由・区分・届出年月日ごと集計!M36,届出事由・区分・届出年月日ごと集計!M40,届出事由・区分・届出年月日ごと集計!M44,届出事由・区分・届出年月日ごと集計!M48,届出事由・区分・届出年月日ごと集計!M52,届出事由・区分・届出年月日ごと集計!M56,届出事由・区分・届出年月日ごと集計!M60,届出事由・区分・届出年月日ごと集計!M64)</f>
        <v>0</v>
      </c>
      <c r="O11" s="118">
        <f>SUM(届出事由・区分・届出年月日ごと集計!N8,届出事由・区分・届出年月日ごと集計!N12,届出事由・区分・届出年月日ごと集計!N16,届出事由・区分・届出年月日ごと集計!N20,届出事由・区分・届出年月日ごと集計!N24,届出事由・区分・届出年月日ごと集計!N28,届出事由・区分・届出年月日ごと集計!N32,届出事由・区分・届出年月日ごと集計!N36,届出事由・区分・届出年月日ごと集計!N40,届出事由・区分・届出年月日ごと集計!N44,届出事由・区分・届出年月日ごと集計!N48,届出事由・区分・届出年月日ごと集計!N52,届出事由・区分・届出年月日ごと集計!N56,届出事由・区分・届出年月日ごと集計!N60,届出事由・区分・届出年月日ごと集計!N64)</f>
        <v>0</v>
      </c>
      <c r="P11" s="118">
        <f>SUM(届出事由・区分・届出年月日ごと集計!O8,届出事由・区分・届出年月日ごと集計!O12,届出事由・区分・届出年月日ごと集計!O16,届出事由・区分・届出年月日ごと集計!O20,届出事由・区分・届出年月日ごと集計!O24,届出事由・区分・届出年月日ごと集計!O28,届出事由・区分・届出年月日ごと集計!O32,届出事由・区分・届出年月日ごと集計!O36,届出事由・区分・届出年月日ごと集計!O40,届出事由・区分・届出年月日ごと集計!O44,届出事由・区分・届出年月日ごと集計!O48,届出事由・区分・届出年月日ごと集計!O52,届出事由・区分・届出年月日ごと集計!O56,届出事由・区分・届出年月日ごと集計!O60,届出事由・区分・届出年月日ごと集計!O64)</f>
        <v>0</v>
      </c>
      <c r="Q11" s="118">
        <f>SUM(届出事由・区分・届出年月日ごと集計!P8,届出事由・区分・届出年月日ごと集計!P12,届出事由・区分・届出年月日ごと集計!P16,届出事由・区分・届出年月日ごと集計!P20,届出事由・区分・届出年月日ごと集計!P24,届出事由・区分・届出年月日ごと集計!P28,届出事由・区分・届出年月日ごと集計!P32,届出事由・区分・届出年月日ごと集計!P36,届出事由・区分・届出年月日ごと集計!P40,届出事由・区分・届出年月日ごと集計!P44,届出事由・区分・届出年月日ごと集計!P48,届出事由・区分・届出年月日ごと集計!P52,届出事由・区分・届出年月日ごと集計!P56,届出事由・区分・届出年月日ごと集計!P60,届出事由・区分・届出年月日ごと集計!P64)</f>
        <v>0</v>
      </c>
      <c r="R11" s="118">
        <f>SUM(届出事由・区分・届出年月日ごと集計!Q8,届出事由・区分・届出年月日ごと集計!Q12,届出事由・区分・届出年月日ごと集計!Q16,届出事由・区分・届出年月日ごと集計!Q20,届出事由・区分・届出年月日ごと集計!Q24,届出事由・区分・届出年月日ごと集計!Q28,届出事由・区分・届出年月日ごと集計!Q32,届出事由・区分・届出年月日ごと集計!Q36,届出事由・区分・届出年月日ごと集計!Q40,届出事由・区分・届出年月日ごと集計!Q44,届出事由・区分・届出年月日ごと集計!Q48,届出事由・区分・届出年月日ごと集計!Q52,届出事由・区分・届出年月日ごと集計!Q56,届出事由・区分・届出年月日ごと集計!Q60,届出事由・区分・届出年月日ごと集計!Q64)</f>
        <v>0</v>
      </c>
      <c r="S11" s="118">
        <f>SUM(届出事由・区分・届出年月日ごと集計!R8,届出事由・区分・届出年月日ごと集計!R12,届出事由・区分・届出年月日ごと集計!R16,届出事由・区分・届出年月日ごと集計!R20,届出事由・区分・届出年月日ごと集計!R24,届出事由・区分・届出年月日ごと集計!R28,届出事由・区分・届出年月日ごと集計!R32,届出事由・区分・届出年月日ごと集計!R36,届出事由・区分・届出年月日ごと集計!R40,届出事由・区分・届出年月日ごと集計!R44,届出事由・区分・届出年月日ごと集計!R48,届出事由・区分・届出年月日ごと集計!R52,届出事由・区分・届出年月日ごと集計!R56,届出事由・区分・届出年月日ごと集計!R60,届出事由・区分・届出年月日ごと集計!R64)</f>
        <v>0</v>
      </c>
      <c r="T11" s="118">
        <f>SUM(届出事由・区分・届出年月日ごと集計!S8,届出事由・区分・届出年月日ごと集計!S12,届出事由・区分・届出年月日ごと集計!S16,届出事由・区分・届出年月日ごと集計!S20,届出事由・区分・届出年月日ごと集計!S24,届出事由・区分・届出年月日ごと集計!S28,届出事由・区分・届出年月日ごと集計!S32,届出事由・区分・届出年月日ごと集計!S36,届出事由・区分・届出年月日ごと集計!S40,届出事由・区分・届出年月日ごと集計!S44,届出事由・区分・届出年月日ごと集計!S48,届出事由・区分・届出年月日ごと集計!S52,届出事由・区分・届出年月日ごと集計!S56,届出事由・区分・届出年月日ごと集計!S60,届出事由・区分・届出年月日ごと集計!S64)</f>
        <v>0</v>
      </c>
      <c r="U11" s="118">
        <f>SUM(届出事由・区分・届出年月日ごと集計!T8,届出事由・区分・届出年月日ごと集計!T12,届出事由・区分・届出年月日ごと集計!T16,届出事由・区分・届出年月日ごと集計!T20,届出事由・区分・届出年月日ごと集計!T24,届出事由・区分・届出年月日ごと集計!T28,届出事由・区分・届出年月日ごと集計!T32,届出事由・区分・届出年月日ごと集計!T36,届出事由・区分・届出年月日ごと集計!T40,届出事由・区分・届出年月日ごと集計!T44,届出事由・区分・届出年月日ごと集計!T48,届出事由・区分・届出年月日ごと集計!T52,届出事由・区分・届出年月日ごと集計!T56,届出事由・区分・届出年月日ごと集計!T60,届出事由・区分・届出年月日ごと集計!T64)</f>
        <v>0</v>
      </c>
      <c r="V11" s="120"/>
    </row>
    <row r="12" spans="1:22" ht="54" customHeight="1" x14ac:dyDescent="0.4">
      <c r="A12" s="120"/>
      <c r="B12" s="140" t="s">
        <v>74</v>
      </c>
      <c r="C12" s="138" t="s">
        <v>95</v>
      </c>
      <c r="D12" s="104" t="s">
        <v>70</v>
      </c>
      <c r="E12" s="113">
        <v>3</v>
      </c>
      <c r="F12" s="116">
        <f>SUM(届出事由・区分・届出年月日ごと集計!D67,届出事由・区分・届出年月日ごと集計!D71,届出事由・区分・届出年月日ごと集計!D75,届出事由・区分・届出年月日ごと集計!D79)</f>
        <v>3</v>
      </c>
      <c r="G12" s="117">
        <f>SUM(届出事由・区分・届出年月日ごと集計!F67,届出事由・区分・届出年月日ごと集計!F71,届出事由・区分・届出年月日ごと集計!F75,届出事由・区分・届出年月日ごと集計!F79)</f>
        <v>1</v>
      </c>
      <c r="H12" s="118">
        <f>SUM(届出事由・区分・届出年月日ごと集計!G67,届出事由・区分・届出年月日ごと集計!G71,届出事由・区分・届出年月日ごと集計!G75,届出事由・区分・届出年月日ごと集計!G79)</f>
        <v>1</v>
      </c>
      <c r="I12" s="118">
        <f>SUM(届出事由・区分・届出年月日ごと集計!H67,届出事由・区分・届出年月日ごと集計!H71,届出事由・区分・届出年月日ごと集計!H75,届出事由・区分・届出年月日ごと集計!H79)</f>
        <v>0</v>
      </c>
      <c r="J12" s="118">
        <f>SUM(届出事由・区分・届出年月日ごと集計!I67,届出事由・区分・届出年月日ごと集計!I71,届出事由・区分・届出年月日ごと集計!I75,届出事由・区分・届出年月日ごと集計!I79)</f>
        <v>0</v>
      </c>
      <c r="K12" s="118">
        <f>SUM(届出事由・区分・届出年月日ごと集計!J67,届出事由・区分・届出年月日ごと集計!J71,届出事由・区分・届出年月日ごと集計!J75,届出事由・区分・届出年月日ごと集計!J79)</f>
        <v>0</v>
      </c>
      <c r="L12" s="118">
        <f>SUM(届出事由・区分・届出年月日ごと集計!K67,届出事由・区分・届出年月日ごと集計!K71,届出事由・区分・届出年月日ごと集計!K75,届出事由・区分・届出年月日ごと集計!K79)</f>
        <v>0</v>
      </c>
      <c r="M12" s="118">
        <f>SUM(届出事由・区分・届出年月日ごと集計!L67,届出事由・区分・届出年月日ごと集計!L71,届出事由・区分・届出年月日ごと集計!L75,届出事由・区分・届出年月日ごと集計!L79)</f>
        <v>0</v>
      </c>
      <c r="N12" s="118">
        <f>SUM(届出事由・区分・届出年月日ごと集計!M67,届出事由・区分・届出年月日ごと集計!M71,届出事由・区分・届出年月日ごと集計!M75,届出事由・区分・届出年月日ごと集計!M79)</f>
        <v>0</v>
      </c>
      <c r="O12" s="118">
        <f>SUM(届出事由・区分・届出年月日ごと集計!N67,届出事由・区分・届出年月日ごと集計!N71,届出事由・区分・届出年月日ごと集計!N75,届出事由・区分・届出年月日ごと集計!N79)</f>
        <v>0</v>
      </c>
      <c r="P12" s="118">
        <f>SUM(届出事由・区分・届出年月日ごと集計!O67,届出事由・区分・届出年月日ごと集計!O71,届出事由・区分・届出年月日ごと集計!O75,届出事由・区分・届出年月日ごと集計!O79)</f>
        <v>0</v>
      </c>
      <c r="Q12" s="118">
        <f>SUM(届出事由・区分・届出年月日ごと集計!P67,届出事由・区分・届出年月日ごと集計!P71,届出事由・区分・届出年月日ごと集計!P75,届出事由・区分・届出年月日ごと集計!P79)</f>
        <v>0</v>
      </c>
      <c r="R12" s="118">
        <f>SUM(届出事由・区分・届出年月日ごと集計!Q67,届出事由・区分・届出年月日ごと集計!Q71,届出事由・区分・届出年月日ごと集計!Q75,届出事由・区分・届出年月日ごと集計!Q79)</f>
        <v>0</v>
      </c>
      <c r="S12" s="118">
        <f>SUM(届出事由・区分・届出年月日ごと集計!R67,届出事由・区分・届出年月日ごと集計!R71,届出事由・区分・届出年月日ごと集計!R75,届出事由・区分・届出年月日ごと集計!R79)</f>
        <v>0</v>
      </c>
      <c r="T12" s="118">
        <f>SUM(届出事由・区分・届出年月日ごと集計!S67,届出事由・区分・届出年月日ごと集計!S71,届出事由・区分・届出年月日ごと集計!S75,届出事由・区分・届出年月日ごと集計!S79)</f>
        <v>0</v>
      </c>
      <c r="U12" s="118">
        <f>SUM(届出事由・区分・届出年月日ごと集計!T67,届出事由・区分・届出年月日ごと集計!T71,届出事由・区分・届出年月日ごと集計!T75,届出事由・区分・届出年月日ごと集計!T79)</f>
        <v>0</v>
      </c>
      <c r="V12" s="120"/>
    </row>
    <row r="13" spans="1:22" x14ac:dyDescent="0.4">
      <c r="A13" s="120"/>
      <c r="B13" s="140"/>
      <c r="C13" s="138"/>
      <c r="D13" s="104" t="s">
        <v>71</v>
      </c>
      <c r="E13" s="113">
        <v>4</v>
      </c>
      <c r="F13" s="116">
        <f>SUM(届出事由・区分・届出年月日ごと集計!D68,届出事由・区分・届出年月日ごと集計!D72,届出事由・区分・届出年月日ごと集計!D76,届出事由・区分・届出年月日ごと集計!D80)</f>
        <v>0</v>
      </c>
      <c r="G13" s="117">
        <f>SUM(届出事由・区分・届出年月日ごと集計!F68,届出事由・区分・届出年月日ごと集計!F72,届出事由・区分・届出年月日ごと集計!F76,届出事由・区分・届出年月日ごと集計!F80)</f>
        <v>0</v>
      </c>
      <c r="H13" s="118">
        <f>SUM(届出事由・区分・届出年月日ごと集計!G68,届出事由・区分・届出年月日ごと集計!G72,届出事由・区分・届出年月日ごと集計!G76,届出事由・区分・届出年月日ごと集計!G80)</f>
        <v>0</v>
      </c>
      <c r="I13" s="118">
        <f>SUM(届出事由・区分・届出年月日ごと集計!H68,届出事由・区分・届出年月日ごと集計!H72,届出事由・区分・届出年月日ごと集計!H76,届出事由・区分・届出年月日ごと集計!H80)</f>
        <v>0</v>
      </c>
      <c r="J13" s="118">
        <f>SUM(届出事由・区分・届出年月日ごと集計!I68,届出事由・区分・届出年月日ごと集計!I72,届出事由・区分・届出年月日ごと集計!I76,届出事由・区分・届出年月日ごと集計!I80)</f>
        <v>0</v>
      </c>
      <c r="K13" s="118">
        <f>SUM(届出事由・区分・届出年月日ごと集計!J68,届出事由・区分・届出年月日ごと集計!J72,届出事由・区分・届出年月日ごと集計!J76,届出事由・区分・届出年月日ごと集計!J80)</f>
        <v>0</v>
      </c>
      <c r="L13" s="118">
        <f>SUM(届出事由・区分・届出年月日ごと集計!K68,届出事由・区分・届出年月日ごと集計!K72,届出事由・区分・届出年月日ごと集計!K76,届出事由・区分・届出年月日ごと集計!K80)</f>
        <v>0</v>
      </c>
      <c r="M13" s="118">
        <f>SUM(届出事由・区分・届出年月日ごと集計!L68,届出事由・区分・届出年月日ごと集計!L72,届出事由・区分・届出年月日ごと集計!L76,届出事由・区分・届出年月日ごと集計!L80)</f>
        <v>0</v>
      </c>
      <c r="N13" s="118">
        <f>SUM(届出事由・区分・届出年月日ごと集計!M68,届出事由・区分・届出年月日ごと集計!M72,届出事由・区分・届出年月日ごと集計!M76,届出事由・区分・届出年月日ごと集計!M80)</f>
        <v>0</v>
      </c>
      <c r="O13" s="118">
        <f>SUM(届出事由・区分・届出年月日ごと集計!N68,届出事由・区分・届出年月日ごと集計!N72,届出事由・区分・届出年月日ごと集計!N76,届出事由・区分・届出年月日ごと集計!N80)</f>
        <v>0</v>
      </c>
      <c r="P13" s="118">
        <f>SUM(届出事由・区分・届出年月日ごと集計!O68,届出事由・区分・届出年月日ごと集計!O72,届出事由・区分・届出年月日ごと集計!O76,届出事由・区分・届出年月日ごと集計!O80)</f>
        <v>0</v>
      </c>
      <c r="Q13" s="118">
        <f>SUM(届出事由・区分・届出年月日ごと集計!P68,届出事由・区分・届出年月日ごと集計!P72,届出事由・区分・届出年月日ごと集計!P76,届出事由・区分・届出年月日ごと集計!P80)</f>
        <v>0</v>
      </c>
      <c r="R13" s="118">
        <f>SUM(届出事由・区分・届出年月日ごと集計!Q68,届出事由・区分・届出年月日ごと集計!Q72,届出事由・区分・届出年月日ごと集計!Q76,届出事由・区分・届出年月日ごと集計!Q80)</f>
        <v>0</v>
      </c>
      <c r="S13" s="118">
        <f>SUM(届出事由・区分・届出年月日ごと集計!R68,届出事由・区分・届出年月日ごと集計!R72,届出事由・区分・届出年月日ごと集計!R76,届出事由・区分・届出年月日ごと集計!R80)</f>
        <v>0</v>
      </c>
      <c r="T13" s="118">
        <f>SUM(届出事由・区分・届出年月日ごと集計!S68,届出事由・区分・届出年月日ごと集計!S72,届出事由・区分・届出年月日ごと集計!S76,届出事由・区分・届出年月日ごと集計!S80)</f>
        <v>0</v>
      </c>
      <c r="U13" s="118">
        <f>SUM(届出事由・区分・届出年月日ごと集計!T68,届出事由・区分・届出年月日ごと集計!T72,届出事由・区分・届出年月日ごと集計!T76,届出事由・区分・届出年月日ごと集計!T80)</f>
        <v>0</v>
      </c>
      <c r="V13" s="120"/>
    </row>
    <row r="14" spans="1:22" ht="74.25" customHeight="1" x14ac:dyDescent="0.4">
      <c r="A14" s="120"/>
      <c r="B14" s="140"/>
      <c r="C14" s="138" t="s">
        <v>96</v>
      </c>
      <c r="D14" s="104" t="s">
        <v>70</v>
      </c>
      <c r="E14" s="113">
        <v>4</v>
      </c>
      <c r="F14" s="116">
        <f>SUM(届出事由・区分・届出年月日ごと集計!D83,届出事由・区分・届出年月日ごと集計!D87,届出事由・区分・届出年月日ごと集計!D91,届出事由・区分・届出年月日ごと集計!D95,届出事由・区分・届出年月日ごと集計!D99)</f>
        <v>3</v>
      </c>
      <c r="G14" s="117">
        <f>SUM(届出事由・区分・届出年月日ごと集計!F83,届出事由・区分・届出年月日ごと集計!F87,届出事由・区分・届出年月日ごと集計!F91,届出事由・区分・届出年月日ごと集計!F95,届出事由・区分・届出年月日ごと集計!F99)</f>
        <v>0</v>
      </c>
      <c r="H14" s="118">
        <f>SUM(届出事由・区分・届出年月日ごと集計!G83,届出事由・区分・届出年月日ごと集計!G87,届出事由・区分・届出年月日ごと集計!G91,届出事由・区分・届出年月日ごと集計!G95,届出事由・区分・届出年月日ごと集計!G99)</f>
        <v>0</v>
      </c>
      <c r="I14" s="118">
        <f>SUM(届出事由・区分・届出年月日ごと集計!H83,届出事由・区分・届出年月日ごと集計!H87,届出事由・区分・届出年月日ごと集計!H91,届出事由・区分・届出年月日ごと集計!H95,届出事由・区分・届出年月日ごと集計!H99)</f>
        <v>0</v>
      </c>
      <c r="J14" s="118">
        <f>SUM(届出事由・区分・届出年月日ごと集計!I83,届出事由・区分・届出年月日ごと集計!I87,届出事由・区分・届出年月日ごと集計!I91,届出事由・区分・届出年月日ごと集計!I95,届出事由・区分・届出年月日ごと集計!I99)</f>
        <v>0</v>
      </c>
      <c r="K14" s="118">
        <f>SUM(届出事由・区分・届出年月日ごと集計!J83,届出事由・区分・届出年月日ごと集計!J87,届出事由・区分・届出年月日ごと集計!J91,届出事由・区分・届出年月日ごと集計!J95,届出事由・区分・届出年月日ごと集計!J99)</f>
        <v>0</v>
      </c>
      <c r="L14" s="118">
        <f>SUM(届出事由・区分・届出年月日ごと集計!K83,届出事由・区分・届出年月日ごと集計!K87,届出事由・区分・届出年月日ごと集計!K91,届出事由・区分・届出年月日ごと集計!K95,届出事由・区分・届出年月日ごと集計!K99)</f>
        <v>0</v>
      </c>
      <c r="M14" s="118">
        <f>SUM(届出事由・区分・届出年月日ごと集計!L83,届出事由・区分・届出年月日ごと集計!L87,届出事由・区分・届出年月日ごと集計!L91,届出事由・区分・届出年月日ごと集計!L95,届出事由・区分・届出年月日ごと集計!L99)</f>
        <v>0</v>
      </c>
      <c r="N14" s="118">
        <f>SUM(届出事由・区分・届出年月日ごと集計!M83,届出事由・区分・届出年月日ごと集計!M87,届出事由・区分・届出年月日ごと集計!M91,届出事由・区分・届出年月日ごと集計!M95,届出事由・区分・届出年月日ごと集計!M99)</f>
        <v>0</v>
      </c>
      <c r="O14" s="118">
        <f>SUM(届出事由・区分・届出年月日ごと集計!N83,届出事由・区分・届出年月日ごと集計!N87,届出事由・区分・届出年月日ごと集計!N91,届出事由・区分・届出年月日ごと集計!N95,届出事由・区分・届出年月日ごと集計!N99)</f>
        <v>0</v>
      </c>
      <c r="P14" s="118">
        <f>SUM(届出事由・区分・届出年月日ごと集計!O83,届出事由・区分・届出年月日ごと集計!O87,届出事由・区分・届出年月日ごと集計!O91,届出事由・区分・届出年月日ごと集計!O95,届出事由・区分・届出年月日ごと集計!O99)</f>
        <v>0</v>
      </c>
      <c r="Q14" s="118">
        <f>SUM(届出事由・区分・届出年月日ごと集計!P83,届出事由・区分・届出年月日ごと集計!P87,届出事由・区分・届出年月日ごと集計!P91,届出事由・区分・届出年月日ごと集計!P95,届出事由・区分・届出年月日ごと集計!P99)</f>
        <v>0</v>
      </c>
      <c r="R14" s="118">
        <f>SUM(届出事由・区分・届出年月日ごと集計!Q83,届出事由・区分・届出年月日ごと集計!Q87,届出事由・区分・届出年月日ごと集計!Q91,届出事由・区分・届出年月日ごと集計!Q95,届出事由・区分・届出年月日ごと集計!Q99)</f>
        <v>0</v>
      </c>
      <c r="S14" s="118">
        <f>SUM(届出事由・区分・届出年月日ごと集計!R83,届出事由・区分・届出年月日ごと集計!R87,届出事由・区分・届出年月日ごと集計!R91,届出事由・区分・届出年月日ごと集計!R95,届出事由・区分・届出年月日ごと集計!R99)</f>
        <v>0</v>
      </c>
      <c r="T14" s="118">
        <f>SUM(届出事由・区分・届出年月日ごと集計!S83,届出事由・区分・届出年月日ごと集計!S87,届出事由・区分・届出年月日ごと集計!S91,届出事由・区分・届出年月日ごと集計!S95,届出事由・区分・届出年月日ごと集計!S99)</f>
        <v>0</v>
      </c>
      <c r="U14" s="118">
        <f>SUM(届出事由・区分・届出年月日ごと集計!T83,届出事由・区分・届出年月日ごと集計!T87,届出事由・区分・届出年月日ごと集計!T91,届出事由・区分・届出年月日ごと集計!T95,届出事由・区分・届出年月日ごと集計!T99)</f>
        <v>0</v>
      </c>
      <c r="V14" s="120"/>
    </row>
    <row r="15" spans="1:22" x14ac:dyDescent="0.4">
      <c r="A15" s="120"/>
      <c r="B15" s="140"/>
      <c r="C15" s="138"/>
      <c r="D15" s="104" t="s">
        <v>71</v>
      </c>
      <c r="E15" s="113">
        <v>4</v>
      </c>
      <c r="F15" s="116">
        <f>SUM(届出事由・区分・届出年月日ごと集計!D84,届出事由・区分・届出年月日ごと集計!D88,届出事由・区分・届出年月日ごと集計!D92,届出事由・区分・届出年月日ごと集計!D96,届出事由・区分・届出年月日ごと集計!D100)</f>
        <v>0</v>
      </c>
      <c r="G15" s="117">
        <f>SUM(届出事由・区分・届出年月日ごと集計!F84,届出事由・区分・届出年月日ごと集計!F88,届出事由・区分・届出年月日ごと集計!F92,届出事由・区分・届出年月日ごと集計!F96,届出事由・区分・届出年月日ごと集計!F100)</f>
        <v>0</v>
      </c>
      <c r="H15" s="118">
        <f>SUM(届出事由・区分・届出年月日ごと集計!G84,届出事由・区分・届出年月日ごと集計!G88,届出事由・区分・届出年月日ごと集計!G92,届出事由・区分・届出年月日ごと集計!G96,届出事由・区分・届出年月日ごと集計!G100)</f>
        <v>0</v>
      </c>
      <c r="I15" s="118">
        <f>SUM(届出事由・区分・届出年月日ごと集計!H84,届出事由・区分・届出年月日ごと集計!H88,届出事由・区分・届出年月日ごと集計!H92,届出事由・区分・届出年月日ごと集計!H96,届出事由・区分・届出年月日ごと集計!H100)</f>
        <v>0</v>
      </c>
      <c r="J15" s="118">
        <f>SUM(届出事由・区分・届出年月日ごと集計!I84,届出事由・区分・届出年月日ごと集計!I88,届出事由・区分・届出年月日ごと集計!I92,届出事由・区分・届出年月日ごと集計!I96,届出事由・区分・届出年月日ごと集計!I100)</f>
        <v>0</v>
      </c>
      <c r="K15" s="118">
        <f>SUM(届出事由・区分・届出年月日ごと集計!J84,届出事由・区分・届出年月日ごと集計!J88,届出事由・区分・届出年月日ごと集計!J92,届出事由・区分・届出年月日ごと集計!J96,届出事由・区分・届出年月日ごと集計!J100)</f>
        <v>0</v>
      </c>
      <c r="L15" s="118">
        <f>SUM(届出事由・区分・届出年月日ごと集計!K84,届出事由・区分・届出年月日ごと集計!K88,届出事由・区分・届出年月日ごと集計!K92,届出事由・区分・届出年月日ごと集計!K96,届出事由・区分・届出年月日ごと集計!K100)</f>
        <v>0</v>
      </c>
      <c r="M15" s="118">
        <f>SUM(届出事由・区分・届出年月日ごと集計!L84,届出事由・区分・届出年月日ごと集計!L88,届出事由・区分・届出年月日ごと集計!L92,届出事由・区分・届出年月日ごと集計!L96,届出事由・区分・届出年月日ごと集計!L100)</f>
        <v>0</v>
      </c>
      <c r="N15" s="118">
        <f>SUM(届出事由・区分・届出年月日ごと集計!M84,届出事由・区分・届出年月日ごと集計!M88,届出事由・区分・届出年月日ごと集計!M92,届出事由・区分・届出年月日ごと集計!M96,届出事由・区分・届出年月日ごと集計!M100)</f>
        <v>0</v>
      </c>
      <c r="O15" s="118">
        <f>SUM(届出事由・区分・届出年月日ごと集計!N84,届出事由・区分・届出年月日ごと集計!N88,届出事由・区分・届出年月日ごと集計!N92,届出事由・区分・届出年月日ごと集計!N96,届出事由・区分・届出年月日ごと集計!N100)</f>
        <v>0</v>
      </c>
      <c r="P15" s="118">
        <f>SUM(届出事由・区分・届出年月日ごと集計!O84,届出事由・区分・届出年月日ごと集計!O88,届出事由・区分・届出年月日ごと集計!O92,届出事由・区分・届出年月日ごと集計!O96,届出事由・区分・届出年月日ごと集計!O100)</f>
        <v>0</v>
      </c>
      <c r="Q15" s="118">
        <f>SUM(届出事由・区分・届出年月日ごと集計!P84,届出事由・区分・届出年月日ごと集計!P88,届出事由・区分・届出年月日ごと集計!P92,届出事由・区分・届出年月日ごと集計!P96,届出事由・区分・届出年月日ごと集計!P100)</f>
        <v>0</v>
      </c>
      <c r="R15" s="118">
        <f>SUM(届出事由・区分・届出年月日ごと集計!Q84,届出事由・区分・届出年月日ごと集計!Q88,届出事由・区分・届出年月日ごと集計!Q92,届出事由・区分・届出年月日ごと集計!Q96,届出事由・区分・届出年月日ごと集計!Q100)</f>
        <v>0</v>
      </c>
      <c r="S15" s="118">
        <f>SUM(届出事由・区分・届出年月日ごと集計!R84,届出事由・区分・届出年月日ごと集計!R88,届出事由・区分・届出年月日ごと集計!R92,届出事由・区分・届出年月日ごと集計!R96,届出事由・区分・届出年月日ごと集計!R100)</f>
        <v>0</v>
      </c>
      <c r="T15" s="118">
        <f>SUM(届出事由・区分・届出年月日ごと集計!S84,届出事由・区分・届出年月日ごと集計!S88,届出事由・区分・届出年月日ごと集計!S92,届出事由・区分・届出年月日ごと集計!S96,届出事由・区分・届出年月日ごと集計!S100)</f>
        <v>0</v>
      </c>
      <c r="U15" s="118">
        <f>SUM(届出事由・区分・届出年月日ごと集計!T84,届出事由・区分・届出年月日ごと集計!T88,届出事由・区分・届出年月日ごと集計!T92,届出事由・区分・届出年月日ごと集計!T96,届出事由・区分・届出年月日ごと集計!T100)</f>
        <v>0</v>
      </c>
      <c r="V15" s="120"/>
    </row>
    <row r="16" spans="1:22" x14ac:dyDescent="0.4">
      <c r="A16" s="120"/>
      <c r="B16" s="140"/>
      <c r="C16" s="139" t="s">
        <v>69</v>
      </c>
      <c r="D16" s="104" t="s">
        <v>70</v>
      </c>
      <c r="E16" s="105">
        <v>5</v>
      </c>
      <c r="F16" s="116">
        <f>届出事由・区分・届出年月日ごと集計!D103</f>
        <v>1</v>
      </c>
      <c r="G16" s="117">
        <f>届出事由・区分・届出年月日ごと集計!F103</f>
        <v>0</v>
      </c>
      <c r="H16" s="118">
        <f>届出事由・区分・届出年月日ごと集計!G103</f>
        <v>0</v>
      </c>
      <c r="I16" s="118">
        <f>届出事由・区分・届出年月日ごと集計!H103</f>
        <v>0</v>
      </c>
      <c r="J16" s="118">
        <f>届出事由・区分・届出年月日ごと集計!I103</f>
        <v>0</v>
      </c>
      <c r="K16" s="118">
        <f>届出事由・区分・届出年月日ごと集計!J103</f>
        <v>0</v>
      </c>
      <c r="L16" s="118">
        <f>届出事由・区分・届出年月日ごと集計!K103</f>
        <v>0</v>
      </c>
      <c r="M16" s="118">
        <f>届出事由・区分・届出年月日ごと集計!L103</f>
        <v>0</v>
      </c>
      <c r="N16" s="118">
        <f>届出事由・区分・届出年月日ごと集計!M103</f>
        <v>0</v>
      </c>
      <c r="O16" s="118">
        <f>届出事由・区分・届出年月日ごと集計!N103</f>
        <v>0</v>
      </c>
      <c r="P16" s="118">
        <f>届出事由・区分・届出年月日ごと集計!O103</f>
        <v>0</v>
      </c>
      <c r="Q16" s="118">
        <f>届出事由・区分・届出年月日ごと集計!P103</f>
        <v>0</v>
      </c>
      <c r="R16" s="118">
        <f>届出事由・区分・届出年月日ごと集計!Q103</f>
        <v>0</v>
      </c>
      <c r="S16" s="118">
        <f>届出事由・区分・届出年月日ごと集計!R103</f>
        <v>0</v>
      </c>
      <c r="T16" s="118">
        <f>届出事由・区分・届出年月日ごと集計!S103</f>
        <v>0</v>
      </c>
      <c r="U16" s="118">
        <f>届出事由・区分・届出年月日ごと集計!T103</f>
        <v>0</v>
      </c>
      <c r="V16" s="120"/>
    </row>
    <row r="17" spans="1:22" x14ac:dyDescent="0.4">
      <c r="A17" s="120"/>
      <c r="B17" s="140"/>
      <c r="C17" s="139"/>
      <c r="D17" s="104" t="s">
        <v>71</v>
      </c>
      <c r="E17" s="113">
        <v>4</v>
      </c>
      <c r="F17" s="116">
        <f>届出事由・区分・届出年月日ごと集計!D104</f>
        <v>0</v>
      </c>
      <c r="G17" s="117">
        <f>届出事由・区分・届出年月日ごと集計!F104</f>
        <v>0</v>
      </c>
      <c r="H17" s="118">
        <f>届出事由・区分・届出年月日ごと集計!G104</f>
        <v>0</v>
      </c>
      <c r="I17" s="118">
        <f>届出事由・区分・届出年月日ごと集計!H104</f>
        <v>0</v>
      </c>
      <c r="J17" s="118">
        <f>届出事由・区分・届出年月日ごと集計!I104</f>
        <v>0</v>
      </c>
      <c r="K17" s="118">
        <f>届出事由・区分・届出年月日ごと集計!J104</f>
        <v>0</v>
      </c>
      <c r="L17" s="118">
        <f>届出事由・区分・届出年月日ごと集計!K104</f>
        <v>0</v>
      </c>
      <c r="M17" s="118">
        <f>届出事由・区分・届出年月日ごと集計!L104</f>
        <v>0</v>
      </c>
      <c r="N17" s="118">
        <f>届出事由・区分・届出年月日ごと集計!M104</f>
        <v>0</v>
      </c>
      <c r="O17" s="118">
        <f>届出事由・区分・届出年月日ごと集計!N104</f>
        <v>0</v>
      </c>
      <c r="P17" s="118">
        <f>届出事由・区分・届出年月日ごと集計!O104</f>
        <v>0</v>
      </c>
      <c r="Q17" s="118">
        <f>届出事由・区分・届出年月日ごと集計!P104</f>
        <v>0</v>
      </c>
      <c r="R17" s="118">
        <f>届出事由・区分・届出年月日ごと集計!Q104</f>
        <v>0</v>
      </c>
      <c r="S17" s="118">
        <f>届出事由・区分・届出年月日ごと集計!R104</f>
        <v>0</v>
      </c>
      <c r="T17" s="118">
        <f>届出事由・区分・届出年月日ごと集計!S104</f>
        <v>0</v>
      </c>
      <c r="U17" s="118">
        <f>届出事由・区分・届出年月日ごと集計!T104</f>
        <v>0</v>
      </c>
      <c r="V17" s="120"/>
    </row>
    <row r="18" spans="1:22" ht="38.25" customHeight="1" x14ac:dyDescent="0.4">
      <c r="A18" s="120"/>
      <c r="B18" s="140"/>
      <c r="C18" s="138" t="s">
        <v>97</v>
      </c>
      <c r="D18" s="104" t="s">
        <v>70</v>
      </c>
      <c r="E18" s="105">
        <v>6</v>
      </c>
      <c r="F18" s="116">
        <f>SUM(届出事由・区分・届出年月日ごと集計!D107,届出事由・区分・届出年月日ごと集計!D111,届出事由・区分・届出年月日ごと集計!D115)</f>
        <v>186</v>
      </c>
      <c r="G18" s="117">
        <f>SUM(届出事由・区分・届出年月日ごと集計!F107,届出事由・区分・届出年月日ごと集計!F111,届出事由・区分・届出年月日ごと集計!F115)</f>
        <v>2</v>
      </c>
      <c r="H18" s="118">
        <f>SUM(届出事由・区分・届出年月日ごと集計!G107,届出事由・区分・届出年月日ごと集計!G111,届出事由・区分・届出年月日ごと集計!G115)</f>
        <v>30</v>
      </c>
      <c r="I18" s="118">
        <f>SUM(届出事由・区分・届出年月日ごと集計!H107,届出事由・区分・届出年月日ごと集計!H111,届出事由・区分・届出年月日ごと集計!H115)</f>
        <v>62</v>
      </c>
      <c r="J18" s="118">
        <f>SUM(届出事由・区分・届出年月日ごと集計!I107,届出事由・区分・届出年月日ごと集計!I111,届出事由・区分・届出年月日ごと集計!I115)</f>
        <v>13</v>
      </c>
      <c r="K18" s="118">
        <f>SUM(届出事由・区分・届出年月日ごと集計!J107,届出事由・区分・届出年月日ごと集計!J111,届出事由・区分・届出年月日ごと集計!J115)</f>
        <v>0</v>
      </c>
      <c r="L18" s="118">
        <f>SUM(届出事由・区分・届出年月日ごと集計!K107,届出事由・区分・届出年月日ごと集計!K111,届出事由・区分・届出年月日ごと集計!K115)</f>
        <v>0</v>
      </c>
      <c r="M18" s="118">
        <f>SUM(届出事由・区分・届出年月日ごと集計!L107,届出事由・区分・届出年月日ごと集計!L111,届出事由・区分・届出年月日ごと集計!L115)</f>
        <v>0</v>
      </c>
      <c r="N18" s="118">
        <f>SUM(届出事由・区分・届出年月日ごと集計!M107,届出事由・区分・届出年月日ごと集計!M111,届出事由・区分・届出年月日ごと集計!M115)</f>
        <v>0</v>
      </c>
      <c r="O18" s="118">
        <f>SUM(届出事由・区分・届出年月日ごと集計!N107,届出事由・区分・届出年月日ごと集計!N111,届出事由・区分・届出年月日ごと集計!N115)</f>
        <v>0</v>
      </c>
      <c r="P18" s="118">
        <f>SUM(届出事由・区分・届出年月日ごと集計!O107,届出事由・区分・届出年月日ごと集計!O111,届出事由・区分・届出年月日ごと集計!O115)</f>
        <v>0</v>
      </c>
      <c r="Q18" s="118">
        <f>SUM(届出事由・区分・届出年月日ごと集計!P107,届出事由・区分・届出年月日ごと集計!P111,届出事由・区分・届出年月日ごと集計!P115)</f>
        <v>0</v>
      </c>
      <c r="R18" s="118">
        <f>SUM(届出事由・区分・届出年月日ごと集計!Q107,届出事由・区分・届出年月日ごと集計!Q111,届出事由・区分・届出年月日ごと集計!Q115)</f>
        <v>0</v>
      </c>
      <c r="S18" s="118">
        <f>SUM(届出事由・区分・届出年月日ごと集計!R107,届出事由・区分・届出年月日ごと集計!R111,届出事由・区分・届出年月日ごと集計!R115)</f>
        <v>0</v>
      </c>
      <c r="T18" s="118">
        <f>SUM(届出事由・区分・届出年月日ごと集計!S107,届出事由・区分・届出年月日ごと集計!S111,届出事由・区分・届出年月日ごと集計!S115)</f>
        <v>0</v>
      </c>
      <c r="U18" s="118">
        <f>SUM(届出事由・区分・届出年月日ごと集計!T107,届出事由・区分・届出年月日ごと集計!T111,届出事由・区分・届出年月日ごと集計!T115)</f>
        <v>0</v>
      </c>
      <c r="V18" s="120"/>
    </row>
    <row r="19" spans="1:22" x14ac:dyDescent="0.4">
      <c r="A19" s="120"/>
      <c r="B19" s="140"/>
      <c r="C19" s="138"/>
      <c r="D19" s="104" t="s">
        <v>71</v>
      </c>
      <c r="E19" s="113">
        <v>4</v>
      </c>
      <c r="F19" s="116">
        <f>SUM(届出事由・区分・届出年月日ごと集計!D108,届出事由・区分・届出年月日ごと集計!D112,届出事由・区分・届出年月日ごと集計!D116)</f>
        <v>6</v>
      </c>
      <c r="G19" s="117">
        <f>SUM(届出事由・区分・届出年月日ごと集計!F108,届出事由・区分・届出年月日ごと集計!F112,届出事由・区分・届出年月日ごと集計!F116)</f>
        <v>0</v>
      </c>
      <c r="H19" s="118">
        <f>SUM(届出事由・区分・届出年月日ごと集計!G108,届出事由・区分・届出年月日ごと集計!G112,届出事由・区分・届出年月日ごと集計!G116)</f>
        <v>0</v>
      </c>
      <c r="I19" s="118">
        <f>SUM(届出事由・区分・届出年月日ごと集計!H108,届出事由・区分・届出年月日ごと集計!H112,届出事由・区分・届出年月日ごと集計!H116)</f>
        <v>2</v>
      </c>
      <c r="J19" s="118">
        <f>SUM(届出事由・区分・届出年月日ごと集計!I108,届出事由・区分・届出年月日ごと集計!I112,届出事由・区分・届出年月日ごと集計!I116)</f>
        <v>1</v>
      </c>
      <c r="K19" s="118">
        <f>SUM(届出事由・区分・届出年月日ごと集計!J108,届出事由・区分・届出年月日ごと集計!J112,届出事由・区分・届出年月日ごと集計!J116)</f>
        <v>0</v>
      </c>
      <c r="L19" s="118">
        <f>SUM(届出事由・区分・届出年月日ごと集計!K108,届出事由・区分・届出年月日ごと集計!K112,届出事由・区分・届出年月日ごと集計!K116)</f>
        <v>0</v>
      </c>
      <c r="M19" s="118">
        <f>SUM(届出事由・区分・届出年月日ごと集計!L108,届出事由・区分・届出年月日ごと集計!L112,届出事由・区分・届出年月日ごと集計!L116)</f>
        <v>0</v>
      </c>
      <c r="N19" s="118">
        <f>SUM(届出事由・区分・届出年月日ごと集計!M108,届出事由・区分・届出年月日ごと集計!M112,届出事由・区分・届出年月日ごと集計!M116)</f>
        <v>0</v>
      </c>
      <c r="O19" s="118">
        <f>SUM(届出事由・区分・届出年月日ごと集計!N108,届出事由・区分・届出年月日ごと集計!N112,届出事由・区分・届出年月日ごと集計!N116)</f>
        <v>0</v>
      </c>
      <c r="P19" s="118">
        <f>SUM(届出事由・区分・届出年月日ごと集計!O108,届出事由・区分・届出年月日ごと集計!O112,届出事由・区分・届出年月日ごと集計!O116)</f>
        <v>0</v>
      </c>
      <c r="Q19" s="118">
        <f>SUM(届出事由・区分・届出年月日ごと集計!P108,届出事由・区分・届出年月日ごと集計!P112,届出事由・区分・届出年月日ごと集計!P116)</f>
        <v>0</v>
      </c>
      <c r="R19" s="118">
        <f>SUM(届出事由・区分・届出年月日ごと集計!Q108,届出事由・区分・届出年月日ごと集計!Q112,届出事由・区分・届出年月日ごと集計!Q116)</f>
        <v>0</v>
      </c>
      <c r="S19" s="118">
        <f>SUM(届出事由・区分・届出年月日ごと集計!R108,届出事由・区分・届出年月日ごと集計!R112,届出事由・区分・届出年月日ごと集計!R116)</f>
        <v>0</v>
      </c>
      <c r="T19" s="118">
        <f>SUM(届出事由・区分・届出年月日ごと集計!S108,届出事由・区分・届出年月日ごと集計!S112,届出事由・区分・届出年月日ごと集計!S116)</f>
        <v>0</v>
      </c>
      <c r="U19" s="118">
        <f>SUM(届出事由・区分・届出年月日ごと集計!T108,届出事由・区分・届出年月日ごと集計!T112,届出事由・区分・届出年月日ごと集計!T116)</f>
        <v>0</v>
      </c>
      <c r="V19" s="120"/>
    </row>
    <row r="20" spans="1:22" ht="21" customHeight="1" x14ac:dyDescent="0.4">
      <c r="A20" s="120"/>
      <c r="B20" s="140"/>
      <c r="C20" s="138" t="s">
        <v>98</v>
      </c>
      <c r="D20" s="104" t="s">
        <v>70</v>
      </c>
      <c r="E20" s="114" t="s">
        <v>884</v>
      </c>
      <c r="F20" s="116">
        <f>SUM(届出事由・区分・届出年月日ごと集計!D119,届出事由・区分・届出年月日ごと集計!D123)</f>
        <v>0</v>
      </c>
      <c r="G20" s="117">
        <f>SUM(届出事由・区分・届出年月日ごと集計!F119,届出事由・区分・届出年月日ごと集計!F123)</f>
        <v>0</v>
      </c>
      <c r="H20" s="118">
        <f>SUM(届出事由・区分・届出年月日ごと集計!G119,届出事由・区分・届出年月日ごと集計!G123)</f>
        <v>0</v>
      </c>
      <c r="I20" s="118">
        <f>SUM(届出事由・区分・届出年月日ごと集計!H119,届出事由・区分・届出年月日ごと集計!H123)</f>
        <v>0</v>
      </c>
      <c r="J20" s="118">
        <f>SUM(届出事由・区分・届出年月日ごと集計!I119,届出事由・区分・届出年月日ごと集計!I123)</f>
        <v>0</v>
      </c>
      <c r="K20" s="118">
        <f>SUM(届出事由・区分・届出年月日ごと集計!J119,届出事由・区分・届出年月日ごと集計!J123)</f>
        <v>0</v>
      </c>
      <c r="L20" s="118">
        <f>SUM(届出事由・区分・届出年月日ごと集計!K119,届出事由・区分・届出年月日ごと集計!K123)</f>
        <v>0</v>
      </c>
      <c r="M20" s="118">
        <f>SUM(届出事由・区分・届出年月日ごと集計!L119,届出事由・区分・届出年月日ごと集計!L123)</f>
        <v>0</v>
      </c>
      <c r="N20" s="118">
        <f>SUM(届出事由・区分・届出年月日ごと集計!M119,届出事由・区分・届出年月日ごと集計!M123)</f>
        <v>0</v>
      </c>
      <c r="O20" s="118">
        <f>SUM(届出事由・区分・届出年月日ごと集計!N119,届出事由・区分・届出年月日ごと集計!N123)</f>
        <v>0</v>
      </c>
      <c r="P20" s="118">
        <f>SUM(届出事由・区分・届出年月日ごと集計!O119,届出事由・区分・届出年月日ごと集計!O123)</f>
        <v>0</v>
      </c>
      <c r="Q20" s="118">
        <f>SUM(届出事由・区分・届出年月日ごと集計!P119,届出事由・区分・届出年月日ごと集計!P123)</f>
        <v>0</v>
      </c>
      <c r="R20" s="118">
        <f>SUM(届出事由・区分・届出年月日ごと集計!Q119,届出事由・区分・届出年月日ごと集計!Q123)</f>
        <v>0</v>
      </c>
      <c r="S20" s="118">
        <f>SUM(届出事由・区分・届出年月日ごと集計!R119,届出事由・区分・届出年月日ごと集計!R123)</f>
        <v>0</v>
      </c>
      <c r="T20" s="118">
        <f>SUM(届出事由・区分・届出年月日ごと集計!S119,届出事由・区分・届出年月日ごと集計!S123)</f>
        <v>0</v>
      </c>
      <c r="U20" s="118">
        <f>SUM(届出事由・区分・届出年月日ごと集計!T119,届出事由・区分・届出年月日ごと集計!T123)</f>
        <v>0</v>
      </c>
      <c r="V20" s="120"/>
    </row>
    <row r="21" spans="1:22" x14ac:dyDescent="0.4">
      <c r="A21" s="120"/>
      <c r="B21" s="140"/>
      <c r="C21" s="138"/>
      <c r="D21" s="104" t="s">
        <v>71</v>
      </c>
      <c r="E21" s="113">
        <v>4</v>
      </c>
      <c r="F21" s="116">
        <f>SUM(届出事由・区分・届出年月日ごと集計!D120,届出事由・区分・届出年月日ごと集計!D124)</f>
        <v>0</v>
      </c>
      <c r="G21" s="117">
        <f>SUM(届出事由・区分・届出年月日ごと集計!F120,届出事由・区分・届出年月日ごと集計!F124)</f>
        <v>0</v>
      </c>
      <c r="H21" s="118">
        <f>SUM(届出事由・区分・届出年月日ごと集計!G120,届出事由・区分・届出年月日ごと集計!G124)</f>
        <v>0</v>
      </c>
      <c r="I21" s="118">
        <f>SUM(届出事由・区分・届出年月日ごと集計!H120,届出事由・区分・届出年月日ごと集計!H124)</f>
        <v>0</v>
      </c>
      <c r="J21" s="118">
        <f>SUM(届出事由・区分・届出年月日ごと集計!I120,届出事由・区分・届出年月日ごと集計!I124)</f>
        <v>0</v>
      </c>
      <c r="K21" s="118">
        <f>SUM(届出事由・区分・届出年月日ごと集計!J120,届出事由・区分・届出年月日ごと集計!J124)</f>
        <v>0</v>
      </c>
      <c r="L21" s="118">
        <f>SUM(届出事由・区分・届出年月日ごと集計!K120,届出事由・区分・届出年月日ごと集計!K124)</f>
        <v>0</v>
      </c>
      <c r="M21" s="118">
        <f>SUM(届出事由・区分・届出年月日ごと集計!L120,届出事由・区分・届出年月日ごと集計!L124)</f>
        <v>0</v>
      </c>
      <c r="N21" s="118">
        <f>SUM(届出事由・区分・届出年月日ごと集計!M120,届出事由・区分・届出年月日ごと集計!M124)</f>
        <v>0</v>
      </c>
      <c r="O21" s="118">
        <f>SUM(届出事由・区分・届出年月日ごと集計!N120,届出事由・区分・届出年月日ごと集計!N124)</f>
        <v>0</v>
      </c>
      <c r="P21" s="118">
        <f>SUM(届出事由・区分・届出年月日ごと集計!O120,届出事由・区分・届出年月日ごと集計!O124)</f>
        <v>0</v>
      </c>
      <c r="Q21" s="118">
        <f>SUM(届出事由・区分・届出年月日ごと集計!P120,届出事由・区分・届出年月日ごと集計!P124)</f>
        <v>0</v>
      </c>
      <c r="R21" s="118">
        <f>SUM(届出事由・区分・届出年月日ごと集計!Q120,届出事由・区分・届出年月日ごと集計!Q124)</f>
        <v>0</v>
      </c>
      <c r="S21" s="118">
        <f>SUM(届出事由・区分・届出年月日ごと集計!R120,届出事由・区分・届出年月日ごと集計!R124)</f>
        <v>0</v>
      </c>
      <c r="T21" s="118">
        <f>SUM(届出事由・区分・届出年月日ごと集計!S120,届出事由・区分・届出年月日ごと集計!S124)</f>
        <v>0</v>
      </c>
      <c r="U21" s="118">
        <f>SUM(届出事由・区分・届出年月日ごと集計!T120,届出事由・区分・届出年月日ごと集計!T124)</f>
        <v>0</v>
      </c>
      <c r="V21" s="120"/>
    </row>
    <row r="22" spans="1:22" x14ac:dyDescent="0.4">
      <c r="A22" s="120"/>
      <c r="B22" s="134" t="s">
        <v>72</v>
      </c>
      <c r="C22" s="134"/>
      <c r="D22" s="134"/>
      <c r="E22" s="105">
        <v>6</v>
      </c>
      <c r="F22" s="116">
        <f>SUM(届出事由・区分・届出年月日ごと集計!D5,届出事由・区分・届出年月日ごと集計!D9,届出事由・区分・届出年月日ごと集計!D13,届出事由・区分・届出年月日ごと集計!D17,届出事由・区分・届出年月日ごと集計!D21,届出事由・区分・届出年月日ごと集計!D25,届出事由・区分・届出年月日ごと集計!D29,届出事由・区分・届出年月日ごと集計!D33,届出事由・区分・届出年月日ごと集計!D37,届出事由・区分・届出年月日ごと集計!D41,届出事由・区分・届出年月日ごと集計!D45,届出事由・区分・届出年月日ごと集計!D49,届出事由・区分・届出年月日ごと集計!D53,届出事由・区分・届出年月日ごと集計!D57,届出事由・区分・届出年月日ごと集計!D61,届出事由・区分・届出年月日ごと集計!D65,届出事由・区分・届出年月日ごと集計!D69,届出事由・区分・届出年月日ごと集計!D73,届出事由・区分・届出年月日ごと集計!D77,届出事由・区分・届出年月日ごと集計!D81,届出事由・区分・届出年月日ごと集計!D85,届出事由・区分・届出年月日ごと集計!D89,届出事由・区分・届出年月日ごと集計!D93,届出事由・区分・届出年月日ごと集計!D97,届出事由・区分・届出年月日ごと集計!D101,届出事由・区分・届出年月日ごと集計!D105,届出事由・区分・届出年月日ごと集計!D109,届出事由・区分・届出年月日ごと集計!D113,届出事由・区分・届出年月日ごと集計!D117,届出事由・区分・届出年月日ごと集計!D121,届出事由・区分・届出年月日ごと集計!D125)</f>
        <v>11</v>
      </c>
      <c r="G22" s="117">
        <f>SUM(届出事由・区分・届出年月日ごと集計!F5,届出事由・区分・届出年月日ごと集計!F9,届出事由・区分・届出年月日ごと集計!F13,届出事由・区分・届出年月日ごと集計!F17,届出事由・区分・届出年月日ごと集計!F21,届出事由・区分・届出年月日ごと集計!F25,届出事由・区分・届出年月日ごと集計!F29,届出事由・区分・届出年月日ごと集計!F33,届出事由・区分・届出年月日ごと集計!F37,届出事由・区分・届出年月日ごと集計!F41,届出事由・区分・届出年月日ごと集計!F45,届出事由・区分・届出年月日ごと集計!F49,届出事由・区分・届出年月日ごと集計!F53,届出事由・区分・届出年月日ごと集計!F57,届出事由・区分・届出年月日ごと集計!F61,届出事由・区分・届出年月日ごと集計!F65,届出事由・区分・届出年月日ごと集計!F69,届出事由・区分・届出年月日ごと集計!F73,届出事由・区分・届出年月日ごと集計!F77,届出事由・区分・届出年月日ごと集計!F81,届出事由・区分・届出年月日ごと集計!F85,届出事由・区分・届出年月日ごと集計!F89,届出事由・区分・届出年月日ごと集計!F93,届出事由・区分・届出年月日ごと集計!F97,届出事由・区分・届出年月日ごと集計!F101,届出事由・区分・届出年月日ごと集計!F105,届出事由・区分・届出年月日ごと集計!F109,届出事由・区分・届出年月日ごと集計!F113,届出事由・区分・届出年月日ごと集計!F117,届出事由・区分・届出年月日ごと集計!F121,届出事由・区分・届出年月日ごと集計!F125)</f>
        <v>5</v>
      </c>
      <c r="H22" s="118">
        <f>SUM(届出事由・区分・届出年月日ごと集計!G5,届出事由・区分・届出年月日ごと集計!G9,届出事由・区分・届出年月日ごと集計!G13,届出事由・区分・届出年月日ごと集計!G17,届出事由・区分・届出年月日ごと集計!G21,届出事由・区分・届出年月日ごと集計!G25,届出事由・区分・届出年月日ごと集計!G29,届出事由・区分・届出年月日ごと集計!G33,届出事由・区分・届出年月日ごと集計!G37,届出事由・区分・届出年月日ごと集計!G41,届出事由・区分・届出年月日ごと集計!G45,届出事由・区分・届出年月日ごと集計!G49,届出事由・区分・届出年月日ごと集計!G53,届出事由・区分・届出年月日ごと集計!G57,届出事由・区分・届出年月日ごと集計!G61,届出事由・区分・届出年月日ごと集計!G65,届出事由・区分・届出年月日ごと集計!G69,届出事由・区分・届出年月日ごと集計!G73,届出事由・区分・届出年月日ごと集計!G77,届出事由・区分・届出年月日ごと集計!G81,届出事由・区分・届出年月日ごと集計!G85,届出事由・区分・届出年月日ごと集計!G89,届出事由・区分・届出年月日ごと集計!G93,届出事由・区分・届出年月日ごと集計!G97,届出事由・区分・届出年月日ごと集計!G101,届出事由・区分・届出年月日ごと集計!G105,届出事由・区分・届出年月日ごと集計!G109,届出事由・区分・届出年月日ごと集計!G113,届出事由・区分・届出年月日ごと集計!G117,届出事由・区分・届出年月日ごと集計!G121,届出事由・区分・届出年月日ごと集計!G125)</f>
        <v>0</v>
      </c>
      <c r="I22" s="118">
        <f>SUM(届出事由・区分・届出年月日ごと集計!H5,届出事由・区分・届出年月日ごと集計!H9,届出事由・区分・届出年月日ごと集計!H13,届出事由・区分・届出年月日ごと集計!H17,届出事由・区分・届出年月日ごと集計!H21,届出事由・区分・届出年月日ごと集計!H25,届出事由・区分・届出年月日ごと集計!H29,届出事由・区分・届出年月日ごと集計!H33,届出事由・区分・届出年月日ごと集計!H37,届出事由・区分・届出年月日ごと集計!H41,届出事由・区分・届出年月日ごと集計!H45,届出事由・区分・届出年月日ごと集計!H49,届出事由・区分・届出年月日ごと集計!H53,届出事由・区分・届出年月日ごと集計!H57,届出事由・区分・届出年月日ごと集計!H61,届出事由・区分・届出年月日ごと集計!H65,届出事由・区分・届出年月日ごと集計!H69,届出事由・区分・届出年月日ごと集計!H73,届出事由・区分・届出年月日ごと集計!H77,届出事由・区分・届出年月日ごと集計!H81,届出事由・区分・届出年月日ごと集計!H85,届出事由・区分・届出年月日ごと集計!H89,届出事由・区分・届出年月日ごと集計!H93,届出事由・区分・届出年月日ごと集計!H97,届出事由・区分・届出年月日ごと集計!H101,届出事由・区分・届出年月日ごと集計!H105,届出事由・区分・届出年月日ごと集計!H109,届出事由・区分・届出年月日ごと集計!H113,届出事由・区分・届出年月日ごと集計!H117,届出事由・区分・届出年月日ごと集計!H121,届出事由・区分・届出年月日ごと集計!H125)</f>
        <v>3</v>
      </c>
      <c r="J22" s="118">
        <f>SUM(届出事由・区分・届出年月日ごと集計!I5,届出事由・区分・届出年月日ごと集計!I9,届出事由・区分・届出年月日ごと集計!I13,届出事由・区分・届出年月日ごと集計!I17,届出事由・区分・届出年月日ごと集計!I21,届出事由・区分・届出年月日ごと集計!I25,届出事由・区分・届出年月日ごと集計!I29,届出事由・区分・届出年月日ごと集計!I33,届出事由・区分・届出年月日ごと集計!I37,届出事由・区分・届出年月日ごと集計!I41,届出事由・区分・届出年月日ごと集計!I45,届出事由・区分・届出年月日ごと集計!I49,届出事由・区分・届出年月日ごと集計!I53,届出事由・区分・届出年月日ごと集計!I57,届出事由・区分・届出年月日ごと集計!I61,届出事由・区分・届出年月日ごと集計!I65,届出事由・区分・届出年月日ごと集計!I69,届出事由・区分・届出年月日ごと集計!I73,届出事由・区分・届出年月日ごと集計!I77,届出事由・区分・届出年月日ごと集計!I81,届出事由・区分・届出年月日ごと集計!I85,届出事由・区分・届出年月日ごと集計!I89,届出事由・区分・届出年月日ごと集計!I93,届出事由・区分・届出年月日ごと集計!I97,届出事由・区分・届出年月日ごと集計!I101,届出事由・区分・届出年月日ごと集計!I105,届出事由・区分・届出年月日ごと集計!I109,届出事由・区分・届出年月日ごと集計!I113,届出事由・区分・届出年月日ごと集計!I117,届出事由・区分・届出年月日ごと集計!I121,届出事由・区分・届出年月日ごと集計!I125)</f>
        <v>1</v>
      </c>
      <c r="K22" s="118">
        <f>SUM(届出事由・区分・届出年月日ごと集計!J5,届出事由・区分・届出年月日ごと集計!J9,届出事由・区分・届出年月日ごと集計!J13,届出事由・区分・届出年月日ごと集計!J17,届出事由・区分・届出年月日ごと集計!J21,届出事由・区分・届出年月日ごと集計!J25,届出事由・区分・届出年月日ごと集計!J29,届出事由・区分・届出年月日ごと集計!J33,届出事由・区分・届出年月日ごと集計!J37,届出事由・区分・届出年月日ごと集計!J41,届出事由・区分・届出年月日ごと集計!J45,届出事由・区分・届出年月日ごと集計!J49,届出事由・区分・届出年月日ごと集計!J53,届出事由・区分・届出年月日ごと集計!J57,届出事由・区分・届出年月日ごと集計!J61,届出事由・区分・届出年月日ごと集計!J65,届出事由・区分・届出年月日ごと集計!J69,届出事由・区分・届出年月日ごと集計!J73,届出事由・区分・届出年月日ごと集計!J77,届出事由・区分・届出年月日ごと集計!J81,届出事由・区分・届出年月日ごと集計!J85,届出事由・区分・届出年月日ごと集計!J89,届出事由・区分・届出年月日ごと集計!J93,届出事由・区分・届出年月日ごと集計!J97,届出事由・区分・届出年月日ごと集計!J101,届出事由・区分・届出年月日ごと集計!J105,届出事由・区分・届出年月日ごと集計!J109,届出事由・区分・届出年月日ごと集計!J113,届出事由・区分・届出年月日ごと集計!J117,届出事由・区分・届出年月日ごと集計!J121,届出事由・区分・届出年月日ごと集計!J125)</f>
        <v>0</v>
      </c>
      <c r="L22" s="118">
        <f>SUM(届出事由・区分・届出年月日ごと集計!K5,届出事由・区分・届出年月日ごと集計!K9,届出事由・区分・届出年月日ごと集計!K13,届出事由・区分・届出年月日ごと集計!K17,届出事由・区分・届出年月日ごと集計!K21,届出事由・区分・届出年月日ごと集計!K25,届出事由・区分・届出年月日ごと集計!K29,届出事由・区分・届出年月日ごと集計!K33,届出事由・区分・届出年月日ごと集計!K37,届出事由・区分・届出年月日ごと集計!K41,届出事由・区分・届出年月日ごと集計!K45,届出事由・区分・届出年月日ごと集計!K49,届出事由・区分・届出年月日ごと集計!K53,届出事由・区分・届出年月日ごと集計!K57,届出事由・区分・届出年月日ごと集計!K61,届出事由・区分・届出年月日ごと集計!K65,届出事由・区分・届出年月日ごと集計!K69,届出事由・区分・届出年月日ごと集計!K73,届出事由・区分・届出年月日ごと集計!K77,届出事由・区分・届出年月日ごと集計!K81,届出事由・区分・届出年月日ごと集計!K85,届出事由・区分・届出年月日ごと集計!K89,届出事由・区分・届出年月日ごと集計!K93,届出事由・区分・届出年月日ごと集計!K97,届出事由・区分・届出年月日ごと集計!K101,届出事由・区分・届出年月日ごと集計!K105,届出事由・区分・届出年月日ごと集計!K109,届出事由・区分・届出年月日ごと集計!K113,届出事由・区分・届出年月日ごと集計!K117,届出事由・区分・届出年月日ごと集計!K121,届出事由・区分・届出年月日ごと集計!K125)</f>
        <v>0</v>
      </c>
      <c r="M22" s="118">
        <f>SUM(届出事由・区分・届出年月日ごと集計!L5,届出事由・区分・届出年月日ごと集計!L9,届出事由・区分・届出年月日ごと集計!L13,届出事由・区分・届出年月日ごと集計!L17,届出事由・区分・届出年月日ごと集計!L21,届出事由・区分・届出年月日ごと集計!L25,届出事由・区分・届出年月日ごと集計!L29,届出事由・区分・届出年月日ごと集計!L33,届出事由・区分・届出年月日ごと集計!L37,届出事由・区分・届出年月日ごと集計!L41,届出事由・区分・届出年月日ごと集計!L45,届出事由・区分・届出年月日ごと集計!L49,届出事由・区分・届出年月日ごと集計!L53,届出事由・区分・届出年月日ごと集計!L57,届出事由・区分・届出年月日ごと集計!L61,届出事由・区分・届出年月日ごと集計!L65,届出事由・区分・届出年月日ごと集計!L69,届出事由・区分・届出年月日ごと集計!L73,届出事由・区分・届出年月日ごと集計!L77,届出事由・区分・届出年月日ごと集計!L81,届出事由・区分・届出年月日ごと集計!L85,届出事由・区分・届出年月日ごと集計!L89,届出事由・区分・届出年月日ごと集計!L93,届出事由・区分・届出年月日ごと集計!L97,届出事由・区分・届出年月日ごと集計!L101,届出事由・区分・届出年月日ごと集計!L105,届出事由・区分・届出年月日ごと集計!L109,届出事由・区分・届出年月日ごと集計!L113,届出事由・区分・届出年月日ごと集計!L117,届出事由・区分・届出年月日ごと集計!L121,届出事由・区分・届出年月日ごと集計!L125)</f>
        <v>0</v>
      </c>
      <c r="N22" s="118">
        <f>SUM(届出事由・区分・届出年月日ごと集計!M5,届出事由・区分・届出年月日ごと集計!M9,届出事由・区分・届出年月日ごと集計!M13,届出事由・区分・届出年月日ごと集計!M17,届出事由・区分・届出年月日ごと集計!M21,届出事由・区分・届出年月日ごと集計!M25,届出事由・区分・届出年月日ごと集計!M29,届出事由・区分・届出年月日ごと集計!M33,届出事由・区分・届出年月日ごと集計!M37,届出事由・区分・届出年月日ごと集計!M41,届出事由・区分・届出年月日ごと集計!M45,届出事由・区分・届出年月日ごと集計!M49,届出事由・区分・届出年月日ごと集計!M53,届出事由・区分・届出年月日ごと集計!M57,届出事由・区分・届出年月日ごと集計!M61,届出事由・区分・届出年月日ごと集計!M65,届出事由・区分・届出年月日ごと集計!M69,届出事由・区分・届出年月日ごと集計!M73,届出事由・区分・届出年月日ごと集計!M77,届出事由・区分・届出年月日ごと集計!M81,届出事由・区分・届出年月日ごと集計!M85,届出事由・区分・届出年月日ごと集計!M89,届出事由・区分・届出年月日ごと集計!M93,届出事由・区分・届出年月日ごと集計!M97,届出事由・区分・届出年月日ごと集計!M101,届出事由・区分・届出年月日ごと集計!M105,届出事由・区分・届出年月日ごと集計!M109,届出事由・区分・届出年月日ごと集計!M113,届出事由・区分・届出年月日ごと集計!M117,届出事由・区分・届出年月日ごと集計!M121,届出事由・区分・届出年月日ごと集計!M125)</f>
        <v>0</v>
      </c>
      <c r="O22" s="118">
        <f>SUM(届出事由・区分・届出年月日ごと集計!N5,届出事由・区分・届出年月日ごと集計!N9,届出事由・区分・届出年月日ごと集計!N13,届出事由・区分・届出年月日ごと集計!N17,届出事由・区分・届出年月日ごと集計!N21,届出事由・区分・届出年月日ごと集計!N25,届出事由・区分・届出年月日ごと集計!N29,届出事由・区分・届出年月日ごと集計!N33,届出事由・区分・届出年月日ごと集計!N37,届出事由・区分・届出年月日ごと集計!N41,届出事由・区分・届出年月日ごと集計!N45,届出事由・区分・届出年月日ごと集計!N49,届出事由・区分・届出年月日ごと集計!N53,届出事由・区分・届出年月日ごと集計!N57,届出事由・区分・届出年月日ごと集計!N61,届出事由・区分・届出年月日ごと集計!N65,届出事由・区分・届出年月日ごと集計!N69,届出事由・区分・届出年月日ごと集計!N73,届出事由・区分・届出年月日ごと集計!N77,届出事由・区分・届出年月日ごと集計!N81,届出事由・区分・届出年月日ごと集計!N85,届出事由・区分・届出年月日ごと集計!N89,届出事由・区分・届出年月日ごと集計!N93,届出事由・区分・届出年月日ごと集計!N97,届出事由・区分・届出年月日ごと集計!N101,届出事由・区分・届出年月日ごと集計!N105,届出事由・区分・届出年月日ごと集計!N109,届出事由・区分・届出年月日ごと集計!N113,届出事由・区分・届出年月日ごと集計!N117,届出事由・区分・届出年月日ごと集計!N121,届出事由・区分・届出年月日ごと集計!N125)</f>
        <v>0</v>
      </c>
      <c r="P22" s="118">
        <f>SUM(届出事由・区分・届出年月日ごと集計!O5,届出事由・区分・届出年月日ごと集計!O9,届出事由・区分・届出年月日ごと集計!O13,届出事由・区分・届出年月日ごと集計!O17,届出事由・区分・届出年月日ごと集計!O21,届出事由・区分・届出年月日ごと集計!O25,届出事由・区分・届出年月日ごと集計!O29,届出事由・区分・届出年月日ごと集計!O33,届出事由・区分・届出年月日ごと集計!O37,届出事由・区分・届出年月日ごと集計!O41,届出事由・区分・届出年月日ごと集計!O45,届出事由・区分・届出年月日ごと集計!O49,届出事由・区分・届出年月日ごと集計!O53,届出事由・区分・届出年月日ごと集計!O57,届出事由・区分・届出年月日ごと集計!O61,届出事由・区分・届出年月日ごと集計!O65,届出事由・区分・届出年月日ごと集計!O69,届出事由・区分・届出年月日ごと集計!O73,届出事由・区分・届出年月日ごと集計!O77,届出事由・区分・届出年月日ごと集計!O81,届出事由・区分・届出年月日ごと集計!O85,届出事由・区分・届出年月日ごと集計!O89,届出事由・区分・届出年月日ごと集計!O93,届出事由・区分・届出年月日ごと集計!O97,届出事由・区分・届出年月日ごと集計!O101,届出事由・区分・届出年月日ごと集計!O105,届出事由・区分・届出年月日ごと集計!O109,届出事由・区分・届出年月日ごと集計!O113,届出事由・区分・届出年月日ごと集計!O117,届出事由・区分・届出年月日ごと集計!O121,届出事由・区分・届出年月日ごと集計!O125)</f>
        <v>0</v>
      </c>
      <c r="Q22" s="118">
        <f>SUM(届出事由・区分・届出年月日ごと集計!P5,届出事由・区分・届出年月日ごと集計!P9,届出事由・区分・届出年月日ごと集計!P13,届出事由・区分・届出年月日ごと集計!P17,届出事由・区分・届出年月日ごと集計!P21,届出事由・区分・届出年月日ごと集計!P25,届出事由・区分・届出年月日ごと集計!P29,届出事由・区分・届出年月日ごと集計!P33,届出事由・区分・届出年月日ごと集計!P37,届出事由・区分・届出年月日ごと集計!P41,届出事由・区分・届出年月日ごと集計!P45,届出事由・区分・届出年月日ごと集計!P49,届出事由・区分・届出年月日ごと集計!P53,届出事由・区分・届出年月日ごと集計!P57,届出事由・区分・届出年月日ごと集計!P61,届出事由・区分・届出年月日ごと集計!P65,届出事由・区分・届出年月日ごと集計!P69,届出事由・区分・届出年月日ごと集計!P73,届出事由・区分・届出年月日ごと集計!P77,届出事由・区分・届出年月日ごと集計!P81,届出事由・区分・届出年月日ごと集計!P85,届出事由・区分・届出年月日ごと集計!P89,届出事由・区分・届出年月日ごと集計!P93,届出事由・区分・届出年月日ごと集計!P97,届出事由・区分・届出年月日ごと集計!P101,届出事由・区分・届出年月日ごと集計!P105,届出事由・区分・届出年月日ごと集計!P109,届出事由・区分・届出年月日ごと集計!P113,届出事由・区分・届出年月日ごと集計!P117,届出事由・区分・届出年月日ごと集計!P121,届出事由・区分・届出年月日ごと集計!P125)</f>
        <v>0</v>
      </c>
      <c r="R22" s="118">
        <f>SUM(届出事由・区分・届出年月日ごと集計!Q5,届出事由・区分・届出年月日ごと集計!Q9,届出事由・区分・届出年月日ごと集計!Q13,届出事由・区分・届出年月日ごと集計!Q17,届出事由・区分・届出年月日ごと集計!Q21,届出事由・区分・届出年月日ごと集計!Q25,届出事由・区分・届出年月日ごと集計!Q29,届出事由・区分・届出年月日ごと集計!Q33,届出事由・区分・届出年月日ごと集計!Q37,届出事由・区分・届出年月日ごと集計!Q41,届出事由・区分・届出年月日ごと集計!Q45,届出事由・区分・届出年月日ごと集計!Q49,届出事由・区分・届出年月日ごと集計!Q53,届出事由・区分・届出年月日ごと集計!Q57,届出事由・区分・届出年月日ごと集計!Q61,届出事由・区分・届出年月日ごと集計!Q65,届出事由・区分・届出年月日ごと集計!Q69,届出事由・区分・届出年月日ごと集計!Q73,届出事由・区分・届出年月日ごと集計!Q77,届出事由・区分・届出年月日ごと集計!Q81,届出事由・区分・届出年月日ごと集計!Q85,届出事由・区分・届出年月日ごと集計!Q89,届出事由・区分・届出年月日ごと集計!Q93,届出事由・区分・届出年月日ごと集計!Q97,届出事由・区分・届出年月日ごと集計!Q101,届出事由・区分・届出年月日ごと集計!Q105,届出事由・区分・届出年月日ごと集計!Q109,届出事由・区分・届出年月日ごと集計!Q113,届出事由・区分・届出年月日ごと集計!Q117,届出事由・区分・届出年月日ごと集計!Q121,届出事由・区分・届出年月日ごと集計!Q125)</f>
        <v>0</v>
      </c>
      <c r="S22" s="118">
        <f>SUM(届出事由・区分・届出年月日ごと集計!R5,届出事由・区分・届出年月日ごと集計!R9,届出事由・区分・届出年月日ごと集計!R13,届出事由・区分・届出年月日ごと集計!R17,届出事由・区分・届出年月日ごと集計!R21,届出事由・区分・届出年月日ごと集計!R25,届出事由・区分・届出年月日ごと集計!R29,届出事由・区分・届出年月日ごと集計!R33,届出事由・区分・届出年月日ごと集計!R37,届出事由・区分・届出年月日ごと集計!R41,届出事由・区分・届出年月日ごと集計!R45,届出事由・区分・届出年月日ごと集計!R49,届出事由・区分・届出年月日ごと集計!R53,届出事由・区分・届出年月日ごと集計!R57,届出事由・区分・届出年月日ごと集計!R61,届出事由・区分・届出年月日ごと集計!R65,届出事由・区分・届出年月日ごと集計!R69,届出事由・区分・届出年月日ごと集計!R73,届出事由・区分・届出年月日ごと集計!R77,届出事由・区分・届出年月日ごと集計!R81,届出事由・区分・届出年月日ごと集計!R85,届出事由・区分・届出年月日ごと集計!R89,届出事由・区分・届出年月日ごと集計!R93,届出事由・区分・届出年月日ごと集計!R97,届出事由・区分・届出年月日ごと集計!R101,届出事由・区分・届出年月日ごと集計!R105,届出事由・区分・届出年月日ごと集計!R109,届出事由・区分・届出年月日ごと集計!R113,届出事由・区分・届出年月日ごと集計!R117,届出事由・区分・届出年月日ごと集計!R121,届出事由・区分・届出年月日ごと集計!R125)</f>
        <v>0</v>
      </c>
      <c r="T22" s="118">
        <f>SUM(届出事由・区分・届出年月日ごと集計!S5,届出事由・区分・届出年月日ごと集計!S9,届出事由・区分・届出年月日ごと集計!S13,届出事由・区分・届出年月日ごと集計!S17,届出事由・区分・届出年月日ごと集計!S21,届出事由・区分・届出年月日ごと集計!S25,届出事由・区分・届出年月日ごと集計!S29,届出事由・区分・届出年月日ごと集計!S33,届出事由・区分・届出年月日ごと集計!S37,届出事由・区分・届出年月日ごと集計!S41,届出事由・区分・届出年月日ごと集計!S45,届出事由・区分・届出年月日ごと集計!S49,届出事由・区分・届出年月日ごと集計!S53,届出事由・区分・届出年月日ごと集計!S57,届出事由・区分・届出年月日ごと集計!S61,届出事由・区分・届出年月日ごと集計!S65,届出事由・区分・届出年月日ごと集計!S69,届出事由・区分・届出年月日ごと集計!S73,届出事由・区分・届出年月日ごと集計!S77,届出事由・区分・届出年月日ごと集計!S81,届出事由・区分・届出年月日ごと集計!S85,届出事由・区分・届出年月日ごと集計!S89,届出事由・区分・届出年月日ごと集計!S93,届出事由・区分・届出年月日ごと集計!S97,届出事由・区分・届出年月日ごと集計!S101,届出事由・区分・届出年月日ごと集計!S105,届出事由・区分・届出年月日ごと集計!S109,届出事由・区分・届出年月日ごと集計!S113,届出事由・区分・届出年月日ごと集計!S117,届出事由・区分・届出年月日ごと集計!S121,届出事由・区分・届出年月日ごと集計!S125)</f>
        <v>0</v>
      </c>
      <c r="U22" s="118">
        <f>SUM(届出事由・区分・届出年月日ごと集計!T5,届出事由・区分・届出年月日ごと集計!T9,届出事由・区分・届出年月日ごと集計!T13,届出事由・区分・届出年月日ごと集計!T17,届出事由・区分・届出年月日ごと集計!T21,届出事由・区分・届出年月日ごと集計!T25,届出事由・区分・届出年月日ごと集計!T29,届出事由・区分・届出年月日ごと集計!T33,届出事由・区分・届出年月日ごと集計!T37,届出事由・区分・届出年月日ごと集計!T41,届出事由・区分・届出年月日ごと集計!T45,届出事由・区分・届出年月日ごと集計!T49,届出事由・区分・届出年月日ごと集計!T53,届出事由・区分・届出年月日ごと集計!T57,届出事由・区分・届出年月日ごと集計!T61,届出事由・区分・届出年月日ごと集計!T65,届出事由・区分・届出年月日ごと集計!T69,届出事由・区分・届出年月日ごと集計!T73,届出事由・区分・届出年月日ごと集計!T77,届出事由・区分・届出年月日ごと集計!T81,届出事由・区分・届出年月日ごと集計!T85,届出事由・区分・届出年月日ごと集計!T89,届出事由・区分・届出年月日ごと集計!T93,届出事由・区分・届出年月日ごと集計!T97,届出事由・区分・届出年月日ごと集計!T101,届出事由・区分・届出年月日ごと集計!T105,届出事由・区分・届出年月日ごと集計!T109,届出事由・区分・届出年月日ごと集計!T113,届出事由・区分・届出年月日ごと集計!T117,届出事由・区分・届出年月日ごと集計!T121,届出事由・区分・届出年月日ごと集計!T125)</f>
        <v>0</v>
      </c>
      <c r="V22" s="120"/>
    </row>
    <row r="23" spans="1:22" x14ac:dyDescent="0.4">
      <c r="A23" s="120"/>
      <c r="B23" s="134" t="s">
        <v>73</v>
      </c>
      <c r="C23" s="134"/>
      <c r="D23" s="134"/>
      <c r="E23" s="105">
        <v>6</v>
      </c>
      <c r="F23" s="116">
        <f>SUM(届出事由・区分・届出年月日ごと集計!D6,届出事由・区分・届出年月日ごと集計!D10,届出事由・区分・届出年月日ごと集計!D14,届出事由・区分・届出年月日ごと集計!D18,届出事由・区分・届出年月日ごと集計!D22,届出事由・区分・届出年月日ごと集計!D26,届出事由・区分・届出年月日ごと集計!D30,届出事由・区分・届出年月日ごと集計!D34,届出事由・区分・届出年月日ごと集計!D38,届出事由・区分・届出年月日ごと集計!D42,届出事由・区分・届出年月日ごと集計!D46,届出事由・区分・届出年月日ごと集計!D50,届出事由・区分・届出年月日ごと集計!D54,届出事由・区分・届出年月日ごと集計!D58,届出事由・区分・届出年月日ごと集計!D62,届出事由・区分・届出年月日ごと集計!D66,届出事由・区分・届出年月日ごと集計!D70,届出事由・区分・届出年月日ごと集計!D74,届出事由・区分・届出年月日ごと集計!D78,届出事由・区分・届出年月日ごと集計!D82,届出事由・区分・届出年月日ごと集計!D86,届出事由・区分・届出年月日ごと集計!D90,届出事由・区分・届出年月日ごと集計!D94,届出事由・区分・届出年月日ごと集計!D98,届出事由・区分・届出年月日ごと集計!D102,届出事由・区分・届出年月日ごと集計!D106,届出事由・区分・届出年月日ごと集計!D110,届出事由・区分・届出年月日ごと集計!D114,届出事由・区分・届出年月日ごと集計!D118,届出事由・区分・届出年月日ごと集計!D122,届出事由・区分・届出年月日ごと集計!D126)</f>
        <v>48</v>
      </c>
      <c r="G23" s="117">
        <f>SUM(届出事由・区分・届出年月日ごと集計!F6,届出事由・区分・届出年月日ごと集計!F10,届出事由・区分・届出年月日ごと集計!F14,届出事由・区分・届出年月日ごと集計!F18,届出事由・区分・届出年月日ごと集計!F22,届出事由・区分・届出年月日ごと集計!F26,届出事由・区分・届出年月日ごと集計!F30,届出事由・区分・届出年月日ごと集計!F34,届出事由・区分・届出年月日ごと集計!F38,届出事由・区分・届出年月日ごと集計!F42,届出事由・区分・届出年月日ごと集計!F46,届出事由・区分・届出年月日ごと集計!F50,届出事由・区分・届出年月日ごと集計!F54,届出事由・区分・届出年月日ごと集計!F58,届出事由・区分・届出年月日ごと集計!F62,届出事由・区分・届出年月日ごと集計!F66,届出事由・区分・届出年月日ごと集計!F70,届出事由・区分・届出年月日ごと集計!F74,届出事由・区分・届出年月日ごと集計!F78,届出事由・区分・届出年月日ごと集計!F82,届出事由・区分・届出年月日ごと集計!F86,届出事由・区分・届出年月日ごと集計!F90,届出事由・区分・届出年月日ごと集計!F94,届出事由・区分・届出年月日ごと集計!F98,届出事由・区分・届出年月日ごと集計!F102,届出事由・区分・届出年月日ごと集計!F106,届出事由・区分・届出年月日ごと集計!F110,届出事由・区分・届出年月日ごと集計!F114,届出事由・区分・届出年月日ごと集計!F118,届出事由・区分・届出年月日ごと集計!F122,届出事由・区分・届出年月日ごと集計!F126)</f>
        <v>28</v>
      </c>
      <c r="H23" s="118">
        <f>SUM(届出事由・区分・届出年月日ごと集計!G6,届出事由・区分・届出年月日ごと集計!G10,届出事由・区分・届出年月日ごと集計!G14,届出事由・区分・届出年月日ごと集計!G18,届出事由・区分・届出年月日ごと集計!G22,届出事由・区分・届出年月日ごと集計!G26,届出事由・区分・届出年月日ごと集計!G30,届出事由・区分・届出年月日ごと集計!G34,届出事由・区分・届出年月日ごと集計!G38,届出事由・区分・届出年月日ごと集計!G42,届出事由・区分・届出年月日ごと集計!G46,届出事由・区分・届出年月日ごと集計!G50,届出事由・区分・届出年月日ごと集計!G54,届出事由・区分・届出年月日ごと集計!G58,届出事由・区分・届出年月日ごと集計!G62,届出事由・区分・届出年月日ごと集計!G66,届出事由・区分・届出年月日ごと集計!G70,届出事由・区分・届出年月日ごと集計!G74,届出事由・区分・届出年月日ごと集計!G78,届出事由・区分・届出年月日ごと集計!G82,届出事由・区分・届出年月日ごと集計!G86,届出事由・区分・届出年月日ごと集計!G90,届出事由・区分・届出年月日ごと集計!G94,届出事由・区分・届出年月日ごと集計!G98,届出事由・区分・届出年月日ごと集計!G102,届出事由・区分・届出年月日ごと集計!G106,届出事由・区分・届出年月日ごと集計!G110,届出事由・区分・届出年月日ごと集計!G114,届出事由・区分・届出年月日ごと集計!G118,届出事由・区分・届出年月日ごと集計!G122,届出事由・区分・届出年月日ごと集計!G126)</f>
        <v>3</v>
      </c>
      <c r="I23" s="118">
        <f>SUM(届出事由・区分・届出年月日ごと集計!H6,届出事由・区分・届出年月日ごと集計!H10,届出事由・区分・届出年月日ごと集計!H14,届出事由・区分・届出年月日ごと集計!H18,届出事由・区分・届出年月日ごと集計!H22,届出事由・区分・届出年月日ごと集計!H26,届出事由・区分・届出年月日ごと集計!H30,届出事由・区分・届出年月日ごと集計!H34,届出事由・区分・届出年月日ごと集計!H38,届出事由・区分・届出年月日ごと集計!H42,届出事由・区分・届出年月日ごと集計!H46,届出事由・区分・届出年月日ごと集計!H50,届出事由・区分・届出年月日ごと集計!H54,届出事由・区分・届出年月日ごと集計!H58,届出事由・区分・届出年月日ごと集計!H62,届出事由・区分・届出年月日ごと集計!H66,届出事由・区分・届出年月日ごと集計!H70,届出事由・区分・届出年月日ごと集計!H74,届出事由・区分・届出年月日ごと集計!H78,届出事由・区分・届出年月日ごと集計!H82,届出事由・区分・届出年月日ごと集計!H86,届出事由・区分・届出年月日ごと集計!H90,届出事由・区分・届出年月日ごと集計!H94,届出事由・区分・届出年月日ごと集計!H98,届出事由・区分・届出年月日ごと集計!H102,届出事由・区分・届出年月日ごと集計!H106,届出事由・区分・届出年月日ごと集計!H110,届出事由・区分・届出年月日ごと集計!H114,届出事由・区分・届出年月日ごと集計!H118,届出事由・区分・届出年月日ごと集計!H122,届出事由・区分・届出年月日ごと集計!H126)</f>
        <v>9</v>
      </c>
      <c r="J23" s="118">
        <f>SUM(届出事由・区分・届出年月日ごと集計!I6,届出事由・区分・届出年月日ごと集計!I10,届出事由・区分・届出年月日ごと集計!I14,届出事由・区分・届出年月日ごと集計!I18,届出事由・区分・届出年月日ごと集計!I22,届出事由・区分・届出年月日ごと集計!I26,届出事由・区分・届出年月日ごと集計!I30,届出事由・区分・届出年月日ごと集計!I34,届出事由・区分・届出年月日ごと集計!I38,届出事由・区分・届出年月日ごと集計!I42,届出事由・区分・届出年月日ごと集計!I46,届出事由・区分・届出年月日ごと集計!I50,届出事由・区分・届出年月日ごと集計!I54,届出事由・区分・届出年月日ごと集計!I58,届出事由・区分・届出年月日ごと集計!I62,届出事由・区分・届出年月日ごと集計!I66,届出事由・区分・届出年月日ごと集計!I70,届出事由・区分・届出年月日ごと集計!I74,届出事由・区分・届出年月日ごと集計!I78,届出事由・区分・届出年月日ごと集計!I82,届出事由・区分・届出年月日ごと集計!I86,届出事由・区分・届出年月日ごと集計!I90,届出事由・区分・届出年月日ごと集計!I94,届出事由・区分・届出年月日ごと集計!I98,届出事由・区分・届出年月日ごと集計!I102,届出事由・区分・届出年月日ごと集計!I106,届出事由・区分・届出年月日ごと集計!I110,届出事由・区分・届出年月日ごと集計!I114,届出事由・区分・届出年月日ごと集計!I118,届出事由・区分・届出年月日ごと集計!I122,届出事由・区分・届出年月日ごと集計!I126)</f>
        <v>7</v>
      </c>
      <c r="K23" s="118">
        <f>SUM(届出事由・区分・届出年月日ごと集計!J6,届出事由・区分・届出年月日ごと集計!J10,届出事由・区分・届出年月日ごと集計!J14,届出事由・区分・届出年月日ごと集計!J18,届出事由・区分・届出年月日ごと集計!J22,届出事由・区分・届出年月日ごと集計!J26,届出事由・区分・届出年月日ごと集計!J30,届出事由・区分・届出年月日ごと集計!J34,届出事由・区分・届出年月日ごと集計!J38,届出事由・区分・届出年月日ごと集計!J42,届出事由・区分・届出年月日ごと集計!J46,届出事由・区分・届出年月日ごと集計!J50,届出事由・区分・届出年月日ごと集計!J54,届出事由・区分・届出年月日ごと集計!J58,届出事由・区分・届出年月日ごと集計!J62,届出事由・区分・届出年月日ごと集計!J66,届出事由・区分・届出年月日ごと集計!J70,届出事由・区分・届出年月日ごと集計!J74,届出事由・区分・届出年月日ごと集計!J78,届出事由・区分・届出年月日ごと集計!J82,届出事由・区分・届出年月日ごと集計!J86,届出事由・区分・届出年月日ごと集計!J90,届出事由・区分・届出年月日ごと集計!J94,届出事由・区分・届出年月日ごと集計!J98,届出事由・区分・届出年月日ごと集計!J102,届出事由・区分・届出年月日ごと集計!J106,届出事由・区分・届出年月日ごと集計!J110,届出事由・区分・届出年月日ごと集計!J114,届出事由・区分・届出年月日ごと集計!J118,届出事由・区分・届出年月日ごと集計!J122,届出事由・区分・届出年月日ごと集計!J126)</f>
        <v>0</v>
      </c>
      <c r="L23" s="118">
        <f>SUM(届出事由・区分・届出年月日ごと集計!K6,届出事由・区分・届出年月日ごと集計!K10,届出事由・区分・届出年月日ごと集計!K14,届出事由・区分・届出年月日ごと集計!K18,届出事由・区分・届出年月日ごと集計!K22,届出事由・区分・届出年月日ごと集計!K26,届出事由・区分・届出年月日ごと集計!K30,届出事由・区分・届出年月日ごと集計!K34,届出事由・区分・届出年月日ごと集計!K38,届出事由・区分・届出年月日ごと集計!K42,届出事由・区分・届出年月日ごと集計!K46,届出事由・区分・届出年月日ごと集計!K50,届出事由・区分・届出年月日ごと集計!K54,届出事由・区分・届出年月日ごと集計!K58,届出事由・区分・届出年月日ごと集計!K62,届出事由・区分・届出年月日ごと集計!K66,届出事由・区分・届出年月日ごと集計!K70,届出事由・区分・届出年月日ごと集計!K74,届出事由・区分・届出年月日ごと集計!K78,届出事由・区分・届出年月日ごと集計!K82,届出事由・区分・届出年月日ごと集計!K86,届出事由・区分・届出年月日ごと集計!K90,届出事由・区分・届出年月日ごと集計!K94,届出事由・区分・届出年月日ごと集計!K98,届出事由・区分・届出年月日ごと集計!K102,届出事由・区分・届出年月日ごと集計!K106,届出事由・区分・届出年月日ごと集計!K110,届出事由・区分・届出年月日ごと集計!K114,届出事由・区分・届出年月日ごと集計!K118,届出事由・区分・届出年月日ごと集計!K122,届出事由・区分・届出年月日ごと集計!K126)</f>
        <v>0</v>
      </c>
      <c r="M23" s="118">
        <f>SUM(届出事由・区分・届出年月日ごと集計!L6,届出事由・区分・届出年月日ごと集計!L10,届出事由・区分・届出年月日ごと集計!L14,届出事由・区分・届出年月日ごと集計!L18,届出事由・区分・届出年月日ごと集計!L22,届出事由・区分・届出年月日ごと集計!L26,届出事由・区分・届出年月日ごと集計!L30,届出事由・区分・届出年月日ごと集計!L34,届出事由・区分・届出年月日ごと集計!L38,届出事由・区分・届出年月日ごと集計!L42,届出事由・区分・届出年月日ごと集計!L46,届出事由・区分・届出年月日ごと集計!L50,届出事由・区分・届出年月日ごと集計!L54,届出事由・区分・届出年月日ごと集計!L58,届出事由・区分・届出年月日ごと集計!L62,届出事由・区分・届出年月日ごと集計!L66,届出事由・区分・届出年月日ごと集計!L70,届出事由・区分・届出年月日ごと集計!L74,届出事由・区分・届出年月日ごと集計!L78,届出事由・区分・届出年月日ごと集計!L82,届出事由・区分・届出年月日ごと集計!L86,届出事由・区分・届出年月日ごと集計!L90,届出事由・区分・届出年月日ごと集計!L94,届出事由・区分・届出年月日ごと集計!L98,届出事由・区分・届出年月日ごと集計!L102,届出事由・区分・届出年月日ごと集計!L106,届出事由・区分・届出年月日ごと集計!L110,届出事由・区分・届出年月日ごと集計!L114,届出事由・区分・届出年月日ごと集計!L118,届出事由・区分・届出年月日ごと集計!L122,届出事由・区分・届出年月日ごと集計!L126)</f>
        <v>0</v>
      </c>
      <c r="N23" s="118">
        <f>SUM(届出事由・区分・届出年月日ごと集計!M6,届出事由・区分・届出年月日ごと集計!M10,届出事由・区分・届出年月日ごと集計!M14,届出事由・区分・届出年月日ごと集計!M18,届出事由・区分・届出年月日ごと集計!M22,届出事由・区分・届出年月日ごと集計!M26,届出事由・区分・届出年月日ごと集計!M30,届出事由・区分・届出年月日ごと集計!M34,届出事由・区分・届出年月日ごと集計!M38,届出事由・区分・届出年月日ごと集計!M42,届出事由・区分・届出年月日ごと集計!M46,届出事由・区分・届出年月日ごと集計!M50,届出事由・区分・届出年月日ごと集計!M54,届出事由・区分・届出年月日ごと集計!M58,届出事由・区分・届出年月日ごと集計!M62,届出事由・区分・届出年月日ごと集計!M66,届出事由・区分・届出年月日ごと集計!M70,届出事由・区分・届出年月日ごと集計!M74,届出事由・区分・届出年月日ごと集計!M78,届出事由・区分・届出年月日ごと集計!M82,届出事由・区分・届出年月日ごと集計!M86,届出事由・区分・届出年月日ごと集計!M90,届出事由・区分・届出年月日ごと集計!M94,届出事由・区分・届出年月日ごと集計!M98,届出事由・区分・届出年月日ごと集計!M102,届出事由・区分・届出年月日ごと集計!M106,届出事由・区分・届出年月日ごと集計!M110,届出事由・区分・届出年月日ごと集計!M114,届出事由・区分・届出年月日ごと集計!M118,届出事由・区分・届出年月日ごと集計!M122,届出事由・区分・届出年月日ごと集計!M126)</f>
        <v>0</v>
      </c>
      <c r="O23" s="118">
        <f>SUM(届出事由・区分・届出年月日ごと集計!N6,届出事由・区分・届出年月日ごと集計!N10,届出事由・区分・届出年月日ごと集計!N14,届出事由・区分・届出年月日ごと集計!N18,届出事由・区分・届出年月日ごと集計!N22,届出事由・区分・届出年月日ごと集計!N26,届出事由・区分・届出年月日ごと集計!N30,届出事由・区分・届出年月日ごと集計!N34,届出事由・区分・届出年月日ごと集計!N38,届出事由・区分・届出年月日ごと集計!N42,届出事由・区分・届出年月日ごと集計!N46,届出事由・区分・届出年月日ごと集計!N50,届出事由・区分・届出年月日ごと集計!N54,届出事由・区分・届出年月日ごと集計!N58,届出事由・区分・届出年月日ごと集計!N62,届出事由・区分・届出年月日ごと集計!N66,届出事由・区分・届出年月日ごと集計!N70,届出事由・区分・届出年月日ごと集計!N74,届出事由・区分・届出年月日ごと集計!N78,届出事由・区分・届出年月日ごと集計!N82,届出事由・区分・届出年月日ごと集計!N86,届出事由・区分・届出年月日ごと集計!N90,届出事由・区分・届出年月日ごと集計!N94,届出事由・区分・届出年月日ごと集計!N98,届出事由・区分・届出年月日ごと集計!N102,届出事由・区分・届出年月日ごと集計!N106,届出事由・区分・届出年月日ごと集計!N110,届出事由・区分・届出年月日ごと集計!N114,届出事由・区分・届出年月日ごと集計!N118,届出事由・区分・届出年月日ごと集計!N122,届出事由・区分・届出年月日ごと集計!N126)</f>
        <v>0</v>
      </c>
      <c r="P23" s="118">
        <f>SUM(届出事由・区分・届出年月日ごと集計!O6,届出事由・区分・届出年月日ごと集計!O10,届出事由・区分・届出年月日ごと集計!O14,届出事由・区分・届出年月日ごと集計!O18,届出事由・区分・届出年月日ごと集計!O22,届出事由・区分・届出年月日ごと集計!O26,届出事由・区分・届出年月日ごと集計!O30,届出事由・区分・届出年月日ごと集計!O34,届出事由・区分・届出年月日ごと集計!O38,届出事由・区分・届出年月日ごと集計!O42,届出事由・区分・届出年月日ごと集計!O46,届出事由・区分・届出年月日ごと集計!O50,届出事由・区分・届出年月日ごと集計!O54,届出事由・区分・届出年月日ごと集計!O58,届出事由・区分・届出年月日ごと集計!O62,届出事由・区分・届出年月日ごと集計!O66,届出事由・区分・届出年月日ごと集計!O70,届出事由・区分・届出年月日ごと集計!O74,届出事由・区分・届出年月日ごと集計!O78,届出事由・区分・届出年月日ごと集計!O82,届出事由・区分・届出年月日ごと集計!O86,届出事由・区分・届出年月日ごと集計!O90,届出事由・区分・届出年月日ごと集計!O94,届出事由・区分・届出年月日ごと集計!O98,届出事由・区分・届出年月日ごと集計!O102,届出事由・区分・届出年月日ごと集計!O106,届出事由・区分・届出年月日ごと集計!O110,届出事由・区分・届出年月日ごと集計!O114,届出事由・区分・届出年月日ごと集計!O118,届出事由・区分・届出年月日ごと集計!O122,届出事由・区分・届出年月日ごと集計!O126)</f>
        <v>0</v>
      </c>
      <c r="Q23" s="118">
        <f>SUM(届出事由・区分・届出年月日ごと集計!P6,届出事由・区分・届出年月日ごと集計!P10,届出事由・区分・届出年月日ごと集計!P14,届出事由・区分・届出年月日ごと集計!P18,届出事由・区分・届出年月日ごと集計!P22,届出事由・区分・届出年月日ごと集計!P26,届出事由・区分・届出年月日ごと集計!P30,届出事由・区分・届出年月日ごと集計!P34,届出事由・区分・届出年月日ごと集計!P38,届出事由・区分・届出年月日ごと集計!P42,届出事由・区分・届出年月日ごと集計!P46,届出事由・区分・届出年月日ごと集計!P50,届出事由・区分・届出年月日ごと集計!P54,届出事由・区分・届出年月日ごと集計!P58,届出事由・区分・届出年月日ごと集計!P62,届出事由・区分・届出年月日ごと集計!P66,届出事由・区分・届出年月日ごと集計!P70,届出事由・区分・届出年月日ごと集計!P74,届出事由・区分・届出年月日ごと集計!P78,届出事由・区分・届出年月日ごと集計!P82,届出事由・区分・届出年月日ごと集計!P86,届出事由・区分・届出年月日ごと集計!P90,届出事由・区分・届出年月日ごと集計!P94,届出事由・区分・届出年月日ごと集計!P98,届出事由・区分・届出年月日ごと集計!P102,届出事由・区分・届出年月日ごと集計!P106,届出事由・区分・届出年月日ごと集計!P110,届出事由・区分・届出年月日ごと集計!P114,届出事由・区分・届出年月日ごと集計!P118,届出事由・区分・届出年月日ごと集計!P122,届出事由・区分・届出年月日ごと集計!P126)</f>
        <v>0</v>
      </c>
      <c r="R23" s="118">
        <f>SUM(届出事由・区分・届出年月日ごと集計!Q6,届出事由・区分・届出年月日ごと集計!Q10,届出事由・区分・届出年月日ごと集計!Q14,届出事由・区分・届出年月日ごと集計!Q18,届出事由・区分・届出年月日ごと集計!Q22,届出事由・区分・届出年月日ごと集計!Q26,届出事由・区分・届出年月日ごと集計!Q30,届出事由・区分・届出年月日ごと集計!Q34,届出事由・区分・届出年月日ごと集計!Q38,届出事由・区分・届出年月日ごと集計!Q42,届出事由・区分・届出年月日ごと集計!Q46,届出事由・区分・届出年月日ごと集計!Q50,届出事由・区分・届出年月日ごと集計!Q54,届出事由・区分・届出年月日ごと集計!Q58,届出事由・区分・届出年月日ごと集計!Q62,届出事由・区分・届出年月日ごと集計!Q66,届出事由・区分・届出年月日ごと集計!Q70,届出事由・区分・届出年月日ごと集計!Q74,届出事由・区分・届出年月日ごと集計!Q78,届出事由・区分・届出年月日ごと集計!Q82,届出事由・区分・届出年月日ごと集計!Q86,届出事由・区分・届出年月日ごと集計!Q90,届出事由・区分・届出年月日ごと集計!Q94,届出事由・区分・届出年月日ごと集計!Q98,届出事由・区分・届出年月日ごと集計!Q102,届出事由・区分・届出年月日ごと集計!Q106,届出事由・区分・届出年月日ごと集計!Q110,届出事由・区分・届出年月日ごと集計!Q114,届出事由・区分・届出年月日ごと集計!Q118,届出事由・区分・届出年月日ごと集計!Q122,届出事由・区分・届出年月日ごと集計!Q126)</f>
        <v>0</v>
      </c>
      <c r="S23" s="118">
        <f>SUM(届出事由・区分・届出年月日ごと集計!R6,届出事由・区分・届出年月日ごと集計!R10,届出事由・区分・届出年月日ごと集計!R14,届出事由・区分・届出年月日ごと集計!R18,届出事由・区分・届出年月日ごと集計!R22,届出事由・区分・届出年月日ごと集計!R26,届出事由・区分・届出年月日ごと集計!R30,届出事由・区分・届出年月日ごと集計!R34,届出事由・区分・届出年月日ごと集計!R38,届出事由・区分・届出年月日ごと集計!R42,届出事由・区分・届出年月日ごと集計!R46,届出事由・区分・届出年月日ごと集計!R50,届出事由・区分・届出年月日ごと集計!R54,届出事由・区分・届出年月日ごと集計!R58,届出事由・区分・届出年月日ごと集計!R62,届出事由・区分・届出年月日ごと集計!R66,届出事由・区分・届出年月日ごと集計!R70,届出事由・区分・届出年月日ごと集計!R74,届出事由・区分・届出年月日ごと集計!R78,届出事由・区分・届出年月日ごと集計!R82,届出事由・区分・届出年月日ごと集計!R86,届出事由・区分・届出年月日ごと集計!R90,届出事由・区分・届出年月日ごと集計!R94,届出事由・区分・届出年月日ごと集計!R98,届出事由・区分・届出年月日ごと集計!R102,届出事由・区分・届出年月日ごと集計!R106,届出事由・区分・届出年月日ごと集計!R110,届出事由・区分・届出年月日ごと集計!R114,届出事由・区分・届出年月日ごと集計!R118,届出事由・区分・届出年月日ごと集計!R122,届出事由・区分・届出年月日ごと集計!R126)</f>
        <v>0</v>
      </c>
      <c r="T23" s="118">
        <f>SUM(届出事由・区分・届出年月日ごと集計!S6,届出事由・区分・届出年月日ごと集計!S10,届出事由・区分・届出年月日ごと集計!S14,届出事由・区分・届出年月日ごと集計!S18,届出事由・区分・届出年月日ごと集計!S22,届出事由・区分・届出年月日ごと集計!S26,届出事由・区分・届出年月日ごと集計!S30,届出事由・区分・届出年月日ごと集計!S34,届出事由・区分・届出年月日ごと集計!S38,届出事由・区分・届出年月日ごと集計!S42,届出事由・区分・届出年月日ごと集計!S46,届出事由・区分・届出年月日ごと集計!S50,届出事由・区分・届出年月日ごと集計!S54,届出事由・区分・届出年月日ごと集計!S58,届出事由・区分・届出年月日ごと集計!S62,届出事由・区分・届出年月日ごと集計!S66,届出事由・区分・届出年月日ごと集計!S70,届出事由・区分・届出年月日ごと集計!S74,届出事由・区分・届出年月日ごと集計!S78,届出事由・区分・届出年月日ごと集計!S82,届出事由・区分・届出年月日ごと集計!S86,届出事由・区分・届出年月日ごと集計!S90,届出事由・区分・届出年月日ごと集計!S94,届出事由・区分・届出年月日ごと集計!S98,届出事由・区分・届出年月日ごと集計!S102,届出事由・区分・届出年月日ごと集計!S106,届出事由・区分・届出年月日ごと集計!S110,届出事由・区分・届出年月日ごと集計!S114,届出事由・区分・届出年月日ごと集計!S118,届出事由・区分・届出年月日ごと集計!S122,届出事由・区分・届出年月日ごと集計!S126)</f>
        <v>0</v>
      </c>
      <c r="U23" s="118">
        <f>SUM(届出事由・区分・届出年月日ごと集計!T6,届出事由・区分・届出年月日ごと集計!T10,届出事由・区分・届出年月日ごと集計!T14,届出事由・区分・届出年月日ごと集計!T18,届出事由・区分・届出年月日ごと集計!T22,届出事由・区分・届出年月日ごと集計!T26,届出事由・区分・届出年月日ごと集計!T30,届出事由・区分・届出年月日ごと集計!T34,届出事由・区分・届出年月日ごと集計!T38,届出事由・区分・届出年月日ごと集計!T42,届出事由・区分・届出年月日ごと集計!T46,届出事由・区分・届出年月日ごと集計!T50,届出事由・区分・届出年月日ごと集計!T54,届出事由・区分・届出年月日ごと集計!T58,届出事由・区分・届出年月日ごと集計!T62,届出事由・区分・届出年月日ごと集計!T66,届出事由・区分・届出年月日ごと集計!T70,届出事由・区分・届出年月日ごと集計!T74,届出事由・区分・届出年月日ごと集計!T78,届出事由・区分・届出年月日ごと集計!T82,届出事由・区分・届出年月日ごと集計!T86,届出事由・区分・届出年月日ごと集計!T90,届出事由・区分・届出年月日ごと集計!T94,届出事由・区分・届出年月日ごと集計!T98,届出事由・区分・届出年月日ごと集計!T102,届出事由・区分・届出年月日ごと集計!T106,届出事由・区分・届出年月日ごと集計!T110,届出事由・区分・届出年月日ごと集計!T114,届出事由・区分・届出年月日ごと集計!T118,届出事由・区分・届出年月日ごと集計!T122,届出事由・区分・届出年月日ごと集計!T126)</f>
        <v>0</v>
      </c>
      <c r="V23" s="120"/>
    </row>
    <row r="24" spans="1:22" x14ac:dyDescent="0.4">
      <c r="A24" s="120"/>
      <c r="B24" s="134" t="s">
        <v>88</v>
      </c>
      <c r="C24" s="134"/>
      <c r="D24" s="134"/>
      <c r="E24" s="105">
        <v>6</v>
      </c>
      <c r="F24" s="116">
        <f>届出事由・区分・届出年月日ごと集計!D127</f>
        <v>2</v>
      </c>
      <c r="G24" s="117">
        <f>届出事由・区分・届出年月日ごと集計!F127</f>
        <v>1</v>
      </c>
      <c r="H24" s="118">
        <f>届出事由・区分・届出年月日ごと集計!G127</f>
        <v>0</v>
      </c>
      <c r="I24" s="118">
        <f>届出事由・区分・届出年月日ごと集計!H127</f>
        <v>1</v>
      </c>
      <c r="J24" s="118">
        <f>届出事由・区分・届出年月日ごと集計!I127</f>
        <v>0</v>
      </c>
      <c r="K24" s="118">
        <f>届出事由・区分・届出年月日ごと集計!J127</f>
        <v>0</v>
      </c>
      <c r="L24" s="118">
        <f>届出事由・区分・届出年月日ごと集計!K127</f>
        <v>0</v>
      </c>
      <c r="M24" s="118">
        <f>届出事由・区分・届出年月日ごと集計!L127</f>
        <v>0</v>
      </c>
      <c r="N24" s="118">
        <f>届出事由・区分・届出年月日ごと集計!M127</f>
        <v>0</v>
      </c>
      <c r="O24" s="118">
        <f>届出事由・区分・届出年月日ごと集計!N127</f>
        <v>0</v>
      </c>
      <c r="P24" s="118">
        <f>届出事由・区分・届出年月日ごと集計!O127</f>
        <v>0</v>
      </c>
      <c r="Q24" s="118">
        <f>届出事由・区分・届出年月日ごと集計!P127</f>
        <v>0</v>
      </c>
      <c r="R24" s="118">
        <f>届出事由・区分・届出年月日ごと集計!Q127</f>
        <v>0</v>
      </c>
      <c r="S24" s="118">
        <f>届出事由・区分・届出年月日ごと集計!R127</f>
        <v>0</v>
      </c>
      <c r="T24" s="118">
        <f>届出事由・区分・届出年月日ごと集計!S127</f>
        <v>0</v>
      </c>
      <c r="U24" s="118">
        <f>届出事由・区分・届出年月日ごと集計!T127</f>
        <v>0</v>
      </c>
      <c r="V24" s="120"/>
    </row>
    <row r="25" spans="1:22" x14ac:dyDescent="0.4">
      <c r="A25" s="120"/>
      <c r="B25" s="134" t="s">
        <v>89</v>
      </c>
      <c r="C25" s="134"/>
      <c r="D25" s="134"/>
      <c r="E25" s="106">
        <v>1</v>
      </c>
      <c r="F25" s="116">
        <f>届出事由・区分・届出年月日ごと集計!D128</f>
        <v>0</v>
      </c>
      <c r="G25" s="117">
        <f>届出事由・区分・届出年月日ごと集計!F128</f>
        <v>0</v>
      </c>
      <c r="H25" s="118">
        <f>届出事由・区分・届出年月日ごと集計!G128</f>
        <v>0</v>
      </c>
      <c r="I25" s="118">
        <f>届出事由・区分・届出年月日ごと集計!H128</f>
        <v>0</v>
      </c>
      <c r="J25" s="118">
        <f>届出事由・区分・届出年月日ごと集計!I128</f>
        <v>0</v>
      </c>
      <c r="K25" s="118">
        <f>届出事由・区分・届出年月日ごと集計!J128</f>
        <v>0</v>
      </c>
      <c r="L25" s="118">
        <f>届出事由・区分・届出年月日ごと集計!K128</f>
        <v>0</v>
      </c>
      <c r="M25" s="118">
        <f>届出事由・区分・届出年月日ごと集計!L128</f>
        <v>0</v>
      </c>
      <c r="N25" s="118">
        <f>届出事由・区分・届出年月日ごと集計!M128</f>
        <v>0</v>
      </c>
      <c r="O25" s="118">
        <f>届出事由・区分・届出年月日ごと集計!N128</f>
        <v>0</v>
      </c>
      <c r="P25" s="118">
        <f>届出事由・区分・届出年月日ごと集計!O128</f>
        <v>0</v>
      </c>
      <c r="Q25" s="118">
        <f>届出事由・区分・届出年月日ごと集計!P128</f>
        <v>0</v>
      </c>
      <c r="R25" s="118">
        <f>届出事由・区分・届出年月日ごと集計!Q128</f>
        <v>0</v>
      </c>
      <c r="S25" s="118">
        <f>届出事由・区分・届出年月日ごと集計!R128</f>
        <v>0</v>
      </c>
      <c r="T25" s="118">
        <f>届出事由・区分・届出年月日ごと集計!S128</f>
        <v>0</v>
      </c>
      <c r="U25" s="118">
        <f>届出事由・区分・届出年月日ごと集計!T128</f>
        <v>0</v>
      </c>
      <c r="V25" s="120"/>
    </row>
    <row r="26" spans="1:22" x14ac:dyDescent="0.4">
      <c r="A26" s="120"/>
      <c r="B26" s="134" t="s">
        <v>94</v>
      </c>
      <c r="C26" s="134"/>
      <c r="D26" s="134"/>
      <c r="E26" s="106">
        <v>2</v>
      </c>
      <c r="F26" s="116">
        <f>届出事由・区分・届出年月日ごと集計!D129+届出事由・区分・届出年月日ごと集計!D130</f>
        <v>210</v>
      </c>
      <c r="G26" s="117">
        <f>届出事由・区分・届出年月日ごと集計!F129+届出事由・区分・届出年月日ごと集計!F130</f>
        <v>8</v>
      </c>
      <c r="H26" s="118">
        <f>届出事由・区分・届出年月日ごと集計!G129+届出事由・区分・届出年月日ごと集計!G130</f>
        <v>24</v>
      </c>
      <c r="I26" s="118">
        <f>届出事由・区分・届出年月日ごと集計!H129+届出事由・区分・届出年月日ごと集計!H130</f>
        <v>45</v>
      </c>
      <c r="J26" s="118">
        <f>届出事由・区分・届出年月日ごと集計!I129+届出事由・区分・届出年月日ごと集計!I130</f>
        <v>11</v>
      </c>
      <c r="K26" s="118">
        <f>届出事由・区分・届出年月日ごと集計!J129+届出事由・区分・届出年月日ごと集計!J130</f>
        <v>0</v>
      </c>
      <c r="L26" s="118">
        <f>届出事由・区分・届出年月日ごと集計!K129+届出事由・区分・届出年月日ごと集計!K130</f>
        <v>0</v>
      </c>
      <c r="M26" s="118">
        <f>届出事由・区分・届出年月日ごと集計!L129+届出事由・区分・届出年月日ごと集計!L130</f>
        <v>0</v>
      </c>
      <c r="N26" s="118">
        <f>届出事由・区分・届出年月日ごと集計!M129+届出事由・区分・届出年月日ごと集計!M130</f>
        <v>0</v>
      </c>
      <c r="O26" s="118">
        <f>届出事由・区分・届出年月日ごと集計!N129+届出事由・区分・届出年月日ごと集計!N130</f>
        <v>0</v>
      </c>
      <c r="P26" s="118">
        <f>届出事由・区分・届出年月日ごと集計!O129+届出事由・区分・届出年月日ごと集計!O130</f>
        <v>0</v>
      </c>
      <c r="Q26" s="118">
        <f>届出事由・区分・届出年月日ごと集計!P129+届出事由・区分・届出年月日ごと集計!P130</f>
        <v>0</v>
      </c>
      <c r="R26" s="118">
        <f>届出事由・区分・届出年月日ごと集計!Q129+届出事由・区分・届出年月日ごと集計!Q130</f>
        <v>0</v>
      </c>
      <c r="S26" s="118">
        <f>届出事由・区分・届出年月日ごと集計!R129+届出事由・区分・届出年月日ごと集計!R130</f>
        <v>0</v>
      </c>
      <c r="T26" s="118">
        <f>届出事由・区分・届出年月日ごと集計!S129+届出事由・区分・届出年月日ごと集計!S130</f>
        <v>0</v>
      </c>
      <c r="U26" s="118">
        <f>届出事由・区分・届出年月日ごと集計!T129+届出事由・区分・届出年月日ごと集計!T130</f>
        <v>0</v>
      </c>
      <c r="V26" s="120"/>
    </row>
    <row r="27" spans="1:22" x14ac:dyDescent="0.4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</row>
  </sheetData>
  <mergeCells count="16">
    <mergeCell ref="E6:E7"/>
    <mergeCell ref="B23:D23"/>
    <mergeCell ref="B24:D24"/>
    <mergeCell ref="B25:D25"/>
    <mergeCell ref="B26:D26"/>
    <mergeCell ref="B6:D6"/>
    <mergeCell ref="B8:B11"/>
    <mergeCell ref="C8:C9"/>
    <mergeCell ref="C10:C11"/>
    <mergeCell ref="C12:C13"/>
    <mergeCell ref="C14:C15"/>
    <mergeCell ref="C16:C17"/>
    <mergeCell ref="C18:C19"/>
    <mergeCell ref="C20:C21"/>
    <mergeCell ref="B12:B21"/>
    <mergeCell ref="B22:D22"/>
  </mergeCells>
  <phoneticPr fontId="1"/>
  <conditionalFormatting sqref="G8:U26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0E31-4E61-4DAD-82D9-15362E78E32B}">
  <sheetPr>
    <pageSetUpPr fitToPage="1"/>
  </sheetPr>
  <dimension ref="A1:N104"/>
  <sheetViews>
    <sheetView view="pageBreakPreview" zoomScaleNormal="100" zoomScaleSheetLayoutView="100" workbookViewId="0">
      <pane ySplit="4" topLeftCell="A41" activePane="bottomLeft" state="frozen"/>
      <selection pane="bottomLeft"/>
    </sheetView>
  </sheetViews>
  <sheetFormatPr defaultRowHeight="18.75" x14ac:dyDescent="0.4"/>
  <cols>
    <col min="1" max="1" width="9.125" style="40" bestFit="1" customWidth="1"/>
    <col min="2" max="2" width="9.75" style="39" customWidth="1"/>
    <col min="3" max="5" width="9" style="39"/>
    <col min="6" max="6" width="4.625" style="39" customWidth="1"/>
    <col min="7" max="7" width="27.125" style="39" customWidth="1"/>
    <col min="8" max="8" width="8.5" style="39" customWidth="1"/>
    <col min="9" max="9" width="16.75" style="39" customWidth="1"/>
    <col min="10" max="10" width="5.625" style="39" customWidth="1"/>
    <col min="11" max="11" width="33.875" style="39" customWidth="1"/>
    <col min="12" max="16384" width="9" style="39"/>
  </cols>
  <sheetData>
    <row r="1" spans="1:12" ht="19.5" x14ac:dyDescent="0.4">
      <c r="A1" s="38" t="s">
        <v>358</v>
      </c>
    </row>
    <row r="3" spans="1:12" x14ac:dyDescent="0.4">
      <c r="F3" s="141" t="s">
        <v>359</v>
      </c>
      <c r="G3" s="142"/>
      <c r="H3" s="142"/>
      <c r="I3" s="143"/>
      <c r="J3" s="144" t="s">
        <v>360</v>
      </c>
      <c r="K3" s="145"/>
    </row>
    <row r="4" spans="1:12" s="46" customFormat="1" x14ac:dyDescent="0.4">
      <c r="A4" s="41" t="s">
        <v>361</v>
      </c>
      <c r="B4" s="42" t="s">
        <v>105</v>
      </c>
      <c r="C4" s="42" t="s">
        <v>362</v>
      </c>
      <c r="D4" s="43" t="s">
        <v>363</v>
      </c>
      <c r="E4" s="43" t="s">
        <v>106</v>
      </c>
      <c r="F4" s="44" t="s">
        <v>364</v>
      </c>
      <c r="G4" s="44" t="s">
        <v>365</v>
      </c>
      <c r="H4" s="44" t="s">
        <v>366</v>
      </c>
      <c r="I4" s="44" t="s">
        <v>367</v>
      </c>
      <c r="J4" s="45" t="s">
        <v>364</v>
      </c>
      <c r="K4" s="45" t="s">
        <v>368</v>
      </c>
    </row>
    <row r="5" spans="1:12" s="46" customFormat="1" ht="25.5" customHeight="1" x14ac:dyDescent="0.4">
      <c r="A5" s="47">
        <v>1031089</v>
      </c>
      <c r="B5" s="48" t="s">
        <v>369</v>
      </c>
      <c r="C5" s="48" t="s">
        <v>370</v>
      </c>
      <c r="D5" s="49" t="s">
        <v>371</v>
      </c>
      <c r="E5" s="49" t="s">
        <v>111</v>
      </c>
      <c r="F5" s="48">
        <v>54</v>
      </c>
      <c r="G5" s="48" t="s">
        <v>372</v>
      </c>
      <c r="H5" s="48" t="s">
        <v>373</v>
      </c>
      <c r="I5" s="48" t="s">
        <v>374</v>
      </c>
      <c r="J5" s="48">
        <v>1</v>
      </c>
      <c r="K5" s="48" t="s">
        <v>375</v>
      </c>
    </row>
    <row r="6" spans="1:12" s="52" customFormat="1" ht="25.5" customHeight="1" x14ac:dyDescent="0.4">
      <c r="A6" s="48">
        <v>1011109</v>
      </c>
      <c r="B6" s="48" t="s">
        <v>376</v>
      </c>
      <c r="C6" s="48" t="s">
        <v>377</v>
      </c>
      <c r="D6" s="48" t="s">
        <v>378</v>
      </c>
      <c r="E6" s="48" t="s">
        <v>111</v>
      </c>
      <c r="F6" s="48">
        <v>52</v>
      </c>
      <c r="G6" s="48" t="s">
        <v>379</v>
      </c>
      <c r="H6" s="48" t="s">
        <v>373</v>
      </c>
      <c r="I6" s="48" t="s">
        <v>380</v>
      </c>
      <c r="J6" s="50">
        <v>7</v>
      </c>
      <c r="K6" s="48" t="s">
        <v>381</v>
      </c>
      <c r="L6" s="51"/>
    </row>
    <row r="7" spans="1:12" s="52" customFormat="1" ht="25.5" customHeight="1" x14ac:dyDescent="0.4">
      <c r="A7" s="48">
        <v>1081374</v>
      </c>
      <c r="B7" s="48" t="s">
        <v>382</v>
      </c>
      <c r="C7" s="48" t="s">
        <v>383</v>
      </c>
      <c r="D7" s="48" t="s">
        <v>384</v>
      </c>
      <c r="E7" s="48" t="s">
        <v>111</v>
      </c>
      <c r="F7" s="48">
        <v>53</v>
      </c>
      <c r="G7" s="48" t="s">
        <v>385</v>
      </c>
      <c r="H7" s="48" t="s">
        <v>373</v>
      </c>
      <c r="I7" s="48" t="s">
        <v>380</v>
      </c>
      <c r="J7" s="50">
        <v>8</v>
      </c>
      <c r="K7" s="48" t="s">
        <v>386</v>
      </c>
      <c r="L7" s="51"/>
    </row>
    <row r="8" spans="1:12" s="52" customFormat="1" ht="25.5" customHeight="1" x14ac:dyDescent="0.4">
      <c r="A8" s="48">
        <v>1071227</v>
      </c>
      <c r="B8" s="48" t="s">
        <v>387</v>
      </c>
      <c r="C8" s="48" t="s">
        <v>388</v>
      </c>
      <c r="D8" s="48" t="s">
        <v>389</v>
      </c>
      <c r="E8" s="48" t="s">
        <v>111</v>
      </c>
      <c r="F8" s="48">
        <v>52</v>
      </c>
      <c r="G8" s="48" t="s">
        <v>390</v>
      </c>
      <c r="H8" s="48"/>
      <c r="I8" s="48"/>
      <c r="J8" s="50">
        <v>10</v>
      </c>
      <c r="K8" s="48" t="s">
        <v>391</v>
      </c>
      <c r="L8" s="51"/>
    </row>
    <row r="9" spans="1:12" s="52" customFormat="1" ht="25.5" customHeight="1" x14ac:dyDescent="0.4">
      <c r="A9" s="48">
        <v>1161458</v>
      </c>
      <c r="B9" s="48" t="s">
        <v>392</v>
      </c>
      <c r="C9" s="48" t="s">
        <v>393</v>
      </c>
      <c r="D9" s="48" t="s">
        <v>394</v>
      </c>
      <c r="E9" s="48" t="s">
        <v>111</v>
      </c>
      <c r="F9" s="48">
        <v>53</v>
      </c>
      <c r="G9" s="48" t="s">
        <v>395</v>
      </c>
      <c r="H9" s="48"/>
      <c r="I9" s="48"/>
      <c r="J9" s="50">
        <v>10</v>
      </c>
      <c r="K9" s="48" t="s">
        <v>396</v>
      </c>
      <c r="L9" s="51"/>
    </row>
    <row r="10" spans="1:12" s="52" customFormat="1" ht="25.5" customHeight="1" x14ac:dyDescent="0.4">
      <c r="A10" s="48">
        <v>1101265</v>
      </c>
      <c r="B10" s="48" t="s">
        <v>397</v>
      </c>
      <c r="C10" s="48" t="s">
        <v>398</v>
      </c>
      <c r="D10" s="48" t="s">
        <v>399</v>
      </c>
      <c r="E10" s="48" t="s">
        <v>111</v>
      </c>
      <c r="F10" s="48">
        <v>54</v>
      </c>
      <c r="G10" s="48" t="s">
        <v>400</v>
      </c>
      <c r="H10" s="48" t="s">
        <v>373</v>
      </c>
      <c r="I10" s="48" t="s">
        <v>401</v>
      </c>
      <c r="J10" s="50">
        <v>11</v>
      </c>
      <c r="K10" s="48" t="s">
        <v>402</v>
      </c>
      <c r="L10" s="51"/>
    </row>
    <row r="11" spans="1:12" s="52" customFormat="1" ht="25.5" customHeight="1" x14ac:dyDescent="0.4">
      <c r="A11" s="48">
        <v>1111165</v>
      </c>
      <c r="B11" s="48" t="s">
        <v>403</v>
      </c>
      <c r="C11" s="48" t="s">
        <v>404</v>
      </c>
      <c r="D11" s="48" t="s">
        <v>405</v>
      </c>
      <c r="E11" s="48" t="s">
        <v>111</v>
      </c>
      <c r="F11" s="48">
        <v>53</v>
      </c>
      <c r="G11" s="48" t="s">
        <v>406</v>
      </c>
      <c r="H11" s="48"/>
      <c r="I11" s="48"/>
      <c r="J11" s="50">
        <v>11</v>
      </c>
      <c r="K11" s="48" t="s">
        <v>407</v>
      </c>
      <c r="L11" s="51"/>
    </row>
    <row r="12" spans="1:12" s="52" customFormat="1" ht="25.5" customHeight="1" x14ac:dyDescent="0.4">
      <c r="A12" s="48">
        <v>960179</v>
      </c>
      <c r="B12" s="48" t="s">
        <v>408</v>
      </c>
      <c r="C12" s="48" t="s">
        <v>409</v>
      </c>
      <c r="D12" s="48" t="s">
        <v>410</v>
      </c>
      <c r="E12" s="48" t="s">
        <v>111</v>
      </c>
      <c r="F12" s="48">
        <v>54</v>
      </c>
      <c r="G12" s="48" t="s">
        <v>411</v>
      </c>
      <c r="H12" s="48"/>
      <c r="I12" s="48"/>
      <c r="J12" s="50">
        <v>11</v>
      </c>
      <c r="K12" s="48" t="s">
        <v>412</v>
      </c>
      <c r="L12" s="51"/>
    </row>
    <row r="13" spans="1:12" s="52" customFormat="1" ht="25.5" customHeight="1" x14ac:dyDescent="0.4">
      <c r="A13" s="48">
        <v>950199</v>
      </c>
      <c r="B13" s="48" t="s">
        <v>413</v>
      </c>
      <c r="C13" s="48" t="s">
        <v>414</v>
      </c>
      <c r="D13" s="48" t="s">
        <v>415</v>
      </c>
      <c r="E13" s="48" t="s">
        <v>111</v>
      </c>
      <c r="F13" s="48">
        <v>54</v>
      </c>
      <c r="G13" s="48" t="s">
        <v>416</v>
      </c>
      <c r="H13" s="48"/>
      <c r="I13" s="48"/>
      <c r="J13" s="50">
        <v>11</v>
      </c>
      <c r="K13" s="48" t="s">
        <v>417</v>
      </c>
      <c r="L13" s="51"/>
    </row>
    <row r="14" spans="1:12" s="52" customFormat="1" ht="25.5" customHeight="1" x14ac:dyDescent="0.4">
      <c r="A14" s="48">
        <v>1022517</v>
      </c>
      <c r="B14" s="48" t="s">
        <v>418</v>
      </c>
      <c r="C14" s="48" t="s">
        <v>419</v>
      </c>
      <c r="D14" s="48" t="s">
        <v>420</v>
      </c>
      <c r="E14" s="48" t="s">
        <v>161</v>
      </c>
      <c r="F14" s="48">
        <v>54</v>
      </c>
      <c r="G14" s="48" t="s">
        <v>421</v>
      </c>
      <c r="H14" s="48"/>
      <c r="I14" s="48"/>
      <c r="J14" s="50">
        <v>11</v>
      </c>
      <c r="K14" s="48" t="s">
        <v>422</v>
      </c>
      <c r="L14" s="51"/>
    </row>
    <row r="15" spans="1:12" s="52" customFormat="1" ht="25.5" customHeight="1" x14ac:dyDescent="0.4">
      <c r="A15" s="48">
        <v>1041073</v>
      </c>
      <c r="B15" s="48" t="s">
        <v>423</v>
      </c>
      <c r="C15" s="48" t="s">
        <v>424</v>
      </c>
      <c r="D15" s="48" t="s">
        <v>425</v>
      </c>
      <c r="E15" s="48" t="s">
        <v>111</v>
      </c>
      <c r="F15" s="48">
        <v>52</v>
      </c>
      <c r="G15" s="48" t="s">
        <v>426</v>
      </c>
      <c r="H15" s="48"/>
      <c r="I15" s="48"/>
      <c r="J15" s="50">
        <v>12</v>
      </c>
      <c r="K15" s="48" t="s">
        <v>427</v>
      </c>
      <c r="L15" s="51"/>
    </row>
    <row r="16" spans="1:12" s="52" customFormat="1" ht="25.5" customHeight="1" x14ac:dyDescent="0.4">
      <c r="A16" s="48">
        <v>971077</v>
      </c>
      <c r="B16" s="48" t="s">
        <v>428</v>
      </c>
      <c r="C16" s="48" t="s">
        <v>429</v>
      </c>
      <c r="D16" s="48" t="s">
        <v>430</v>
      </c>
      <c r="E16" s="48" t="s">
        <v>111</v>
      </c>
      <c r="F16" s="48">
        <v>53</v>
      </c>
      <c r="G16" s="48" t="s">
        <v>431</v>
      </c>
      <c r="H16" s="48"/>
      <c r="I16" s="48"/>
      <c r="J16" s="50">
        <v>14</v>
      </c>
      <c r="K16" s="48" t="s">
        <v>432</v>
      </c>
      <c r="L16" s="51"/>
    </row>
    <row r="17" spans="1:14" s="52" customFormat="1" ht="25.5" customHeight="1" x14ac:dyDescent="0.4">
      <c r="A17" s="53">
        <v>930543</v>
      </c>
      <c r="B17" s="53" t="s">
        <v>433</v>
      </c>
      <c r="C17" s="53" t="s">
        <v>434</v>
      </c>
      <c r="D17" s="53" t="s">
        <v>435</v>
      </c>
      <c r="E17" s="48" t="s">
        <v>161</v>
      </c>
      <c r="F17" s="53">
        <v>52</v>
      </c>
      <c r="G17" s="53" t="s">
        <v>436</v>
      </c>
      <c r="H17" s="53" t="s">
        <v>373</v>
      </c>
      <c r="I17" s="54" t="s">
        <v>437</v>
      </c>
      <c r="J17" s="50">
        <v>14</v>
      </c>
      <c r="K17" s="54" t="s">
        <v>438</v>
      </c>
      <c r="L17" s="51"/>
    </row>
    <row r="18" spans="1:14" s="55" customFormat="1" ht="27.75" customHeight="1" x14ac:dyDescent="0.4">
      <c r="A18" s="53">
        <v>1162098</v>
      </c>
      <c r="B18" s="53" t="s">
        <v>439</v>
      </c>
      <c r="C18" s="53" t="s">
        <v>440</v>
      </c>
      <c r="D18" s="53" t="s">
        <v>441</v>
      </c>
      <c r="E18" s="48" t="s">
        <v>161</v>
      </c>
      <c r="F18" s="53">
        <v>54</v>
      </c>
      <c r="G18" s="53" t="s">
        <v>442</v>
      </c>
      <c r="H18" s="53"/>
      <c r="I18" s="54"/>
      <c r="J18" s="50">
        <v>15</v>
      </c>
      <c r="K18" s="54" t="s">
        <v>443</v>
      </c>
      <c r="L18" s="51"/>
      <c r="M18" s="52"/>
      <c r="N18" s="52"/>
    </row>
    <row r="19" spans="1:14" s="55" customFormat="1" ht="27.75" customHeight="1" x14ac:dyDescent="0.4">
      <c r="A19" s="56">
        <v>940377</v>
      </c>
      <c r="B19" s="57" t="s">
        <v>444</v>
      </c>
      <c r="C19" s="57" t="s">
        <v>445</v>
      </c>
      <c r="D19" s="57" t="s">
        <v>446</v>
      </c>
      <c r="E19" s="57" t="s">
        <v>161</v>
      </c>
      <c r="F19" s="57">
        <v>52</v>
      </c>
      <c r="G19" s="50" t="s">
        <v>447</v>
      </c>
      <c r="H19" s="57"/>
      <c r="I19" s="57"/>
      <c r="J19" s="57">
        <v>15</v>
      </c>
      <c r="K19" s="50" t="s">
        <v>448</v>
      </c>
      <c r="L19" s="51"/>
      <c r="M19" s="52"/>
      <c r="N19" s="52"/>
    </row>
    <row r="20" spans="1:14" s="55" customFormat="1" ht="27.75" customHeight="1" x14ac:dyDescent="0.4">
      <c r="A20" s="56">
        <v>1021027</v>
      </c>
      <c r="B20" s="57" t="s">
        <v>449</v>
      </c>
      <c r="C20" s="57" t="s">
        <v>450</v>
      </c>
      <c r="D20" s="57" t="s">
        <v>451</v>
      </c>
      <c r="E20" s="57" t="s">
        <v>111</v>
      </c>
      <c r="F20" s="57">
        <v>53</v>
      </c>
      <c r="G20" s="50" t="s">
        <v>452</v>
      </c>
      <c r="H20" s="57"/>
      <c r="I20" s="57"/>
      <c r="J20" s="57">
        <v>15</v>
      </c>
      <c r="K20" s="50" t="s">
        <v>448</v>
      </c>
      <c r="L20" s="51"/>
      <c r="M20" s="52"/>
      <c r="N20" s="52"/>
    </row>
    <row r="21" spans="1:14" s="55" customFormat="1" ht="27.75" customHeight="1" x14ac:dyDescent="0.4">
      <c r="A21" s="56">
        <v>940368</v>
      </c>
      <c r="B21" s="57" t="s">
        <v>453</v>
      </c>
      <c r="C21" s="57" t="s">
        <v>454</v>
      </c>
      <c r="D21" s="57" t="s">
        <v>455</v>
      </c>
      <c r="E21" s="57" t="s">
        <v>161</v>
      </c>
      <c r="F21" s="57">
        <v>52</v>
      </c>
      <c r="G21" s="50" t="s">
        <v>456</v>
      </c>
      <c r="H21" s="57"/>
      <c r="I21" s="57"/>
      <c r="J21" s="57">
        <v>31</v>
      </c>
      <c r="K21" s="50" t="s">
        <v>457</v>
      </c>
      <c r="L21" s="51"/>
      <c r="M21" s="52"/>
      <c r="N21" s="52"/>
    </row>
    <row r="22" spans="1:14" s="55" customFormat="1" ht="27.75" customHeight="1" x14ac:dyDescent="0.4">
      <c r="A22" s="56">
        <v>1122131</v>
      </c>
      <c r="B22" s="57" t="s">
        <v>458</v>
      </c>
      <c r="C22" s="57" t="s">
        <v>459</v>
      </c>
      <c r="D22" s="57" t="s">
        <v>460</v>
      </c>
      <c r="E22" s="57" t="s">
        <v>161</v>
      </c>
      <c r="F22" s="57">
        <v>54</v>
      </c>
      <c r="G22" s="50" t="s">
        <v>461</v>
      </c>
      <c r="H22" s="57" t="s">
        <v>373</v>
      </c>
      <c r="I22" s="57" t="s">
        <v>462</v>
      </c>
      <c r="J22" s="57">
        <v>31</v>
      </c>
      <c r="K22" s="50" t="s">
        <v>463</v>
      </c>
      <c r="L22" s="51"/>
      <c r="M22" s="52"/>
      <c r="N22" s="52"/>
    </row>
    <row r="23" spans="1:14" s="55" customFormat="1" ht="27.75" customHeight="1" x14ac:dyDescent="0.4">
      <c r="A23" s="56">
        <v>971046</v>
      </c>
      <c r="B23" s="57" t="s">
        <v>464</v>
      </c>
      <c r="C23" s="57" t="s">
        <v>465</v>
      </c>
      <c r="D23" s="57" t="s">
        <v>466</v>
      </c>
      <c r="E23" s="57" t="s">
        <v>111</v>
      </c>
      <c r="F23" s="57">
        <v>53</v>
      </c>
      <c r="G23" s="50" t="s">
        <v>467</v>
      </c>
      <c r="H23" s="57"/>
      <c r="I23" s="57"/>
      <c r="J23" s="57">
        <v>33</v>
      </c>
      <c r="K23" s="50" t="s">
        <v>468</v>
      </c>
      <c r="L23" s="51"/>
    </row>
    <row r="24" spans="1:14" s="55" customFormat="1" ht="27.75" customHeight="1" x14ac:dyDescent="0.4">
      <c r="A24" s="56">
        <v>1071075</v>
      </c>
      <c r="B24" s="57" t="s">
        <v>469</v>
      </c>
      <c r="C24" s="57" t="s">
        <v>470</v>
      </c>
      <c r="D24" s="57" t="s">
        <v>471</v>
      </c>
      <c r="E24" s="57" t="s">
        <v>111</v>
      </c>
      <c r="F24" s="57">
        <v>54</v>
      </c>
      <c r="G24" s="50" t="s">
        <v>472</v>
      </c>
      <c r="H24" s="57" t="s">
        <v>373</v>
      </c>
      <c r="I24" s="57" t="s">
        <v>473</v>
      </c>
      <c r="J24" s="57">
        <v>33</v>
      </c>
      <c r="K24" s="50" t="s">
        <v>474</v>
      </c>
      <c r="L24" s="51"/>
      <c r="M24" s="52"/>
      <c r="N24" s="52"/>
    </row>
    <row r="25" spans="1:14" s="55" customFormat="1" ht="27.75" customHeight="1" x14ac:dyDescent="0.4">
      <c r="A25" s="56">
        <v>982002</v>
      </c>
      <c r="B25" s="57" t="s">
        <v>475</v>
      </c>
      <c r="C25" s="57" t="s">
        <v>476</v>
      </c>
      <c r="D25" s="57" t="s">
        <v>477</v>
      </c>
      <c r="E25" s="57" t="s">
        <v>161</v>
      </c>
      <c r="F25" s="57">
        <v>52</v>
      </c>
      <c r="G25" s="50" t="s">
        <v>478</v>
      </c>
      <c r="H25" s="57"/>
      <c r="I25" s="57"/>
      <c r="J25" s="57">
        <v>33</v>
      </c>
      <c r="K25" s="50" t="s">
        <v>479</v>
      </c>
      <c r="L25" s="51"/>
      <c r="M25" s="52"/>
      <c r="N25" s="52"/>
    </row>
    <row r="26" spans="1:14" s="55" customFormat="1" ht="27.75" customHeight="1" x14ac:dyDescent="0.4">
      <c r="A26" s="56">
        <v>996135</v>
      </c>
      <c r="B26" s="57" t="s">
        <v>480</v>
      </c>
      <c r="C26" s="57" t="s">
        <v>481</v>
      </c>
      <c r="D26" s="57" t="s">
        <v>482</v>
      </c>
      <c r="E26" s="57" t="s">
        <v>111</v>
      </c>
      <c r="F26" s="57">
        <v>52</v>
      </c>
      <c r="G26" s="50" t="s">
        <v>483</v>
      </c>
      <c r="H26" s="57"/>
      <c r="I26" s="57"/>
      <c r="J26" s="57">
        <v>34</v>
      </c>
      <c r="K26" s="50" t="s">
        <v>484</v>
      </c>
      <c r="L26" s="51"/>
    </row>
    <row r="27" spans="1:14" s="55" customFormat="1" ht="27.75" customHeight="1" x14ac:dyDescent="0.4">
      <c r="A27" s="56">
        <v>991233</v>
      </c>
      <c r="B27" s="57" t="s">
        <v>485</v>
      </c>
      <c r="C27" s="57" t="s">
        <v>486</v>
      </c>
      <c r="D27" s="57" t="s">
        <v>487</v>
      </c>
      <c r="E27" s="57" t="s">
        <v>111</v>
      </c>
      <c r="F27" s="57">
        <v>52</v>
      </c>
      <c r="G27" s="50" t="s">
        <v>488</v>
      </c>
      <c r="H27" s="57"/>
      <c r="I27" s="57"/>
      <c r="J27" s="57">
        <v>37</v>
      </c>
      <c r="K27" s="50" t="s">
        <v>489</v>
      </c>
      <c r="L27" s="51"/>
    </row>
    <row r="28" spans="1:14" s="55" customFormat="1" ht="27.75" customHeight="1" x14ac:dyDescent="0.4">
      <c r="A28" s="56">
        <v>1071340</v>
      </c>
      <c r="B28" s="57" t="s">
        <v>490</v>
      </c>
      <c r="C28" s="57" t="s">
        <v>491</v>
      </c>
      <c r="D28" s="57" t="s">
        <v>492</v>
      </c>
      <c r="E28" s="57" t="s">
        <v>111</v>
      </c>
      <c r="F28" s="57">
        <v>52</v>
      </c>
      <c r="G28" s="50" t="s">
        <v>493</v>
      </c>
      <c r="H28" s="57"/>
      <c r="I28" s="57"/>
      <c r="J28" s="57">
        <v>38</v>
      </c>
      <c r="K28" s="50" t="s">
        <v>494</v>
      </c>
      <c r="L28" s="51"/>
    </row>
    <row r="29" spans="1:14" s="55" customFormat="1" ht="27.75" customHeight="1" x14ac:dyDescent="0.4">
      <c r="A29" s="56">
        <v>1101245</v>
      </c>
      <c r="B29" s="57" t="s">
        <v>495</v>
      </c>
      <c r="C29" s="57" t="s">
        <v>496</v>
      </c>
      <c r="D29" s="57" t="s">
        <v>497</v>
      </c>
      <c r="E29" s="57" t="s">
        <v>111</v>
      </c>
      <c r="F29" s="57">
        <v>53</v>
      </c>
      <c r="G29" s="50" t="s">
        <v>498</v>
      </c>
      <c r="H29" s="57"/>
      <c r="I29" s="57"/>
      <c r="J29" s="57">
        <v>38</v>
      </c>
      <c r="K29" s="50" t="s">
        <v>499</v>
      </c>
      <c r="L29" s="51"/>
      <c r="M29" s="52"/>
      <c r="N29" s="52"/>
    </row>
    <row r="30" spans="1:14" s="55" customFormat="1" ht="27.75" customHeight="1" x14ac:dyDescent="0.4">
      <c r="A30" s="56">
        <v>910498</v>
      </c>
      <c r="B30" s="57" t="s">
        <v>500</v>
      </c>
      <c r="C30" s="57" t="s">
        <v>501</v>
      </c>
      <c r="D30" s="57" t="s">
        <v>502</v>
      </c>
      <c r="E30" s="57" t="s">
        <v>111</v>
      </c>
      <c r="F30" s="57">
        <v>52</v>
      </c>
      <c r="G30" s="50" t="s">
        <v>503</v>
      </c>
      <c r="H30" s="57"/>
      <c r="I30" s="57"/>
      <c r="J30" s="57">
        <v>38</v>
      </c>
      <c r="K30" s="50" t="s">
        <v>504</v>
      </c>
      <c r="L30" s="51"/>
      <c r="M30" s="52"/>
      <c r="N30" s="52"/>
    </row>
    <row r="31" spans="1:14" s="55" customFormat="1" ht="27.75" customHeight="1" x14ac:dyDescent="0.4">
      <c r="A31" s="56">
        <v>971001</v>
      </c>
      <c r="B31" s="57" t="s">
        <v>505</v>
      </c>
      <c r="C31" s="57" t="s">
        <v>506</v>
      </c>
      <c r="D31" s="57" t="s">
        <v>507</v>
      </c>
      <c r="E31" s="57" t="s">
        <v>111</v>
      </c>
      <c r="F31" s="57">
        <v>52</v>
      </c>
      <c r="G31" s="50" t="s">
        <v>508</v>
      </c>
      <c r="H31" s="57"/>
      <c r="I31" s="57"/>
      <c r="J31" s="57">
        <v>42</v>
      </c>
      <c r="K31" s="50" t="s">
        <v>509</v>
      </c>
      <c r="L31" s="51"/>
    </row>
    <row r="32" spans="1:14" s="55" customFormat="1" ht="27.75" customHeight="1" x14ac:dyDescent="0.4">
      <c r="A32" s="56">
        <v>1018044</v>
      </c>
      <c r="B32" s="57" t="s">
        <v>510</v>
      </c>
      <c r="C32" s="57" t="s">
        <v>511</v>
      </c>
      <c r="D32" s="57" t="s">
        <v>512</v>
      </c>
      <c r="E32" s="57" t="s">
        <v>111</v>
      </c>
      <c r="F32" s="57">
        <v>53</v>
      </c>
      <c r="G32" s="50" t="s">
        <v>513</v>
      </c>
      <c r="H32" s="57" t="s">
        <v>373</v>
      </c>
      <c r="I32" s="57" t="s">
        <v>514</v>
      </c>
      <c r="J32" s="57">
        <v>45</v>
      </c>
      <c r="K32" s="50" t="s">
        <v>515</v>
      </c>
      <c r="L32" s="51"/>
      <c r="M32" s="52"/>
      <c r="N32" s="52"/>
    </row>
    <row r="33" spans="1:14" s="55" customFormat="1" ht="27.75" customHeight="1" x14ac:dyDescent="0.4">
      <c r="A33" s="56">
        <v>930527</v>
      </c>
      <c r="B33" s="57" t="s">
        <v>516</v>
      </c>
      <c r="C33" s="57" t="s">
        <v>517</v>
      </c>
      <c r="D33" s="57" t="s">
        <v>518</v>
      </c>
      <c r="E33" s="57" t="s">
        <v>111</v>
      </c>
      <c r="F33" s="57">
        <v>52</v>
      </c>
      <c r="G33" s="50" t="s">
        <v>519</v>
      </c>
      <c r="H33" s="57"/>
      <c r="I33" s="57"/>
      <c r="J33" s="57">
        <v>45</v>
      </c>
      <c r="K33" s="50" t="s">
        <v>520</v>
      </c>
      <c r="L33" s="51"/>
    </row>
    <row r="34" spans="1:14" s="55" customFormat="1" ht="27.75" customHeight="1" x14ac:dyDescent="0.4">
      <c r="A34" s="56">
        <v>910588</v>
      </c>
      <c r="B34" s="57" t="s">
        <v>521</v>
      </c>
      <c r="C34" s="57" t="s">
        <v>522</v>
      </c>
      <c r="D34" s="57" t="s">
        <v>523</v>
      </c>
      <c r="E34" s="57" t="s">
        <v>111</v>
      </c>
      <c r="F34" s="57">
        <v>52</v>
      </c>
      <c r="G34" s="50" t="s">
        <v>524</v>
      </c>
      <c r="H34" s="57"/>
      <c r="I34" s="57"/>
      <c r="J34" s="57">
        <v>46</v>
      </c>
      <c r="K34" s="50" t="s">
        <v>525</v>
      </c>
      <c r="L34" s="51"/>
    </row>
    <row r="35" spans="1:14" s="55" customFormat="1" ht="27.75" customHeight="1" x14ac:dyDescent="0.4">
      <c r="A35" s="56">
        <v>991046</v>
      </c>
      <c r="B35" s="57" t="s">
        <v>526</v>
      </c>
      <c r="C35" s="57" t="s">
        <v>527</v>
      </c>
      <c r="D35" s="57" t="s">
        <v>528</v>
      </c>
      <c r="E35" s="57" t="s">
        <v>111</v>
      </c>
      <c r="F35" s="57">
        <v>52</v>
      </c>
      <c r="G35" s="50" t="s">
        <v>529</v>
      </c>
      <c r="H35" s="57"/>
      <c r="I35" s="57"/>
      <c r="J35" s="57">
        <v>51</v>
      </c>
      <c r="K35" s="50" t="s">
        <v>530</v>
      </c>
      <c r="L35" s="51"/>
    </row>
    <row r="36" spans="1:14" s="55" customFormat="1" ht="27.75" customHeight="1" x14ac:dyDescent="0.4">
      <c r="A36" s="56">
        <v>900246</v>
      </c>
      <c r="B36" s="57" t="s">
        <v>531</v>
      </c>
      <c r="C36" s="57" t="s">
        <v>532</v>
      </c>
      <c r="D36" s="57" t="s">
        <v>533</v>
      </c>
      <c r="E36" s="57" t="s">
        <v>111</v>
      </c>
      <c r="F36" s="57">
        <v>53</v>
      </c>
      <c r="G36" s="50" t="s">
        <v>534</v>
      </c>
      <c r="H36" s="57" t="s">
        <v>373</v>
      </c>
      <c r="I36" s="57" t="s">
        <v>374</v>
      </c>
      <c r="J36" s="57">
        <v>61</v>
      </c>
      <c r="K36" s="50" t="s">
        <v>535</v>
      </c>
      <c r="L36" s="51"/>
    </row>
    <row r="37" spans="1:14" s="55" customFormat="1" ht="27.75" customHeight="1" x14ac:dyDescent="0.4">
      <c r="A37" s="56">
        <v>900433</v>
      </c>
      <c r="B37" s="57" t="s">
        <v>536</v>
      </c>
      <c r="C37" s="57" t="s">
        <v>537</v>
      </c>
      <c r="D37" s="57" t="s">
        <v>538</v>
      </c>
      <c r="E37" s="57" t="s">
        <v>111</v>
      </c>
      <c r="F37" s="57">
        <v>54</v>
      </c>
      <c r="G37" s="50" t="s">
        <v>539</v>
      </c>
      <c r="H37" s="57" t="s">
        <v>373</v>
      </c>
      <c r="I37" s="57" t="s">
        <v>540</v>
      </c>
      <c r="J37" s="57">
        <v>71</v>
      </c>
      <c r="K37" s="50" t="s">
        <v>541</v>
      </c>
      <c r="L37" s="51"/>
      <c r="M37" s="52"/>
      <c r="N37" s="52"/>
    </row>
    <row r="38" spans="1:14" ht="27.75" customHeight="1" x14ac:dyDescent="0.4">
      <c r="A38" s="56">
        <v>1171092</v>
      </c>
      <c r="B38" s="57" t="s">
        <v>542</v>
      </c>
      <c r="C38" s="57" t="s">
        <v>543</v>
      </c>
      <c r="D38" s="57" t="s">
        <v>544</v>
      </c>
      <c r="E38" s="57" t="s">
        <v>111</v>
      </c>
      <c r="F38" s="57">
        <v>1</v>
      </c>
      <c r="G38" s="50" t="s">
        <v>545</v>
      </c>
      <c r="H38" s="57" t="s">
        <v>546</v>
      </c>
      <c r="I38" s="57" t="s">
        <v>547</v>
      </c>
      <c r="J38" s="57">
        <v>1</v>
      </c>
      <c r="K38" s="50" t="s">
        <v>548</v>
      </c>
    </row>
    <row r="39" spans="1:14" ht="27.75" customHeight="1" x14ac:dyDescent="0.4">
      <c r="A39" s="56">
        <v>1062009</v>
      </c>
      <c r="B39" s="57" t="s">
        <v>549</v>
      </c>
      <c r="C39" s="57" t="s">
        <v>550</v>
      </c>
      <c r="D39" s="57" t="s">
        <v>551</v>
      </c>
      <c r="E39" s="57" t="s">
        <v>161</v>
      </c>
      <c r="F39" s="57">
        <v>15</v>
      </c>
      <c r="G39" s="50" t="s">
        <v>552</v>
      </c>
      <c r="H39" s="57" t="s">
        <v>553</v>
      </c>
      <c r="I39" s="57" t="s">
        <v>554</v>
      </c>
      <c r="J39" s="57">
        <v>2</v>
      </c>
      <c r="K39" s="50" t="s">
        <v>555</v>
      </c>
    </row>
    <row r="40" spans="1:14" ht="27.75" customHeight="1" x14ac:dyDescent="0.4">
      <c r="A40" s="56">
        <v>1121127</v>
      </c>
      <c r="B40" s="57" t="s">
        <v>556</v>
      </c>
      <c r="C40" s="57" t="s">
        <v>557</v>
      </c>
      <c r="D40" s="57" t="s">
        <v>558</v>
      </c>
      <c r="E40" s="57" t="s">
        <v>111</v>
      </c>
      <c r="F40" s="57">
        <v>5</v>
      </c>
      <c r="G40" s="50" t="s">
        <v>559</v>
      </c>
      <c r="H40" s="57" t="s">
        <v>560</v>
      </c>
      <c r="I40" s="57" t="s">
        <v>561</v>
      </c>
      <c r="J40" s="57">
        <v>3</v>
      </c>
      <c r="K40" s="50" t="s">
        <v>562</v>
      </c>
    </row>
    <row r="41" spans="1:14" ht="27.75" customHeight="1" x14ac:dyDescent="0.4">
      <c r="A41" s="56">
        <v>1031033</v>
      </c>
      <c r="B41" s="57" t="s">
        <v>563</v>
      </c>
      <c r="C41" s="57" t="s">
        <v>517</v>
      </c>
      <c r="D41" s="57" t="s">
        <v>564</v>
      </c>
      <c r="E41" s="57" t="s">
        <v>111</v>
      </c>
      <c r="F41" s="57">
        <v>1</v>
      </c>
      <c r="G41" s="50" t="s">
        <v>565</v>
      </c>
      <c r="H41" s="57" t="s">
        <v>553</v>
      </c>
      <c r="I41" s="57" t="s">
        <v>566</v>
      </c>
      <c r="J41" s="57">
        <v>5</v>
      </c>
      <c r="K41" s="50" t="s">
        <v>567</v>
      </c>
    </row>
    <row r="42" spans="1:14" ht="27.75" customHeight="1" x14ac:dyDescent="0.4">
      <c r="A42" s="56">
        <v>991040</v>
      </c>
      <c r="B42" s="57" t="s">
        <v>568</v>
      </c>
      <c r="C42" s="57" t="s">
        <v>569</v>
      </c>
      <c r="D42" s="57" t="s">
        <v>570</v>
      </c>
      <c r="E42" s="57" t="s">
        <v>111</v>
      </c>
      <c r="F42" s="57">
        <v>1</v>
      </c>
      <c r="G42" s="50" t="s">
        <v>565</v>
      </c>
      <c r="H42" s="57" t="s">
        <v>553</v>
      </c>
      <c r="I42" s="57" t="s">
        <v>566</v>
      </c>
      <c r="J42" s="57">
        <v>7</v>
      </c>
      <c r="K42" s="50" t="s">
        <v>571</v>
      </c>
    </row>
    <row r="43" spans="1:14" ht="27.75" customHeight="1" x14ac:dyDescent="0.4">
      <c r="A43" s="56">
        <v>1200014</v>
      </c>
      <c r="B43" s="57" t="s">
        <v>572</v>
      </c>
      <c r="C43" s="57" t="s">
        <v>573</v>
      </c>
      <c r="D43" s="57" t="s">
        <v>574</v>
      </c>
      <c r="E43" s="57" t="s">
        <v>111</v>
      </c>
      <c r="F43" s="57">
        <v>7</v>
      </c>
      <c r="G43" s="50" t="s">
        <v>575</v>
      </c>
      <c r="H43" s="57" t="s">
        <v>560</v>
      </c>
      <c r="I43" s="57" t="s">
        <v>576</v>
      </c>
      <c r="J43" s="57">
        <v>7</v>
      </c>
      <c r="K43" s="50" t="s">
        <v>577</v>
      </c>
    </row>
    <row r="44" spans="1:14" ht="27.75" customHeight="1" x14ac:dyDescent="0.4">
      <c r="A44" s="56">
        <v>1031112</v>
      </c>
      <c r="B44" s="57" t="s">
        <v>578</v>
      </c>
      <c r="C44" s="57" t="s">
        <v>579</v>
      </c>
      <c r="D44" s="57" t="s">
        <v>580</v>
      </c>
      <c r="E44" s="57" t="s">
        <v>111</v>
      </c>
      <c r="F44" s="57">
        <v>5</v>
      </c>
      <c r="G44" s="50" t="s">
        <v>581</v>
      </c>
      <c r="H44" s="57" t="s">
        <v>560</v>
      </c>
      <c r="I44" s="57" t="s">
        <v>561</v>
      </c>
      <c r="J44" s="57">
        <v>7</v>
      </c>
      <c r="K44" s="50" t="s">
        <v>582</v>
      </c>
    </row>
    <row r="45" spans="1:14" ht="27.75" customHeight="1" x14ac:dyDescent="0.4">
      <c r="A45" s="56">
        <v>1011016</v>
      </c>
      <c r="B45" s="57" t="s">
        <v>583</v>
      </c>
      <c r="C45" s="57" t="s">
        <v>584</v>
      </c>
      <c r="D45" s="57" t="s">
        <v>585</v>
      </c>
      <c r="E45" s="57" t="s">
        <v>111</v>
      </c>
      <c r="F45" s="57">
        <v>8</v>
      </c>
      <c r="G45" s="50" t="s">
        <v>586</v>
      </c>
      <c r="H45" s="57" t="s">
        <v>587</v>
      </c>
      <c r="I45" s="57" t="s">
        <v>588</v>
      </c>
      <c r="J45" s="57">
        <v>8</v>
      </c>
      <c r="K45" s="50" t="s">
        <v>589</v>
      </c>
    </row>
    <row r="46" spans="1:14" ht="27.75" customHeight="1" x14ac:dyDescent="0.4">
      <c r="A46" s="56">
        <v>1091223</v>
      </c>
      <c r="B46" s="57" t="s">
        <v>590</v>
      </c>
      <c r="C46" s="57" t="s">
        <v>591</v>
      </c>
      <c r="D46" s="57" t="s">
        <v>592</v>
      </c>
      <c r="E46" s="57" t="s">
        <v>111</v>
      </c>
      <c r="F46" s="57">
        <v>71</v>
      </c>
      <c r="G46" s="50" t="s">
        <v>593</v>
      </c>
      <c r="H46" s="57" t="s">
        <v>553</v>
      </c>
      <c r="I46" s="57" t="s">
        <v>594</v>
      </c>
      <c r="J46" s="57">
        <v>8</v>
      </c>
      <c r="K46" s="50" t="s">
        <v>595</v>
      </c>
    </row>
    <row r="47" spans="1:14" ht="27.75" customHeight="1" x14ac:dyDescent="0.4">
      <c r="A47" s="56">
        <v>1001068</v>
      </c>
      <c r="B47" s="57" t="s">
        <v>596</v>
      </c>
      <c r="C47" s="57" t="s">
        <v>597</v>
      </c>
      <c r="D47" s="57" t="s">
        <v>598</v>
      </c>
      <c r="E47" s="57" t="s">
        <v>111</v>
      </c>
      <c r="F47" s="57">
        <v>10</v>
      </c>
      <c r="G47" s="50" t="s">
        <v>599</v>
      </c>
      <c r="H47" s="57" t="s">
        <v>600</v>
      </c>
      <c r="I47" s="57" t="s">
        <v>601</v>
      </c>
      <c r="J47" s="57">
        <v>10</v>
      </c>
      <c r="K47" s="50" t="s">
        <v>602</v>
      </c>
    </row>
    <row r="48" spans="1:14" ht="27.75" customHeight="1" x14ac:dyDescent="0.4">
      <c r="A48" s="56">
        <v>1173009</v>
      </c>
      <c r="B48" s="57" t="s">
        <v>603</v>
      </c>
      <c r="C48" s="57" t="s">
        <v>604</v>
      </c>
      <c r="D48" s="57" t="s">
        <v>605</v>
      </c>
      <c r="E48" s="57" t="s">
        <v>221</v>
      </c>
      <c r="F48" s="57">
        <v>10</v>
      </c>
      <c r="G48" s="50" t="s">
        <v>606</v>
      </c>
      <c r="H48" s="57" t="s">
        <v>546</v>
      </c>
      <c r="I48" s="57" t="s">
        <v>607</v>
      </c>
      <c r="J48" s="57">
        <v>10</v>
      </c>
      <c r="K48" s="50" t="s">
        <v>608</v>
      </c>
    </row>
    <row r="49" spans="1:11" ht="27.75" customHeight="1" x14ac:dyDescent="0.4">
      <c r="A49" s="56">
        <v>940256</v>
      </c>
      <c r="B49" s="57" t="s">
        <v>609</v>
      </c>
      <c r="C49" s="57" t="s">
        <v>610</v>
      </c>
      <c r="D49" s="57" t="s">
        <v>611</v>
      </c>
      <c r="E49" s="57" t="s">
        <v>111</v>
      </c>
      <c r="F49" s="57">
        <v>5</v>
      </c>
      <c r="G49" s="50" t="s">
        <v>612</v>
      </c>
      <c r="H49" s="57" t="s">
        <v>560</v>
      </c>
      <c r="I49" s="57" t="s">
        <v>561</v>
      </c>
      <c r="J49" s="57">
        <v>11</v>
      </c>
      <c r="K49" s="50" t="s">
        <v>613</v>
      </c>
    </row>
    <row r="50" spans="1:11" ht="27.75" customHeight="1" x14ac:dyDescent="0.4">
      <c r="A50" s="56">
        <v>920366</v>
      </c>
      <c r="B50" s="57" t="s">
        <v>614</v>
      </c>
      <c r="C50" s="57" t="s">
        <v>615</v>
      </c>
      <c r="D50" s="57" t="s">
        <v>616</v>
      </c>
      <c r="E50" s="57" t="s">
        <v>111</v>
      </c>
      <c r="F50" s="57">
        <v>5</v>
      </c>
      <c r="G50" s="50" t="s">
        <v>617</v>
      </c>
      <c r="H50" s="57" t="s">
        <v>560</v>
      </c>
      <c r="I50" s="57" t="s">
        <v>561</v>
      </c>
      <c r="J50" s="57">
        <v>12</v>
      </c>
      <c r="K50" s="50" t="s">
        <v>618</v>
      </c>
    </row>
    <row r="51" spans="1:11" ht="27.75" customHeight="1" x14ac:dyDescent="0.4">
      <c r="A51" s="56">
        <v>1102074</v>
      </c>
      <c r="B51" s="57" t="s">
        <v>619</v>
      </c>
      <c r="C51" s="57" t="s">
        <v>491</v>
      </c>
      <c r="D51" s="57" t="s">
        <v>620</v>
      </c>
      <c r="E51" s="57" t="s">
        <v>161</v>
      </c>
      <c r="F51" s="57">
        <v>12</v>
      </c>
      <c r="G51" s="50" t="s">
        <v>621</v>
      </c>
      <c r="H51" s="57" t="s">
        <v>546</v>
      </c>
      <c r="I51" s="57" t="s">
        <v>547</v>
      </c>
      <c r="J51" s="57">
        <v>12</v>
      </c>
      <c r="K51" s="50" t="s">
        <v>622</v>
      </c>
    </row>
    <row r="52" spans="1:11" ht="27.75" customHeight="1" x14ac:dyDescent="0.4">
      <c r="A52" s="56">
        <v>1152241</v>
      </c>
      <c r="B52" s="57" t="s">
        <v>623</v>
      </c>
      <c r="C52" s="57" t="s">
        <v>624</v>
      </c>
      <c r="D52" s="57" t="s">
        <v>625</v>
      </c>
      <c r="E52" s="57" t="s">
        <v>161</v>
      </c>
      <c r="F52" s="57">
        <v>1</v>
      </c>
      <c r="G52" s="50" t="s">
        <v>626</v>
      </c>
      <c r="H52" s="57" t="s">
        <v>546</v>
      </c>
      <c r="I52" s="57" t="s">
        <v>627</v>
      </c>
      <c r="J52" s="57">
        <v>14</v>
      </c>
      <c r="K52" s="50" t="s">
        <v>628</v>
      </c>
    </row>
    <row r="53" spans="1:11" ht="27.75" customHeight="1" x14ac:dyDescent="0.4">
      <c r="A53" s="56">
        <v>910620</v>
      </c>
      <c r="B53" s="57" t="s">
        <v>629</v>
      </c>
      <c r="C53" s="57" t="s">
        <v>630</v>
      </c>
      <c r="D53" s="57" t="s">
        <v>631</v>
      </c>
      <c r="E53" s="57" t="s">
        <v>161</v>
      </c>
      <c r="F53" s="57">
        <v>14</v>
      </c>
      <c r="G53" s="50" t="s">
        <v>632</v>
      </c>
      <c r="H53" s="57" t="s">
        <v>553</v>
      </c>
      <c r="I53" s="57" t="s">
        <v>633</v>
      </c>
      <c r="J53" s="57">
        <v>14</v>
      </c>
      <c r="K53" s="50" t="s">
        <v>634</v>
      </c>
    </row>
    <row r="54" spans="1:11" ht="27.75" customHeight="1" x14ac:dyDescent="0.4">
      <c r="A54" s="56">
        <v>1142095</v>
      </c>
      <c r="B54" s="57" t="s">
        <v>635</v>
      </c>
      <c r="C54" s="57" t="s">
        <v>636</v>
      </c>
      <c r="D54" s="57" t="s">
        <v>637</v>
      </c>
      <c r="E54" s="57" t="s">
        <v>161</v>
      </c>
      <c r="F54" s="57">
        <v>14</v>
      </c>
      <c r="G54" s="50" t="s">
        <v>638</v>
      </c>
      <c r="H54" s="57" t="s">
        <v>553</v>
      </c>
      <c r="I54" s="57" t="s">
        <v>633</v>
      </c>
      <c r="J54" s="57">
        <v>14</v>
      </c>
      <c r="K54" s="50" t="s">
        <v>639</v>
      </c>
    </row>
    <row r="55" spans="1:11" ht="27.75" customHeight="1" x14ac:dyDescent="0.4">
      <c r="A55" s="56">
        <v>1052508</v>
      </c>
      <c r="B55" s="57" t="s">
        <v>640</v>
      </c>
      <c r="C55" s="57" t="s">
        <v>641</v>
      </c>
      <c r="D55" s="57" t="s">
        <v>642</v>
      </c>
      <c r="E55" s="57" t="s">
        <v>161</v>
      </c>
      <c r="F55" s="57">
        <v>14</v>
      </c>
      <c r="G55" s="50" t="s">
        <v>643</v>
      </c>
      <c r="H55" s="57" t="s">
        <v>553</v>
      </c>
      <c r="I55" s="57" t="s">
        <v>633</v>
      </c>
      <c r="J55" s="57">
        <v>14</v>
      </c>
      <c r="K55" s="50" t="s">
        <v>644</v>
      </c>
    </row>
    <row r="56" spans="1:11" ht="27.75" customHeight="1" x14ac:dyDescent="0.4">
      <c r="A56" s="56">
        <v>1092026</v>
      </c>
      <c r="B56" s="57" t="s">
        <v>645</v>
      </c>
      <c r="C56" s="57" t="s">
        <v>646</v>
      </c>
      <c r="D56" s="57" t="s">
        <v>647</v>
      </c>
      <c r="E56" s="57" t="s">
        <v>161</v>
      </c>
      <c r="F56" s="57">
        <v>15</v>
      </c>
      <c r="G56" s="50" t="s">
        <v>648</v>
      </c>
      <c r="H56" s="57" t="s">
        <v>553</v>
      </c>
      <c r="I56" s="57" t="s">
        <v>649</v>
      </c>
      <c r="J56" s="57">
        <v>15</v>
      </c>
      <c r="K56" s="50" t="s">
        <v>650</v>
      </c>
    </row>
    <row r="57" spans="1:11" ht="27.75" customHeight="1" x14ac:dyDescent="0.4">
      <c r="A57" s="56">
        <v>1082014</v>
      </c>
      <c r="B57" s="57" t="s">
        <v>651</v>
      </c>
      <c r="C57" s="57" t="s">
        <v>652</v>
      </c>
      <c r="D57" s="57" t="s">
        <v>653</v>
      </c>
      <c r="E57" s="57" t="s">
        <v>161</v>
      </c>
      <c r="F57" s="57">
        <v>15</v>
      </c>
      <c r="G57" s="50" t="s">
        <v>654</v>
      </c>
      <c r="H57" s="57" t="s">
        <v>587</v>
      </c>
      <c r="I57" s="57" t="s">
        <v>655</v>
      </c>
      <c r="J57" s="57">
        <v>15</v>
      </c>
      <c r="K57" s="50" t="s">
        <v>656</v>
      </c>
    </row>
    <row r="58" spans="1:11" ht="27.75" customHeight="1" x14ac:dyDescent="0.4">
      <c r="A58" s="56">
        <v>982009</v>
      </c>
      <c r="B58" s="57" t="s">
        <v>657</v>
      </c>
      <c r="C58" s="57" t="s">
        <v>658</v>
      </c>
      <c r="D58" s="57" t="s">
        <v>659</v>
      </c>
      <c r="E58" s="57" t="s">
        <v>161</v>
      </c>
      <c r="F58" s="57">
        <v>15</v>
      </c>
      <c r="G58" s="50" t="s">
        <v>660</v>
      </c>
      <c r="H58" s="57" t="s">
        <v>553</v>
      </c>
      <c r="I58" s="57" t="s">
        <v>661</v>
      </c>
      <c r="J58" s="57">
        <v>15</v>
      </c>
      <c r="K58" s="50" t="s">
        <v>662</v>
      </c>
    </row>
    <row r="59" spans="1:11" ht="27.75" customHeight="1" x14ac:dyDescent="0.4">
      <c r="A59" s="56">
        <v>1122175</v>
      </c>
      <c r="B59" s="57" t="s">
        <v>663</v>
      </c>
      <c r="C59" s="57" t="s">
        <v>664</v>
      </c>
      <c r="D59" s="57" t="s">
        <v>665</v>
      </c>
      <c r="E59" s="57" t="s">
        <v>161</v>
      </c>
      <c r="F59" s="57">
        <v>15</v>
      </c>
      <c r="G59" s="50" t="s">
        <v>666</v>
      </c>
      <c r="H59" s="57" t="s">
        <v>553</v>
      </c>
      <c r="I59" s="57" t="s">
        <v>661</v>
      </c>
      <c r="J59" s="57">
        <v>15</v>
      </c>
      <c r="K59" s="50" t="s">
        <v>443</v>
      </c>
    </row>
    <row r="60" spans="1:11" ht="27.75" customHeight="1" x14ac:dyDescent="0.4">
      <c r="A60" s="56">
        <v>1072040</v>
      </c>
      <c r="B60" s="57" t="s">
        <v>667</v>
      </c>
      <c r="C60" s="57" t="s">
        <v>668</v>
      </c>
      <c r="D60" s="57" t="s">
        <v>669</v>
      </c>
      <c r="E60" s="57" t="s">
        <v>161</v>
      </c>
      <c r="F60" s="57">
        <v>16</v>
      </c>
      <c r="G60" s="50" t="s">
        <v>670</v>
      </c>
      <c r="H60" s="57" t="s">
        <v>553</v>
      </c>
      <c r="I60" s="57" t="s">
        <v>671</v>
      </c>
      <c r="J60" s="57">
        <v>16</v>
      </c>
      <c r="K60" s="50" t="s">
        <v>672</v>
      </c>
    </row>
    <row r="61" spans="1:11" ht="27.75" customHeight="1" x14ac:dyDescent="0.4">
      <c r="A61" s="56">
        <v>1132048</v>
      </c>
      <c r="B61" s="57" t="s">
        <v>673</v>
      </c>
      <c r="C61" s="57" t="s">
        <v>674</v>
      </c>
      <c r="D61" s="57" t="s">
        <v>675</v>
      </c>
      <c r="E61" s="57" t="s">
        <v>161</v>
      </c>
      <c r="F61" s="57">
        <v>13</v>
      </c>
      <c r="G61" s="50" t="s">
        <v>676</v>
      </c>
      <c r="H61" s="57" t="s">
        <v>560</v>
      </c>
      <c r="I61" s="57" t="s">
        <v>677</v>
      </c>
      <c r="J61" s="57">
        <v>16</v>
      </c>
      <c r="K61" s="50" t="s">
        <v>678</v>
      </c>
    </row>
    <row r="62" spans="1:11" ht="27.75" customHeight="1" x14ac:dyDescent="0.4">
      <c r="A62" s="56">
        <v>890379</v>
      </c>
      <c r="B62" s="57" t="s">
        <v>679</v>
      </c>
      <c r="C62" s="57" t="s">
        <v>680</v>
      </c>
      <c r="D62" s="57" t="s">
        <v>681</v>
      </c>
      <c r="E62" s="57" t="s">
        <v>161</v>
      </c>
      <c r="F62" s="57">
        <v>16</v>
      </c>
      <c r="G62" s="50" t="s">
        <v>682</v>
      </c>
      <c r="H62" s="57" t="s">
        <v>560</v>
      </c>
      <c r="I62" s="57" t="s">
        <v>683</v>
      </c>
      <c r="J62" s="57">
        <v>16</v>
      </c>
      <c r="K62" s="50" t="s">
        <v>684</v>
      </c>
    </row>
    <row r="63" spans="1:11" ht="27.75" customHeight="1" x14ac:dyDescent="0.4">
      <c r="A63" s="56">
        <v>1131132</v>
      </c>
      <c r="B63" s="57" t="s">
        <v>685</v>
      </c>
      <c r="C63" s="57" t="s">
        <v>686</v>
      </c>
      <c r="D63" s="57" t="s">
        <v>687</v>
      </c>
      <c r="E63" s="57" t="s">
        <v>111</v>
      </c>
      <c r="F63" s="57">
        <v>16</v>
      </c>
      <c r="G63" s="50" t="s">
        <v>688</v>
      </c>
      <c r="H63" s="57" t="s">
        <v>560</v>
      </c>
      <c r="I63" s="57" t="s">
        <v>683</v>
      </c>
      <c r="J63" s="57">
        <v>16</v>
      </c>
      <c r="K63" s="50" t="s">
        <v>689</v>
      </c>
    </row>
    <row r="64" spans="1:11" ht="27.75" customHeight="1" x14ac:dyDescent="0.4">
      <c r="A64" s="56">
        <v>1012013</v>
      </c>
      <c r="B64" s="57" t="s">
        <v>690</v>
      </c>
      <c r="C64" s="57" t="s">
        <v>491</v>
      </c>
      <c r="D64" s="57" t="s">
        <v>691</v>
      </c>
      <c r="E64" s="57" t="s">
        <v>161</v>
      </c>
      <c r="F64" s="57">
        <v>16</v>
      </c>
      <c r="G64" s="50" t="s">
        <v>692</v>
      </c>
      <c r="H64" s="57" t="s">
        <v>560</v>
      </c>
      <c r="I64" s="57" t="s">
        <v>693</v>
      </c>
      <c r="J64" s="57">
        <v>16</v>
      </c>
      <c r="K64" s="50" t="s">
        <v>694</v>
      </c>
    </row>
    <row r="65" spans="1:11" ht="27.75" customHeight="1" x14ac:dyDescent="0.4">
      <c r="A65" s="56">
        <v>1042004</v>
      </c>
      <c r="B65" s="57" t="s">
        <v>695</v>
      </c>
      <c r="C65" s="57" t="s">
        <v>696</v>
      </c>
      <c r="D65" s="57" t="s">
        <v>697</v>
      </c>
      <c r="E65" s="57" t="s">
        <v>161</v>
      </c>
      <c r="F65" s="57">
        <v>17</v>
      </c>
      <c r="G65" s="50" t="s">
        <v>698</v>
      </c>
      <c r="H65" s="57" t="s">
        <v>699</v>
      </c>
      <c r="I65" s="57" t="s">
        <v>700</v>
      </c>
      <c r="J65" s="57">
        <v>17</v>
      </c>
      <c r="K65" s="50" t="s">
        <v>701</v>
      </c>
    </row>
    <row r="66" spans="1:11" ht="27.75" customHeight="1" x14ac:dyDescent="0.4">
      <c r="A66" s="56">
        <v>1062002</v>
      </c>
      <c r="B66" s="57" t="s">
        <v>702</v>
      </c>
      <c r="C66" s="57" t="s">
        <v>703</v>
      </c>
      <c r="D66" s="57" t="s">
        <v>704</v>
      </c>
      <c r="E66" s="57" t="s">
        <v>161</v>
      </c>
      <c r="F66" s="57">
        <v>1</v>
      </c>
      <c r="G66" s="50" t="s">
        <v>705</v>
      </c>
      <c r="H66" s="57" t="s">
        <v>553</v>
      </c>
      <c r="I66" s="57" t="s">
        <v>566</v>
      </c>
      <c r="J66" s="57">
        <v>17</v>
      </c>
      <c r="K66" s="50" t="s">
        <v>706</v>
      </c>
    </row>
    <row r="67" spans="1:11" ht="27.75" customHeight="1" x14ac:dyDescent="0.4">
      <c r="A67" s="56">
        <v>1112153</v>
      </c>
      <c r="B67" s="57" t="s">
        <v>707</v>
      </c>
      <c r="C67" s="57" t="s">
        <v>708</v>
      </c>
      <c r="D67" s="57" t="s">
        <v>709</v>
      </c>
      <c r="E67" s="57" t="s">
        <v>161</v>
      </c>
      <c r="F67" s="57">
        <v>18</v>
      </c>
      <c r="G67" s="50" t="s">
        <v>710</v>
      </c>
      <c r="H67" s="57" t="s">
        <v>546</v>
      </c>
      <c r="I67" s="57" t="s">
        <v>627</v>
      </c>
      <c r="J67" s="57">
        <v>18</v>
      </c>
      <c r="K67" s="50" t="s">
        <v>711</v>
      </c>
    </row>
    <row r="68" spans="1:11" ht="27.75" customHeight="1" x14ac:dyDescent="0.4">
      <c r="A68" s="56">
        <v>1172057</v>
      </c>
      <c r="B68" s="57" t="s">
        <v>712</v>
      </c>
      <c r="C68" s="57" t="s">
        <v>713</v>
      </c>
      <c r="D68" s="57" t="s">
        <v>714</v>
      </c>
      <c r="E68" s="57" t="s">
        <v>161</v>
      </c>
      <c r="F68" s="57">
        <v>18</v>
      </c>
      <c r="G68" s="50" t="s">
        <v>715</v>
      </c>
      <c r="H68" s="57" t="s">
        <v>553</v>
      </c>
      <c r="I68" s="57" t="s">
        <v>716</v>
      </c>
      <c r="J68" s="57">
        <v>18</v>
      </c>
      <c r="K68" s="50" t="s">
        <v>717</v>
      </c>
    </row>
    <row r="69" spans="1:11" ht="27.75" customHeight="1" x14ac:dyDescent="0.4">
      <c r="A69" s="56">
        <v>1181508</v>
      </c>
      <c r="B69" s="57" t="s">
        <v>718</v>
      </c>
      <c r="C69" s="57" t="s">
        <v>719</v>
      </c>
      <c r="D69" s="57" t="s">
        <v>720</v>
      </c>
      <c r="E69" s="57" t="s">
        <v>111</v>
      </c>
      <c r="F69" s="57">
        <v>18</v>
      </c>
      <c r="G69" s="50" t="s">
        <v>721</v>
      </c>
      <c r="H69" s="57" t="s">
        <v>546</v>
      </c>
      <c r="I69" s="57" t="s">
        <v>722</v>
      </c>
      <c r="J69" s="57">
        <v>18</v>
      </c>
      <c r="K69" s="50" t="s">
        <v>723</v>
      </c>
    </row>
    <row r="70" spans="1:11" ht="27.75" customHeight="1" x14ac:dyDescent="0.4">
      <c r="A70" s="56">
        <v>1162177</v>
      </c>
      <c r="B70" s="57" t="s">
        <v>724</v>
      </c>
      <c r="C70" s="57" t="s">
        <v>725</v>
      </c>
      <c r="D70" s="57" t="s">
        <v>726</v>
      </c>
      <c r="E70" s="57" t="s">
        <v>161</v>
      </c>
      <c r="F70" s="57">
        <v>18</v>
      </c>
      <c r="G70" s="50" t="s">
        <v>727</v>
      </c>
      <c r="H70" s="57" t="s">
        <v>587</v>
      </c>
      <c r="I70" s="57" t="s">
        <v>728</v>
      </c>
      <c r="J70" s="57">
        <v>18</v>
      </c>
      <c r="K70" s="50" t="s">
        <v>729</v>
      </c>
    </row>
    <row r="71" spans="1:11" ht="27.75" customHeight="1" x14ac:dyDescent="0.4">
      <c r="A71" s="56">
        <v>880302</v>
      </c>
      <c r="B71" s="57" t="s">
        <v>730</v>
      </c>
      <c r="C71" s="57" t="s">
        <v>731</v>
      </c>
      <c r="D71" s="57" t="s">
        <v>732</v>
      </c>
      <c r="E71" s="57" t="s">
        <v>111</v>
      </c>
      <c r="F71" s="57">
        <v>5</v>
      </c>
      <c r="G71" s="50" t="s">
        <v>612</v>
      </c>
      <c r="H71" s="57" t="s">
        <v>560</v>
      </c>
      <c r="I71" s="57" t="s">
        <v>561</v>
      </c>
      <c r="J71" s="57">
        <v>18</v>
      </c>
      <c r="K71" s="50" t="s">
        <v>733</v>
      </c>
    </row>
    <row r="72" spans="1:11" ht="27.75" customHeight="1" x14ac:dyDescent="0.4">
      <c r="A72" s="56">
        <v>920346</v>
      </c>
      <c r="B72" s="57" t="s">
        <v>734</v>
      </c>
      <c r="C72" s="57" t="s">
        <v>735</v>
      </c>
      <c r="D72" s="57" t="s">
        <v>736</v>
      </c>
      <c r="E72" s="57" t="s">
        <v>111</v>
      </c>
      <c r="F72" s="57">
        <v>5</v>
      </c>
      <c r="G72" s="50" t="s">
        <v>559</v>
      </c>
      <c r="H72" s="57" t="s">
        <v>560</v>
      </c>
      <c r="I72" s="57" t="s">
        <v>561</v>
      </c>
      <c r="J72" s="57">
        <v>31</v>
      </c>
      <c r="K72" s="50" t="s">
        <v>737</v>
      </c>
    </row>
    <row r="73" spans="1:11" ht="27.75" customHeight="1" x14ac:dyDescent="0.4">
      <c r="A73" s="56">
        <v>1082026</v>
      </c>
      <c r="B73" s="57" t="s">
        <v>738</v>
      </c>
      <c r="C73" s="57" t="s">
        <v>739</v>
      </c>
      <c r="D73" s="57" t="s">
        <v>740</v>
      </c>
      <c r="E73" s="57" t="s">
        <v>161</v>
      </c>
      <c r="F73" s="57">
        <v>1</v>
      </c>
      <c r="G73" s="50" t="s">
        <v>741</v>
      </c>
      <c r="H73" s="57" t="s">
        <v>553</v>
      </c>
      <c r="I73" s="57" t="s">
        <v>566</v>
      </c>
      <c r="J73" s="57">
        <v>32</v>
      </c>
      <c r="K73" s="50" t="s">
        <v>742</v>
      </c>
    </row>
    <row r="74" spans="1:11" ht="27.75" customHeight="1" x14ac:dyDescent="0.4">
      <c r="A74" s="56">
        <v>1181330</v>
      </c>
      <c r="B74" s="57" t="s">
        <v>743</v>
      </c>
      <c r="C74" s="57" t="s">
        <v>517</v>
      </c>
      <c r="D74" s="57" t="s">
        <v>744</v>
      </c>
      <c r="E74" s="57" t="s">
        <v>111</v>
      </c>
      <c r="F74" s="57">
        <v>1</v>
      </c>
      <c r="G74" s="50" t="s">
        <v>741</v>
      </c>
      <c r="H74" s="57" t="s">
        <v>553</v>
      </c>
      <c r="I74" s="57" t="s">
        <v>566</v>
      </c>
      <c r="J74" s="57">
        <v>34</v>
      </c>
      <c r="K74" s="50" t="s">
        <v>484</v>
      </c>
    </row>
    <row r="75" spans="1:11" ht="27.75" customHeight="1" x14ac:dyDescent="0.4">
      <c r="A75" s="56">
        <v>1091119</v>
      </c>
      <c r="B75" s="57" t="s">
        <v>745</v>
      </c>
      <c r="C75" s="57" t="s">
        <v>470</v>
      </c>
      <c r="D75" s="57" t="s">
        <v>746</v>
      </c>
      <c r="E75" s="57" t="s">
        <v>111</v>
      </c>
      <c r="F75" s="57">
        <v>5</v>
      </c>
      <c r="G75" s="50" t="s">
        <v>559</v>
      </c>
      <c r="H75" s="57" t="s">
        <v>560</v>
      </c>
      <c r="I75" s="57" t="s">
        <v>561</v>
      </c>
      <c r="J75" s="57">
        <v>34</v>
      </c>
      <c r="K75" s="50" t="s">
        <v>747</v>
      </c>
    </row>
    <row r="76" spans="1:11" ht="27.75" customHeight="1" x14ac:dyDescent="0.4">
      <c r="A76" s="56">
        <v>940360</v>
      </c>
      <c r="B76" s="57" t="s">
        <v>748</v>
      </c>
      <c r="C76" s="57" t="s">
        <v>573</v>
      </c>
      <c r="D76" s="57" t="s">
        <v>749</v>
      </c>
      <c r="E76" s="57" t="s">
        <v>161</v>
      </c>
      <c r="F76" s="57">
        <v>17</v>
      </c>
      <c r="G76" s="50" t="s">
        <v>750</v>
      </c>
      <c r="H76" s="57" t="s">
        <v>587</v>
      </c>
      <c r="I76" s="57" t="s">
        <v>751</v>
      </c>
      <c r="J76" s="57">
        <v>34</v>
      </c>
      <c r="K76" s="50" t="s">
        <v>752</v>
      </c>
    </row>
    <row r="77" spans="1:11" ht="27.75" customHeight="1" x14ac:dyDescent="0.4">
      <c r="A77" s="56">
        <v>930363</v>
      </c>
      <c r="B77" s="57" t="s">
        <v>753</v>
      </c>
      <c r="C77" s="57" t="s">
        <v>754</v>
      </c>
      <c r="D77" s="57" t="s">
        <v>755</v>
      </c>
      <c r="E77" s="57" t="s">
        <v>111</v>
      </c>
      <c r="F77" s="57">
        <v>1</v>
      </c>
      <c r="G77" s="50" t="s">
        <v>756</v>
      </c>
      <c r="H77" s="57" t="s">
        <v>553</v>
      </c>
      <c r="I77" s="57" t="s">
        <v>566</v>
      </c>
      <c r="J77" s="57">
        <v>36</v>
      </c>
      <c r="K77" s="50" t="s">
        <v>757</v>
      </c>
    </row>
    <row r="78" spans="1:11" ht="27.75" customHeight="1" x14ac:dyDescent="0.4">
      <c r="A78" s="56">
        <v>930295</v>
      </c>
      <c r="B78" s="57" t="s">
        <v>758</v>
      </c>
      <c r="C78" s="57" t="s">
        <v>450</v>
      </c>
      <c r="D78" s="57" t="s">
        <v>759</v>
      </c>
      <c r="E78" s="57" t="s">
        <v>111</v>
      </c>
      <c r="F78" s="57">
        <v>7</v>
      </c>
      <c r="G78" s="50" t="s">
        <v>760</v>
      </c>
      <c r="H78" s="57" t="s">
        <v>560</v>
      </c>
      <c r="I78" s="57" t="s">
        <v>761</v>
      </c>
      <c r="J78" s="57">
        <v>37</v>
      </c>
      <c r="K78" s="50" t="s">
        <v>762</v>
      </c>
    </row>
    <row r="79" spans="1:11" ht="27.75" customHeight="1" x14ac:dyDescent="0.4">
      <c r="A79" s="56">
        <v>910340</v>
      </c>
      <c r="B79" s="57" t="s">
        <v>763</v>
      </c>
      <c r="C79" s="57" t="s">
        <v>764</v>
      </c>
      <c r="D79" s="57" t="s">
        <v>765</v>
      </c>
      <c r="E79" s="57" t="s">
        <v>111</v>
      </c>
      <c r="F79" s="57">
        <v>8</v>
      </c>
      <c r="G79" s="50" t="s">
        <v>766</v>
      </c>
      <c r="H79" s="57" t="s">
        <v>560</v>
      </c>
      <c r="I79" s="57" t="s">
        <v>767</v>
      </c>
      <c r="J79" s="57">
        <v>38</v>
      </c>
      <c r="K79" s="50" t="s">
        <v>768</v>
      </c>
    </row>
    <row r="80" spans="1:11" ht="27.75" customHeight="1" x14ac:dyDescent="0.4">
      <c r="A80" s="56">
        <v>1101356</v>
      </c>
      <c r="B80" s="57" t="s">
        <v>769</v>
      </c>
      <c r="C80" s="57" t="s">
        <v>550</v>
      </c>
      <c r="D80" s="57" t="s">
        <v>770</v>
      </c>
      <c r="E80" s="57" t="s">
        <v>111</v>
      </c>
      <c r="F80" s="57">
        <v>7</v>
      </c>
      <c r="G80" s="50" t="s">
        <v>771</v>
      </c>
      <c r="H80" s="57" t="s">
        <v>553</v>
      </c>
      <c r="I80" s="57" t="s">
        <v>772</v>
      </c>
      <c r="J80" s="57">
        <v>39</v>
      </c>
      <c r="K80" s="50" t="s">
        <v>773</v>
      </c>
    </row>
    <row r="81" spans="1:11" ht="27.75" customHeight="1" x14ac:dyDescent="0.4">
      <c r="A81" s="56">
        <v>1021042</v>
      </c>
      <c r="B81" s="57" t="s">
        <v>774</v>
      </c>
      <c r="C81" s="57" t="s">
        <v>775</v>
      </c>
      <c r="D81" s="57" t="s">
        <v>776</v>
      </c>
      <c r="E81" s="57" t="s">
        <v>111</v>
      </c>
      <c r="F81" s="57">
        <v>1</v>
      </c>
      <c r="G81" s="50" t="s">
        <v>565</v>
      </c>
      <c r="H81" s="57" t="s">
        <v>553</v>
      </c>
      <c r="I81" s="57" t="s">
        <v>566</v>
      </c>
      <c r="J81" s="57">
        <v>41</v>
      </c>
      <c r="K81" s="50" t="s">
        <v>777</v>
      </c>
    </row>
    <row r="82" spans="1:11" ht="27.75" customHeight="1" x14ac:dyDescent="0.4">
      <c r="A82" s="56">
        <v>1161481</v>
      </c>
      <c r="B82" s="57" t="s">
        <v>778</v>
      </c>
      <c r="C82" s="57" t="s">
        <v>779</v>
      </c>
      <c r="D82" s="57" t="s">
        <v>780</v>
      </c>
      <c r="E82" s="57" t="s">
        <v>111</v>
      </c>
      <c r="F82" s="57">
        <v>5</v>
      </c>
      <c r="G82" s="50" t="s">
        <v>559</v>
      </c>
      <c r="H82" s="57" t="s">
        <v>560</v>
      </c>
      <c r="I82" s="57" t="s">
        <v>561</v>
      </c>
      <c r="J82" s="57">
        <v>43</v>
      </c>
      <c r="K82" s="50" t="s">
        <v>781</v>
      </c>
    </row>
    <row r="83" spans="1:11" ht="27.75" customHeight="1" x14ac:dyDescent="0.4">
      <c r="A83" s="56">
        <v>860235</v>
      </c>
      <c r="B83" s="57" t="s">
        <v>782</v>
      </c>
      <c r="C83" s="57" t="s">
        <v>783</v>
      </c>
      <c r="D83" s="57" t="s">
        <v>784</v>
      </c>
      <c r="E83" s="57" t="s">
        <v>111</v>
      </c>
      <c r="F83" s="57">
        <v>7</v>
      </c>
      <c r="G83" s="50" t="s">
        <v>785</v>
      </c>
      <c r="H83" s="57" t="s">
        <v>560</v>
      </c>
      <c r="I83" s="57" t="s">
        <v>786</v>
      </c>
      <c r="J83" s="57">
        <v>44</v>
      </c>
      <c r="K83" s="50" t="s">
        <v>787</v>
      </c>
    </row>
    <row r="84" spans="1:11" ht="27.75" customHeight="1" x14ac:dyDescent="0.4">
      <c r="A84" s="56">
        <v>940355</v>
      </c>
      <c r="B84" s="57" t="s">
        <v>788</v>
      </c>
      <c r="C84" s="57" t="s">
        <v>789</v>
      </c>
      <c r="D84" s="57" t="s">
        <v>790</v>
      </c>
      <c r="E84" s="57" t="s">
        <v>161</v>
      </c>
      <c r="F84" s="57">
        <v>14</v>
      </c>
      <c r="G84" s="50" t="s">
        <v>791</v>
      </c>
      <c r="H84" s="57" t="s">
        <v>699</v>
      </c>
      <c r="I84" s="57" t="s">
        <v>792</v>
      </c>
      <c r="J84" s="57">
        <v>44</v>
      </c>
      <c r="K84" s="50" t="s">
        <v>793</v>
      </c>
    </row>
    <row r="85" spans="1:11" ht="27.75" customHeight="1" x14ac:dyDescent="0.4">
      <c r="A85" s="56">
        <v>930339</v>
      </c>
      <c r="B85" s="57" t="s">
        <v>794</v>
      </c>
      <c r="C85" s="57" t="s">
        <v>550</v>
      </c>
      <c r="D85" s="57" t="s">
        <v>795</v>
      </c>
      <c r="E85" s="57" t="s">
        <v>111</v>
      </c>
      <c r="F85" s="57">
        <v>5</v>
      </c>
      <c r="G85" s="50" t="s">
        <v>617</v>
      </c>
      <c r="H85" s="57" t="s">
        <v>560</v>
      </c>
      <c r="I85" s="57" t="s">
        <v>561</v>
      </c>
      <c r="J85" s="57">
        <v>47</v>
      </c>
      <c r="K85" s="50" t="s">
        <v>796</v>
      </c>
    </row>
    <row r="86" spans="1:11" ht="27.75" customHeight="1" x14ac:dyDescent="0.4">
      <c r="A86" s="56">
        <v>1171171</v>
      </c>
      <c r="B86" s="57" t="s">
        <v>797</v>
      </c>
      <c r="C86" s="57" t="s">
        <v>798</v>
      </c>
      <c r="D86" s="57" t="s">
        <v>799</v>
      </c>
      <c r="E86" s="57" t="s">
        <v>111</v>
      </c>
      <c r="F86" s="57">
        <v>71</v>
      </c>
      <c r="G86" s="50" t="s">
        <v>800</v>
      </c>
      <c r="H86" s="57" t="s">
        <v>546</v>
      </c>
      <c r="I86" s="57" t="s">
        <v>801</v>
      </c>
      <c r="J86" s="57">
        <v>71</v>
      </c>
      <c r="K86" s="50" t="s">
        <v>802</v>
      </c>
    </row>
    <row r="87" spans="1:11" ht="27.75" customHeight="1" x14ac:dyDescent="0.4">
      <c r="A87" s="56">
        <v>1004091</v>
      </c>
      <c r="B87" s="57" t="s">
        <v>803</v>
      </c>
      <c r="C87" s="57" t="s">
        <v>804</v>
      </c>
      <c r="D87" s="57" t="s">
        <v>805</v>
      </c>
      <c r="E87" s="57" t="s">
        <v>111</v>
      </c>
      <c r="F87" s="57">
        <v>8</v>
      </c>
      <c r="G87" s="50" t="s">
        <v>806</v>
      </c>
      <c r="H87" s="57" t="s">
        <v>587</v>
      </c>
      <c r="I87" s="57" t="s">
        <v>807</v>
      </c>
      <c r="J87" s="57">
        <v>71</v>
      </c>
      <c r="K87" s="50" t="s">
        <v>808</v>
      </c>
    </row>
    <row r="88" spans="1:11" ht="27.75" customHeight="1" x14ac:dyDescent="0.4">
      <c r="A88" s="56">
        <v>1021086</v>
      </c>
      <c r="B88" s="57" t="s">
        <v>809</v>
      </c>
      <c r="C88" s="57" t="s">
        <v>810</v>
      </c>
      <c r="D88" s="57" t="s">
        <v>811</v>
      </c>
      <c r="E88" s="57" t="s">
        <v>111</v>
      </c>
      <c r="F88" s="57">
        <v>7</v>
      </c>
      <c r="G88" s="50" t="s">
        <v>812</v>
      </c>
      <c r="H88" s="57" t="s">
        <v>587</v>
      </c>
      <c r="I88" s="57" t="s">
        <v>813</v>
      </c>
      <c r="J88" s="57">
        <v>73</v>
      </c>
      <c r="K88" s="50" t="s">
        <v>814</v>
      </c>
    </row>
    <row r="89" spans="1:11" ht="27.6" customHeight="1" x14ac:dyDescent="0.4">
      <c r="A89" s="58">
        <v>1161134</v>
      </c>
      <c r="B89" s="59"/>
      <c r="C89" s="60" t="s">
        <v>815</v>
      </c>
      <c r="D89" s="60" t="s">
        <v>816</v>
      </c>
      <c r="E89" s="61" t="s">
        <v>111</v>
      </c>
      <c r="F89" s="62">
        <v>10</v>
      </c>
      <c r="G89" s="63" t="s">
        <v>817</v>
      </c>
      <c r="H89" s="59"/>
      <c r="I89" s="59"/>
      <c r="J89" s="64">
        <v>14</v>
      </c>
      <c r="K89" s="61" t="s">
        <v>818</v>
      </c>
    </row>
    <row r="90" spans="1:11" ht="27.6" customHeight="1" x14ac:dyDescent="0.4">
      <c r="A90" s="58">
        <v>1181172</v>
      </c>
      <c r="B90" s="59"/>
      <c r="C90" s="60" t="s">
        <v>819</v>
      </c>
      <c r="D90" s="60" t="s">
        <v>820</v>
      </c>
      <c r="E90" s="61" t="s">
        <v>111</v>
      </c>
      <c r="F90" s="62">
        <v>11</v>
      </c>
      <c r="G90" s="63" t="s">
        <v>821</v>
      </c>
      <c r="H90" s="59"/>
      <c r="I90" s="59"/>
      <c r="J90" s="64">
        <v>4</v>
      </c>
      <c r="K90" s="61" t="s">
        <v>822</v>
      </c>
    </row>
    <row r="91" spans="1:11" ht="27.6" customHeight="1" x14ac:dyDescent="0.4">
      <c r="A91" s="58">
        <v>1213016</v>
      </c>
      <c r="B91" s="59"/>
      <c r="C91" s="60" t="s">
        <v>823</v>
      </c>
      <c r="D91" s="60" t="s">
        <v>824</v>
      </c>
      <c r="E91" s="61" t="s">
        <v>221</v>
      </c>
      <c r="F91" s="62">
        <v>11</v>
      </c>
      <c r="G91" s="63" t="s">
        <v>825</v>
      </c>
      <c r="H91" s="59"/>
      <c r="I91" s="59"/>
      <c r="J91" s="64">
        <v>10</v>
      </c>
      <c r="K91" s="61" t="s">
        <v>826</v>
      </c>
    </row>
    <row r="92" spans="1:11" ht="27.6" customHeight="1" x14ac:dyDescent="0.4">
      <c r="A92" s="58">
        <v>1201243</v>
      </c>
      <c r="B92" s="59"/>
      <c r="C92" s="60" t="s">
        <v>827</v>
      </c>
      <c r="D92" s="60" t="s">
        <v>828</v>
      </c>
      <c r="E92" s="61" t="s">
        <v>111</v>
      </c>
      <c r="F92" s="62">
        <v>41</v>
      </c>
      <c r="G92" s="63" t="s">
        <v>829</v>
      </c>
      <c r="H92" s="59"/>
      <c r="I92" s="59"/>
      <c r="J92" s="64">
        <v>41</v>
      </c>
      <c r="K92" s="61" t="s">
        <v>830</v>
      </c>
    </row>
    <row r="93" spans="1:11" ht="27.6" customHeight="1" x14ac:dyDescent="0.4">
      <c r="A93" s="58">
        <v>1162182</v>
      </c>
      <c r="B93" s="59"/>
      <c r="C93" s="60" t="s">
        <v>831</v>
      </c>
      <c r="D93" s="60" t="s">
        <v>832</v>
      </c>
      <c r="E93" s="61" t="s">
        <v>161</v>
      </c>
      <c r="F93" s="62">
        <v>48</v>
      </c>
      <c r="G93" s="63" t="s">
        <v>833</v>
      </c>
      <c r="H93" s="59"/>
      <c r="I93" s="59"/>
      <c r="J93" s="64">
        <v>18</v>
      </c>
      <c r="K93" s="61" t="s">
        <v>834</v>
      </c>
    </row>
    <row r="94" spans="1:11" ht="27.6" customHeight="1" x14ac:dyDescent="0.4">
      <c r="A94" s="65"/>
      <c r="C94" s="66"/>
      <c r="D94" s="66"/>
      <c r="E94" s="67"/>
      <c r="F94" s="68"/>
      <c r="G94" s="69"/>
    </row>
    <row r="95" spans="1:11" ht="27.6" customHeight="1" x14ac:dyDescent="0.4">
      <c r="A95" s="70"/>
      <c r="C95" s="71"/>
      <c r="D95" s="71"/>
      <c r="E95" s="72"/>
      <c r="F95" s="73"/>
      <c r="G95" s="74"/>
    </row>
    <row r="96" spans="1:11" ht="27.6" customHeight="1" x14ac:dyDescent="0.4">
      <c r="A96" s="70"/>
      <c r="C96" s="71"/>
      <c r="D96" s="71"/>
      <c r="E96" s="72"/>
      <c r="F96" s="73"/>
      <c r="G96" s="74"/>
    </row>
    <row r="97" spans="1:7" ht="27.6" customHeight="1" x14ac:dyDescent="0.4">
      <c r="A97" s="70"/>
      <c r="C97" s="71"/>
      <c r="D97" s="71"/>
      <c r="E97" s="72"/>
      <c r="F97" s="73"/>
      <c r="G97" s="74"/>
    </row>
    <row r="98" spans="1:7" ht="27.6" customHeight="1" x14ac:dyDescent="0.4">
      <c r="A98" s="70"/>
      <c r="C98" s="71"/>
      <c r="D98" s="71"/>
      <c r="E98" s="72"/>
      <c r="F98" s="73"/>
      <c r="G98" s="74"/>
    </row>
    <row r="99" spans="1:7" ht="27.6" customHeight="1" x14ac:dyDescent="0.4">
      <c r="A99" s="70"/>
      <c r="C99" s="71"/>
      <c r="D99" s="71"/>
      <c r="E99" s="72"/>
      <c r="F99" s="73"/>
      <c r="G99" s="74"/>
    </row>
    <row r="100" spans="1:7" ht="27.6" customHeight="1" x14ac:dyDescent="0.4">
      <c r="A100" s="70"/>
      <c r="C100" s="71"/>
      <c r="D100" s="71"/>
      <c r="E100" s="72"/>
      <c r="F100" s="73"/>
      <c r="G100" s="74"/>
    </row>
    <row r="101" spans="1:7" ht="27.6" customHeight="1" x14ac:dyDescent="0.4">
      <c r="A101" s="70"/>
      <c r="C101" s="71"/>
      <c r="D101" s="71"/>
      <c r="E101" s="72"/>
      <c r="F101" s="73"/>
      <c r="G101" s="74"/>
    </row>
    <row r="102" spans="1:7" ht="27.6" customHeight="1" x14ac:dyDescent="0.4">
      <c r="A102" s="70"/>
      <c r="C102" s="71"/>
      <c r="D102" s="71"/>
      <c r="E102" s="72"/>
      <c r="F102" s="73"/>
      <c r="G102" s="74"/>
    </row>
    <row r="103" spans="1:7" ht="27.6" customHeight="1" x14ac:dyDescent="0.4">
      <c r="A103" s="70"/>
      <c r="C103" s="71"/>
      <c r="D103" s="71"/>
      <c r="E103" s="72"/>
      <c r="F103" s="73"/>
      <c r="G103" s="74"/>
    </row>
    <row r="104" spans="1:7" ht="27.6" customHeight="1" x14ac:dyDescent="0.4">
      <c r="A104" s="70"/>
      <c r="C104" s="71"/>
      <c r="D104" s="71"/>
      <c r="E104" s="72"/>
      <c r="F104" s="73"/>
      <c r="G104" s="74"/>
    </row>
  </sheetData>
  <autoFilter ref="A4:N93" xr:uid="{00000000-0009-0000-0000-000001000000}">
    <sortState xmlns:xlrd2="http://schemas.microsoft.com/office/spreadsheetml/2017/richdata2" ref="A5:N37">
      <sortCondition ref="J4:J37"/>
    </sortState>
  </autoFilter>
  <mergeCells count="2">
    <mergeCell ref="F3:I3"/>
    <mergeCell ref="J3:K3"/>
  </mergeCells>
  <phoneticPr fontId="1"/>
  <conditionalFormatting sqref="A89:A93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paperSize="9" scale="5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CDDD-8DCC-422C-8A0A-BE6C7A8CF0D9}">
  <dimension ref="A1:G104"/>
  <sheetViews>
    <sheetView topLeftCell="A78" workbookViewId="0">
      <selection activeCell="A90" sqref="A90"/>
    </sheetView>
  </sheetViews>
  <sheetFormatPr defaultRowHeight="18.75" x14ac:dyDescent="0.4"/>
  <cols>
    <col min="2" max="2" width="32.625" customWidth="1"/>
    <col min="3" max="3" width="14.5" customWidth="1"/>
    <col min="4" max="4" width="12.875" customWidth="1"/>
    <col min="7" max="7" width="47.25" customWidth="1"/>
  </cols>
  <sheetData>
    <row r="1" spans="1:6" x14ac:dyDescent="0.4">
      <c r="A1" s="146" t="s">
        <v>100</v>
      </c>
      <c r="B1" s="147"/>
      <c r="C1" s="147"/>
      <c r="D1" s="147"/>
      <c r="E1" s="147"/>
      <c r="F1" s="148"/>
    </row>
    <row r="2" spans="1:6" x14ac:dyDescent="0.4">
      <c r="A2" s="149" t="s">
        <v>101</v>
      </c>
      <c r="B2" s="149"/>
      <c r="C2" s="149"/>
      <c r="D2" s="149"/>
      <c r="E2" s="149"/>
      <c r="F2" s="149"/>
    </row>
    <row r="3" spans="1:6" x14ac:dyDescent="0.4">
      <c r="A3" s="11" t="s">
        <v>102</v>
      </c>
      <c r="B3" s="11" t="s">
        <v>103</v>
      </c>
      <c r="C3" s="11" t="s">
        <v>104</v>
      </c>
      <c r="D3" s="12" t="s">
        <v>105</v>
      </c>
      <c r="E3" s="12" t="s">
        <v>106</v>
      </c>
      <c r="F3" s="12" t="s">
        <v>107</v>
      </c>
    </row>
    <row r="4" spans="1:6" x14ac:dyDescent="0.4">
      <c r="A4" s="13">
        <v>971075</v>
      </c>
      <c r="B4" s="14" t="s">
        <v>108</v>
      </c>
      <c r="C4" s="14" t="s">
        <v>109</v>
      </c>
      <c r="D4" s="14" t="s">
        <v>110</v>
      </c>
      <c r="E4" s="15" t="s">
        <v>111</v>
      </c>
      <c r="F4" s="16" t="s">
        <v>112</v>
      </c>
    </row>
    <row r="5" spans="1:6" x14ac:dyDescent="0.4">
      <c r="A5" s="13">
        <v>991032</v>
      </c>
      <c r="B5" s="14" t="s">
        <v>113</v>
      </c>
      <c r="C5" s="14" t="s">
        <v>114</v>
      </c>
      <c r="D5" s="14" t="s">
        <v>115</v>
      </c>
      <c r="E5" s="15" t="s">
        <v>111</v>
      </c>
      <c r="F5" s="16" t="s">
        <v>112</v>
      </c>
    </row>
    <row r="6" spans="1:6" x14ac:dyDescent="0.4">
      <c r="A6" s="13">
        <v>1091209</v>
      </c>
      <c r="B6" s="14" t="s">
        <v>116</v>
      </c>
      <c r="C6" s="14" t="s">
        <v>117</v>
      </c>
      <c r="D6" s="14" t="s">
        <v>118</v>
      </c>
      <c r="E6" s="15" t="s">
        <v>111</v>
      </c>
      <c r="F6" s="16" t="s">
        <v>112</v>
      </c>
    </row>
    <row r="7" spans="1:6" ht="27" x14ac:dyDescent="0.4">
      <c r="A7" s="13">
        <v>1111276</v>
      </c>
      <c r="B7" s="14" t="s">
        <v>119</v>
      </c>
      <c r="C7" s="14" t="s">
        <v>120</v>
      </c>
      <c r="D7" s="14" t="s">
        <v>121</v>
      </c>
      <c r="E7" s="15" t="s">
        <v>111</v>
      </c>
      <c r="F7" s="16" t="s">
        <v>112</v>
      </c>
    </row>
    <row r="8" spans="1:6" ht="27" x14ac:dyDescent="0.4">
      <c r="A8" s="13">
        <v>1121187</v>
      </c>
      <c r="B8" s="14" t="s">
        <v>122</v>
      </c>
      <c r="C8" s="14" t="s">
        <v>123</v>
      </c>
      <c r="D8" s="14" t="s">
        <v>124</v>
      </c>
      <c r="E8" s="15" t="s">
        <v>111</v>
      </c>
      <c r="F8" s="16" t="s">
        <v>112</v>
      </c>
    </row>
    <row r="9" spans="1:6" ht="27" x14ac:dyDescent="0.4">
      <c r="A9" s="13">
        <v>1161311</v>
      </c>
      <c r="B9" s="14" t="s">
        <v>125</v>
      </c>
      <c r="C9" s="14" t="s">
        <v>126</v>
      </c>
      <c r="D9" s="14" t="s">
        <v>127</v>
      </c>
      <c r="E9" s="15" t="s">
        <v>111</v>
      </c>
      <c r="F9" s="16" t="s">
        <v>112</v>
      </c>
    </row>
    <row r="10" spans="1:6" x14ac:dyDescent="0.4">
      <c r="A10" s="13">
        <v>1191210</v>
      </c>
      <c r="B10" s="14" t="s">
        <v>128</v>
      </c>
      <c r="C10" s="14" t="s">
        <v>129</v>
      </c>
      <c r="D10" s="14" t="s">
        <v>130</v>
      </c>
      <c r="E10" s="15" t="s">
        <v>111</v>
      </c>
      <c r="F10" s="16" t="s">
        <v>112</v>
      </c>
    </row>
    <row r="11" spans="1:6" x14ac:dyDescent="0.4">
      <c r="A11" s="13">
        <v>1201114</v>
      </c>
      <c r="B11" s="14" t="s">
        <v>131</v>
      </c>
      <c r="C11" s="14" t="s">
        <v>132</v>
      </c>
      <c r="D11" s="14" t="s">
        <v>133</v>
      </c>
      <c r="E11" s="15" t="s">
        <v>111</v>
      </c>
      <c r="F11" s="16" t="s">
        <v>112</v>
      </c>
    </row>
    <row r="12" spans="1:6" x14ac:dyDescent="0.4">
      <c r="A12" s="13">
        <v>1201289</v>
      </c>
      <c r="B12" s="14" t="s">
        <v>134</v>
      </c>
      <c r="C12" s="14" t="s">
        <v>135</v>
      </c>
      <c r="D12" s="14" t="s">
        <v>136</v>
      </c>
      <c r="E12" s="15" t="s">
        <v>111</v>
      </c>
      <c r="F12" s="16" t="s">
        <v>112</v>
      </c>
    </row>
    <row r="13" spans="1:6" x14ac:dyDescent="0.4">
      <c r="A13" s="13">
        <v>1221073</v>
      </c>
      <c r="B13" s="14" t="s">
        <v>137</v>
      </c>
      <c r="C13" s="14" t="s">
        <v>138</v>
      </c>
      <c r="D13" s="17" t="s">
        <v>139</v>
      </c>
      <c r="E13" s="15" t="s">
        <v>111</v>
      </c>
      <c r="F13" s="18" t="s">
        <v>112</v>
      </c>
    </row>
    <row r="14" spans="1:6" x14ac:dyDescent="0.4">
      <c r="A14" s="13">
        <v>1221095</v>
      </c>
      <c r="B14" s="14" t="s">
        <v>140</v>
      </c>
      <c r="C14" s="14" t="s">
        <v>141</v>
      </c>
      <c r="D14" s="17" t="s">
        <v>142</v>
      </c>
      <c r="E14" s="15" t="s">
        <v>111</v>
      </c>
      <c r="F14" s="18" t="s">
        <v>112</v>
      </c>
    </row>
    <row r="15" spans="1:6" ht="27" x14ac:dyDescent="0.4">
      <c r="A15" s="13">
        <v>1221111</v>
      </c>
      <c r="B15" s="14" t="s">
        <v>143</v>
      </c>
      <c r="C15" s="14" t="s">
        <v>144</v>
      </c>
      <c r="D15" s="17" t="s">
        <v>145</v>
      </c>
      <c r="E15" s="15" t="s">
        <v>111</v>
      </c>
      <c r="F15" s="18" t="s">
        <v>112</v>
      </c>
    </row>
    <row r="16" spans="1:6" x14ac:dyDescent="0.4">
      <c r="A16" s="13">
        <v>1221214</v>
      </c>
      <c r="B16" s="14" t="s">
        <v>146</v>
      </c>
      <c r="C16" s="14" t="s">
        <v>147</v>
      </c>
      <c r="D16" s="17" t="s">
        <v>148</v>
      </c>
      <c r="E16" s="15" t="s">
        <v>111</v>
      </c>
      <c r="F16" s="18" t="s">
        <v>112</v>
      </c>
    </row>
    <row r="17" spans="1:6" x14ac:dyDescent="0.4">
      <c r="A17" s="13">
        <v>1221261</v>
      </c>
      <c r="B17" s="14" t="s">
        <v>149</v>
      </c>
      <c r="C17" s="14" t="s">
        <v>150</v>
      </c>
      <c r="D17" s="14" t="s">
        <v>151</v>
      </c>
      <c r="E17" s="15" t="s">
        <v>111</v>
      </c>
      <c r="F17" s="16" t="s">
        <v>112</v>
      </c>
    </row>
    <row r="18" spans="1:6" x14ac:dyDescent="0.4">
      <c r="A18" s="13">
        <v>1231065</v>
      </c>
      <c r="B18" s="14" t="s">
        <v>152</v>
      </c>
      <c r="C18" s="14" t="s">
        <v>153</v>
      </c>
      <c r="D18" s="14" t="s">
        <v>154</v>
      </c>
      <c r="E18" s="15" t="s">
        <v>111</v>
      </c>
      <c r="F18" s="16" t="s">
        <v>112</v>
      </c>
    </row>
    <row r="19" spans="1:6" x14ac:dyDescent="0.4">
      <c r="A19" s="13">
        <v>1231221</v>
      </c>
      <c r="B19" s="14" t="s">
        <v>155</v>
      </c>
      <c r="C19" s="14" t="s">
        <v>156</v>
      </c>
      <c r="D19" s="14" t="s">
        <v>157</v>
      </c>
      <c r="E19" s="15" t="s">
        <v>111</v>
      </c>
      <c r="F19" s="16" t="s">
        <v>112</v>
      </c>
    </row>
    <row r="20" spans="1:6" x14ac:dyDescent="0.4">
      <c r="A20" s="13">
        <v>1072006</v>
      </c>
      <c r="B20" s="14" t="s">
        <v>158</v>
      </c>
      <c r="C20" s="14" t="s">
        <v>159</v>
      </c>
      <c r="D20" s="14" t="s">
        <v>160</v>
      </c>
      <c r="E20" s="15" t="s">
        <v>161</v>
      </c>
      <c r="F20" s="16" t="s">
        <v>162</v>
      </c>
    </row>
    <row r="21" spans="1:6" x14ac:dyDescent="0.4">
      <c r="A21" s="13">
        <v>1132004</v>
      </c>
      <c r="B21" s="14" t="s">
        <v>163</v>
      </c>
      <c r="C21" s="14" t="s">
        <v>164</v>
      </c>
      <c r="D21" s="14" t="s">
        <v>165</v>
      </c>
      <c r="E21" s="15" t="s">
        <v>161</v>
      </c>
      <c r="F21" s="16" t="s">
        <v>162</v>
      </c>
    </row>
    <row r="22" spans="1:6" x14ac:dyDescent="0.4">
      <c r="A22" s="13">
        <v>1132027</v>
      </c>
      <c r="B22" s="14" t="s">
        <v>166</v>
      </c>
      <c r="C22" s="14" t="s">
        <v>167</v>
      </c>
      <c r="D22" s="14" t="s">
        <v>168</v>
      </c>
      <c r="E22" s="15" t="s">
        <v>161</v>
      </c>
      <c r="F22" s="16" t="s">
        <v>162</v>
      </c>
    </row>
    <row r="23" spans="1:6" x14ac:dyDescent="0.4">
      <c r="A23" s="13">
        <v>1152037</v>
      </c>
      <c r="B23" s="14" t="s">
        <v>169</v>
      </c>
      <c r="C23" s="14" t="s">
        <v>170</v>
      </c>
      <c r="D23" s="14" t="s">
        <v>171</v>
      </c>
      <c r="E23" s="15" t="s">
        <v>161</v>
      </c>
      <c r="F23" s="16" t="s">
        <v>162</v>
      </c>
    </row>
    <row r="24" spans="1:6" x14ac:dyDescent="0.4">
      <c r="A24" s="13">
        <v>1172066</v>
      </c>
      <c r="B24" s="14" t="s">
        <v>172</v>
      </c>
      <c r="C24" s="14" t="s">
        <v>173</v>
      </c>
      <c r="D24" s="14" t="s">
        <v>174</v>
      </c>
      <c r="E24" s="15" t="s">
        <v>161</v>
      </c>
      <c r="F24" s="16" t="s">
        <v>162</v>
      </c>
    </row>
    <row r="25" spans="1:6" x14ac:dyDescent="0.4">
      <c r="A25" s="13">
        <v>1182060</v>
      </c>
      <c r="B25" s="14" t="s">
        <v>175</v>
      </c>
      <c r="C25" s="14" t="s">
        <v>176</v>
      </c>
      <c r="D25" s="14" t="s">
        <v>177</v>
      </c>
      <c r="E25" s="15" t="s">
        <v>161</v>
      </c>
      <c r="F25" s="16" t="s">
        <v>162</v>
      </c>
    </row>
    <row r="26" spans="1:6" x14ac:dyDescent="0.4">
      <c r="A26" s="13">
        <v>1202059</v>
      </c>
      <c r="B26" s="14" t="s">
        <v>178</v>
      </c>
      <c r="C26" s="14" t="s">
        <v>179</v>
      </c>
      <c r="D26" s="17" t="s">
        <v>180</v>
      </c>
      <c r="E26" s="15" t="s">
        <v>161</v>
      </c>
      <c r="F26" s="18" t="s">
        <v>162</v>
      </c>
    </row>
    <row r="27" spans="1:6" ht="27" x14ac:dyDescent="0.4">
      <c r="A27" s="13">
        <v>1212031</v>
      </c>
      <c r="B27" s="14" t="s">
        <v>181</v>
      </c>
      <c r="C27" s="14" t="s">
        <v>182</v>
      </c>
      <c r="D27" s="17" t="s">
        <v>183</v>
      </c>
      <c r="E27" s="15" t="s">
        <v>161</v>
      </c>
      <c r="F27" s="18" t="s">
        <v>162</v>
      </c>
    </row>
    <row r="28" spans="1:6" x14ac:dyDescent="0.4">
      <c r="A28" s="13">
        <v>1212035</v>
      </c>
      <c r="B28" s="14" t="s">
        <v>184</v>
      </c>
      <c r="C28" s="14" t="s">
        <v>185</v>
      </c>
      <c r="D28" s="17" t="s">
        <v>186</v>
      </c>
      <c r="E28" s="15" t="s">
        <v>161</v>
      </c>
      <c r="F28" s="18" t="s">
        <v>162</v>
      </c>
    </row>
    <row r="29" spans="1:6" ht="27" x14ac:dyDescent="0.4">
      <c r="A29" s="13">
        <v>1222061</v>
      </c>
      <c r="B29" s="14" t="s">
        <v>181</v>
      </c>
      <c r="C29" s="14" t="s">
        <v>187</v>
      </c>
      <c r="D29" s="17" t="s">
        <v>188</v>
      </c>
      <c r="E29" s="15" t="s">
        <v>161</v>
      </c>
      <c r="F29" s="18" t="s">
        <v>162</v>
      </c>
    </row>
    <row r="30" spans="1:6" x14ac:dyDescent="0.4">
      <c r="A30" s="13">
        <v>1232002</v>
      </c>
      <c r="B30" s="14" t="s">
        <v>184</v>
      </c>
      <c r="C30" s="14" t="s">
        <v>189</v>
      </c>
      <c r="D30" s="14" t="s">
        <v>190</v>
      </c>
      <c r="E30" s="15" t="s">
        <v>161</v>
      </c>
      <c r="F30" s="16" t="s">
        <v>162</v>
      </c>
    </row>
    <row r="31" spans="1:6" ht="27" x14ac:dyDescent="0.4">
      <c r="A31" s="13">
        <v>1232014</v>
      </c>
      <c r="B31" s="14" t="s">
        <v>191</v>
      </c>
      <c r="C31" s="14" t="s">
        <v>192</v>
      </c>
      <c r="D31" s="14" t="s">
        <v>193</v>
      </c>
      <c r="E31" s="15" t="s">
        <v>161</v>
      </c>
      <c r="F31" s="16" t="s">
        <v>162</v>
      </c>
    </row>
    <row r="32" spans="1:6" x14ac:dyDescent="0.4">
      <c r="A32" s="13">
        <v>1232019</v>
      </c>
      <c r="B32" s="14" t="s">
        <v>194</v>
      </c>
      <c r="C32" s="14" t="s">
        <v>195</v>
      </c>
      <c r="D32" s="14" t="s">
        <v>196</v>
      </c>
      <c r="E32" s="15" t="s">
        <v>161</v>
      </c>
      <c r="F32" s="16" t="s">
        <v>162</v>
      </c>
    </row>
    <row r="33" spans="1:6" ht="27" x14ac:dyDescent="0.4">
      <c r="A33" s="13">
        <v>1232021</v>
      </c>
      <c r="B33" s="14" t="s">
        <v>197</v>
      </c>
      <c r="C33" s="14" t="s">
        <v>198</v>
      </c>
      <c r="D33" s="14" t="s">
        <v>199</v>
      </c>
      <c r="E33" s="15" t="s">
        <v>161</v>
      </c>
      <c r="F33" s="16" t="s">
        <v>162</v>
      </c>
    </row>
    <row r="34" spans="1:6" x14ac:dyDescent="0.4">
      <c r="A34" s="13">
        <v>1232078</v>
      </c>
      <c r="B34" s="14" t="s">
        <v>200</v>
      </c>
      <c r="C34" s="14" t="s">
        <v>201</v>
      </c>
      <c r="D34" s="14" t="s">
        <v>202</v>
      </c>
      <c r="E34" s="15" t="s">
        <v>161</v>
      </c>
      <c r="F34" s="16" t="s">
        <v>162</v>
      </c>
    </row>
    <row r="35" spans="1:6" x14ac:dyDescent="0.4">
      <c r="A35" s="13">
        <v>1232079</v>
      </c>
      <c r="B35" s="14" t="s">
        <v>203</v>
      </c>
      <c r="C35" s="14" t="s">
        <v>204</v>
      </c>
      <c r="D35" s="14" t="s">
        <v>205</v>
      </c>
      <c r="E35" s="15" t="s">
        <v>161</v>
      </c>
      <c r="F35" s="16" t="s">
        <v>162</v>
      </c>
    </row>
    <row r="36" spans="1:6" x14ac:dyDescent="0.4">
      <c r="A36" s="13">
        <v>1202080</v>
      </c>
      <c r="B36" s="14" t="s">
        <v>206</v>
      </c>
      <c r="C36" s="14" t="s">
        <v>207</v>
      </c>
      <c r="D36" s="14" t="s">
        <v>208</v>
      </c>
      <c r="E36" s="15" t="s">
        <v>161</v>
      </c>
      <c r="F36" s="16" t="s">
        <v>209</v>
      </c>
    </row>
    <row r="37" spans="1:6" x14ac:dyDescent="0.4">
      <c r="A37" s="13">
        <v>1082059</v>
      </c>
      <c r="B37" s="14" t="s">
        <v>210</v>
      </c>
      <c r="C37" s="14" t="s">
        <v>211</v>
      </c>
      <c r="D37" s="14" t="s">
        <v>212</v>
      </c>
      <c r="E37" s="15" t="s">
        <v>161</v>
      </c>
      <c r="F37" s="16" t="s">
        <v>213</v>
      </c>
    </row>
    <row r="38" spans="1:6" x14ac:dyDescent="0.4">
      <c r="A38" s="13">
        <v>1122098</v>
      </c>
      <c r="B38" s="14" t="s">
        <v>214</v>
      </c>
      <c r="C38" s="14" t="s">
        <v>215</v>
      </c>
      <c r="D38" s="14" t="s">
        <v>216</v>
      </c>
      <c r="E38" s="15" t="s">
        <v>161</v>
      </c>
      <c r="F38" s="16" t="s">
        <v>217</v>
      </c>
    </row>
    <row r="39" spans="1:6" ht="27" x14ac:dyDescent="0.4">
      <c r="A39" s="19">
        <v>1023028</v>
      </c>
      <c r="B39" s="20" t="s">
        <v>218</v>
      </c>
      <c r="C39" s="20" t="s">
        <v>219</v>
      </c>
      <c r="D39" s="20" t="s">
        <v>220</v>
      </c>
      <c r="E39" s="21" t="s">
        <v>221</v>
      </c>
      <c r="F39" s="22" t="s">
        <v>222</v>
      </c>
    </row>
    <row r="40" spans="1:6" x14ac:dyDescent="0.4">
      <c r="A40" s="146" t="s">
        <v>223</v>
      </c>
      <c r="B40" s="147"/>
      <c r="C40" s="147"/>
      <c r="D40" s="147"/>
      <c r="E40" s="147"/>
      <c r="F40" s="148"/>
    </row>
    <row r="41" spans="1:6" x14ac:dyDescent="0.4">
      <c r="A41" s="150" t="s">
        <v>224</v>
      </c>
      <c r="B41" s="150"/>
      <c r="C41" s="150"/>
      <c r="D41" s="150"/>
      <c r="E41" s="150"/>
      <c r="F41" s="150"/>
    </row>
    <row r="42" spans="1:6" x14ac:dyDescent="0.4">
      <c r="A42" s="11" t="s">
        <v>102</v>
      </c>
      <c r="B42" s="11" t="s">
        <v>103</v>
      </c>
      <c r="C42" s="11" t="s">
        <v>104</v>
      </c>
      <c r="D42" s="12" t="s">
        <v>105</v>
      </c>
      <c r="E42" s="12" t="s">
        <v>106</v>
      </c>
      <c r="F42" s="12" t="s">
        <v>107</v>
      </c>
    </row>
    <row r="43" spans="1:6" x14ac:dyDescent="0.4">
      <c r="A43" s="23">
        <v>1041169</v>
      </c>
      <c r="B43" s="24" t="s">
        <v>225</v>
      </c>
      <c r="C43" s="24" t="s">
        <v>226</v>
      </c>
      <c r="D43" s="24" t="s">
        <v>227</v>
      </c>
      <c r="E43" s="25" t="s">
        <v>111</v>
      </c>
      <c r="F43" s="26" t="s">
        <v>112</v>
      </c>
    </row>
    <row r="44" spans="1:6" ht="27" x14ac:dyDescent="0.4">
      <c r="A44" s="13">
        <v>1051034</v>
      </c>
      <c r="B44" s="14" t="s">
        <v>228</v>
      </c>
      <c r="C44" s="14" t="s">
        <v>229</v>
      </c>
      <c r="D44" s="14" t="s">
        <v>230</v>
      </c>
      <c r="E44" s="15" t="s">
        <v>111</v>
      </c>
      <c r="F44" s="16" t="s">
        <v>112</v>
      </c>
    </row>
    <row r="45" spans="1:6" x14ac:dyDescent="0.4">
      <c r="A45" s="13">
        <v>1081215</v>
      </c>
      <c r="B45" s="14" t="s">
        <v>231</v>
      </c>
      <c r="C45" s="14" t="s">
        <v>232</v>
      </c>
      <c r="D45" s="14" t="s">
        <v>233</v>
      </c>
      <c r="E45" s="15" t="s">
        <v>111</v>
      </c>
      <c r="F45" s="16" t="s">
        <v>112</v>
      </c>
    </row>
    <row r="46" spans="1:6" ht="27" x14ac:dyDescent="0.4">
      <c r="A46" s="13">
        <v>1101177</v>
      </c>
      <c r="B46" s="14" t="s">
        <v>234</v>
      </c>
      <c r="C46" s="14" t="s">
        <v>235</v>
      </c>
      <c r="D46" s="14" t="s">
        <v>236</v>
      </c>
      <c r="E46" s="15" t="s">
        <v>111</v>
      </c>
      <c r="F46" s="16" t="s">
        <v>112</v>
      </c>
    </row>
    <row r="47" spans="1:6" ht="40.5" x14ac:dyDescent="0.4">
      <c r="A47" s="13">
        <v>1110007</v>
      </c>
      <c r="B47" s="14" t="s">
        <v>237</v>
      </c>
      <c r="C47" s="14" t="s">
        <v>238</v>
      </c>
      <c r="D47" s="14" t="s">
        <v>239</v>
      </c>
      <c r="E47" s="15" t="s">
        <v>111</v>
      </c>
      <c r="F47" s="16" t="s">
        <v>112</v>
      </c>
    </row>
    <row r="48" spans="1:6" x14ac:dyDescent="0.4">
      <c r="A48" s="13">
        <v>1131221</v>
      </c>
      <c r="B48" s="14" t="s">
        <v>240</v>
      </c>
      <c r="C48" s="14" t="s">
        <v>241</v>
      </c>
      <c r="D48" s="14" t="s">
        <v>242</v>
      </c>
      <c r="E48" s="15" t="s">
        <v>111</v>
      </c>
      <c r="F48" s="16" t="s">
        <v>112</v>
      </c>
    </row>
    <row r="49" spans="1:6" x14ac:dyDescent="0.4">
      <c r="A49" s="13">
        <v>1161480</v>
      </c>
      <c r="B49" s="14" t="s">
        <v>243</v>
      </c>
      <c r="C49" s="14" t="s">
        <v>244</v>
      </c>
      <c r="D49" s="14" t="s">
        <v>245</v>
      </c>
      <c r="E49" s="15" t="s">
        <v>111</v>
      </c>
      <c r="F49" s="16" t="s">
        <v>112</v>
      </c>
    </row>
    <row r="50" spans="1:6" x14ac:dyDescent="0.4">
      <c r="A50" s="13">
        <v>1191188</v>
      </c>
      <c r="B50" s="14" t="s">
        <v>246</v>
      </c>
      <c r="C50" s="14" t="s">
        <v>247</v>
      </c>
      <c r="D50" s="14" t="s">
        <v>248</v>
      </c>
      <c r="E50" s="15" t="s">
        <v>111</v>
      </c>
      <c r="F50" s="16" t="s">
        <v>112</v>
      </c>
    </row>
    <row r="51" spans="1:6" x14ac:dyDescent="0.4">
      <c r="A51" s="13">
        <v>1231264</v>
      </c>
      <c r="B51" s="14" t="s">
        <v>249</v>
      </c>
      <c r="C51" s="14" t="s">
        <v>250</v>
      </c>
      <c r="D51" s="14" t="s">
        <v>251</v>
      </c>
      <c r="E51" s="15" t="s">
        <v>111</v>
      </c>
      <c r="F51" s="16" t="s">
        <v>112</v>
      </c>
    </row>
    <row r="52" spans="1:6" x14ac:dyDescent="0.4">
      <c r="A52" s="13">
        <v>910601</v>
      </c>
      <c r="B52" s="14" t="s">
        <v>252</v>
      </c>
      <c r="C52" s="14" t="s">
        <v>253</v>
      </c>
      <c r="D52" s="14" t="s">
        <v>254</v>
      </c>
      <c r="E52" s="15" t="s">
        <v>161</v>
      </c>
      <c r="F52" s="16" t="s">
        <v>162</v>
      </c>
    </row>
    <row r="53" spans="1:6" ht="27" x14ac:dyDescent="0.4">
      <c r="A53" s="13">
        <v>1172198</v>
      </c>
      <c r="B53" s="14" t="s">
        <v>255</v>
      </c>
      <c r="C53" s="14" t="s">
        <v>256</v>
      </c>
      <c r="D53" s="14" t="s">
        <v>257</v>
      </c>
      <c r="E53" s="15" t="s">
        <v>161</v>
      </c>
      <c r="F53" s="16" t="s">
        <v>162</v>
      </c>
    </row>
    <row r="54" spans="1:6" ht="40.5" x14ac:dyDescent="0.4">
      <c r="A54" s="27">
        <v>960297</v>
      </c>
      <c r="B54" s="14" t="s">
        <v>258</v>
      </c>
      <c r="C54" s="28" t="s">
        <v>259</v>
      </c>
      <c r="D54" s="28" t="s">
        <v>260</v>
      </c>
      <c r="E54" s="29" t="s">
        <v>161</v>
      </c>
      <c r="F54" s="30" t="s">
        <v>209</v>
      </c>
    </row>
    <row r="55" spans="1:6" x14ac:dyDescent="0.4">
      <c r="A55" s="13">
        <v>910441</v>
      </c>
      <c r="B55" s="14" t="s">
        <v>261</v>
      </c>
      <c r="C55" s="14" t="s">
        <v>262</v>
      </c>
      <c r="D55" s="14" t="s">
        <v>263</v>
      </c>
      <c r="E55" s="15" t="s">
        <v>161</v>
      </c>
      <c r="F55" s="16" t="s">
        <v>209</v>
      </c>
    </row>
    <row r="56" spans="1:6" x14ac:dyDescent="0.4">
      <c r="A56" s="13">
        <v>1172311</v>
      </c>
      <c r="B56" s="14" t="s">
        <v>264</v>
      </c>
      <c r="C56" s="14" t="s">
        <v>265</v>
      </c>
      <c r="D56" s="14" t="s">
        <v>266</v>
      </c>
      <c r="E56" s="15" t="s">
        <v>161</v>
      </c>
      <c r="F56" s="16" t="s">
        <v>217</v>
      </c>
    </row>
    <row r="57" spans="1:6" ht="27" x14ac:dyDescent="0.4">
      <c r="A57" s="13">
        <v>1212125</v>
      </c>
      <c r="B57" s="14" t="s">
        <v>267</v>
      </c>
      <c r="C57" s="14" t="s">
        <v>268</v>
      </c>
      <c r="D57" s="14" t="s">
        <v>269</v>
      </c>
      <c r="E57" s="15" t="s">
        <v>161</v>
      </c>
      <c r="F57" s="16" t="s">
        <v>217</v>
      </c>
    </row>
    <row r="58" spans="1:6" x14ac:dyDescent="0.4">
      <c r="A58" s="27">
        <v>1232128</v>
      </c>
      <c r="B58" s="28" t="s">
        <v>270</v>
      </c>
      <c r="C58" s="28" t="s">
        <v>271</v>
      </c>
      <c r="D58" s="28" t="s">
        <v>272</v>
      </c>
      <c r="E58" s="29" t="s">
        <v>161</v>
      </c>
      <c r="F58" s="30" t="s">
        <v>217</v>
      </c>
    </row>
    <row r="59" spans="1:6" x14ac:dyDescent="0.4">
      <c r="A59" s="146" t="s">
        <v>273</v>
      </c>
      <c r="B59" s="147"/>
      <c r="C59" s="147"/>
      <c r="D59" s="147"/>
      <c r="E59" s="147"/>
      <c r="F59" s="148"/>
    </row>
    <row r="60" spans="1:6" x14ac:dyDescent="0.4">
      <c r="A60" s="150" t="s">
        <v>274</v>
      </c>
      <c r="B60" s="150"/>
      <c r="C60" s="150"/>
      <c r="D60" s="150"/>
      <c r="E60" s="150"/>
      <c r="F60" s="150"/>
    </row>
    <row r="61" spans="1:6" x14ac:dyDescent="0.4">
      <c r="A61" s="11" t="s">
        <v>102</v>
      </c>
      <c r="B61" s="11" t="s">
        <v>103</v>
      </c>
      <c r="C61" s="11" t="s">
        <v>104</v>
      </c>
      <c r="D61" s="12" t="s">
        <v>105</v>
      </c>
      <c r="E61" s="12" t="s">
        <v>106</v>
      </c>
      <c r="F61" s="12" t="s">
        <v>107</v>
      </c>
    </row>
    <row r="62" spans="1:6" x14ac:dyDescent="0.4">
      <c r="A62" s="13">
        <v>880139</v>
      </c>
      <c r="B62" s="14" t="s">
        <v>275</v>
      </c>
      <c r="C62" s="14" t="s">
        <v>276</v>
      </c>
      <c r="D62" s="17" t="s">
        <v>277</v>
      </c>
      <c r="E62" s="31" t="s">
        <v>111</v>
      </c>
      <c r="F62" s="18" t="s">
        <v>112</v>
      </c>
    </row>
    <row r="63" spans="1:6" x14ac:dyDescent="0.4">
      <c r="A63" s="13">
        <v>880411</v>
      </c>
      <c r="B63" s="14" t="s">
        <v>278</v>
      </c>
      <c r="C63" s="14" t="s">
        <v>279</v>
      </c>
      <c r="D63" s="14" t="s">
        <v>280</v>
      </c>
      <c r="E63" s="31" t="s">
        <v>111</v>
      </c>
      <c r="F63" s="16" t="s">
        <v>112</v>
      </c>
    </row>
    <row r="64" spans="1:6" x14ac:dyDescent="0.4">
      <c r="A64" s="13">
        <v>920297</v>
      </c>
      <c r="B64" s="14" t="s">
        <v>281</v>
      </c>
      <c r="C64" s="14" t="s">
        <v>282</v>
      </c>
      <c r="D64" s="14" t="s">
        <v>283</v>
      </c>
      <c r="E64" s="31" t="s">
        <v>111</v>
      </c>
      <c r="F64" s="16" t="s">
        <v>112</v>
      </c>
    </row>
    <row r="65" spans="1:7" x14ac:dyDescent="0.4">
      <c r="A65" s="13">
        <v>920554</v>
      </c>
      <c r="B65" s="14" t="s">
        <v>284</v>
      </c>
      <c r="C65" s="14" t="s">
        <v>285</v>
      </c>
      <c r="D65" s="14" t="s">
        <v>286</v>
      </c>
      <c r="E65" s="31" t="s">
        <v>111</v>
      </c>
      <c r="F65" s="16" t="s">
        <v>112</v>
      </c>
    </row>
    <row r="66" spans="1:7" x14ac:dyDescent="0.4">
      <c r="A66" s="13">
        <v>1151317</v>
      </c>
      <c r="B66" s="14" t="s">
        <v>287</v>
      </c>
      <c r="C66" s="14" t="s">
        <v>288</v>
      </c>
      <c r="D66" s="14" t="s">
        <v>289</v>
      </c>
      <c r="E66" s="31" t="s">
        <v>111</v>
      </c>
      <c r="F66" s="16" t="s">
        <v>112</v>
      </c>
    </row>
    <row r="67" spans="1:7" ht="27" x14ac:dyDescent="0.4">
      <c r="A67" s="13">
        <v>1161083</v>
      </c>
      <c r="B67" s="14" t="s">
        <v>290</v>
      </c>
      <c r="C67" s="14" t="s">
        <v>291</v>
      </c>
      <c r="D67" s="17" t="s">
        <v>292</v>
      </c>
      <c r="E67" s="31" t="s">
        <v>111</v>
      </c>
      <c r="F67" s="18" t="s">
        <v>112</v>
      </c>
    </row>
    <row r="68" spans="1:7" ht="27" x14ac:dyDescent="0.4">
      <c r="A68" s="13">
        <v>1181021</v>
      </c>
      <c r="B68" s="14" t="s">
        <v>293</v>
      </c>
      <c r="C68" s="14" t="s">
        <v>294</v>
      </c>
      <c r="D68" s="14" t="s">
        <v>295</v>
      </c>
      <c r="E68" s="15" t="s">
        <v>111</v>
      </c>
      <c r="F68" s="16" t="s">
        <v>112</v>
      </c>
    </row>
    <row r="69" spans="1:7" ht="27" x14ac:dyDescent="0.4">
      <c r="A69" s="19">
        <v>1181107</v>
      </c>
      <c r="B69" s="20" t="s">
        <v>296</v>
      </c>
      <c r="C69" s="20" t="s">
        <v>297</v>
      </c>
      <c r="D69" s="20" t="s">
        <v>298</v>
      </c>
      <c r="E69" s="21" t="s">
        <v>111</v>
      </c>
      <c r="F69" s="22" t="s">
        <v>112</v>
      </c>
    </row>
    <row r="70" spans="1:7" x14ac:dyDescent="0.4">
      <c r="A70" s="19">
        <v>1191118</v>
      </c>
      <c r="B70" s="20" t="s">
        <v>299</v>
      </c>
      <c r="C70" s="20" t="s">
        <v>300</v>
      </c>
      <c r="D70" s="20" t="s">
        <v>301</v>
      </c>
      <c r="E70" s="21" t="s">
        <v>111</v>
      </c>
      <c r="F70" s="22" t="s">
        <v>112</v>
      </c>
    </row>
    <row r="71" spans="1:7" ht="27" x14ac:dyDescent="0.4">
      <c r="A71" s="19">
        <v>1201326</v>
      </c>
      <c r="B71" s="20" t="s">
        <v>302</v>
      </c>
      <c r="C71" s="20" t="s">
        <v>303</v>
      </c>
      <c r="D71" s="20" t="s">
        <v>304</v>
      </c>
      <c r="E71" s="21" t="s">
        <v>111</v>
      </c>
      <c r="F71" s="22" t="s">
        <v>112</v>
      </c>
    </row>
    <row r="72" spans="1:7" ht="27" x14ac:dyDescent="0.4">
      <c r="A72" s="19">
        <v>1211287</v>
      </c>
      <c r="B72" s="20" t="s">
        <v>305</v>
      </c>
      <c r="C72" s="20" t="s">
        <v>306</v>
      </c>
      <c r="D72" s="20" t="s">
        <v>307</v>
      </c>
      <c r="E72" s="21" t="s">
        <v>111</v>
      </c>
      <c r="F72" s="22" t="s">
        <v>112</v>
      </c>
    </row>
    <row r="73" spans="1:7" x14ac:dyDescent="0.4">
      <c r="A73" s="19">
        <v>1211299</v>
      </c>
      <c r="B73" s="20" t="s">
        <v>308</v>
      </c>
      <c r="C73" s="20" t="s">
        <v>309</v>
      </c>
      <c r="D73" s="20" t="s">
        <v>310</v>
      </c>
      <c r="E73" s="21" t="s">
        <v>111</v>
      </c>
      <c r="F73" s="22" t="s">
        <v>112</v>
      </c>
    </row>
    <row r="74" spans="1:7" x14ac:dyDescent="0.4">
      <c r="A74" s="19">
        <v>1221103</v>
      </c>
      <c r="B74" s="20" t="s">
        <v>311</v>
      </c>
      <c r="C74" s="20" t="s">
        <v>312</v>
      </c>
      <c r="D74" s="20" t="s">
        <v>313</v>
      </c>
      <c r="E74" s="21" t="s">
        <v>111</v>
      </c>
      <c r="F74" s="22" t="s">
        <v>112</v>
      </c>
    </row>
    <row r="75" spans="1:7" ht="27" x14ac:dyDescent="0.4">
      <c r="A75" s="19">
        <v>1231281</v>
      </c>
      <c r="B75" s="20" t="s">
        <v>314</v>
      </c>
      <c r="C75" s="20" t="s">
        <v>315</v>
      </c>
      <c r="D75" s="20" t="s">
        <v>316</v>
      </c>
      <c r="E75" s="21" t="s">
        <v>111</v>
      </c>
      <c r="F75" s="22" t="s">
        <v>112</v>
      </c>
    </row>
    <row r="76" spans="1:7" ht="27" x14ac:dyDescent="0.4">
      <c r="A76" s="19">
        <v>1191491</v>
      </c>
      <c r="B76" s="20" t="s">
        <v>317</v>
      </c>
      <c r="C76" s="20" t="s">
        <v>318</v>
      </c>
      <c r="D76" s="20" t="s">
        <v>319</v>
      </c>
      <c r="E76" s="21" t="s">
        <v>111</v>
      </c>
      <c r="F76" s="22" t="s">
        <v>320</v>
      </c>
    </row>
    <row r="77" spans="1:7" ht="27" x14ac:dyDescent="0.4">
      <c r="A77" s="19">
        <v>1211399</v>
      </c>
      <c r="B77" s="20" t="s">
        <v>321</v>
      </c>
      <c r="C77" s="20" t="s">
        <v>322</v>
      </c>
      <c r="D77" s="20" t="s">
        <v>323</v>
      </c>
      <c r="E77" s="21" t="s">
        <v>111</v>
      </c>
      <c r="F77" s="22" t="s">
        <v>320</v>
      </c>
    </row>
    <row r="78" spans="1:7" x14ac:dyDescent="0.4">
      <c r="A78" s="146" t="s">
        <v>324</v>
      </c>
      <c r="B78" s="147"/>
      <c r="C78" s="147"/>
      <c r="D78" s="147"/>
      <c r="E78" s="147"/>
      <c r="F78" s="148"/>
    </row>
    <row r="79" spans="1:7" x14ac:dyDescent="0.4">
      <c r="A79" s="32" t="s">
        <v>325</v>
      </c>
      <c r="B79" s="33" t="s">
        <v>326</v>
      </c>
      <c r="C79" s="32" t="s">
        <v>327</v>
      </c>
      <c r="D79" s="32" t="s">
        <v>328</v>
      </c>
      <c r="E79" s="3"/>
      <c r="F79" s="34" t="s">
        <v>329</v>
      </c>
      <c r="G79" s="33" t="s">
        <v>330</v>
      </c>
    </row>
    <row r="80" spans="1:7" x14ac:dyDescent="0.4">
      <c r="A80" s="32">
        <v>1201006</v>
      </c>
      <c r="B80" s="33" t="s">
        <v>331</v>
      </c>
      <c r="C80" s="35" t="s">
        <v>332</v>
      </c>
      <c r="D80" s="35" t="s">
        <v>333</v>
      </c>
      <c r="E80" s="3"/>
      <c r="F80" s="34" t="s">
        <v>112</v>
      </c>
      <c r="G80" s="36" t="s">
        <v>334</v>
      </c>
    </row>
    <row r="81" spans="1:7" x14ac:dyDescent="0.4">
      <c r="A81" s="32">
        <v>1101153</v>
      </c>
      <c r="B81" s="33" t="s">
        <v>335</v>
      </c>
      <c r="C81" s="35" t="s">
        <v>336</v>
      </c>
      <c r="D81" s="35" t="s">
        <v>337</v>
      </c>
      <c r="E81" s="3"/>
      <c r="F81" s="34" t="s">
        <v>112</v>
      </c>
      <c r="G81" s="37" t="s">
        <v>338</v>
      </c>
    </row>
    <row r="82" spans="1:7" x14ac:dyDescent="0.4">
      <c r="A82" s="32">
        <v>1112092</v>
      </c>
      <c r="B82" s="33" t="s">
        <v>339</v>
      </c>
      <c r="C82" s="35" t="s">
        <v>340</v>
      </c>
      <c r="D82" s="35" t="s">
        <v>341</v>
      </c>
      <c r="E82" s="3"/>
      <c r="F82" s="34" t="s">
        <v>213</v>
      </c>
      <c r="G82" s="37" t="s">
        <v>338</v>
      </c>
    </row>
    <row r="83" spans="1:7" x14ac:dyDescent="0.4">
      <c r="A83" s="32">
        <v>1231039</v>
      </c>
      <c r="B83" s="33" t="s">
        <v>342</v>
      </c>
      <c r="C83" s="35" t="s">
        <v>343</v>
      </c>
      <c r="D83" s="35" t="s">
        <v>344</v>
      </c>
      <c r="E83" s="3"/>
      <c r="F83" s="34" t="s">
        <v>112</v>
      </c>
      <c r="G83" s="36" t="s">
        <v>334</v>
      </c>
    </row>
    <row r="84" spans="1:7" x14ac:dyDescent="0.4">
      <c r="A84" s="32">
        <v>1102109</v>
      </c>
      <c r="B84" s="33" t="s">
        <v>345</v>
      </c>
      <c r="C84" s="35" t="s">
        <v>346</v>
      </c>
      <c r="D84" s="35" t="s">
        <v>347</v>
      </c>
      <c r="E84" s="3"/>
      <c r="F84" s="34" t="s">
        <v>348</v>
      </c>
      <c r="G84" s="36" t="s">
        <v>334</v>
      </c>
    </row>
    <row r="85" spans="1:7" x14ac:dyDescent="0.4">
      <c r="A85" s="32">
        <v>1232311</v>
      </c>
      <c r="B85" s="33" t="s">
        <v>349</v>
      </c>
      <c r="C85" s="35" t="s">
        <v>350</v>
      </c>
      <c r="D85" s="35" t="s">
        <v>351</v>
      </c>
      <c r="E85" s="3"/>
      <c r="F85" s="34" t="s">
        <v>348</v>
      </c>
      <c r="G85" s="36" t="s">
        <v>334</v>
      </c>
    </row>
    <row r="86" spans="1:7" x14ac:dyDescent="0.4">
      <c r="A86" s="32">
        <v>940422</v>
      </c>
      <c r="B86" s="33" t="s">
        <v>352</v>
      </c>
      <c r="C86" s="35" t="s">
        <v>353</v>
      </c>
      <c r="D86" s="35" t="s">
        <v>354</v>
      </c>
      <c r="E86" s="3"/>
      <c r="F86" s="34" t="s">
        <v>112</v>
      </c>
      <c r="G86" s="36" t="s">
        <v>334</v>
      </c>
    </row>
    <row r="87" spans="1:7" x14ac:dyDescent="0.4">
      <c r="A87" s="32">
        <v>1231295</v>
      </c>
      <c r="B87" s="33" t="s">
        <v>355</v>
      </c>
      <c r="C87" s="35" t="s">
        <v>356</v>
      </c>
      <c r="D87" s="35" t="s">
        <v>357</v>
      </c>
      <c r="E87" s="3"/>
      <c r="F87" s="34" t="s">
        <v>112</v>
      </c>
      <c r="G87" s="36" t="s">
        <v>334</v>
      </c>
    </row>
    <row r="88" spans="1:7" x14ac:dyDescent="0.4">
      <c r="A88" s="3"/>
      <c r="B88" s="3"/>
      <c r="C88" s="3"/>
      <c r="D88" s="3"/>
      <c r="E88" s="3"/>
      <c r="F88" s="3"/>
      <c r="G88" s="3"/>
    </row>
    <row r="90" spans="1:7" x14ac:dyDescent="0.4">
      <c r="A90" s="70">
        <v>1161134</v>
      </c>
      <c r="B90" s="75" t="s">
        <v>818</v>
      </c>
      <c r="C90" s="71" t="s">
        <v>815</v>
      </c>
      <c r="D90" s="71" t="s">
        <v>816</v>
      </c>
    </row>
    <row r="91" spans="1:7" ht="24" x14ac:dyDescent="0.4">
      <c r="A91" s="70">
        <v>1181172</v>
      </c>
      <c r="B91" s="75" t="s">
        <v>822</v>
      </c>
      <c r="C91" s="71" t="s">
        <v>819</v>
      </c>
      <c r="D91" s="71" t="s">
        <v>820</v>
      </c>
    </row>
    <row r="92" spans="1:7" x14ac:dyDescent="0.4">
      <c r="A92" s="70">
        <v>1212068</v>
      </c>
      <c r="B92" s="75" t="s">
        <v>837</v>
      </c>
      <c r="C92" s="71" t="s">
        <v>849</v>
      </c>
      <c r="D92" s="71" t="s">
        <v>850</v>
      </c>
    </row>
    <row r="93" spans="1:7" x14ac:dyDescent="0.4">
      <c r="A93" s="70">
        <v>1192067</v>
      </c>
      <c r="B93" s="75" t="s">
        <v>838</v>
      </c>
      <c r="C93" s="71" t="s">
        <v>851</v>
      </c>
      <c r="D93" s="71" t="s">
        <v>852</v>
      </c>
    </row>
    <row r="94" spans="1:7" x14ac:dyDescent="0.4">
      <c r="A94" s="70">
        <v>1201243</v>
      </c>
      <c r="B94" s="75" t="s">
        <v>830</v>
      </c>
      <c r="C94" s="71" t="s">
        <v>827</v>
      </c>
      <c r="D94" s="71" t="s">
        <v>828</v>
      </c>
    </row>
    <row r="95" spans="1:7" x14ac:dyDescent="0.4">
      <c r="A95" s="70">
        <v>1131248</v>
      </c>
      <c r="B95" s="75" t="s">
        <v>839</v>
      </c>
      <c r="C95" s="71" t="s">
        <v>388</v>
      </c>
      <c r="D95" s="71" t="s">
        <v>853</v>
      </c>
    </row>
    <row r="96" spans="1:7" ht="24" x14ac:dyDescent="0.4">
      <c r="A96" s="70">
        <v>1161185</v>
      </c>
      <c r="B96" s="75" t="s">
        <v>840</v>
      </c>
      <c r="C96" s="71" t="s">
        <v>854</v>
      </c>
      <c r="D96" s="71" t="s">
        <v>855</v>
      </c>
    </row>
    <row r="97" spans="1:4" x14ac:dyDescent="0.4">
      <c r="A97" s="70">
        <v>1181113</v>
      </c>
      <c r="B97" s="75" t="s">
        <v>841</v>
      </c>
      <c r="C97" s="71" t="s">
        <v>470</v>
      </c>
      <c r="D97" s="71" t="s">
        <v>856</v>
      </c>
    </row>
    <row r="98" spans="1:4" ht="24" x14ac:dyDescent="0.4">
      <c r="A98" s="70">
        <v>1181096</v>
      </c>
      <c r="B98" s="75" t="s">
        <v>842</v>
      </c>
      <c r="C98" s="71" t="s">
        <v>857</v>
      </c>
      <c r="D98" s="71" t="s">
        <v>858</v>
      </c>
    </row>
    <row r="99" spans="1:4" ht="24" x14ac:dyDescent="0.4">
      <c r="A99" s="70">
        <v>1181230</v>
      </c>
      <c r="B99" s="75" t="s">
        <v>843</v>
      </c>
      <c r="C99" s="71" t="s">
        <v>859</v>
      </c>
      <c r="D99" s="71" t="s">
        <v>860</v>
      </c>
    </row>
    <row r="100" spans="1:4" ht="24" x14ac:dyDescent="0.4">
      <c r="A100" s="70">
        <v>1171069</v>
      </c>
      <c r="B100" s="75" t="s">
        <v>844</v>
      </c>
      <c r="C100" s="71" t="s">
        <v>861</v>
      </c>
      <c r="D100" s="71" t="s">
        <v>862</v>
      </c>
    </row>
    <row r="101" spans="1:4" x14ac:dyDescent="0.4">
      <c r="A101" s="70">
        <v>1171175</v>
      </c>
      <c r="B101" s="75" t="s">
        <v>845</v>
      </c>
      <c r="C101" s="71" t="s">
        <v>863</v>
      </c>
      <c r="D101" s="71" t="s">
        <v>864</v>
      </c>
    </row>
    <row r="102" spans="1:4" x14ac:dyDescent="0.4">
      <c r="A102" s="70">
        <v>1076057</v>
      </c>
      <c r="B102" s="75" t="s">
        <v>846</v>
      </c>
      <c r="C102" s="71" t="s">
        <v>865</v>
      </c>
      <c r="D102" s="71" t="s">
        <v>866</v>
      </c>
    </row>
    <row r="103" spans="1:4" x14ac:dyDescent="0.4">
      <c r="A103" s="70">
        <v>1026060</v>
      </c>
      <c r="B103" s="75" t="s">
        <v>847</v>
      </c>
      <c r="C103" s="71" t="s">
        <v>652</v>
      </c>
      <c r="D103" s="71" t="s">
        <v>867</v>
      </c>
    </row>
    <row r="104" spans="1:4" x14ac:dyDescent="0.4">
      <c r="A104" s="70">
        <v>1026049</v>
      </c>
      <c r="B104" s="75" t="s">
        <v>848</v>
      </c>
      <c r="C104" s="71" t="s">
        <v>868</v>
      </c>
      <c r="D104" s="71" t="s">
        <v>869</v>
      </c>
    </row>
  </sheetData>
  <mergeCells count="7">
    <mergeCell ref="A78:F78"/>
    <mergeCell ref="A1:F1"/>
    <mergeCell ref="A2:F2"/>
    <mergeCell ref="A40:F40"/>
    <mergeCell ref="A41:F41"/>
    <mergeCell ref="A59:F59"/>
    <mergeCell ref="A60:F60"/>
  </mergeCells>
  <phoneticPr fontId="1"/>
  <conditionalFormatting sqref="A1:A39">
    <cfRule type="duplicateValues" dxfId="2" priority="3"/>
  </conditionalFormatting>
  <conditionalFormatting sqref="A40:A58">
    <cfRule type="duplicateValues" dxfId="1" priority="2"/>
  </conditionalFormatting>
  <conditionalFormatting sqref="A90:A10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使い方</vt:lpstr>
      <vt:lpstr>SQLデータ</vt:lpstr>
      <vt:lpstr>届出事由・区分・届出年月日ごと集計</vt:lpstr>
      <vt:lpstr>週次報告用</vt:lpstr>
      <vt:lpstr>責任職　企業局→市長部局</vt:lpstr>
      <vt:lpstr>一般職員　企業局→市長部局</vt:lpstr>
      <vt:lpstr>'責任職　企業局→市長部局'!Print_Area</vt:lpstr>
      <vt:lpstr>'責任職　企業局→市長部局'!Print_Titles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総務局 ヘルプメール０５</dc:creator>
  <cp:lastModifiedBy>総務局 ヘルプメール０５</cp:lastModifiedBy>
  <dcterms:created xsi:type="dcterms:W3CDTF">2026-04-09T04:11:18Z</dcterms:created>
  <dcterms:modified xsi:type="dcterms:W3CDTF">2026-04-20T01:10:49Z</dcterms:modified>
</cp:coreProperties>
</file>